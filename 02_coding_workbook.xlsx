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60" yWindow="5535" windowWidth="28800" windowHeight="15345" tabRatio="5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Fit_Matrix" sheetId="2" state="visible" r:id="rId2"/>
    <sheet xmlns:r="http://schemas.openxmlformats.org/officeDocument/2006/relationships" name="Canonical_Claims" sheetId="3" state="visible" r:id="rId3"/>
    <sheet xmlns:r="http://schemas.openxmlformats.org/officeDocument/2006/relationships" name="Articles" sheetId="4" state="visible" r:id="rId4"/>
    <sheet xmlns:r="http://schemas.openxmlformats.org/officeDocument/2006/relationships" name="Claims" sheetId="5" state="visible" r:id="rId5"/>
    <sheet xmlns:r="http://schemas.openxmlformats.org/officeDocument/2006/relationships" name="Change_Log" sheetId="6" state="visible" r:id="rId6"/>
    <sheet xmlns:r="http://schemas.openxmlformats.org/officeDocument/2006/relationships" name="Summary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2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sz val="11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DDDDDD"/>
        <bgColor rgb="FFDDDDDD"/>
      </patternFill>
    </fill>
    <fill>
      <patternFill patternType="solid">
        <fgColor rgb="FFEAEAEA"/>
        <bgColor rgb="FFEAEA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2" fillId="3" borderId="0" pivotButton="0" quotePrefix="0" xfId="0"/>
    <xf numFmtId="0" fontId="4" fillId="4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164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1" zoomScaleNormal="100" workbookViewId="0">
      <selection activeCell="A1" sqref="A1"/>
    </sheetView>
  </sheetViews>
  <sheetFormatPr baseColWidth="8" defaultColWidth="8.7109375" defaultRowHeight="15"/>
  <cols>
    <col width="24" customWidth="1" style="1" min="1" max="1"/>
    <col width="110" customWidth="1" style="1" min="2" max="2"/>
  </cols>
  <sheetData>
    <row r="1" ht="15" customHeight="1" s="1">
      <c r="A1" s="2" t="inlineStr">
        <is>
          <t>Evidentiary Audit Coding Workbook</t>
        </is>
      </c>
      <c r="B1" s="3" t="n"/>
    </row>
    <row r="2" ht="15" customHeight="1" s="1">
      <c r="A2" s="3" t="n"/>
      <c r="B2" s="3" t="n"/>
    </row>
    <row r="3" ht="15" customHeight="1" s="1">
      <c r="A3" s="4" t="inlineStr">
        <is>
          <t>Sheets</t>
        </is>
      </c>
      <c r="B3" s="3" t="n"/>
    </row>
    <row r="4" ht="15" customHeight="1" s="1">
      <c r="A4" s="3" t="inlineStr">
        <is>
          <t>Articles</t>
        </is>
      </c>
      <c r="B4" s="3" t="inlineStr">
        <is>
          <t>One row per included article. Screening decision, positioning (P1–P4), citation data.</t>
        </is>
      </c>
    </row>
    <row r="5" ht="15" customHeight="1" s="1">
      <c r="A5" s="3" t="inlineStr">
        <is>
          <t>Claims</t>
        </is>
      </c>
      <c r="B5" s="3" t="inlineStr">
        <is>
          <t>One row per extracted claim. Yellow cells are coder inputs; Fit is computed from the matrix and reviewed.</t>
        </is>
      </c>
    </row>
    <row r="6" ht="15" customHeight="1" s="1">
      <c r="A6" s="3" t="inlineStr">
        <is>
          <t>Canonical_Claims</t>
        </is>
      </c>
      <c r="B6" s="3" t="inlineStr">
        <is>
          <t>Frozen list of canonical claims built in the pilot. Claims sheet references these IDs.</t>
        </is>
      </c>
    </row>
    <row r="7" ht="15" customHeight="1" s="1">
      <c r="A7" s="3" t="inlineStr">
        <is>
          <t>Fit_Matrix</t>
        </is>
      </c>
      <c r="B7" s="3" t="inlineStr">
        <is>
          <t>Lookup table: claim type × primary warrant × positioning → fit. Edit only via the change log.</t>
        </is>
      </c>
    </row>
    <row r="8" ht="15" customHeight="1" s="1">
      <c r="A8" s="3" t="inlineStr">
        <is>
          <t>Change_Log</t>
        </is>
      </c>
      <c r="B8" s="3" t="inlineStr">
        <is>
          <t>Every protocol change with date, reason, stage.</t>
        </is>
      </c>
    </row>
    <row r="9" ht="15" customHeight="1" s="1">
      <c r="A9" s="3" t="inlineStr">
        <is>
          <t>Summary</t>
        </is>
      </c>
      <c r="B9" s="3" t="inlineStr">
        <is>
          <t>Live counts by claim type, warrant, fit, indicators. Formulas only.</t>
        </is>
      </c>
    </row>
    <row r="10" ht="15" customHeight="1" s="1">
      <c r="A10" s="3" t="n"/>
      <c r="B10" s="3" t="n"/>
    </row>
    <row r="11" ht="15" customHeight="1" s="1">
      <c r="A11" s="4" t="inlineStr">
        <is>
          <t>Conventions</t>
        </is>
      </c>
      <c r="B11" s="3" t="n"/>
    </row>
    <row r="12" ht="15" customHeight="1" s="1">
      <c r="A12" s="3" t="inlineStr">
        <is>
          <t>Yellow fill</t>
        </is>
      </c>
      <c r="B12" s="3" t="inlineStr">
        <is>
          <t>Coder enters a value (dropdowns where available).</t>
        </is>
      </c>
    </row>
    <row r="13" ht="15" customHeight="1" s="1">
      <c r="A13" s="3" t="inlineStr">
        <is>
          <t>Grey header</t>
        </is>
      </c>
      <c r="B13" s="3" t="inlineStr">
        <is>
          <t>Do not edit.</t>
        </is>
      </c>
    </row>
    <row r="14" ht="15" customHeight="1" s="1">
      <c r="A14" s="3" t="inlineStr">
        <is>
          <t>Row 2 in Claims/Articles</t>
        </is>
      </c>
      <c r="B14" s="3" t="inlineStr">
        <is>
          <t>Example row with realistic values; delete before real coding.</t>
        </is>
      </c>
    </row>
    <row r="15" ht="15" customHeight="1" s="1">
      <c r="A15" s="3" t="n"/>
      <c r="B15" s="3" t="n"/>
    </row>
    <row r="16" ht="15" customHeight="1" s="1">
      <c r="A16" s="4" t="inlineStr">
        <is>
          <t>Codes</t>
        </is>
      </c>
      <c r="B16" s="3" t="n"/>
    </row>
    <row r="17" ht="15" customHeight="1" s="1">
      <c r="A17" s="3" t="inlineStr">
        <is>
          <t>Claim type</t>
        </is>
      </c>
      <c r="B17" s="3" t="inlineStr">
        <is>
          <t>descriptive | conceptual | causal | predictive | normative | other</t>
        </is>
      </c>
    </row>
    <row r="18" ht="15" customHeight="1" s="1">
      <c r="A18" s="3" t="inlineStr">
        <is>
          <t>Warrant</t>
        </is>
      </c>
      <c r="B18" s="3" t="inlineStr">
        <is>
          <t>W1 orig quant | W2 orig qual | W3 secondary | W4 analogy | W5 deduction | W6 authority | W7 declared conjecture | W8 none</t>
        </is>
      </c>
    </row>
    <row r="19" ht="15" customHeight="1" s="1">
      <c r="A19" s="3" t="inlineStr">
        <is>
          <t>W3 sub-code</t>
        </is>
      </c>
      <c r="B19" s="3" t="inlineStr">
        <is>
          <t>to_W1W2 | to_W3 | to_W4W8 | unknown</t>
        </is>
      </c>
    </row>
    <row r="20" ht="15" customHeight="1" s="1">
      <c r="A20" s="3" t="inlineStr">
        <is>
          <t>Positioning</t>
        </is>
      </c>
      <c r="B20" s="3" t="inlineStr">
        <is>
          <t>P1 neo-positivist | P2 interpretivist | P3 critical | P4 theory-building/policy</t>
        </is>
      </c>
    </row>
    <row r="21" ht="15" customHeight="1" s="1">
      <c r="A21" s="3" t="inlineStr">
        <is>
          <t>Fit</t>
        </is>
      </c>
      <c r="B21" s="3" t="inlineStr">
        <is>
          <t>adequate | partial | inadequate. fit_final: copy fit_computed unless you override; an override requires override_reason.</t>
        </is>
      </c>
    </row>
    <row r="22" ht="15" customHeight="1" s="1">
      <c r="A22" s="3" t="inlineStr">
        <is>
          <t>Indicators</t>
        </is>
      </c>
      <c r="B22" s="3" t="inlineStr">
        <is>
          <t>1 = present, 0 = absent, NA = not a predictive/causal-future claim</t>
        </is>
      </c>
    </row>
    <row r="23" ht="15" customHeight="1" s="1">
      <c r="A23" s="3" t="inlineStr">
        <is>
          <t>Valence</t>
        </is>
      </c>
      <c r="B23" s="3" t="inlineStr">
        <is>
          <t>supporting | neutral | critical (only for W3 claims)</t>
        </is>
      </c>
    </row>
    <row r="25">
      <c r="A25" s="5" t="inlineStr">
        <is>
          <t>Columns added 2026-09-10</t>
        </is>
      </c>
    </row>
    <row r="26">
      <c r="A26" s="6" t="inlineStr">
        <is>
          <t>w4_developed</t>
        </is>
      </c>
      <c r="B26" t="inlineStr">
        <is>
          <t>1 = the analogy is developed over at least one full section; 0 = not; NA = rule does not apply. Read by the fit formula for predictive+W4 under P2/P3/P4.</t>
        </is>
      </c>
    </row>
    <row r="27">
      <c r="A27" s="6" t="inlineStr">
        <is>
          <t>orig_scope_conditions</t>
        </is>
      </c>
      <c r="B27" t="inlineStr">
        <is>
          <t>Same three indicators, recorded for the ORIGINATING text of a W3 claim. Needed for Table 4, RQ3 and H2. unknown = source not retrievable.</t>
        </is>
      </c>
    </row>
    <row r="28">
      <c r="A28" s="6" t="inlineStr">
        <is>
          <t>orig_conjectural_status</t>
        </is>
      </c>
      <c r="B28" t="inlineStr">
        <is>
          <t>See orig_scope_conditions.</t>
        </is>
      </c>
    </row>
    <row r="29">
      <c r="A29" s="6" t="inlineStr">
        <is>
          <t>orig_falsifier</t>
        </is>
      </c>
      <c r="B29" t="inlineStr">
        <is>
          <t>See orig_scope_conditions.</t>
        </is>
      </c>
    </row>
    <row r="30">
      <c r="A30" s="6" t="inlineStr">
        <is>
          <t>w3_source_peer_reviewed</t>
        </is>
      </c>
      <c r="B30" t="inlineStr">
        <is>
          <t>1 = cited source is peer reviewed; 0 = grey. Recorded separately from the W3 sub-code, which turns on whether the source carries data.</t>
        </is>
      </c>
    </row>
    <row r="31">
      <c r="A31" s="6" t="inlineStr">
        <is>
          <t>secondary_claim_type</t>
        </is>
      </c>
      <c r="B31" t="inlineStr">
        <is>
          <t>For a claim that is both causal and predictive (Appendix A.3). claim_type holds the primary; distributions are reported on the primary only.</t>
        </is>
      </c>
    </row>
    <row r="32">
      <c r="A32" s="6" t="inlineStr">
        <is>
          <t>p4_causal_flag</t>
        </is>
      </c>
      <c r="B32" t="inlineStr">
        <is>
          <t>Derived. Marks causal claims in P4 articles so they can be tabulated separately.</t>
        </is>
      </c>
    </row>
    <row r="33">
      <c r="A33" s="6" t="inlineStr">
        <is>
          <t>Indicator storage</t>
        </is>
      </c>
      <c r="B33" t="inlineStr">
        <is>
          <t>scope/conjectural/falsifier are NUMBERS 1 and 0, or the text NA. Do not type them as text; the fit formula tests both forms but the analysis script expects numbers.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36" customWidth="1" style="1" min="1" max="1"/>
    <col width="12" customWidth="1" style="1" min="2" max="2"/>
    <col width="60" customWidth="1" style="1" min="3" max="3"/>
  </cols>
  <sheetData>
    <row r="1" ht="15" customHeight="1" s="1">
      <c r="A1" s="7" t="inlineStr">
        <is>
          <t>key</t>
        </is>
      </c>
      <c r="B1" s="7" t="inlineStr">
        <is>
          <t>fit</t>
        </is>
      </c>
      <c r="C1" s="7" t="inlineStr">
        <is>
          <t>note</t>
        </is>
      </c>
    </row>
    <row r="2" ht="15" customHeight="1" s="1">
      <c r="A2" s="3" t="inlineStr">
        <is>
          <t>P1|descriptive|W1</t>
        </is>
      </c>
      <c r="B2" s="3" t="inlineStr">
        <is>
          <t>adequate</t>
        </is>
      </c>
      <c r="C2" s="3" t="n"/>
    </row>
    <row r="3" ht="15" customHeight="1" s="1">
      <c r="A3" s="3" t="inlineStr">
        <is>
          <t>P1|descriptive|W2</t>
        </is>
      </c>
      <c r="B3" s="3" t="inlineStr">
        <is>
          <t>adequate</t>
        </is>
      </c>
      <c r="C3" s="3" t="n"/>
    </row>
    <row r="4" ht="15" customHeight="1" s="1">
      <c r="A4" s="3" t="inlineStr">
        <is>
          <t>P1|descriptive|W3_to_W1W2</t>
        </is>
      </c>
      <c r="B4" s="3" t="inlineStr">
        <is>
          <t>adequate</t>
        </is>
      </c>
      <c r="C4" s="3" t="n"/>
    </row>
    <row r="5" ht="15" customHeight="1" s="1">
      <c r="A5" s="3" t="inlineStr">
        <is>
          <t>P1|descriptive|W3_to_W3</t>
        </is>
      </c>
      <c r="B5" s="3" t="inlineStr">
        <is>
          <t>partial</t>
        </is>
      </c>
      <c r="C5" s="3" t="n"/>
    </row>
    <row r="6" ht="15" customHeight="1" s="1">
      <c r="A6" s="3" t="inlineStr">
        <is>
          <t>P1|descriptive|W3_to_W4W8</t>
        </is>
      </c>
      <c r="B6" s="3" t="inlineStr">
        <is>
          <t>partial</t>
        </is>
      </c>
      <c r="C6" s="3" t="n"/>
    </row>
    <row r="7" ht="15" customHeight="1" s="1">
      <c r="A7" s="3" t="inlineStr">
        <is>
          <t>P1|descriptive|W3_unknown</t>
        </is>
      </c>
      <c r="B7" s="3" t="inlineStr">
        <is>
          <t>partial</t>
        </is>
      </c>
      <c r="C7" s="3" t="n"/>
    </row>
    <row r="8" ht="15" customHeight="1" s="1">
      <c r="A8" s="3" t="inlineStr">
        <is>
          <t>P1|descriptive|W4</t>
        </is>
      </c>
      <c r="B8" s="3" t="inlineStr">
        <is>
          <t>partial</t>
        </is>
      </c>
      <c r="C8" s="3" t="n"/>
    </row>
    <row r="9" ht="15" customHeight="1" s="1">
      <c r="A9" s="3" t="inlineStr">
        <is>
          <t>P1|descriptive|W5</t>
        </is>
      </c>
      <c r="B9" s="3" t="inlineStr">
        <is>
          <t>inadequate</t>
        </is>
      </c>
      <c r="C9" s="3" t="n"/>
    </row>
    <row r="10" ht="15" customHeight="1" s="1">
      <c r="A10" s="3" t="inlineStr">
        <is>
          <t>P1|descriptive|W6</t>
        </is>
      </c>
      <c r="B10" s="3" t="inlineStr">
        <is>
          <t>partial</t>
        </is>
      </c>
      <c r="C10" s="3" t="n"/>
    </row>
    <row r="11" ht="15" customHeight="1" s="1">
      <c r="A11" s="3" t="inlineStr">
        <is>
          <t>P1|descriptive|W7</t>
        </is>
      </c>
      <c r="B11" s="3" t="inlineStr">
        <is>
          <t>partial</t>
        </is>
      </c>
      <c r="C11" s="3" t="n"/>
    </row>
    <row r="12" ht="15" customHeight="1" s="1">
      <c r="A12" s="3" t="inlineStr">
        <is>
          <t>P1|descriptive|W8</t>
        </is>
      </c>
      <c r="B12" s="3" t="inlineStr">
        <is>
          <t>inadequate</t>
        </is>
      </c>
      <c r="C12" s="3" t="n"/>
    </row>
    <row r="13" ht="15" customHeight="1" s="1">
      <c r="A13" s="3" t="inlineStr">
        <is>
          <t>P1|conceptual|W1</t>
        </is>
      </c>
      <c r="B13" s="3" t="inlineStr">
        <is>
          <t>adequate</t>
        </is>
      </c>
      <c r="C13" s="3" t="n"/>
    </row>
    <row r="14" ht="15" customHeight="1" s="1">
      <c r="A14" s="3" t="inlineStr">
        <is>
          <t>P1|conceptual|W2</t>
        </is>
      </c>
      <c r="B14" s="3" t="inlineStr">
        <is>
          <t>adequate</t>
        </is>
      </c>
      <c r="C14" s="3" t="n"/>
    </row>
    <row r="15" ht="15" customHeight="1" s="1">
      <c r="A15" s="3" t="inlineStr">
        <is>
          <t>P1|conceptual|W3_to_W1W2</t>
        </is>
      </c>
      <c r="B15" s="3" t="inlineStr">
        <is>
          <t>adequate</t>
        </is>
      </c>
      <c r="C15" s="3" t="n"/>
    </row>
    <row r="16" ht="15" customHeight="1" s="1">
      <c r="A16" s="3" t="inlineStr">
        <is>
          <t>P1|conceptual|W3_to_W3</t>
        </is>
      </c>
      <c r="B16" s="3" t="inlineStr">
        <is>
          <t>adequate</t>
        </is>
      </c>
      <c r="C16" s="3" t="n"/>
    </row>
    <row r="17" ht="15" customHeight="1" s="1">
      <c r="A17" s="3" t="inlineStr">
        <is>
          <t>P1|conceptual|W3_to_W4W8</t>
        </is>
      </c>
      <c r="B17" s="3" t="inlineStr">
        <is>
          <t>adequate</t>
        </is>
      </c>
      <c r="C17" s="3" t="n"/>
    </row>
    <row r="18" ht="15" customHeight="1" s="1">
      <c r="A18" s="3" t="inlineStr">
        <is>
          <t>P1|conceptual|W3_unknown</t>
        </is>
      </c>
      <c r="B18" s="3" t="inlineStr">
        <is>
          <t>adequate</t>
        </is>
      </c>
      <c r="C18" s="3" t="n"/>
    </row>
    <row r="19" ht="15" customHeight="1" s="1">
      <c r="A19" s="3" t="inlineStr">
        <is>
          <t>P1|conceptual|W4</t>
        </is>
      </c>
      <c r="B19" s="3" t="inlineStr">
        <is>
          <t>adequate</t>
        </is>
      </c>
      <c r="C19" s="3" t="n"/>
    </row>
    <row r="20" ht="15" customHeight="1" s="1">
      <c r="A20" s="3" t="inlineStr">
        <is>
          <t>P1|conceptual|W5</t>
        </is>
      </c>
      <c r="B20" s="3" t="inlineStr">
        <is>
          <t>adequate</t>
        </is>
      </c>
      <c r="C20" s="3" t="n"/>
    </row>
    <row r="21" ht="15" customHeight="1" s="1">
      <c r="A21" s="3" t="inlineStr">
        <is>
          <t>P1|conceptual|W6</t>
        </is>
      </c>
      <c r="B21" s="3" t="inlineStr">
        <is>
          <t>partial</t>
        </is>
      </c>
      <c r="C21" s="3" t="n"/>
    </row>
    <row r="22" ht="15" customHeight="1" s="1">
      <c r="A22" s="3" t="inlineStr">
        <is>
          <t>P1|conceptual|W7</t>
        </is>
      </c>
      <c r="B22" s="3" t="inlineStr">
        <is>
          <t>adequate</t>
        </is>
      </c>
      <c r="C22" s="3" t="n"/>
    </row>
    <row r="23" ht="15" customHeight="1" s="1">
      <c r="A23" s="3" t="inlineStr">
        <is>
          <t>P1|conceptual|W8</t>
        </is>
      </c>
      <c r="B23" s="3" t="inlineStr">
        <is>
          <t>partial</t>
        </is>
      </c>
      <c r="C23" s="3" t="n"/>
    </row>
    <row r="24" ht="15" customHeight="1" s="1">
      <c r="A24" s="3" t="inlineStr">
        <is>
          <t>P1|causal|W1</t>
        </is>
      </c>
      <c r="B24" s="3" t="inlineStr">
        <is>
          <t>adequate</t>
        </is>
      </c>
      <c r="C24" s="3" t="n"/>
    </row>
    <row r="25" ht="15" customHeight="1" s="1">
      <c r="A25" s="3" t="inlineStr">
        <is>
          <t>P1|causal|W2</t>
        </is>
      </c>
      <c r="B25" s="3" t="inlineStr">
        <is>
          <t>adequate</t>
        </is>
      </c>
      <c r="C25" s="3" t="n"/>
    </row>
    <row r="26" ht="15" customHeight="1" s="1">
      <c r="A26" s="3" t="inlineStr">
        <is>
          <t>P1|causal|W3_to_W1W2</t>
        </is>
      </c>
      <c r="B26" s="3" t="inlineStr">
        <is>
          <t>adequate</t>
        </is>
      </c>
      <c r="C26" s="3" t="n"/>
    </row>
    <row r="27" ht="15" customHeight="1" s="1">
      <c r="A27" s="3" t="inlineStr">
        <is>
          <t>P1|causal|W3_to_W3</t>
        </is>
      </c>
      <c r="B27" s="3" t="inlineStr">
        <is>
          <t>partial</t>
        </is>
      </c>
      <c r="C27" s="3" t="n"/>
    </row>
    <row r="28" ht="15" customHeight="1" s="1">
      <c r="A28" s="3" t="inlineStr">
        <is>
          <t>P1|causal|W3_to_W4W8</t>
        </is>
      </c>
      <c r="B28" s="3" t="inlineStr">
        <is>
          <t>partial</t>
        </is>
      </c>
      <c r="C28" s="3" t="n"/>
    </row>
    <row r="29" ht="15" customHeight="1" s="1">
      <c r="A29" s="3" t="inlineStr">
        <is>
          <t>P1|causal|W3_unknown</t>
        </is>
      </c>
      <c r="B29" s="3" t="inlineStr">
        <is>
          <t>partial</t>
        </is>
      </c>
      <c r="C29" s="3" t="n"/>
    </row>
    <row r="30" ht="15" customHeight="1" s="1">
      <c r="A30" s="3" t="inlineStr">
        <is>
          <t>P1|causal|W4</t>
        </is>
      </c>
      <c r="B30" s="3" t="inlineStr">
        <is>
          <t>partial</t>
        </is>
      </c>
      <c r="C30" s="3" t="n"/>
    </row>
    <row r="31" ht="15" customHeight="1" s="1">
      <c r="A31" s="3" t="inlineStr">
        <is>
          <t>P1|causal|W5</t>
        </is>
      </c>
      <c r="B31" s="3" t="inlineStr">
        <is>
          <t>partial</t>
        </is>
      </c>
      <c r="C31" s="3" t="n"/>
    </row>
    <row r="32" ht="15" customHeight="1" s="1">
      <c r="A32" s="3" t="inlineStr">
        <is>
          <t>P1|causal|W6</t>
        </is>
      </c>
      <c r="B32" s="3" t="inlineStr">
        <is>
          <t>inadequate</t>
        </is>
      </c>
      <c r="C32" s="3" t="n"/>
    </row>
    <row r="33" ht="15" customHeight="1" s="1">
      <c r="A33" s="3" t="inlineStr">
        <is>
          <t>P1|causal|W7</t>
        </is>
      </c>
      <c r="B33" s="3" t="inlineStr">
        <is>
          <t>partial</t>
        </is>
      </c>
      <c r="C33" s="3" t="inlineStr">
        <is>
          <t>adequate only if all three indicators = 1; else partial (see Claims formula)</t>
        </is>
      </c>
    </row>
    <row r="34" ht="15" customHeight="1" s="1">
      <c r="A34" s="3" t="inlineStr">
        <is>
          <t>P1|causal|W8</t>
        </is>
      </c>
      <c r="B34" s="3" t="inlineStr">
        <is>
          <t>inadequate</t>
        </is>
      </c>
      <c r="C34" s="3" t="n"/>
    </row>
    <row r="35" ht="15" customHeight="1" s="1">
      <c r="A35" s="3" t="inlineStr">
        <is>
          <t>P1|predictive|W1</t>
        </is>
      </c>
      <c r="B35" s="3" t="inlineStr">
        <is>
          <t>adequate</t>
        </is>
      </c>
      <c r="C35" s="3" t="n"/>
    </row>
    <row r="36" ht="15" customHeight="1" s="1">
      <c r="A36" s="3" t="inlineStr">
        <is>
          <t>P1|predictive|W2</t>
        </is>
      </c>
      <c r="B36" s="3" t="inlineStr">
        <is>
          <t>adequate</t>
        </is>
      </c>
      <c r="C36" s="3" t="n"/>
    </row>
    <row r="37" ht="15" customHeight="1" s="1">
      <c r="A37" s="3" t="inlineStr">
        <is>
          <t>P1|predictive|W3_to_W1W2</t>
        </is>
      </c>
      <c r="B37" s="3" t="inlineStr">
        <is>
          <t>adequate</t>
        </is>
      </c>
      <c r="C37" s="3" t="n"/>
    </row>
    <row r="38" ht="15" customHeight="1" s="1">
      <c r="A38" s="3" t="inlineStr">
        <is>
          <t>P1|predictive|W3_to_W3</t>
        </is>
      </c>
      <c r="B38" s="3" t="inlineStr">
        <is>
          <t>partial</t>
        </is>
      </c>
      <c r="C38" s="3" t="n"/>
    </row>
    <row r="39" ht="15" customHeight="1" s="1">
      <c r="A39" s="3" t="inlineStr">
        <is>
          <t>P1|predictive|W3_to_W4W8</t>
        </is>
      </c>
      <c r="B39" s="3" t="inlineStr">
        <is>
          <t>partial</t>
        </is>
      </c>
      <c r="C39" s="3" t="n"/>
    </row>
    <row r="40" ht="15" customHeight="1" s="1">
      <c r="A40" s="3" t="inlineStr">
        <is>
          <t>P1|predictive|W3_unknown</t>
        </is>
      </c>
      <c r="B40" s="3" t="inlineStr">
        <is>
          <t>partial</t>
        </is>
      </c>
      <c r="C40" s="3" t="n"/>
    </row>
    <row r="41" ht="15" customHeight="1" s="1">
      <c r="A41" s="3" t="inlineStr">
        <is>
          <t>P1|predictive|W4</t>
        </is>
      </c>
      <c r="B41" s="3" t="inlineStr">
        <is>
          <t>partial</t>
        </is>
      </c>
      <c r="C41" s="3" t="n"/>
    </row>
    <row r="42" ht="15" customHeight="1" s="1">
      <c r="A42" s="3" t="inlineStr">
        <is>
          <t>P1|predictive|W5</t>
        </is>
      </c>
      <c r="B42" s="3" t="inlineStr">
        <is>
          <t>partial</t>
        </is>
      </c>
      <c r="C42" s="3" t="n"/>
    </row>
    <row r="43" ht="15" customHeight="1" s="1">
      <c r="A43" s="3" t="inlineStr">
        <is>
          <t>P1|predictive|W6</t>
        </is>
      </c>
      <c r="B43" s="3" t="inlineStr">
        <is>
          <t>partial</t>
        </is>
      </c>
      <c r="C43" s="3" t="n"/>
    </row>
    <row r="44" ht="15" customHeight="1" s="1">
      <c r="A44" s="3" t="inlineStr">
        <is>
          <t>P1|predictive|W7</t>
        </is>
      </c>
      <c r="B44" s="3" t="inlineStr">
        <is>
          <t>adequate</t>
        </is>
      </c>
      <c r="C44" s="3" t="inlineStr">
        <is>
          <t>adequate only if all three indicators = 1; else partial (see Claims formula)</t>
        </is>
      </c>
    </row>
    <row r="45" ht="15" customHeight="1" s="1">
      <c r="A45" s="3" t="inlineStr">
        <is>
          <t>P1|predictive|W8</t>
        </is>
      </c>
      <c r="B45" s="3" t="inlineStr">
        <is>
          <t>inadequate</t>
        </is>
      </c>
      <c r="C45" s="3" t="n"/>
    </row>
    <row r="46" ht="15" customHeight="1" s="1">
      <c r="A46" s="3" t="inlineStr">
        <is>
          <t>P1|normative|W1</t>
        </is>
      </c>
      <c r="B46" s="3" t="inlineStr">
        <is>
          <t>adequate</t>
        </is>
      </c>
      <c r="C46" s="3" t="n"/>
    </row>
    <row r="47" ht="15" customHeight="1" s="1">
      <c r="A47" s="3" t="inlineStr">
        <is>
          <t>P1|normative|W2</t>
        </is>
      </c>
      <c r="B47" s="3" t="inlineStr">
        <is>
          <t>adequate</t>
        </is>
      </c>
      <c r="C47" s="3" t="n"/>
    </row>
    <row r="48" ht="15" customHeight="1" s="1">
      <c r="A48" s="3" t="inlineStr">
        <is>
          <t>P1|normative|W3_to_W1W2</t>
        </is>
      </c>
      <c r="B48" s="3" t="inlineStr">
        <is>
          <t>adequate</t>
        </is>
      </c>
      <c r="C48" s="3" t="n"/>
    </row>
    <row r="49" ht="15" customHeight="1" s="1">
      <c r="A49" s="3" t="inlineStr">
        <is>
          <t>P1|normative|W3_to_W3</t>
        </is>
      </c>
      <c r="B49" s="3" t="inlineStr">
        <is>
          <t>partial</t>
        </is>
      </c>
      <c r="C49" s="3" t="n"/>
    </row>
    <row r="50" ht="15" customHeight="1" s="1">
      <c r="A50" s="3" t="inlineStr">
        <is>
          <t>P1|normative|W3_to_W4W8</t>
        </is>
      </c>
      <c r="B50" s="3" t="inlineStr">
        <is>
          <t>partial</t>
        </is>
      </c>
      <c r="C50" s="3" t="n"/>
    </row>
    <row r="51" ht="15" customHeight="1" s="1">
      <c r="A51" s="3" t="inlineStr">
        <is>
          <t>P1|normative|W3_unknown</t>
        </is>
      </c>
      <c r="B51" s="3" t="inlineStr">
        <is>
          <t>partial</t>
        </is>
      </c>
      <c r="C51" s="3" t="n"/>
    </row>
    <row r="52" ht="15" customHeight="1" s="1">
      <c r="A52" s="3" t="inlineStr">
        <is>
          <t>P1|normative|W4</t>
        </is>
      </c>
      <c r="B52" s="3" t="inlineStr">
        <is>
          <t>partial</t>
        </is>
      </c>
      <c r="C52" s="3" t="n"/>
    </row>
    <row r="53" ht="15" customHeight="1" s="1">
      <c r="A53" s="3" t="inlineStr">
        <is>
          <t>P1|normative|W5</t>
        </is>
      </c>
      <c r="B53" s="3" t="inlineStr">
        <is>
          <t>partial</t>
        </is>
      </c>
      <c r="C53" s="3" t="n"/>
    </row>
    <row r="54" ht="15" customHeight="1" s="1">
      <c r="A54" s="3" t="inlineStr">
        <is>
          <t>P1|normative|W6</t>
        </is>
      </c>
      <c r="B54" s="3" t="inlineStr">
        <is>
          <t>partial</t>
        </is>
      </c>
      <c r="C54" s="3" t="n"/>
    </row>
    <row r="55" ht="15" customHeight="1" s="1">
      <c r="A55" s="3" t="inlineStr">
        <is>
          <t>P1|normative|W7</t>
        </is>
      </c>
      <c r="B55" s="3" t="inlineStr">
        <is>
          <t>partial</t>
        </is>
      </c>
      <c r="C55" s="3" t="n"/>
    </row>
    <row r="56" ht="15" customHeight="1" s="1">
      <c r="A56" s="3" t="inlineStr">
        <is>
          <t>P1|normative|W8</t>
        </is>
      </c>
      <c r="B56" s="3" t="inlineStr">
        <is>
          <t>inadequate</t>
        </is>
      </c>
      <c r="C56" s="3" t="n"/>
    </row>
    <row r="57" ht="15" customHeight="1" s="1">
      <c r="A57" s="3" t="inlineStr">
        <is>
          <t>P1|other|W1</t>
        </is>
      </c>
      <c r="B57" s="3" t="inlineStr">
        <is>
          <t>partial</t>
        </is>
      </c>
      <c r="C57" s="3" t="n"/>
    </row>
    <row r="58" ht="15" customHeight="1" s="1">
      <c r="A58" s="3" t="inlineStr">
        <is>
          <t>P1|other|W2</t>
        </is>
      </c>
      <c r="B58" s="3" t="inlineStr">
        <is>
          <t>partial</t>
        </is>
      </c>
      <c r="C58" s="3" t="n"/>
    </row>
    <row r="59" ht="15" customHeight="1" s="1">
      <c r="A59" s="3" t="inlineStr">
        <is>
          <t>P1|other|W3_to_W1W2</t>
        </is>
      </c>
      <c r="B59" s="3" t="inlineStr">
        <is>
          <t>partial</t>
        </is>
      </c>
      <c r="C59" s="3" t="n"/>
    </row>
    <row r="60" ht="15" customHeight="1" s="1">
      <c r="A60" s="3" t="inlineStr">
        <is>
          <t>P1|other|W3_to_W3</t>
        </is>
      </c>
      <c r="B60" s="3" t="inlineStr">
        <is>
          <t>partial</t>
        </is>
      </c>
      <c r="C60" s="3" t="n"/>
    </row>
    <row r="61" ht="15" customHeight="1" s="1">
      <c r="A61" s="3" t="inlineStr">
        <is>
          <t>P1|other|W3_to_W4W8</t>
        </is>
      </c>
      <c r="B61" s="3" t="inlineStr">
        <is>
          <t>partial</t>
        </is>
      </c>
      <c r="C61" s="3" t="n"/>
    </row>
    <row r="62" ht="15" customHeight="1" s="1">
      <c r="A62" s="3" t="inlineStr">
        <is>
          <t>P1|other|W3_unknown</t>
        </is>
      </c>
      <c r="B62" s="3" t="inlineStr">
        <is>
          <t>partial</t>
        </is>
      </c>
      <c r="C62" s="3" t="n"/>
    </row>
    <row r="63" ht="15" customHeight="1" s="1">
      <c r="A63" s="3" t="inlineStr">
        <is>
          <t>P1|other|W4</t>
        </is>
      </c>
      <c r="B63" s="3" t="inlineStr">
        <is>
          <t>partial</t>
        </is>
      </c>
      <c r="C63" s="3" t="n"/>
    </row>
    <row r="64" ht="15" customHeight="1" s="1">
      <c r="A64" s="3" t="inlineStr">
        <is>
          <t>P1|other|W5</t>
        </is>
      </c>
      <c r="B64" s="3" t="inlineStr">
        <is>
          <t>partial</t>
        </is>
      </c>
      <c r="C64" s="3" t="n"/>
    </row>
    <row r="65" ht="15" customHeight="1" s="1">
      <c r="A65" s="3" t="inlineStr">
        <is>
          <t>P1|other|W6</t>
        </is>
      </c>
      <c r="B65" s="3" t="inlineStr">
        <is>
          <t>partial</t>
        </is>
      </c>
      <c r="C65" s="3" t="n"/>
    </row>
    <row r="66" ht="15" customHeight="1" s="1">
      <c r="A66" s="3" t="inlineStr">
        <is>
          <t>P1|other|W7</t>
        </is>
      </c>
      <c r="B66" s="3" t="inlineStr">
        <is>
          <t>partial</t>
        </is>
      </c>
      <c r="C66" s="3" t="n"/>
    </row>
    <row r="67" ht="15" customHeight="1" s="1">
      <c r="A67" s="3" t="inlineStr">
        <is>
          <t>P1|other|W8</t>
        </is>
      </c>
      <c r="B67" s="3" t="inlineStr">
        <is>
          <t>partial</t>
        </is>
      </c>
      <c r="C67" s="3" t="n"/>
    </row>
    <row r="68" ht="15" customHeight="1" s="1">
      <c r="A68" s="3" t="inlineStr">
        <is>
          <t>P2|descriptive|W1</t>
        </is>
      </c>
      <c r="B68" s="3" t="inlineStr">
        <is>
          <t>adequate</t>
        </is>
      </c>
      <c r="C68" s="3" t="n"/>
    </row>
    <row r="69" ht="15" customHeight="1" s="1">
      <c r="A69" s="3" t="inlineStr">
        <is>
          <t>P2|descriptive|W2</t>
        </is>
      </c>
      <c r="B69" s="3" t="inlineStr">
        <is>
          <t>adequate</t>
        </is>
      </c>
      <c r="C69" s="3" t="n"/>
    </row>
    <row r="70" ht="15" customHeight="1" s="1">
      <c r="A70" s="3" t="inlineStr">
        <is>
          <t>P2|descriptive|W3_to_W1W2</t>
        </is>
      </c>
      <c r="B70" s="3" t="inlineStr">
        <is>
          <t>adequate</t>
        </is>
      </c>
      <c r="C70" s="3" t="n"/>
    </row>
    <row r="71" ht="15" customHeight="1" s="1">
      <c r="A71" s="3" t="inlineStr">
        <is>
          <t>P2|descriptive|W3_to_W3</t>
        </is>
      </c>
      <c r="B71" s="3" t="inlineStr">
        <is>
          <t>partial</t>
        </is>
      </c>
      <c r="C71" s="3" t="n"/>
    </row>
    <row r="72" ht="15" customHeight="1" s="1">
      <c r="A72" s="3" t="inlineStr">
        <is>
          <t>P2|descriptive|W3_to_W4W8</t>
        </is>
      </c>
      <c r="B72" s="3" t="inlineStr">
        <is>
          <t>partial</t>
        </is>
      </c>
      <c r="C72" s="3" t="n"/>
    </row>
    <row r="73" ht="15" customHeight="1" s="1">
      <c r="A73" s="3" t="inlineStr">
        <is>
          <t>P2|descriptive|W3_unknown</t>
        </is>
      </c>
      <c r="B73" s="3" t="inlineStr">
        <is>
          <t>partial</t>
        </is>
      </c>
      <c r="C73" s="3" t="n"/>
    </row>
    <row r="74" ht="15" customHeight="1" s="1">
      <c r="A74" s="3" t="inlineStr">
        <is>
          <t>P2|descriptive|W4</t>
        </is>
      </c>
      <c r="B74" s="3" t="inlineStr">
        <is>
          <t>partial</t>
        </is>
      </c>
      <c r="C74" s="3" t="n"/>
    </row>
    <row r="75" ht="15" customHeight="1" s="1">
      <c r="A75" s="3" t="inlineStr">
        <is>
          <t>P2|descriptive|W5</t>
        </is>
      </c>
      <c r="B75" s="3" t="inlineStr">
        <is>
          <t>inadequate</t>
        </is>
      </c>
      <c r="C75" s="3" t="n"/>
    </row>
    <row r="76" ht="15" customHeight="1" s="1">
      <c r="A76" s="3" t="inlineStr">
        <is>
          <t>P2|descriptive|W6</t>
        </is>
      </c>
      <c r="B76" s="3" t="inlineStr">
        <is>
          <t>partial</t>
        </is>
      </c>
      <c r="C76" s="3" t="n"/>
    </row>
    <row r="77" ht="15" customHeight="1" s="1">
      <c r="A77" s="3" t="inlineStr">
        <is>
          <t>P2|descriptive|W7</t>
        </is>
      </c>
      <c r="B77" s="3" t="inlineStr">
        <is>
          <t>partial</t>
        </is>
      </c>
      <c r="C77" s="3" t="n"/>
    </row>
    <row r="78" ht="15" customHeight="1" s="1">
      <c r="A78" s="3" t="inlineStr">
        <is>
          <t>P2|descriptive|W8</t>
        </is>
      </c>
      <c r="B78" s="3" t="inlineStr">
        <is>
          <t>inadequate</t>
        </is>
      </c>
      <c r="C78" s="3" t="n"/>
    </row>
    <row r="79" ht="15" customHeight="1" s="1">
      <c r="A79" s="3" t="inlineStr">
        <is>
          <t>P2|conceptual|W1</t>
        </is>
      </c>
      <c r="B79" s="3" t="inlineStr">
        <is>
          <t>adequate</t>
        </is>
      </c>
      <c r="C79" s="3" t="n"/>
    </row>
    <row r="80" ht="15" customHeight="1" s="1">
      <c r="A80" s="3" t="inlineStr">
        <is>
          <t>P2|conceptual|W2</t>
        </is>
      </c>
      <c r="B80" s="3" t="inlineStr">
        <is>
          <t>adequate</t>
        </is>
      </c>
      <c r="C80" s="3" t="n"/>
    </row>
    <row r="81" ht="15" customHeight="1" s="1">
      <c r="A81" s="3" t="inlineStr">
        <is>
          <t>P2|conceptual|W3_to_W1W2</t>
        </is>
      </c>
      <c r="B81" s="3" t="inlineStr">
        <is>
          <t>adequate</t>
        </is>
      </c>
      <c r="C81" s="3" t="n"/>
    </row>
    <row r="82" ht="15" customHeight="1" s="1">
      <c r="A82" s="3" t="inlineStr">
        <is>
          <t>P2|conceptual|W3_to_W3</t>
        </is>
      </c>
      <c r="B82" s="3" t="inlineStr">
        <is>
          <t>adequate</t>
        </is>
      </c>
      <c r="C82" s="3" t="n"/>
    </row>
    <row r="83" ht="15" customHeight="1" s="1">
      <c r="A83" s="3" t="inlineStr">
        <is>
          <t>P2|conceptual|W3_to_W4W8</t>
        </is>
      </c>
      <c r="B83" s="3" t="inlineStr">
        <is>
          <t>adequate</t>
        </is>
      </c>
      <c r="C83" s="3" t="n"/>
    </row>
    <row r="84" ht="15" customHeight="1" s="1">
      <c r="A84" s="3" t="inlineStr">
        <is>
          <t>P2|conceptual|W3_unknown</t>
        </is>
      </c>
      <c r="B84" s="3" t="inlineStr">
        <is>
          <t>adequate</t>
        </is>
      </c>
      <c r="C84" s="3" t="n"/>
    </row>
    <row r="85" ht="15" customHeight="1" s="1">
      <c r="A85" s="3" t="inlineStr">
        <is>
          <t>P2|conceptual|W4</t>
        </is>
      </c>
      <c r="B85" s="3" t="inlineStr">
        <is>
          <t>adequate</t>
        </is>
      </c>
      <c r="C85" s="3" t="n"/>
    </row>
    <row r="86" ht="15" customHeight="1" s="1">
      <c r="A86" s="3" t="inlineStr">
        <is>
          <t>P2|conceptual|W5</t>
        </is>
      </c>
      <c r="B86" s="3" t="inlineStr">
        <is>
          <t>adequate</t>
        </is>
      </c>
      <c r="C86" s="3" t="n"/>
    </row>
    <row r="87" ht="15" customHeight="1" s="1">
      <c r="A87" s="3" t="inlineStr">
        <is>
          <t>P2|conceptual|W6</t>
        </is>
      </c>
      <c r="B87" s="3" t="inlineStr">
        <is>
          <t>partial</t>
        </is>
      </c>
      <c r="C87" s="3" t="n"/>
    </row>
    <row r="88" ht="15" customHeight="1" s="1">
      <c r="A88" s="3" t="inlineStr">
        <is>
          <t>P2|conceptual|W7</t>
        </is>
      </c>
      <c r="B88" s="3" t="inlineStr">
        <is>
          <t>adequate</t>
        </is>
      </c>
      <c r="C88" s="3" t="n"/>
    </row>
    <row r="89" ht="15" customHeight="1" s="1">
      <c r="A89" s="3" t="inlineStr">
        <is>
          <t>P2|conceptual|W8</t>
        </is>
      </c>
      <c r="B89" s="3" t="inlineStr">
        <is>
          <t>partial</t>
        </is>
      </c>
      <c r="C89" s="3" t="n"/>
    </row>
    <row r="90" ht="15" customHeight="1" s="1">
      <c r="A90" s="3" t="inlineStr">
        <is>
          <t>P2|causal|W1</t>
        </is>
      </c>
      <c r="B90" s="3" t="inlineStr">
        <is>
          <t>adequate</t>
        </is>
      </c>
      <c r="C90" s="3" t="n"/>
    </row>
    <row r="91" ht="15" customHeight="1" s="1">
      <c r="A91" s="3" t="inlineStr">
        <is>
          <t>P2|causal|W2</t>
        </is>
      </c>
      <c r="B91" s="3" t="inlineStr">
        <is>
          <t>adequate</t>
        </is>
      </c>
      <c r="C91" s="3" t="inlineStr">
        <is>
          <t>P2/P3: constitutive causal claim, documented practice suffices</t>
        </is>
      </c>
    </row>
    <row r="92" ht="15" customHeight="1" s="1">
      <c r="A92" s="3" t="inlineStr">
        <is>
          <t>P2|causal|W3_to_W1W2</t>
        </is>
      </c>
      <c r="B92" s="3" t="inlineStr">
        <is>
          <t>adequate</t>
        </is>
      </c>
      <c r="C92" s="3" t="n"/>
    </row>
    <row r="93" ht="15" customHeight="1" s="1">
      <c r="A93" s="3" t="inlineStr">
        <is>
          <t>P2|causal|W3_to_W3</t>
        </is>
      </c>
      <c r="B93" s="3" t="inlineStr">
        <is>
          <t>partial</t>
        </is>
      </c>
      <c r="C93" s="3" t="n"/>
    </row>
    <row r="94" ht="15" customHeight="1" s="1">
      <c r="A94" s="3" t="inlineStr">
        <is>
          <t>P2|causal|W3_to_W4W8</t>
        </is>
      </c>
      <c r="B94" s="3" t="inlineStr">
        <is>
          <t>partial</t>
        </is>
      </c>
      <c r="C94" s="3" t="n"/>
    </row>
    <row r="95" ht="15" customHeight="1" s="1">
      <c r="A95" s="3" t="inlineStr">
        <is>
          <t>P2|causal|W3_unknown</t>
        </is>
      </c>
      <c r="B95" s="3" t="inlineStr">
        <is>
          <t>partial</t>
        </is>
      </c>
      <c r="C95" s="3" t="n"/>
    </row>
    <row r="96" ht="15" customHeight="1" s="1">
      <c r="A96" s="3" t="inlineStr">
        <is>
          <t>P2|causal|W4</t>
        </is>
      </c>
      <c r="B96" s="3" t="inlineStr">
        <is>
          <t>partial</t>
        </is>
      </c>
      <c r="C96" s="3" t="n"/>
    </row>
    <row r="97" ht="15" customHeight="1" s="1">
      <c r="A97" s="3" t="inlineStr">
        <is>
          <t>P2|causal|W5</t>
        </is>
      </c>
      <c r="B97" s="3" t="inlineStr">
        <is>
          <t>partial</t>
        </is>
      </c>
      <c r="C97" s="3" t="n"/>
    </row>
    <row r="98" ht="15" customHeight="1" s="1">
      <c r="A98" s="3" t="inlineStr">
        <is>
          <t>P2|causal|W6</t>
        </is>
      </c>
      <c r="B98" s="3" t="inlineStr">
        <is>
          <t>inadequate</t>
        </is>
      </c>
      <c r="C98" s="3" t="n"/>
    </row>
    <row r="99" ht="15" customHeight="1" s="1">
      <c r="A99" s="3" t="inlineStr">
        <is>
          <t>P2|causal|W7</t>
        </is>
      </c>
      <c r="B99" s="3" t="inlineStr">
        <is>
          <t>partial</t>
        </is>
      </c>
      <c r="C99" s="3" t="inlineStr">
        <is>
          <t>adequate only if all three indicators = 1; else partial (see Claims formula)</t>
        </is>
      </c>
    </row>
    <row r="100" ht="15" customHeight="1" s="1">
      <c r="A100" s="3" t="inlineStr">
        <is>
          <t>P2|causal|W8</t>
        </is>
      </c>
      <c r="B100" s="3" t="inlineStr">
        <is>
          <t>inadequate</t>
        </is>
      </c>
      <c r="C100" s="3" t="n"/>
    </row>
    <row r="101" ht="15" customHeight="1" s="1">
      <c r="A101" s="3" t="inlineStr">
        <is>
          <t>P2|predictive|W1</t>
        </is>
      </c>
      <c r="B101" s="3" t="inlineStr">
        <is>
          <t>adequate</t>
        </is>
      </c>
      <c r="C101" s="3" t="n"/>
    </row>
    <row r="102" ht="15" customHeight="1" s="1">
      <c r="A102" s="3" t="inlineStr">
        <is>
          <t>P2|predictive|W2</t>
        </is>
      </c>
      <c r="B102" s="3" t="inlineStr">
        <is>
          <t>adequate</t>
        </is>
      </c>
      <c r="C102" s="3" t="n"/>
    </row>
    <row r="103" ht="15" customHeight="1" s="1">
      <c r="A103" s="3" t="inlineStr">
        <is>
          <t>P2|predictive|W3_to_W1W2</t>
        </is>
      </c>
      <c r="B103" s="3" t="inlineStr">
        <is>
          <t>adequate</t>
        </is>
      </c>
      <c r="C103" s="3" t="n"/>
    </row>
    <row r="104" ht="15" customHeight="1" s="1">
      <c r="A104" s="3" t="inlineStr">
        <is>
          <t>P2|predictive|W3_to_W3</t>
        </is>
      </c>
      <c r="B104" s="3" t="inlineStr">
        <is>
          <t>partial</t>
        </is>
      </c>
      <c r="C104" s="3" t="n"/>
    </row>
    <row r="105" ht="15" customHeight="1" s="1">
      <c r="A105" s="3" t="inlineStr">
        <is>
          <t>P2|predictive|W3_to_W4W8</t>
        </is>
      </c>
      <c r="B105" s="3" t="inlineStr">
        <is>
          <t>partial</t>
        </is>
      </c>
      <c r="C105" s="3" t="n"/>
    </row>
    <row r="106" ht="15" customHeight="1" s="1">
      <c r="A106" s="3" t="inlineStr">
        <is>
          <t>P2|predictive|W3_unknown</t>
        </is>
      </c>
      <c r="B106" s="3" t="inlineStr">
        <is>
          <t>partial</t>
        </is>
      </c>
      <c r="C106" s="3" t="n"/>
    </row>
    <row r="107" ht="15" customHeight="1" s="1">
      <c r="A107" s="3" t="inlineStr">
        <is>
          <t>P2|predictive|W4</t>
        </is>
      </c>
      <c r="B107" s="3" t="inlineStr">
        <is>
          <t>partial</t>
        </is>
      </c>
      <c r="C107" s="3" t="inlineStr">
        <is>
          <t>baseline; upgraded to adequate by the Claims!Q formula only when w4_developed=1 (analogy developed over at least one full section)</t>
        </is>
      </c>
    </row>
    <row r="108" ht="15" customHeight="1" s="1">
      <c r="A108" s="3" t="inlineStr">
        <is>
          <t>P2|predictive|W5</t>
        </is>
      </c>
      <c r="B108" s="3" t="inlineStr">
        <is>
          <t>partial</t>
        </is>
      </c>
      <c r="C108" s="3" t="n"/>
    </row>
    <row r="109" ht="15" customHeight="1" s="1">
      <c r="A109" s="3" t="inlineStr">
        <is>
          <t>P2|predictive|W6</t>
        </is>
      </c>
      <c r="B109" s="3" t="inlineStr">
        <is>
          <t>partial</t>
        </is>
      </c>
      <c r="C109" s="3" t="n"/>
    </row>
    <row r="110" ht="15" customHeight="1" s="1">
      <c r="A110" s="3" t="inlineStr">
        <is>
          <t>P2|predictive|W7</t>
        </is>
      </c>
      <c r="B110" s="3" t="inlineStr">
        <is>
          <t>adequate</t>
        </is>
      </c>
      <c r="C110" s="3" t="inlineStr">
        <is>
          <t>adequate only if all three indicators = 1; else partial (see Claims formula)</t>
        </is>
      </c>
    </row>
    <row r="111" ht="15" customHeight="1" s="1">
      <c r="A111" s="3" t="inlineStr">
        <is>
          <t>P2|predictive|W8</t>
        </is>
      </c>
      <c r="B111" s="3" t="inlineStr">
        <is>
          <t>inadequate</t>
        </is>
      </c>
      <c r="C111" s="3" t="n"/>
    </row>
    <row r="112" ht="15" customHeight="1" s="1">
      <c r="A112" s="3" t="inlineStr">
        <is>
          <t>P2|normative|W1</t>
        </is>
      </c>
      <c r="B112" s="3" t="inlineStr">
        <is>
          <t>adequate</t>
        </is>
      </c>
      <c r="C112" s="3" t="n"/>
    </row>
    <row r="113" ht="15" customHeight="1" s="1">
      <c r="A113" s="3" t="inlineStr">
        <is>
          <t>P2|normative|W2</t>
        </is>
      </c>
      <c r="B113" s="3" t="inlineStr">
        <is>
          <t>adequate</t>
        </is>
      </c>
      <c r="C113" s="3" t="n"/>
    </row>
    <row r="114" ht="15" customHeight="1" s="1">
      <c r="A114" s="3" t="inlineStr">
        <is>
          <t>P2|normative|W3_to_W1W2</t>
        </is>
      </c>
      <c r="B114" s="3" t="inlineStr">
        <is>
          <t>adequate</t>
        </is>
      </c>
      <c r="C114" s="3" t="n"/>
    </row>
    <row r="115" ht="15" customHeight="1" s="1">
      <c r="A115" s="3" t="inlineStr">
        <is>
          <t>P2|normative|W3_to_W3</t>
        </is>
      </c>
      <c r="B115" s="3" t="inlineStr">
        <is>
          <t>partial</t>
        </is>
      </c>
      <c r="C115" s="3" t="n"/>
    </row>
    <row r="116" ht="15" customHeight="1" s="1">
      <c r="A116" s="3" t="inlineStr">
        <is>
          <t>P2|normative|W3_to_W4W8</t>
        </is>
      </c>
      <c r="B116" s="3" t="inlineStr">
        <is>
          <t>partial</t>
        </is>
      </c>
      <c r="C116" s="3" t="n"/>
    </row>
    <row r="117" ht="15" customHeight="1" s="1">
      <c r="A117" s="3" t="inlineStr">
        <is>
          <t>P2|normative|W3_unknown</t>
        </is>
      </c>
      <c r="B117" s="3" t="inlineStr">
        <is>
          <t>partial</t>
        </is>
      </c>
      <c r="C117" s="3" t="n"/>
    </row>
    <row r="118" ht="15" customHeight="1" s="1">
      <c r="A118" s="3" t="inlineStr">
        <is>
          <t>P2|normative|W4</t>
        </is>
      </c>
      <c r="B118" s="3" t="inlineStr">
        <is>
          <t>partial</t>
        </is>
      </c>
      <c r="C118" s="3" t="n"/>
    </row>
    <row r="119" ht="15" customHeight="1" s="1">
      <c r="A119" s="3" t="inlineStr">
        <is>
          <t>P2|normative|W5</t>
        </is>
      </c>
      <c r="B119" s="3" t="inlineStr">
        <is>
          <t>partial</t>
        </is>
      </c>
      <c r="C119" s="3" t="n"/>
    </row>
    <row r="120" ht="15" customHeight="1" s="1">
      <c r="A120" s="3" t="inlineStr">
        <is>
          <t>P2|normative|W6</t>
        </is>
      </c>
      <c r="B120" s="3" t="inlineStr">
        <is>
          <t>partial</t>
        </is>
      </c>
      <c r="C120" s="3" t="n"/>
    </row>
    <row r="121" ht="15" customHeight="1" s="1">
      <c r="A121" s="3" t="inlineStr">
        <is>
          <t>P2|normative|W7</t>
        </is>
      </c>
      <c r="B121" s="3" t="inlineStr">
        <is>
          <t>partial</t>
        </is>
      </c>
      <c r="C121" s="3" t="n"/>
    </row>
    <row r="122" ht="15" customHeight="1" s="1">
      <c r="A122" s="3" t="inlineStr">
        <is>
          <t>P2|normative|W8</t>
        </is>
      </c>
      <c r="B122" s="3" t="inlineStr">
        <is>
          <t>inadequate</t>
        </is>
      </c>
      <c r="C122" s="3" t="n"/>
    </row>
    <row r="123" ht="15" customHeight="1" s="1">
      <c r="A123" s="3" t="inlineStr">
        <is>
          <t>P2|other|W1</t>
        </is>
      </c>
      <c r="B123" s="3" t="inlineStr">
        <is>
          <t>partial</t>
        </is>
      </c>
      <c r="C123" s="3" t="n"/>
    </row>
    <row r="124" ht="15" customHeight="1" s="1">
      <c r="A124" s="3" t="inlineStr">
        <is>
          <t>P2|other|W2</t>
        </is>
      </c>
      <c r="B124" s="3" t="inlineStr">
        <is>
          <t>partial</t>
        </is>
      </c>
      <c r="C124" s="3" t="n"/>
    </row>
    <row r="125" ht="15" customHeight="1" s="1">
      <c r="A125" s="3" t="inlineStr">
        <is>
          <t>P2|other|W3_to_W1W2</t>
        </is>
      </c>
      <c r="B125" s="3" t="inlineStr">
        <is>
          <t>partial</t>
        </is>
      </c>
      <c r="C125" s="3" t="n"/>
    </row>
    <row r="126" ht="15" customHeight="1" s="1">
      <c r="A126" s="3" t="inlineStr">
        <is>
          <t>P2|other|W3_to_W3</t>
        </is>
      </c>
      <c r="B126" s="3" t="inlineStr">
        <is>
          <t>partial</t>
        </is>
      </c>
      <c r="C126" s="3" t="n"/>
    </row>
    <row r="127" ht="15" customHeight="1" s="1">
      <c r="A127" s="3" t="inlineStr">
        <is>
          <t>P2|other|W3_to_W4W8</t>
        </is>
      </c>
      <c r="B127" s="3" t="inlineStr">
        <is>
          <t>partial</t>
        </is>
      </c>
      <c r="C127" s="3" t="n"/>
    </row>
    <row r="128" ht="15" customHeight="1" s="1">
      <c r="A128" s="3" t="inlineStr">
        <is>
          <t>P2|other|W3_unknown</t>
        </is>
      </c>
      <c r="B128" s="3" t="inlineStr">
        <is>
          <t>partial</t>
        </is>
      </c>
      <c r="C128" s="3" t="n"/>
    </row>
    <row r="129" ht="15" customHeight="1" s="1">
      <c r="A129" s="3" t="inlineStr">
        <is>
          <t>P2|other|W4</t>
        </is>
      </c>
      <c r="B129" s="3" t="inlineStr">
        <is>
          <t>partial</t>
        </is>
      </c>
      <c r="C129" s="3" t="n"/>
    </row>
    <row r="130" ht="15" customHeight="1" s="1">
      <c r="A130" s="3" t="inlineStr">
        <is>
          <t>P2|other|W5</t>
        </is>
      </c>
      <c r="B130" s="3" t="inlineStr">
        <is>
          <t>partial</t>
        </is>
      </c>
      <c r="C130" s="3" t="n"/>
    </row>
    <row r="131" ht="15" customHeight="1" s="1">
      <c r="A131" s="3" t="inlineStr">
        <is>
          <t>P2|other|W6</t>
        </is>
      </c>
      <c r="B131" s="3" t="inlineStr">
        <is>
          <t>partial</t>
        </is>
      </c>
      <c r="C131" s="3" t="n"/>
    </row>
    <row r="132" ht="15" customHeight="1" s="1">
      <c r="A132" s="3" t="inlineStr">
        <is>
          <t>P2|other|W7</t>
        </is>
      </c>
      <c r="B132" s="3" t="inlineStr">
        <is>
          <t>partial</t>
        </is>
      </c>
      <c r="C132" s="3" t="n"/>
    </row>
    <row r="133" ht="15" customHeight="1" s="1">
      <c r="A133" s="3" t="inlineStr">
        <is>
          <t>P2|other|W8</t>
        </is>
      </c>
      <c r="B133" s="3" t="inlineStr">
        <is>
          <t>partial</t>
        </is>
      </c>
      <c r="C133" s="3" t="n"/>
    </row>
    <row r="134" ht="15" customHeight="1" s="1">
      <c r="A134" s="3" t="inlineStr">
        <is>
          <t>P3|descriptive|W1</t>
        </is>
      </c>
      <c r="B134" s="3" t="inlineStr">
        <is>
          <t>adequate</t>
        </is>
      </c>
      <c r="C134" s="3" t="n"/>
    </row>
    <row r="135" ht="15" customHeight="1" s="1">
      <c r="A135" s="3" t="inlineStr">
        <is>
          <t>P3|descriptive|W2</t>
        </is>
      </c>
      <c r="B135" s="3" t="inlineStr">
        <is>
          <t>adequate</t>
        </is>
      </c>
      <c r="C135" s="3" t="n"/>
    </row>
    <row r="136" ht="15" customHeight="1" s="1">
      <c r="A136" s="3" t="inlineStr">
        <is>
          <t>P3|descriptive|W3_to_W1W2</t>
        </is>
      </c>
      <c r="B136" s="3" t="inlineStr">
        <is>
          <t>adequate</t>
        </is>
      </c>
      <c r="C136" s="3" t="n"/>
    </row>
    <row r="137" ht="15" customHeight="1" s="1">
      <c r="A137" s="3" t="inlineStr">
        <is>
          <t>P3|descriptive|W3_to_W3</t>
        </is>
      </c>
      <c r="B137" s="3" t="inlineStr">
        <is>
          <t>partial</t>
        </is>
      </c>
      <c r="C137" s="3" t="n"/>
    </row>
    <row r="138" ht="15" customHeight="1" s="1">
      <c r="A138" s="3" t="inlineStr">
        <is>
          <t>P3|descriptive|W3_to_W4W8</t>
        </is>
      </c>
      <c r="B138" s="3" t="inlineStr">
        <is>
          <t>partial</t>
        </is>
      </c>
      <c r="C138" s="3" t="n"/>
    </row>
    <row r="139" ht="15" customHeight="1" s="1">
      <c r="A139" s="3" t="inlineStr">
        <is>
          <t>P3|descriptive|W3_unknown</t>
        </is>
      </c>
      <c r="B139" s="3" t="inlineStr">
        <is>
          <t>partial</t>
        </is>
      </c>
      <c r="C139" s="3" t="n"/>
    </row>
    <row r="140" ht="15" customHeight="1" s="1">
      <c r="A140" s="3" t="inlineStr">
        <is>
          <t>P3|descriptive|W4</t>
        </is>
      </c>
      <c r="B140" s="3" t="inlineStr">
        <is>
          <t>partial</t>
        </is>
      </c>
      <c r="C140" s="3" t="n"/>
    </row>
    <row r="141" ht="15" customHeight="1" s="1">
      <c r="A141" s="3" t="inlineStr">
        <is>
          <t>P3|descriptive|W5</t>
        </is>
      </c>
      <c r="B141" s="3" t="inlineStr">
        <is>
          <t>inadequate</t>
        </is>
      </c>
      <c r="C141" s="3" t="n"/>
    </row>
    <row r="142" ht="15" customHeight="1" s="1">
      <c r="A142" s="3" t="inlineStr">
        <is>
          <t>P3|descriptive|W6</t>
        </is>
      </c>
      <c r="B142" s="3" t="inlineStr">
        <is>
          <t>partial</t>
        </is>
      </c>
      <c r="C142" s="3" t="n"/>
    </row>
    <row r="143" ht="15" customHeight="1" s="1">
      <c r="A143" s="3" t="inlineStr">
        <is>
          <t>P3|descriptive|W7</t>
        </is>
      </c>
      <c r="B143" s="3" t="inlineStr">
        <is>
          <t>partial</t>
        </is>
      </c>
      <c r="C143" s="3" t="n"/>
    </row>
    <row r="144" ht="15" customHeight="1" s="1">
      <c r="A144" s="3" t="inlineStr">
        <is>
          <t>P3|descriptive|W8</t>
        </is>
      </c>
      <c r="B144" s="3" t="inlineStr">
        <is>
          <t>inadequate</t>
        </is>
      </c>
      <c r="C144" s="3" t="n"/>
    </row>
    <row r="145" ht="15" customHeight="1" s="1">
      <c r="A145" s="3" t="inlineStr">
        <is>
          <t>P3|conceptual|W1</t>
        </is>
      </c>
      <c r="B145" s="3" t="inlineStr">
        <is>
          <t>adequate</t>
        </is>
      </c>
      <c r="C145" s="3" t="n"/>
    </row>
    <row r="146" ht="15" customHeight="1" s="1">
      <c r="A146" s="3" t="inlineStr">
        <is>
          <t>P3|conceptual|W2</t>
        </is>
      </c>
      <c r="B146" s="3" t="inlineStr">
        <is>
          <t>adequate</t>
        </is>
      </c>
      <c r="C146" s="3" t="n"/>
    </row>
    <row r="147" ht="15" customHeight="1" s="1">
      <c r="A147" s="3" t="inlineStr">
        <is>
          <t>P3|conceptual|W3_to_W1W2</t>
        </is>
      </c>
      <c r="B147" s="3" t="inlineStr">
        <is>
          <t>adequate</t>
        </is>
      </c>
      <c r="C147" s="3" t="n"/>
    </row>
    <row r="148" ht="15" customHeight="1" s="1">
      <c r="A148" s="3" t="inlineStr">
        <is>
          <t>P3|conceptual|W3_to_W3</t>
        </is>
      </c>
      <c r="B148" s="3" t="inlineStr">
        <is>
          <t>adequate</t>
        </is>
      </c>
      <c r="C148" s="3" t="n"/>
    </row>
    <row r="149" ht="15" customHeight="1" s="1">
      <c r="A149" s="3" t="inlineStr">
        <is>
          <t>P3|conceptual|W3_to_W4W8</t>
        </is>
      </c>
      <c r="B149" s="3" t="inlineStr">
        <is>
          <t>adequate</t>
        </is>
      </c>
      <c r="C149" s="3" t="n"/>
    </row>
    <row r="150" ht="15" customHeight="1" s="1">
      <c r="A150" s="3" t="inlineStr">
        <is>
          <t>P3|conceptual|W3_unknown</t>
        </is>
      </c>
      <c r="B150" s="3" t="inlineStr">
        <is>
          <t>adequate</t>
        </is>
      </c>
      <c r="C150" s="3" t="n"/>
    </row>
    <row r="151" ht="15" customHeight="1" s="1">
      <c r="A151" s="3" t="inlineStr">
        <is>
          <t>P3|conceptual|W4</t>
        </is>
      </c>
      <c r="B151" s="3" t="inlineStr">
        <is>
          <t>adequate</t>
        </is>
      </c>
      <c r="C151" s="3" t="n"/>
    </row>
    <row r="152" ht="15" customHeight="1" s="1">
      <c r="A152" s="3" t="inlineStr">
        <is>
          <t>P3|conceptual|W5</t>
        </is>
      </c>
      <c r="B152" s="3" t="inlineStr">
        <is>
          <t>adequate</t>
        </is>
      </c>
      <c r="C152" s="3" t="n"/>
    </row>
    <row r="153" ht="15" customHeight="1" s="1">
      <c r="A153" s="3" t="inlineStr">
        <is>
          <t>P3|conceptual|W6</t>
        </is>
      </c>
      <c r="B153" s="3" t="inlineStr">
        <is>
          <t>partial</t>
        </is>
      </c>
      <c r="C153" s="3" t="n"/>
    </row>
    <row r="154" ht="15" customHeight="1" s="1">
      <c r="A154" s="3" t="inlineStr">
        <is>
          <t>P3|conceptual|W7</t>
        </is>
      </c>
      <c r="B154" s="3" t="inlineStr">
        <is>
          <t>adequate</t>
        </is>
      </c>
      <c r="C154" s="3" t="n"/>
    </row>
    <row r="155" ht="15" customHeight="1" s="1">
      <c r="A155" s="3" t="inlineStr">
        <is>
          <t>P3|conceptual|W8</t>
        </is>
      </c>
      <c r="B155" s="3" t="inlineStr">
        <is>
          <t>partial</t>
        </is>
      </c>
      <c r="C155" s="3" t="n"/>
    </row>
    <row r="156" ht="15" customHeight="1" s="1">
      <c r="A156" s="3" t="inlineStr">
        <is>
          <t>P3|causal|W1</t>
        </is>
      </c>
      <c r="B156" s="3" t="inlineStr">
        <is>
          <t>adequate</t>
        </is>
      </c>
      <c r="C156" s="3" t="n"/>
    </row>
    <row r="157" ht="15" customHeight="1" s="1">
      <c r="A157" s="3" t="inlineStr">
        <is>
          <t>P3|causal|W2</t>
        </is>
      </c>
      <c r="B157" s="3" t="inlineStr">
        <is>
          <t>adequate</t>
        </is>
      </c>
      <c r="C157" s="3" t="inlineStr">
        <is>
          <t>P2/P3: constitutive causal claim, documented practice suffices</t>
        </is>
      </c>
    </row>
    <row r="158" ht="15" customHeight="1" s="1">
      <c r="A158" s="3" t="inlineStr">
        <is>
          <t>P3|causal|W3_to_W1W2</t>
        </is>
      </c>
      <c r="B158" s="3" t="inlineStr">
        <is>
          <t>adequate</t>
        </is>
      </c>
      <c r="C158" s="3" t="n"/>
    </row>
    <row r="159" ht="15" customHeight="1" s="1">
      <c r="A159" s="3" t="inlineStr">
        <is>
          <t>P3|causal|W3_to_W3</t>
        </is>
      </c>
      <c r="B159" s="3" t="inlineStr">
        <is>
          <t>partial</t>
        </is>
      </c>
      <c r="C159" s="3" t="n"/>
    </row>
    <row r="160" ht="15" customHeight="1" s="1">
      <c r="A160" s="3" t="inlineStr">
        <is>
          <t>P3|causal|W3_to_W4W8</t>
        </is>
      </c>
      <c r="B160" s="3" t="inlineStr">
        <is>
          <t>partial</t>
        </is>
      </c>
      <c r="C160" s="3" t="n"/>
    </row>
    <row r="161" ht="15" customHeight="1" s="1">
      <c r="A161" s="3" t="inlineStr">
        <is>
          <t>P3|causal|W3_unknown</t>
        </is>
      </c>
      <c r="B161" s="3" t="inlineStr">
        <is>
          <t>partial</t>
        </is>
      </c>
      <c r="C161" s="3" t="n"/>
    </row>
    <row r="162" ht="15" customHeight="1" s="1">
      <c r="A162" s="3" t="inlineStr">
        <is>
          <t>P3|causal|W4</t>
        </is>
      </c>
      <c r="B162" s="3" t="inlineStr">
        <is>
          <t>partial</t>
        </is>
      </c>
      <c r="C162" s="3" t="n"/>
    </row>
    <row r="163" ht="15" customHeight="1" s="1">
      <c r="A163" s="3" t="inlineStr">
        <is>
          <t>P3|causal|W5</t>
        </is>
      </c>
      <c r="B163" s="3" t="inlineStr">
        <is>
          <t>partial</t>
        </is>
      </c>
      <c r="C163" s="3" t="n"/>
    </row>
    <row r="164" ht="15" customHeight="1" s="1">
      <c r="A164" s="3" t="inlineStr">
        <is>
          <t>P3|causal|W6</t>
        </is>
      </c>
      <c r="B164" s="3" t="inlineStr">
        <is>
          <t>inadequate</t>
        </is>
      </c>
      <c r="C164" s="3" t="n"/>
    </row>
    <row r="165" ht="15" customHeight="1" s="1">
      <c r="A165" s="3" t="inlineStr">
        <is>
          <t>P3|causal|W7</t>
        </is>
      </c>
      <c r="B165" s="3" t="inlineStr">
        <is>
          <t>partial</t>
        </is>
      </c>
      <c r="C165" s="3" t="inlineStr">
        <is>
          <t>adequate only if all three indicators = 1; else partial (see Claims formula)</t>
        </is>
      </c>
    </row>
    <row r="166" ht="15" customHeight="1" s="1">
      <c r="A166" s="3" t="inlineStr">
        <is>
          <t>P3|causal|W8</t>
        </is>
      </c>
      <c r="B166" s="3" t="inlineStr">
        <is>
          <t>inadequate</t>
        </is>
      </c>
      <c r="C166" s="3" t="n"/>
    </row>
    <row r="167" ht="15" customHeight="1" s="1">
      <c r="A167" s="3" t="inlineStr">
        <is>
          <t>P3|predictive|W1</t>
        </is>
      </c>
      <c r="B167" s="3" t="inlineStr">
        <is>
          <t>adequate</t>
        </is>
      </c>
      <c r="C167" s="3" t="n"/>
    </row>
    <row r="168" ht="15" customHeight="1" s="1">
      <c r="A168" s="3" t="inlineStr">
        <is>
          <t>P3|predictive|W2</t>
        </is>
      </c>
      <c r="B168" s="3" t="inlineStr">
        <is>
          <t>adequate</t>
        </is>
      </c>
      <c r="C168" s="3" t="n"/>
    </row>
    <row r="169" ht="15" customHeight="1" s="1">
      <c r="A169" s="3" t="inlineStr">
        <is>
          <t>P3|predictive|W3_to_W1W2</t>
        </is>
      </c>
      <c r="B169" s="3" t="inlineStr">
        <is>
          <t>adequate</t>
        </is>
      </c>
      <c r="C169" s="3" t="n"/>
    </row>
    <row r="170" ht="15" customHeight="1" s="1">
      <c r="A170" s="3" t="inlineStr">
        <is>
          <t>P3|predictive|W3_to_W3</t>
        </is>
      </c>
      <c r="B170" s="3" t="inlineStr">
        <is>
          <t>partial</t>
        </is>
      </c>
      <c r="C170" s="3" t="n"/>
    </row>
    <row r="171" ht="15" customHeight="1" s="1">
      <c r="A171" s="3" t="inlineStr">
        <is>
          <t>P3|predictive|W3_to_W4W8</t>
        </is>
      </c>
      <c r="B171" s="3" t="inlineStr">
        <is>
          <t>partial</t>
        </is>
      </c>
      <c r="C171" s="3" t="n"/>
    </row>
    <row r="172" ht="15" customHeight="1" s="1">
      <c r="A172" s="3" t="inlineStr">
        <is>
          <t>P3|predictive|W3_unknown</t>
        </is>
      </c>
      <c r="B172" s="3" t="inlineStr">
        <is>
          <t>partial</t>
        </is>
      </c>
      <c r="C172" s="3" t="n"/>
    </row>
    <row r="173" ht="15" customHeight="1" s="1">
      <c r="A173" s="3" t="inlineStr">
        <is>
          <t>P3|predictive|W4</t>
        </is>
      </c>
      <c r="B173" s="3" t="inlineStr">
        <is>
          <t>partial</t>
        </is>
      </c>
      <c r="C173" s="3" t="inlineStr">
        <is>
          <t>baseline; upgraded to adequate by the Claims!Q formula only when w4_developed=1 (analogy developed over at least one full section)</t>
        </is>
      </c>
    </row>
    <row r="174" ht="15" customHeight="1" s="1">
      <c r="A174" s="3" t="inlineStr">
        <is>
          <t>P3|predictive|W5</t>
        </is>
      </c>
      <c r="B174" s="3" t="inlineStr">
        <is>
          <t>partial</t>
        </is>
      </c>
      <c r="C174" s="3" t="n"/>
    </row>
    <row r="175" ht="15" customHeight="1" s="1">
      <c r="A175" s="3" t="inlineStr">
        <is>
          <t>P3|predictive|W6</t>
        </is>
      </c>
      <c r="B175" s="3" t="inlineStr">
        <is>
          <t>partial</t>
        </is>
      </c>
      <c r="C175" s="3" t="n"/>
    </row>
    <row r="176" ht="15" customHeight="1" s="1">
      <c r="A176" s="3" t="inlineStr">
        <is>
          <t>P3|predictive|W7</t>
        </is>
      </c>
      <c r="B176" s="3" t="inlineStr">
        <is>
          <t>adequate</t>
        </is>
      </c>
      <c r="C176" s="3" t="inlineStr">
        <is>
          <t>adequate only if all three indicators = 1; else partial (see Claims formula)</t>
        </is>
      </c>
    </row>
    <row r="177" ht="15" customHeight="1" s="1">
      <c r="A177" s="3" t="inlineStr">
        <is>
          <t>P3|predictive|W8</t>
        </is>
      </c>
      <c r="B177" s="3" t="inlineStr">
        <is>
          <t>inadequate</t>
        </is>
      </c>
      <c r="C177" s="3" t="n"/>
    </row>
    <row r="178" ht="15" customHeight="1" s="1">
      <c r="A178" s="3" t="inlineStr">
        <is>
          <t>P3|normative|W1</t>
        </is>
      </c>
      <c r="B178" s="3" t="inlineStr">
        <is>
          <t>adequate</t>
        </is>
      </c>
      <c r="C178" s="3" t="n"/>
    </row>
    <row r="179" ht="15" customHeight="1" s="1">
      <c r="A179" s="3" t="inlineStr">
        <is>
          <t>P3|normative|W2</t>
        </is>
      </c>
      <c r="B179" s="3" t="inlineStr">
        <is>
          <t>adequate</t>
        </is>
      </c>
      <c r="C179" s="3" t="n"/>
    </row>
    <row r="180" ht="15" customHeight="1" s="1">
      <c r="A180" s="3" t="inlineStr">
        <is>
          <t>P3|normative|W3_to_W1W2</t>
        </is>
      </c>
      <c r="B180" s="3" t="inlineStr">
        <is>
          <t>adequate</t>
        </is>
      </c>
      <c r="C180" s="3" t="n"/>
    </row>
    <row r="181" ht="15" customHeight="1" s="1">
      <c r="A181" s="3" t="inlineStr">
        <is>
          <t>P3|normative|W3_to_W3</t>
        </is>
      </c>
      <c r="B181" s="3" t="inlineStr">
        <is>
          <t>partial</t>
        </is>
      </c>
      <c r="C181" s="3" t="n"/>
    </row>
    <row r="182" ht="15" customHeight="1" s="1">
      <c r="A182" s="3" t="inlineStr">
        <is>
          <t>P3|normative|W3_to_W4W8</t>
        </is>
      </c>
      <c r="B182" s="3" t="inlineStr">
        <is>
          <t>partial</t>
        </is>
      </c>
      <c r="C182" s="3" t="n"/>
    </row>
    <row r="183" ht="15" customHeight="1" s="1">
      <c r="A183" s="3" t="inlineStr">
        <is>
          <t>P3|normative|W3_unknown</t>
        </is>
      </c>
      <c r="B183" s="3" t="inlineStr">
        <is>
          <t>partial</t>
        </is>
      </c>
      <c r="C183" s="3" t="n"/>
    </row>
    <row r="184" ht="15" customHeight="1" s="1">
      <c r="A184" s="3" t="inlineStr">
        <is>
          <t>P3|normative|W4</t>
        </is>
      </c>
      <c r="B184" s="3" t="inlineStr">
        <is>
          <t>partial</t>
        </is>
      </c>
      <c r="C184" s="3" t="n"/>
    </row>
    <row r="185" ht="15" customHeight="1" s="1">
      <c r="A185" s="3" t="inlineStr">
        <is>
          <t>P3|normative|W5</t>
        </is>
      </c>
      <c r="B185" s="3" t="inlineStr">
        <is>
          <t>partial</t>
        </is>
      </c>
      <c r="C185" s="3" t="n"/>
    </row>
    <row r="186" ht="15" customHeight="1" s="1">
      <c r="A186" s="3" t="inlineStr">
        <is>
          <t>P3|normative|W6</t>
        </is>
      </c>
      <c r="B186" s="3" t="inlineStr">
        <is>
          <t>partial</t>
        </is>
      </c>
      <c r="C186" s="3" t="n"/>
    </row>
    <row r="187" ht="15" customHeight="1" s="1">
      <c r="A187" s="3" t="inlineStr">
        <is>
          <t>P3|normative|W7</t>
        </is>
      </c>
      <c r="B187" s="3" t="inlineStr">
        <is>
          <t>partial</t>
        </is>
      </c>
      <c r="C187" s="3" t="n"/>
    </row>
    <row r="188" ht="15" customHeight="1" s="1">
      <c r="A188" s="3" t="inlineStr">
        <is>
          <t>P3|normative|W8</t>
        </is>
      </c>
      <c r="B188" s="3" t="inlineStr">
        <is>
          <t>inadequate</t>
        </is>
      </c>
      <c r="C188" s="3" t="n"/>
    </row>
    <row r="189" ht="15" customHeight="1" s="1">
      <c r="A189" s="3" t="inlineStr">
        <is>
          <t>P3|other|W1</t>
        </is>
      </c>
      <c r="B189" s="3" t="inlineStr">
        <is>
          <t>partial</t>
        </is>
      </c>
      <c r="C189" s="3" t="n"/>
    </row>
    <row r="190" ht="15" customHeight="1" s="1">
      <c r="A190" s="3" t="inlineStr">
        <is>
          <t>P3|other|W2</t>
        </is>
      </c>
      <c r="B190" s="3" t="inlineStr">
        <is>
          <t>partial</t>
        </is>
      </c>
      <c r="C190" s="3" t="n"/>
    </row>
    <row r="191" ht="15" customHeight="1" s="1">
      <c r="A191" s="3" t="inlineStr">
        <is>
          <t>P3|other|W3_to_W1W2</t>
        </is>
      </c>
      <c r="B191" s="3" t="inlineStr">
        <is>
          <t>partial</t>
        </is>
      </c>
      <c r="C191" s="3" t="n"/>
    </row>
    <row r="192" ht="15" customHeight="1" s="1">
      <c r="A192" s="3" t="inlineStr">
        <is>
          <t>P3|other|W3_to_W3</t>
        </is>
      </c>
      <c r="B192" s="3" t="inlineStr">
        <is>
          <t>partial</t>
        </is>
      </c>
      <c r="C192" s="3" t="n"/>
    </row>
    <row r="193" ht="15" customHeight="1" s="1">
      <c r="A193" s="3" t="inlineStr">
        <is>
          <t>P3|other|W3_to_W4W8</t>
        </is>
      </c>
      <c r="B193" s="3" t="inlineStr">
        <is>
          <t>partial</t>
        </is>
      </c>
      <c r="C193" s="3" t="n"/>
    </row>
    <row r="194" ht="15" customHeight="1" s="1">
      <c r="A194" s="3" t="inlineStr">
        <is>
          <t>P3|other|W3_unknown</t>
        </is>
      </c>
      <c r="B194" s="3" t="inlineStr">
        <is>
          <t>partial</t>
        </is>
      </c>
      <c r="C194" s="3" t="n"/>
    </row>
    <row r="195" ht="15" customHeight="1" s="1">
      <c r="A195" s="3" t="inlineStr">
        <is>
          <t>P3|other|W4</t>
        </is>
      </c>
      <c r="B195" s="3" t="inlineStr">
        <is>
          <t>partial</t>
        </is>
      </c>
      <c r="C195" s="3" t="n"/>
    </row>
    <row r="196" ht="15" customHeight="1" s="1">
      <c r="A196" s="3" t="inlineStr">
        <is>
          <t>P3|other|W5</t>
        </is>
      </c>
      <c r="B196" s="3" t="inlineStr">
        <is>
          <t>partial</t>
        </is>
      </c>
      <c r="C196" s="3" t="n"/>
    </row>
    <row r="197" ht="15" customHeight="1" s="1">
      <c r="A197" s="3" t="inlineStr">
        <is>
          <t>P3|other|W6</t>
        </is>
      </c>
      <c r="B197" s="3" t="inlineStr">
        <is>
          <t>partial</t>
        </is>
      </c>
      <c r="C197" s="3" t="n"/>
    </row>
    <row r="198" ht="15" customHeight="1" s="1">
      <c r="A198" s="3" t="inlineStr">
        <is>
          <t>P3|other|W7</t>
        </is>
      </c>
      <c r="B198" s="3" t="inlineStr">
        <is>
          <t>partial</t>
        </is>
      </c>
      <c r="C198" s="3" t="n"/>
    </row>
    <row r="199" ht="15" customHeight="1" s="1">
      <c r="A199" s="3" t="inlineStr">
        <is>
          <t>P3|other|W8</t>
        </is>
      </c>
      <c r="B199" s="3" t="inlineStr">
        <is>
          <t>partial</t>
        </is>
      </c>
      <c r="C199" s="3" t="n"/>
    </row>
    <row r="200" ht="15" customHeight="1" s="1">
      <c r="A200" s="3" t="inlineStr">
        <is>
          <t>P4|descriptive|W1</t>
        </is>
      </c>
      <c r="B200" s="3" t="inlineStr">
        <is>
          <t>adequate</t>
        </is>
      </c>
      <c r="C200" s="3" t="n"/>
    </row>
    <row r="201" ht="15" customHeight="1" s="1">
      <c r="A201" s="3" t="inlineStr">
        <is>
          <t>P4|descriptive|W2</t>
        </is>
      </c>
      <c r="B201" s="3" t="inlineStr">
        <is>
          <t>adequate</t>
        </is>
      </c>
      <c r="C201" s="3" t="n"/>
    </row>
    <row r="202" ht="15" customHeight="1" s="1">
      <c r="A202" s="3" t="inlineStr">
        <is>
          <t>P4|descriptive|W3_to_W1W2</t>
        </is>
      </c>
      <c r="B202" s="3" t="inlineStr">
        <is>
          <t>adequate</t>
        </is>
      </c>
      <c r="C202" s="3" t="n"/>
    </row>
    <row r="203" ht="15" customHeight="1" s="1">
      <c r="A203" s="3" t="inlineStr">
        <is>
          <t>P4|descriptive|W3_to_W3</t>
        </is>
      </c>
      <c r="B203" s="3" t="inlineStr">
        <is>
          <t>partial</t>
        </is>
      </c>
      <c r="C203" s="3" t="n"/>
    </row>
    <row r="204" ht="15" customHeight="1" s="1">
      <c r="A204" s="3" t="inlineStr">
        <is>
          <t>P4|descriptive|W3_to_W4W8</t>
        </is>
      </c>
      <c r="B204" s="3" t="inlineStr">
        <is>
          <t>partial</t>
        </is>
      </c>
      <c r="C204" s="3" t="n"/>
    </row>
    <row r="205" ht="15" customHeight="1" s="1">
      <c r="A205" s="3" t="inlineStr">
        <is>
          <t>P4|descriptive|W3_unknown</t>
        </is>
      </c>
      <c r="B205" s="3" t="inlineStr">
        <is>
          <t>partial</t>
        </is>
      </c>
      <c r="C205" s="3" t="n"/>
    </row>
    <row r="206" ht="15" customHeight="1" s="1">
      <c r="A206" s="3" t="inlineStr">
        <is>
          <t>P4|descriptive|W4</t>
        </is>
      </c>
      <c r="B206" s="3" t="inlineStr">
        <is>
          <t>partial</t>
        </is>
      </c>
      <c r="C206" s="3" t="n"/>
    </row>
    <row r="207" ht="15" customHeight="1" s="1">
      <c r="A207" s="3" t="inlineStr">
        <is>
          <t>P4|descriptive|W5</t>
        </is>
      </c>
      <c r="B207" s="3" t="inlineStr">
        <is>
          <t>inadequate</t>
        </is>
      </c>
      <c r="C207" s="3" t="n"/>
    </row>
    <row r="208" ht="15" customHeight="1" s="1">
      <c r="A208" s="3" t="inlineStr">
        <is>
          <t>P4|descriptive|W6</t>
        </is>
      </c>
      <c r="B208" s="3" t="inlineStr">
        <is>
          <t>partial</t>
        </is>
      </c>
      <c r="C208" s="3" t="n"/>
    </row>
    <row r="209" ht="15" customHeight="1" s="1">
      <c r="A209" s="3" t="inlineStr">
        <is>
          <t>P4|descriptive|W7</t>
        </is>
      </c>
      <c r="B209" s="3" t="inlineStr">
        <is>
          <t>partial</t>
        </is>
      </c>
      <c r="C209" s="3" t="n"/>
    </row>
    <row r="210" ht="15" customHeight="1" s="1">
      <c r="A210" s="3" t="inlineStr">
        <is>
          <t>P4|descriptive|W8</t>
        </is>
      </c>
      <c r="B210" s="3" t="inlineStr">
        <is>
          <t>inadequate</t>
        </is>
      </c>
      <c r="C210" s="3" t="n"/>
    </row>
    <row r="211" ht="15" customHeight="1" s="1">
      <c r="A211" s="3" t="inlineStr">
        <is>
          <t>P4|conceptual|W1</t>
        </is>
      </c>
      <c r="B211" s="3" t="inlineStr">
        <is>
          <t>adequate</t>
        </is>
      </c>
      <c r="C211" s="3" t="n"/>
    </row>
    <row r="212" ht="15" customHeight="1" s="1">
      <c r="A212" s="3" t="inlineStr">
        <is>
          <t>P4|conceptual|W2</t>
        </is>
      </c>
      <c r="B212" s="3" t="inlineStr">
        <is>
          <t>adequate</t>
        </is>
      </c>
      <c r="C212" s="3" t="n"/>
    </row>
    <row r="213" ht="15" customHeight="1" s="1">
      <c r="A213" s="3" t="inlineStr">
        <is>
          <t>P4|conceptual|W3_to_W1W2</t>
        </is>
      </c>
      <c r="B213" s="3" t="inlineStr">
        <is>
          <t>adequate</t>
        </is>
      </c>
      <c r="C213" s="3" t="n"/>
    </row>
    <row r="214" ht="15" customHeight="1" s="1">
      <c r="A214" s="3" t="inlineStr">
        <is>
          <t>P4|conceptual|W3_to_W3</t>
        </is>
      </c>
      <c r="B214" s="3" t="inlineStr">
        <is>
          <t>adequate</t>
        </is>
      </c>
      <c r="C214" s="3" t="n"/>
    </row>
    <row r="215" ht="15" customHeight="1" s="1">
      <c r="A215" s="3" t="inlineStr">
        <is>
          <t>P4|conceptual|W3_to_W4W8</t>
        </is>
      </c>
      <c r="B215" s="3" t="inlineStr">
        <is>
          <t>adequate</t>
        </is>
      </c>
      <c r="C215" s="3" t="n"/>
    </row>
    <row r="216" ht="15" customHeight="1" s="1">
      <c r="A216" s="3" t="inlineStr">
        <is>
          <t>P4|conceptual|W3_unknown</t>
        </is>
      </c>
      <c r="B216" s="3" t="inlineStr">
        <is>
          <t>adequate</t>
        </is>
      </c>
      <c r="C216" s="3" t="n"/>
    </row>
    <row r="217" ht="15" customHeight="1" s="1">
      <c r="A217" s="3" t="inlineStr">
        <is>
          <t>P4|conceptual|W4</t>
        </is>
      </c>
      <c r="B217" s="3" t="inlineStr">
        <is>
          <t>adequate</t>
        </is>
      </c>
      <c r="C217" s="3" t="n"/>
    </row>
    <row r="218" ht="15" customHeight="1" s="1">
      <c r="A218" s="3" t="inlineStr">
        <is>
          <t>P4|conceptual|W5</t>
        </is>
      </c>
      <c r="B218" s="3" t="inlineStr">
        <is>
          <t>adequate</t>
        </is>
      </c>
      <c r="C218" s="3" t="n"/>
    </row>
    <row r="219" ht="15" customHeight="1" s="1">
      <c r="A219" s="3" t="inlineStr">
        <is>
          <t>P4|conceptual|W6</t>
        </is>
      </c>
      <c r="B219" s="3" t="inlineStr">
        <is>
          <t>partial</t>
        </is>
      </c>
      <c r="C219" s="3" t="n"/>
    </row>
    <row r="220" ht="15" customHeight="1" s="1">
      <c r="A220" s="3" t="inlineStr">
        <is>
          <t>P4|conceptual|W7</t>
        </is>
      </c>
      <c r="B220" s="3" t="inlineStr">
        <is>
          <t>adequate</t>
        </is>
      </c>
      <c r="C220" s="3" t="n"/>
    </row>
    <row r="221" ht="15" customHeight="1" s="1">
      <c r="A221" s="3" t="inlineStr">
        <is>
          <t>P4|conceptual|W8</t>
        </is>
      </c>
      <c r="B221" s="3" t="inlineStr">
        <is>
          <t>partial</t>
        </is>
      </c>
      <c r="C221" s="3" t="n"/>
    </row>
    <row r="222" ht="15" customHeight="1" s="1">
      <c r="A222" s="3" t="inlineStr">
        <is>
          <t>P4|causal|W1</t>
        </is>
      </c>
      <c r="B222" s="3" t="inlineStr">
        <is>
          <t>adequate</t>
        </is>
      </c>
      <c r="C222" s="3" t="inlineStr">
        <is>
          <t>P4 causal: coded but flagged</t>
        </is>
      </c>
    </row>
    <row r="223" ht="15" customHeight="1" s="1">
      <c r="A223" s="3" t="inlineStr">
        <is>
          <t>P4|causal|W2</t>
        </is>
      </c>
      <c r="B223" s="3" t="inlineStr">
        <is>
          <t>adequate</t>
        </is>
      </c>
      <c r="C223" s="3" t="inlineStr">
        <is>
          <t>P4 causal: coded but flagged</t>
        </is>
      </c>
    </row>
    <row r="224" ht="15" customHeight="1" s="1">
      <c r="A224" s="3" t="inlineStr">
        <is>
          <t>P4|causal|W3_to_W1W2</t>
        </is>
      </c>
      <c r="B224" s="3" t="inlineStr">
        <is>
          <t>adequate</t>
        </is>
      </c>
      <c r="C224" s="3" t="inlineStr">
        <is>
          <t>P4 causal: coded but flagged</t>
        </is>
      </c>
    </row>
    <row r="225" ht="15" customHeight="1" s="1">
      <c r="A225" s="3" t="inlineStr">
        <is>
          <t>P4|causal|W3_to_W3</t>
        </is>
      </c>
      <c r="B225" s="3" t="inlineStr">
        <is>
          <t>partial</t>
        </is>
      </c>
      <c r="C225" s="3" t="inlineStr">
        <is>
          <t>P4 causal: coded but flagged</t>
        </is>
      </c>
    </row>
    <row r="226" ht="15" customHeight="1" s="1">
      <c r="A226" s="3" t="inlineStr">
        <is>
          <t>P4|causal|W3_to_W4W8</t>
        </is>
      </c>
      <c r="B226" s="3" t="inlineStr">
        <is>
          <t>partial</t>
        </is>
      </c>
      <c r="C226" s="3" t="inlineStr">
        <is>
          <t>P4 causal: coded but flagged</t>
        </is>
      </c>
    </row>
    <row r="227" ht="15" customHeight="1" s="1">
      <c r="A227" s="3" t="inlineStr">
        <is>
          <t>P4|causal|W3_unknown</t>
        </is>
      </c>
      <c r="B227" s="3" t="inlineStr">
        <is>
          <t>partial</t>
        </is>
      </c>
      <c r="C227" s="3" t="inlineStr">
        <is>
          <t>P4 causal: coded but flagged</t>
        </is>
      </c>
    </row>
    <row r="228" ht="15" customHeight="1" s="1">
      <c r="A228" s="3" t="inlineStr">
        <is>
          <t>P4|causal|W4</t>
        </is>
      </c>
      <c r="B228" s="3" t="inlineStr">
        <is>
          <t>partial</t>
        </is>
      </c>
      <c r="C228" s="3" t="inlineStr">
        <is>
          <t>P4 causal: coded but flagged</t>
        </is>
      </c>
    </row>
    <row r="229" ht="15" customHeight="1" s="1">
      <c r="A229" s="3" t="inlineStr">
        <is>
          <t>P4|causal|W5</t>
        </is>
      </c>
      <c r="B229" s="3" t="inlineStr">
        <is>
          <t>partial</t>
        </is>
      </c>
      <c r="C229" s="3" t="inlineStr">
        <is>
          <t>P4 causal: coded but flagged</t>
        </is>
      </c>
    </row>
    <row r="230" ht="15" customHeight="1" s="1">
      <c r="A230" s="3" t="inlineStr">
        <is>
          <t>P4|causal|W6</t>
        </is>
      </c>
      <c r="B230" s="3" t="inlineStr">
        <is>
          <t>inadequate</t>
        </is>
      </c>
      <c r="C230" s="3" t="inlineStr">
        <is>
          <t>P4 causal: coded but flagged</t>
        </is>
      </c>
    </row>
    <row r="231" ht="15" customHeight="1" s="1">
      <c r="A231" s="3" t="inlineStr">
        <is>
          <t>P4|causal|W7</t>
        </is>
      </c>
      <c r="B231" s="3" t="inlineStr">
        <is>
          <t>partial</t>
        </is>
      </c>
      <c r="C231" s="3" t="inlineStr">
        <is>
          <t>adequate only if all three indicators = 1; else partial (see Claims formula) P4 causal: coded but flagged</t>
        </is>
      </c>
    </row>
    <row r="232" ht="15" customHeight="1" s="1">
      <c r="A232" s="3" t="inlineStr">
        <is>
          <t>P4|causal|W8</t>
        </is>
      </c>
      <c r="B232" s="3" t="inlineStr">
        <is>
          <t>inadequate</t>
        </is>
      </c>
      <c r="C232" s="3" t="inlineStr">
        <is>
          <t>P4 causal: coded but flagged</t>
        </is>
      </c>
    </row>
    <row r="233" ht="15" customHeight="1" s="1">
      <c r="A233" s="3" t="inlineStr">
        <is>
          <t>P4|predictive|W1</t>
        </is>
      </c>
      <c r="B233" s="3" t="inlineStr">
        <is>
          <t>adequate</t>
        </is>
      </c>
      <c r="C233" s="3" t="n"/>
    </row>
    <row r="234" ht="15" customHeight="1" s="1">
      <c r="A234" s="3" t="inlineStr">
        <is>
          <t>P4|predictive|W2</t>
        </is>
      </c>
      <c r="B234" s="3" t="inlineStr">
        <is>
          <t>adequate</t>
        </is>
      </c>
      <c r="C234" s="3" t="n"/>
    </row>
    <row r="235" ht="15" customHeight="1" s="1">
      <c r="A235" s="3" t="inlineStr">
        <is>
          <t>P4|predictive|W3_to_W1W2</t>
        </is>
      </c>
      <c r="B235" s="3" t="inlineStr">
        <is>
          <t>adequate</t>
        </is>
      </c>
      <c r="C235" s="3" t="n"/>
    </row>
    <row r="236" ht="15" customHeight="1" s="1">
      <c r="A236" s="3" t="inlineStr">
        <is>
          <t>P4|predictive|W3_to_W3</t>
        </is>
      </c>
      <c r="B236" s="3" t="inlineStr">
        <is>
          <t>partial</t>
        </is>
      </c>
      <c r="C236" s="3" t="n"/>
    </row>
    <row r="237" ht="15" customHeight="1" s="1">
      <c r="A237" s="3" t="inlineStr">
        <is>
          <t>P4|predictive|W3_to_W4W8</t>
        </is>
      </c>
      <c r="B237" s="3" t="inlineStr">
        <is>
          <t>partial</t>
        </is>
      </c>
      <c r="C237" s="3" t="n"/>
    </row>
    <row r="238" ht="15" customHeight="1" s="1">
      <c r="A238" s="3" t="inlineStr">
        <is>
          <t>P4|predictive|W3_unknown</t>
        </is>
      </c>
      <c r="B238" s="3" t="inlineStr">
        <is>
          <t>partial</t>
        </is>
      </c>
      <c r="C238" s="3" t="n"/>
    </row>
    <row r="239" ht="15" customHeight="1" s="1">
      <c r="A239" s="3" t="inlineStr">
        <is>
          <t>P4|predictive|W4</t>
        </is>
      </c>
      <c r="B239" s="3" t="inlineStr">
        <is>
          <t>partial</t>
        </is>
      </c>
      <c r="C239" s="3" t="inlineStr">
        <is>
          <t>baseline; upgraded to adequate by the Claims!Q formula only when w4_developed=1 (analogy developed over at least one full section)</t>
        </is>
      </c>
    </row>
    <row r="240" ht="15" customHeight="1" s="1">
      <c r="A240" s="3" t="inlineStr">
        <is>
          <t>P4|predictive|W5</t>
        </is>
      </c>
      <c r="B240" s="3" t="inlineStr">
        <is>
          <t>partial</t>
        </is>
      </c>
      <c r="C240" s="3" t="n"/>
    </row>
    <row r="241" ht="15" customHeight="1" s="1">
      <c r="A241" s="3" t="inlineStr">
        <is>
          <t>P4|predictive|W6</t>
        </is>
      </c>
      <c r="B241" s="3" t="inlineStr">
        <is>
          <t>partial</t>
        </is>
      </c>
      <c r="C241" s="3" t="n"/>
    </row>
    <row r="242" ht="15" customHeight="1" s="1">
      <c r="A242" s="3" t="inlineStr">
        <is>
          <t>P4|predictive|W7</t>
        </is>
      </c>
      <c r="B242" s="3" t="inlineStr">
        <is>
          <t>adequate</t>
        </is>
      </c>
      <c r="C242" s="3" t="inlineStr">
        <is>
          <t>adequate only if all three indicators = 1; else partial (see Claims formula)</t>
        </is>
      </c>
    </row>
    <row r="243" ht="15" customHeight="1" s="1">
      <c r="A243" s="3" t="inlineStr">
        <is>
          <t>P4|predictive|W8</t>
        </is>
      </c>
      <c r="B243" s="3" t="inlineStr">
        <is>
          <t>inadequate</t>
        </is>
      </c>
      <c r="C243" s="3" t="n"/>
    </row>
    <row r="244" ht="15" customHeight="1" s="1">
      <c r="A244" s="3" t="inlineStr">
        <is>
          <t>P4|normative|W1</t>
        </is>
      </c>
      <c r="B244" s="3" t="inlineStr">
        <is>
          <t>adequate</t>
        </is>
      </c>
      <c r="C244" s="3" t="n"/>
    </row>
    <row r="245" ht="15" customHeight="1" s="1">
      <c r="A245" s="3" t="inlineStr">
        <is>
          <t>P4|normative|W2</t>
        </is>
      </c>
      <c r="B245" s="3" t="inlineStr">
        <is>
          <t>adequate</t>
        </is>
      </c>
      <c r="C245" s="3" t="n"/>
    </row>
    <row r="246" ht="15" customHeight="1" s="1">
      <c r="A246" s="3" t="inlineStr">
        <is>
          <t>P4|normative|W3_to_W1W2</t>
        </is>
      </c>
      <c r="B246" s="3" t="inlineStr">
        <is>
          <t>adequate</t>
        </is>
      </c>
      <c r="C246" s="3" t="n"/>
    </row>
    <row r="247" ht="15" customHeight="1" s="1">
      <c r="A247" s="3" t="inlineStr">
        <is>
          <t>P4|normative|W3_to_W3</t>
        </is>
      </c>
      <c r="B247" s="3" t="inlineStr">
        <is>
          <t>partial</t>
        </is>
      </c>
      <c r="C247" s="3" t="n"/>
    </row>
    <row r="248" ht="15" customHeight="1" s="1">
      <c r="A248" s="3" t="inlineStr">
        <is>
          <t>P4|normative|W3_to_W4W8</t>
        </is>
      </c>
      <c r="B248" s="3" t="inlineStr">
        <is>
          <t>partial</t>
        </is>
      </c>
      <c r="C248" s="3" t="n"/>
    </row>
    <row r="249" ht="15" customHeight="1" s="1">
      <c r="A249" s="3" t="inlineStr">
        <is>
          <t>P4|normative|W3_unknown</t>
        </is>
      </c>
      <c r="B249" s="3" t="inlineStr">
        <is>
          <t>partial</t>
        </is>
      </c>
      <c r="C249" s="3" t="n"/>
    </row>
    <row r="250" ht="15" customHeight="1" s="1">
      <c r="A250" s="3" t="inlineStr">
        <is>
          <t>P4|normative|W4</t>
        </is>
      </c>
      <c r="B250" s="3" t="inlineStr">
        <is>
          <t>partial</t>
        </is>
      </c>
      <c r="C250" s="3" t="n"/>
    </row>
    <row r="251" ht="15" customHeight="1" s="1">
      <c r="A251" s="3" t="inlineStr">
        <is>
          <t>P4|normative|W5</t>
        </is>
      </c>
      <c r="B251" s="3" t="inlineStr">
        <is>
          <t>partial</t>
        </is>
      </c>
      <c r="C251" s="3" t="n"/>
    </row>
    <row r="252" ht="15" customHeight="1" s="1">
      <c r="A252" s="3" t="inlineStr">
        <is>
          <t>P4|normative|W6</t>
        </is>
      </c>
      <c r="B252" s="3" t="inlineStr">
        <is>
          <t>partial</t>
        </is>
      </c>
      <c r="C252" s="3" t="n"/>
    </row>
    <row r="253" ht="15" customHeight="1" s="1">
      <c r="A253" s="3" t="inlineStr">
        <is>
          <t>P4|normative|W7</t>
        </is>
      </c>
      <c r="B253" s="3" t="inlineStr">
        <is>
          <t>partial</t>
        </is>
      </c>
      <c r="C253" s="3" t="n"/>
    </row>
    <row r="254" ht="15" customHeight="1" s="1">
      <c r="A254" s="3" t="inlineStr">
        <is>
          <t>P4|normative|W8</t>
        </is>
      </c>
      <c r="B254" s="3" t="inlineStr">
        <is>
          <t>inadequate</t>
        </is>
      </c>
      <c r="C254" s="3" t="n"/>
    </row>
    <row r="255" ht="15" customHeight="1" s="1">
      <c r="A255" s="3" t="inlineStr">
        <is>
          <t>P4|other|W1</t>
        </is>
      </c>
      <c r="B255" s="3" t="inlineStr">
        <is>
          <t>partial</t>
        </is>
      </c>
      <c r="C255" s="3" t="n"/>
    </row>
    <row r="256" ht="15" customHeight="1" s="1">
      <c r="A256" s="3" t="inlineStr">
        <is>
          <t>P4|other|W2</t>
        </is>
      </c>
      <c r="B256" s="3" t="inlineStr">
        <is>
          <t>partial</t>
        </is>
      </c>
      <c r="C256" s="3" t="n"/>
    </row>
    <row r="257" ht="15" customHeight="1" s="1">
      <c r="A257" s="3" t="inlineStr">
        <is>
          <t>P4|other|W3_to_W1W2</t>
        </is>
      </c>
      <c r="B257" s="3" t="inlineStr">
        <is>
          <t>partial</t>
        </is>
      </c>
      <c r="C257" s="3" t="n"/>
    </row>
    <row r="258" ht="15" customHeight="1" s="1">
      <c r="A258" s="3" t="inlineStr">
        <is>
          <t>P4|other|W3_to_W3</t>
        </is>
      </c>
      <c r="B258" s="3" t="inlineStr">
        <is>
          <t>partial</t>
        </is>
      </c>
      <c r="C258" s="3" t="n"/>
    </row>
    <row r="259" ht="15" customHeight="1" s="1">
      <c r="A259" s="3" t="inlineStr">
        <is>
          <t>P4|other|W3_to_W4W8</t>
        </is>
      </c>
      <c r="B259" s="3" t="inlineStr">
        <is>
          <t>partial</t>
        </is>
      </c>
      <c r="C259" s="3" t="n"/>
    </row>
    <row r="260" ht="15" customHeight="1" s="1">
      <c r="A260" s="3" t="inlineStr">
        <is>
          <t>P4|other|W3_unknown</t>
        </is>
      </c>
      <c r="B260" s="3" t="inlineStr">
        <is>
          <t>partial</t>
        </is>
      </c>
      <c r="C260" s="3" t="n"/>
    </row>
    <row r="261" ht="15" customHeight="1" s="1">
      <c r="A261" s="3" t="inlineStr">
        <is>
          <t>P4|other|W4</t>
        </is>
      </c>
      <c r="B261" s="3" t="inlineStr">
        <is>
          <t>partial</t>
        </is>
      </c>
      <c r="C261" s="3" t="n"/>
    </row>
    <row r="262" ht="15" customHeight="1" s="1">
      <c r="A262" s="3" t="inlineStr">
        <is>
          <t>P4|other|W5</t>
        </is>
      </c>
      <c r="B262" s="3" t="inlineStr">
        <is>
          <t>partial</t>
        </is>
      </c>
      <c r="C262" s="3" t="n"/>
    </row>
    <row r="263" ht="15" customHeight="1" s="1">
      <c r="A263" s="3" t="inlineStr">
        <is>
          <t>P4|other|W6</t>
        </is>
      </c>
      <c r="B263" s="3" t="inlineStr">
        <is>
          <t>partial</t>
        </is>
      </c>
      <c r="C263" s="3" t="n"/>
    </row>
    <row r="264" ht="15" customHeight="1" s="1">
      <c r="A264" s="3" t="inlineStr">
        <is>
          <t>P4|other|W7</t>
        </is>
      </c>
      <c r="B264" s="3" t="inlineStr">
        <is>
          <t>partial</t>
        </is>
      </c>
      <c r="C264" s="3" t="n"/>
    </row>
    <row r="265" ht="15" customHeight="1" s="1">
      <c r="A265" s="3" t="inlineStr">
        <is>
          <t>P4|other|W8</t>
        </is>
      </c>
      <c r="B265" s="3" t="inlineStr">
        <is>
          <t>partial</t>
        </is>
      </c>
      <c r="C265" s="3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0" customWidth="1" style="1" min="1" max="1"/>
    <col width="80" customWidth="1" style="1" min="2" max="2"/>
    <col width="28" customWidth="1" style="1" min="3" max="3"/>
    <col width="16" customWidth="1" style="1" min="4" max="4"/>
    <col width="40" customWidth="1" style="1" min="5" max="5"/>
  </cols>
  <sheetData>
    <row r="1" ht="15" customHeight="1" s="1">
      <c r="A1" s="7" t="inlineStr">
        <is>
          <t>claim_id</t>
        </is>
      </c>
      <c r="B1" s="7" t="inlineStr">
        <is>
          <t>canonical_statement</t>
        </is>
      </c>
      <c r="C1" s="7" t="inlineStr">
        <is>
          <t>claim_family</t>
        </is>
      </c>
      <c r="D1" s="7" t="inlineStr">
        <is>
          <t>added_in_pilot_date</t>
        </is>
      </c>
      <c r="E1" s="7" t="inlineStr">
        <is>
          <t>notes</t>
        </is>
      </c>
    </row>
    <row r="2" ht="15" customHeight="1" s="1">
      <c r="A2" s="8" t="inlineStr">
        <is>
          <t>C001</t>
        </is>
      </c>
      <c r="B2" s="8" t="inlineStr">
        <is>
          <t>Organisational adoption capacity, not access to algorithms, determines which states field military AI first</t>
        </is>
      </c>
      <c r="C2" s="8" t="inlineStr">
        <is>
          <t>diffusion and adoption</t>
        </is>
      </c>
      <c r="D2" s="8" t="n"/>
      <c r="E2" s="8" t="n"/>
    </row>
    <row r="3" ht="15" customHeight="1" s="1">
      <c r="A3" s="8" t="inlineStr">
        <is>
          <t>C002</t>
        </is>
      </c>
      <c r="B3" s="8" t="inlineStr">
        <is>
          <t>AI-generated assessments compress crisis decision time and raise escalation risk</t>
        </is>
      </c>
      <c r="C3" s="8" t="inlineStr">
        <is>
          <t>crisis decision-making</t>
        </is>
      </c>
      <c r="D3" s="8" t="n"/>
      <c r="E3" s="8" t="n"/>
    </row>
    <row r="4" ht="15" customHeight="1" s="1">
      <c r="A4" s="8" t="inlineStr">
        <is>
          <t>C003</t>
        </is>
      </c>
      <c r="B4" s="8" t="inlineStr">
        <is>
          <t>AI-enabled sensing degrades the survivability of second-strike nuclear forces</t>
        </is>
      </c>
      <c r="C4" s="8" t="inlineStr">
        <is>
          <t>strategic stability</t>
        </is>
      </c>
      <c r="D4" s="8" t="n"/>
      <c r="E4" s="8" t="n"/>
    </row>
    <row r="5" ht="15" customHeight="1" s="1">
      <c r="A5" s="8" t="inlineStr">
        <is>
          <t>C004</t>
        </is>
      </c>
      <c r="B5" s="8" t="inlineStr">
        <is>
          <t>Autonomous weapons systems reshape norms of use through practice rather than deliberate regulation</t>
        </is>
      </c>
      <c r="C5" s="8" t="inlineStr">
        <is>
          <t>norms, agency, critique</t>
        </is>
      </c>
      <c r="D5" s="8" t="n"/>
      <c r="E5" s="8" t="n"/>
    </row>
    <row r="6" ht="15" customHeight="1" s="1">
      <c r="A6" s="8" t="inlineStr">
        <is>
          <t>C005</t>
        </is>
      </c>
      <c r="B6" s="8" t="inlineStr">
        <is>
          <t>AI is a strategic asset over which great powers will compete</t>
        </is>
      </c>
      <c r="C6" s="8" t="inlineStr">
        <is>
          <t>balance of power / geoeconomics</t>
        </is>
      </c>
      <c r="D6" s="8" t="n"/>
      <c r="E6" s="8" t="n"/>
    </row>
    <row r="7" ht="15" customHeight="1" s="1">
      <c r="A7" s="8" t="inlineStr">
        <is>
          <t>C006</t>
        </is>
      </c>
      <c r="B7" s="8" t="inlineStr">
        <is>
          <t>Uneven AI adoption capacity creates 'haves' and 'have-nots' inside alliances, straining burden-sharing and interoperability</t>
        </is>
      </c>
      <c r="C7" s="8" t="inlineStr">
        <is>
          <t>alliances</t>
        </is>
      </c>
      <c r="D7" s="8" t="inlineStr">
        <is>
          <t>pilot 2026-09-07</t>
        </is>
      </c>
      <c r="E7" s="8" t="inlineStr">
        <is>
          <t>from Lin-Greenberg 2020</t>
        </is>
      </c>
    </row>
    <row r="8" ht="15" customHeight="1" s="1">
      <c r="A8" s="8" t="inlineStr">
        <is>
          <t>C007</t>
        </is>
      </c>
      <c r="B8" s="8" t="inlineStr">
        <is>
          <t>Commercially driven, dual-use AI diffuses rapidly and erodes first-mover advantage; militarily exclusive AI does the reverse</t>
        </is>
      </c>
      <c r="C8" s="8" t="inlineStr">
        <is>
          <t>diffusion and adoption</t>
        </is>
      </c>
      <c r="D8" s="8" t="inlineStr">
        <is>
          <t>pilot 2026-09-07</t>
        </is>
      </c>
      <c r="E8" s="8" t="inlineStr">
        <is>
          <t>from Horowitz 2018; two-scenario form</t>
        </is>
      </c>
    </row>
    <row r="9" ht="15" customHeight="1" s="1">
      <c r="A9" s="8" t="inlineStr">
        <is>
          <t>C008</t>
        </is>
      </c>
      <c r="B9" s="8" t="inlineStr">
        <is>
          <t>Adversaries can use AI-enabled deception and data poisoning to disrupt command and control and trust</t>
        </is>
      </c>
      <c r="C9" s="8" t="inlineStr">
        <is>
          <t>strategic stability / alliances</t>
        </is>
      </c>
      <c r="D9" s="8" t="inlineStr">
        <is>
          <t>pilot 2026-09-07</t>
        </is>
      </c>
      <c r="E9" s="8" t="inlineStr">
        <is>
          <t>from Lin-Greenberg 2020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0" customWidth="1" style="1" min="1" max="1"/>
    <col width="22" customWidth="1" style="1" min="2" max="2"/>
    <col width="50" customWidth="1" style="1" min="3" max="3"/>
    <col width="28" customWidth="1" style="1" min="4" max="4"/>
    <col width="7" customWidth="1" style="1" min="5" max="5"/>
    <col width="10" customWidth="1" style="1" min="6" max="6"/>
    <col width="14" customWidth="1" style="1" min="7" max="8"/>
    <col width="24" customWidth="1" style="1" min="9" max="9"/>
    <col width="11" customWidth="1" style="1" min="10" max="10"/>
    <col width="12" customWidth="1" style="1" min="11" max="13"/>
    <col width="14" customWidth="1" style="1" min="14" max="14"/>
    <col width="12" customWidth="1" style="1" min="15" max="15"/>
    <col width="10" customWidth="1" style="1" min="16" max="17"/>
    <col width="30" customWidth="1" style="1" min="18" max="18"/>
  </cols>
  <sheetData>
    <row r="1" ht="15" customHeight="1" s="1">
      <c r="A1" s="7" t="inlineStr">
        <is>
          <t>article_id</t>
        </is>
      </c>
      <c r="B1" s="7" t="inlineStr">
        <is>
          <t>author_year</t>
        </is>
      </c>
      <c r="C1" s="7" t="inlineStr">
        <is>
          <t>title</t>
        </is>
      </c>
      <c r="D1" s="7" t="inlineStr">
        <is>
          <t>journal</t>
        </is>
      </c>
      <c r="E1" s="7" t="inlineStr">
        <is>
          <t>year</t>
        </is>
      </c>
      <c r="F1" s="7" t="inlineStr">
        <is>
          <t>db_source</t>
        </is>
      </c>
      <c r="G1" s="7" t="inlineStr">
        <is>
          <t>screen_title_abstract</t>
        </is>
      </c>
      <c r="H1" s="7" t="inlineStr">
        <is>
          <t>screen_fulltext</t>
        </is>
      </c>
      <c r="I1" s="7" t="inlineStr">
        <is>
          <t>exclusion_reason</t>
        </is>
      </c>
      <c r="J1" s="7" t="inlineStr">
        <is>
          <t>positioning</t>
        </is>
      </c>
      <c r="K1" s="7" t="inlineStr">
        <is>
          <t>positioning_inferred</t>
        </is>
      </c>
      <c r="L1" s="7" t="inlineStr">
        <is>
          <t>citations_raw</t>
        </is>
      </c>
      <c r="M1" s="7" t="inlineStr">
        <is>
          <t>citation_date</t>
        </is>
      </c>
      <c r="N1" s="7" t="inlineStr">
        <is>
          <t>citations_per_year</t>
        </is>
      </c>
      <c r="O1" s="7" t="inlineStr">
        <is>
          <t>double_coded</t>
        </is>
      </c>
      <c r="P1" s="7" t="inlineStr">
        <is>
          <t>coder_A</t>
        </is>
      </c>
      <c r="Q1" s="7" t="inlineStr">
        <is>
          <t>coder_B</t>
        </is>
      </c>
      <c r="R1" s="7" t="inlineStr">
        <is>
          <t>notes</t>
        </is>
      </c>
    </row>
    <row r="2" ht="15" customHeight="1" s="1">
      <c r="A2" s="8" t="inlineStr">
        <is>
          <t>A002</t>
        </is>
      </c>
      <c r="B2" s="8" t="inlineStr">
        <is>
          <t>Horowitz 2018</t>
        </is>
      </c>
      <c r="C2" s="8" t="inlineStr">
        <is>
          <t>Artificial Intelligence, International Competition, and the Balance of Power</t>
        </is>
      </c>
      <c r="D2" s="8" t="inlineStr">
        <is>
          <t>Texas National Security Review</t>
        </is>
      </c>
      <c r="E2" s="8" t="n">
        <v>2018</v>
      </c>
      <c r="F2" s="8" t="inlineStr">
        <is>
          <t>pilot/open access</t>
        </is>
      </c>
      <c r="G2" s="8" t="inlineStr">
        <is>
          <t>include</t>
        </is>
      </c>
      <c r="H2" s="8" t="inlineStr">
        <is>
          <t>include</t>
        </is>
      </c>
      <c r="I2" s="8" t="n"/>
      <c r="J2" s="8" t="inlineStr">
        <is>
          <t>P4</t>
        </is>
      </c>
      <c r="K2" s="8" t="inlineStr">
        <is>
          <t>yes</t>
        </is>
      </c>
      <c r="L2" s="8" t="n"/>
      <c r="M2" s="8" t="n"/>
      <c r="N2" s="3">
        <f>IF(L2="","",IF(2026-E2&gt;0,L2/(2026-E2),L2))</f>
        <v/>
      </c>
      <c r="O2" s="8" t="inlineStr">
        <is>
          <t>no</t>
        </is>
      </c>
      <c r="P2" s="8" t="inlineStr">
        <is>
          <t>CL</t>
        </is>
      </c>
      <c r="Q2" s="8" t="n"/>
      <c r="R2" s="8" t="inlineStr">
        <is>
          <t>PILOT: open-access full text; author states 'initial framework'; positioning inferred. Check TNSR indexing in WoS/Scopus before corpus inclusion.</t>
        </is>
      </c>
    </row>
    <row r="3" ht="15" customHeight="1" s="1">
      <c r="A3" s="8" t="inlineStr">
        <is>
          <t>A003</t>
        </is>
      </c>
      <c r="B3" s="8" t="inlineStr">
        <is>
          <t>Lin-Greenberg 2020</t>
        </is>
      </c>
      <c r="C3" s="8" t="inlineStr">
        <is>
          <t>Allies and Artificial Intelligence: Obstacles to Operations and Decision-Making</t>
        </is>
      </c>
      <c r="D3" s="8" t="inlineStr">
        <is>
          <t>Texas National Security Review</t>
        </is>
      </c>
      <c r="E3" s="8" t="n">
        <v>2020</v>
      </c>
      <c r="F3" s="8" t="inlineStr">
        <is>
          <t>pilot/open access</t>
        </is>
      </c>
      <c r="G3" s="8" t="inlineStr">
        <is>
          <t>include</t>
        </is>
      </c>
      <c r="H3" s="8" t="inlineStr">
        <is>
          <t>include</t>
        </is>
      </c>
      <c r="I3" s="8" t="n"/>
      <c r="J3" s="8" t="inlineStr">
        <is>
          <t>P4</t>
        </is>
      </c>
      <c r="K3" s="8" t="inlineStr">
        <is>
          <t>no</t>
        </is>
      </c>
      <c r="L3" s="8" t="n"/>
      <c r="M3" s="8" t="n"/>
      <c r="N3" s="3">
        <f>IF(L3="","",IF(2026-E3&gt;0,L3/(2026-E3),L3))</f>
        <v/>
      </c>
      <c r="O3" s="8" t="inlineStr">
        <is>
          <t>no</t>
        </is>
      </c>
      <c r="P3" s="8" t="inlineStr">
        <is>
          <t>CL</t>
        </is>
      </c>
      <c r="Q3" s="8" t="n"/>
      <c r="R3" s="8" t="inlineStr">
        <is>
          <t>PILOT: author states article 'offers a framework for future hypothesis testing' (explicit P4). Check TNSR indexing.</t>
        </is>
      </c>
    </row>
    <row r="4" ht="15" customHeight="1" s="1">
      <c r="N4">
        <f>IF(L4="","",IF(2026-E4&gt;0,L4/(2026-E4),L4))</f>
        <v/>
      </c>
    </row>
    <row r="5" ht="15" customHeight="1" s="1">
      <c r="N5">
        <f>IF(L5="","",IF(2026-E5&gt;0,L5/(2026-E5),L5))</f>
        <v/>
      </c>
    </row>
    <row r="6" ht="15" customHeight="1" s="1">
      <c r="N6">
        <f>IF(L6="","",IF(2026-E6&gt;0,L6/(2026-E6),L6))</f>
        <v/>
      </c>
    </row>
    <row r="7" ht="15" customHeight="1" s="1">
      <c r="N7">
        <f>IF(L7="","",IF(2026-E7&gt;0,L7/(2026-E7),L7))</f>
        <v/>
      </c>
    </row>
    <row r="8" ht="15" customHeight="1" s="1">
      <c r="N8">
        <f>IF(L8="","",IF(2026-E8&gt;0,L8/(2026-E8),L8))</f>
        <v/>
      </c>
    </row>
    <row r="9" ht="15" customHeight="1" s="1">
      <c r="N9">
        <f>IF(L9="","",IF(2026-E9&gt;0,L9/(2026-E9),L9))</f>
        <v/>
      </c>
    </row>
    <row r="10" ht="15" customHeight="1" s="1">
      <c r="N10">
        <f>IF(L10="","",IF(2026-E10&gt;0,L10/(2026-E10),L10))</f>
        <v/>
      </c>
    </row>
    <row r="11" ht="15" customHeight="1" s="1">
      <c r="N11">
        <f>IF(L11="","",IF(2026-E11&gt;0,L11/(2026-E11),L11))</f>
        <v/>
      </c>
    </row>
    <row r="12" ht="15" customHeight="1" s="1">
      <c r="N12">
        <f>IF(L12="","",IF(2026-E12&gt;0,L12/(2026-E12),L12))</f>
        <v/>
      </c>
    </row>
    <row r="13" ht="15" customHeight="1" s="1">
      <c r="N13">
        <f>IF(L13="","",IF(2026-E13&gt;0,L13/(2026-E13),L13))</f>
        <v/>
      </c>
    </row>
    <row r="14" ht="15" customHeight="1" s="1">
      <c r="N14">
        <f>IF(L14="","",IF(2026-E14&gt;0,L14/(2026-E14),L14))</f>
        <v/>
      </c>
    </row>
    <row r="15" ht="15" customHeight="1" s="1">
      <c r="N15">
        <f>IF(L15="","",IF(2026-E15&gt;0,L15/(2026-E15),L15))</f>
        <v/>
      </c>
    </row>
    <row r="16" ht="15" customHeight="1" s="1">
      <c r="N16">
        <f>IF(L16="","",IF(2026-E16&gt;0,L16/(2026-E16),L16))</f>
        <v/>
      </c>
    </row>
    <row r="17" ht="15" customHeight="1" s="1">
      <c r="N17">
        <f>IF(L17="","",IF(2026-E17&gt;0,L17/(2026-E17),L17))</f>
        <v/>
      </c>
    </row>
    <row r="18" ht="15" customHeight="1" s="1">
      <c r="N18">
        <f>IF(L18="","",IF(2026-E18&gt;0,L18/(2026-E18),L18))</f>
        <v/>
      </c>
    </row>
    <row r="19" ht="15" customHeight="1" s="1">
      <c r="N19">
        <f>IF(L19="","",IF(2026-E19&gt;0,L19/(2026-E19),L19))</f>
        <v/>
      </c>
    </row>
    <row r="20" ht="15" customHeight="1" s="1">
      <c r="N20">
        <f>IF(L20="","",IF(2026-E20&gt;0,L20/(2026-E20),L20))</f>
        <v/>
      </c>
    </row>
    <row r="21" ht="15" customHeight="1" s="1">
      <c r="N21">
        <f>IF(L21="","",IF(2026-E21&gt;0,L21/(2026-E21),L21))</f>
        <v/>
      </c>
    </row>
    <row r="22" ht="15" customHeight="1" s="1">
      <c r="N22">
        <f>IF(L22="","",IF(2026-E22&gt;0,L22/(2026-E22),L22))</f>
        <v/>
      </c>
    </row>
    <row r="23" ht="15" customHeight="1" s="1">
      <c r="N23">
        <f>IF(L23="","",IF(2026-E23&gt;0,L23/(2026-E23),L23))</f>
        <v/>
      </c>
    </row>
    <row r="24" ht="15" customHeight="1" s="1">
      <c r="N24">
        <f>IF(L24="","",IF(2026-E24&gt;0,L24/(2026-E24),L24))</f>
        <v/>
      </c>
    </row>
    <row r="25" ht="15" customHeight="1" s="1">
      <c r="N25">
        <f>IF(L25="","",IF(2026-E25&gt;0,L25/(2026-E25),L25))</f>
        <v/>
      </c>
    </row>
    <row r="26" ht="15" customHeight="1" s="1">
      <c r="N26">
        <f>IF(L26="","",IF(2026-E26&gt;0,L26/(2026-E26),L26))</f>
        <v/>
      </c>
    </row>
    <row r="27" ht="15" customHeight="1" s="1">
      <c r="N27">
        <f>IF(L27="","",IF(2026-E27&gt;0,L27/(2026-E27),L27))</f>
        <v/>
      </c>
    </row>
    <row r="28" ht="15" customHeight="1" s="1">
      <c r="N28">
        <f>IF(L28="","",IF(2026-E28&gt;0,L28/(2026-E28),L28))</f>
        <v/>
      </c>
    </row>
    <row r="29" ht="15" customHeight="1" s="1">
      <c r="N29">
        <f>IF(L29="","",IF(2026-E29&gt;0,L29/(2026-E29),L29))</f>
        <v/>
      </c>
    </row>
    <row r="30" ht="15" customHeight="1" s="1">
      <c r="N30">
        <f>IF(L30="","",IF(2026-E30&gt;0,L30/(2026-E30),L30))</f>
        <v/>
      </c>
    </row>
    <row r="31" ht="15" customHeight="1" s="1">
      <c r="N31">
        <f>IF(L31="","",IF(2026-E31&gt;0,L31/(2026-E31),L31))</f>
        <v/>
      </c>
    </row>
    <row r="32" ht="15" customHeight="1" s="1">
      <c r="N32">
        <f>IF(L32="","",IF(2026-E32&gt;0,L32/(2026-E32),L32))</f>
        <v/>
      </c>
    </row>
    <row r="33" ht="15" customHeight="1" s="1">
      <c r="N33">
        <f>IF(L33="","",IF(2026-E33&gt;0,L33/(2026-E33),L33))</f>
        <v/>
      </c>
    </row>
    <row r="34" ht="15" customHeight="1" s="1">
      <c r="N34">
        <f>IF(L34="","",IF(2026-E34&gt;0,L34/(2026-E34),L34))</f>
        <v/>
      </c>
    </row>
    <row r="35" ht="15" customHeight="1" s="1">
      <c r="N35">
        <f>IF(L35="","",IF(2026-E35&gt;0,L35/(2026-E35),L35))</f>
        <v/>
      </c>
    </row>
    <row r="36" ht="15" customHeight="1" s="1">
      <c r="N36">
        <f>IF(L36="","",IF(2026-E36&gt;0,L36/(2026-E36),L36))</f>
        <v/>
      </c>
    </row>
    <row r="37" ht="15" customHeight="1" s="1">
      <c r="N37">
        <f>IF(L37="","",IF(2026-E37&gt;0,L37/(2026-E37),L37))</f>
        <v/>
      </c>
    </row>
    <row r="38" ht="15" customHeight="1" s="1">
      <c r="N38">
        <f>IF(L38="","",IF(2026-E38&gt;0,L38/(2026-E38),L38))</f>
        <v/>
      </c>
    </row>
    <row r="39" ht="15" customHeight="1" s="1">
      <c r="N39">
        <f>IF(L39="","",IF(2026-E39&gt;0,L39/(2026-E39),L39))</f>
        <v/>
      </c>
    </row>
    <row r="40" ht="15" customHeight="1" s="1">
      <c r="N40">
        <f>IF(L40="","",IF(2026-E40&gt;0,L40/(2026-E40),L40))</f>
        <v/>
      </c>
    </row>
    <row r="41" ht="15" customHeight="1" s="1">
      <c r="N41">
        <f>IF(L41="","",IF(2026-E41&gt;0,L41/(2026-E41),L41))</f>
        <v/>
      </c>
    </row>
    <row r="42" ht="15" customHeight="1" s="1">
      <c r="N42">
        <f>IF(L42="","",IF(2026-E42&gt;0,L42/(2026-E42),L42))</f>
        <v/>
      </c>
    </row>
    <row r="43" ht="15" customHeight="1" s="1">
      <c r="N43">
        <f>IF(L43="","",IF(2026-E43&gt;0,L43/(2026-E43),L43))</f>
        <v/>
      </c>
    </row>
    <row r="44" ht="15" customHeight="1" s="1">
      <c r="N44">
        <f>IF(L44="","",IF(2026-E44&gt;0,L44/(2026-E44),L44))</f>
        <v/>
      </c>
    </row>
    <row r="45" ht="15" customHeight="1" s="1">
      <c r="N45">
        <f>IF(L45="","",IF(2026-E45&gt;0,L45/(2026-E45),L45))</f>
        <v/>
      </c>
    </row>
    <row r="46" ht="15" customHeight="1" s="1">
      <c r="N46">
        <f>IF(L46="","",IF(2026-E46&gt;0,L46/(2026-E46),L46))</f>
        <v/>
      </c>
    </row>
    <row r="47" ht="15" customHeight="1" s="1">
      <c r="N47">
        <f>IF(L47="","",IF(2026-E47&gt;0,L47/(2026-E47),L47))</f>
        <v/>
      </c>
    </row>
    <row r="48" ht="15" customHeight="1" s="1">
      <c r="N48">
        <f>IF(L48="","",IF(2026-E48&gt;0,L48/(2026-E48),L48))</f>
        <v/>
      </c>
    </row>
    <row r="49" ht="15" customHeight="1" s="1">
      <c r="N49">
        <f>IF(L49="","",IF(2026-E49&gt;0,L49/(2026-E49),L49))</f>
        <v/>
      </c>
    </row>
    <row r="50" ht="15" customHeight="1" s="1">
      <c r="N50">
        <f>IF(L50="","",IF(2026-E50&gt;0,L50/(2026-E50),L50))</f>
        <v/>
      </c>
    </row>
    <row r="51" ht="15" customHeight="1" s="1">
      <c r="N51">
        <f>IF(L51="","",IF(2026-E51&gt;0,L51/(2026-E51),L51))</f>
        <v/>
      </c>
    </row>
    <row r="52" ht="15" customHeight="1" s="1">
      <c r="N52">
        <f>IF(L52="","",IF(2026-E52&gt;0,L52/(2026-E52),L52))</f>
        <v/>
      </c>
    </row>
    <row r="53" ht="15" customHeight="1" s="1">
      <c r="N53">
        <f>IF(L53="","",IF(2026-E53&gt;0,L53/(2026-E53),L53))</f>
        <v/>
      </c>
    </row>
    <row r="54" ht="15" customHeight="1" s="1">
      <c r="N54">
        <f>IF(L54="","",IF(2026-E54&gt;0,L54/(2026-E54),L54))</f>
        <v/>
      </c>
    </row>
    <row r="55" ht="15" customHeight="1" s="1">
      <c r="N55">
        <f>IF(L55="","",IF(2026-E55&gt;0,L55/(2026-E55),L55))</f>
        <v/>
      </c>
    </row>
    <row r="56" ht="15" customHeight="1" s="1">
      <c r="N56">
        <f>IF(L56="","",IF(2026-E56&gt;0,L56/(2026-E56),L56))</f>
        <v/>
      </c>
    </row>
    <row r="57" ht="15" customHeight="1" s="1">
      <c r="N57">
        <f>IF(L57="","",IF(2026-E57&gt;0,L57/(2026-E57),L57))</f>
        <v/>
      </c>
    </row>
    <row r="58" ht="15" customHeight="1" s="1">
      <c r="N58">
        <f>IF(L58="","",IF(2026-E58&gt;0,L58/(2026-E58),L58))</f>
        <v/>
      </c>
    </row>
    <row r="59" ht="15" customHeight="1" s="1">
      <c r="N59">
        <f>IF(L59="","",IF(2026-E59&gt;0,L59/(2026-E59),L59))</f>
        <v/>
      </c>
    </row>
    <row r="60" ht="15" customHeight="1" s="1">
      <c r="N60">
        <f>IF(L60="","",IF(2026-E60&gt;0,L60/(2026-E60),L60))</f>
        <v/>
      </c>
    </row>
    <row r="61" ht="15" customHeight="1" s="1">
      <c r="N61">
        <f>IF(L61="","",IF(2026-E61&gt;0,L61/(2026-E61),L61))</f>
        <v/>
      </c>
    </row>
    <row r="62" ht="15" customHeight="1" s="1">
      <c r="N62">
        <f>IF(L62="","",IF(2026-E62&gt;0,L62/(2026-E62),L62))</f>
        <v/>
      </c>
    </row>
    <row r="63" ht="15" customHeight="1" s="1">
      <c r="N63">
        <f>IF(L63="","",IF(2026-E63&gt;0,L63/(2026-E63),L63))</f>
        <v/>
      </c>
    </row>
    <row r="64" ht="15" customHeight="1" s="1">
      <c r="N64">
        <f>IF(L64="","",IF(2026-E64&gt;0,L64/(2026-E64),L64))</f>
        <v/>
      </c>
    </row>
    <row r="65" ht="15" customHeight="1" s="1">
      <c r="N65">
        <f>IF(L65="","",IF(2026-E65&gt;0,L65/(2026-E65),L65))</f>
        <v/>
      </c>
    </row>
    <row r="66" ht="15" customHeight="1" s="1">
      <c r="N66">
        <f>IF(L66="","",IF(2026-E66&gt;0,L66/(2026-E66),L66))</f>
        <v/>
      </c>
    </row>
    <row r="67" ht="15" customHeight="1" s="1">
      <c r="N67">
        <f>IF(L67="","",IF(2026-E67&gt;0,L67/(2026-E67),L67))</f>
        <v/>
      </c>
    </row>
    <row r="68" ht="15" customHeight="1" s="1">
      <c r="N68">
        <f>IF(L68="","",IF(2026-E68&gt;0,L68/(2026-E68),L68))</f>
        <v/>
      </c>
    </row>
    <row r="69" ht="15" customHeight="1" s="1">
      <c r="N69">
        <f>IF(L69="","",IF(2026-E69&gt;0,L69/(2026-E69),L69))</f>
        <v/>
      </c>
    </row>
    <row r="70" ht="15" customHeight="1" s="1">
      <c r="N70">
        <f>IF(L70="","",IF(2026-E70&gt;0,L70/(2026-E70),L70))</f>
        <v/>
      </c>
    </row>
    <row r="71" ht="15" customHeight="1" s="1">
      <c r="N71">
        <f>IF(L71="","",IF(2026-E71&gt;0,L71/(2026-E71),L71))</f>
        <v/>
      </c>
    </row>
    <row r="72" ht="15" customHeight="1" s="1">
      <c r="N72">
        <f>IF(L72="","",IF(2026-E72&gt;0,L72/(2026-E72),L72))</f>
        <v/>
      </c>
    </row>
    <row r="73" ht="15" customHeight="1" s="1">
      <c r="N73">
        <f>IF(L73="","",IF(2026-E73&gt;0,L73/(2026-E73),L73))</f>
        <v/>
      </c>
    </row>
    <row r="74" ht="15" customHeight="1" s="1">
      <c r="N74">
        <f>IF(L74="","",IF(2026-E74&gt;0,L74/(2026-E74),L74))</f>
        <v/>
      </c>
    </row>
    <row r="75" ht="15" customHeight="1" s="1">
      <c r="N75">
        <f>IF(L75="","",IF(2026-E75&gt;0,L75/(2026-E75),L75))</f>
        <v/>
      </c>
    </row>
    <row r="76" ht="15" customHeight="1" s="1">
      <c r="N76">
        <f>IF(L76="","",IF(2026-E76&gt;0,L76/(2026-E76),L76))</f>
        <v/>
      </c>
    </row>
    <row r="77" ht="15" customHeight="1" s="1">
      <c r="N77">
        <f>IF(L77="","",IF(2026-E77&gt;0,L77/(2026-E77),L77))</f>
        <v/>
      </c>
    </row>
    <row r="78" ht="15" customHeight="1" s="1">
      <c r="N78">
        <f>IF(L78="","",IF(2026-E78&gt;0,L78/(2026-E78),L78))</f>
        <v/>
      </c>
    </row>
    <row r="79" ht="15" customHeight="1" s="1">
      <c r="N79">
        <f>IF(L79="","",IF(2026-E79&gt;0,L79/(2026-E79),L79))</f>
        <v/>
      </c>
    </row>
    <row r="80" ht="15" customHeight="1" s="1">
      <c r="N80">
        <f>IF(L80="","",IF(2026-E80&gt;0,L80/(2026-E80),L80))</f>
        <v/>
      </c>
    </row>
    <row r="81" ht="15" customHeight="1" s="1">
      <c r="N81">
        <f>IF(L81="","",IF(2026-E81&gt;0,L81/(2026-E81),L81))</f>
        <v/>
      </c>
    </row>
    <row r="82" ht="15" customHeight="1" s="1">
      <c r="N82">
        <f>IF(L82="","",IF(2026-E82&gt;0,L82/(2026-E82),L82))</f>
        <v/>
      </c>
    </row>
    <row r="83" ht="15" customHeight="1" s="1">
      <c r="N83">
        <f>IF(L83="","",IF(2026-E83&gt;0,L83/(2026-E83),L83))</f>
        <v/>
      </c>
    </row>
    <row r="84" ht="15" customHeight="1" s="1">
      <c r="N84">
        <f>IF(L84="","",IF(2026-E84&gt;0,L84/(2026-E84),L84))</f>
        <v/>
      </c>
    </row>
    <row r="85" ht="15" customHeight="1" s="1">
      <c r="N85">
        <f>IF(L85="","",IF(2026-E85&gt;0,L85/(2026-E85),L85))</f>
        <v/>
      </c>
    </row>
    <row r="86" ht="15" customHeight="1" s="1">
      <c r="N86">
        <f>IF(L86="","",IF(2026-E86&gt;0,L86/(2026-E86),L86))</f>
        <v/>
      </c>
    </row>
    <row r="87" ht="15" customHeight="1" s="1">
      <c r="N87">
        <f>IF(L87="","",IF(2026-E87&gt;0,L87/(2026-E87),L87))</f>
        <v/>
      </c>
    </row>
    <row r="88" ht="15" customHeight="1" s="1">
      <c r="N88">
        <f>IF(L88="","",IF(2026-E88&gt;0,L88/(2026-E88),L88))</f>
        <v/>
      </c>
    </row>
    <row r="89" ht="15" customHeight="1" s="1">
      <c r="N89">
        <f>IF(L89="","",IF(2026-E89&gt;0,L89/(2026-E89),L89))</f>
        <v/>
      </c>
    </row>
    <row r="90" ht="15" customHeight="1" s="1">
      <c r="N90">
        <f>IF(L90="","",IF(2026-E90&gt;0,L90/(2026-E90),L90))</f>
        <v/>
      </c>
    </row>
    <row r="91" ht="15" customHeight="1" s="1">
      <c r="N91">
        <f>IF(L91="","",IF(2026-E91&gt;0,L91/(2026-E91),L91))</f>
        <v/>
      </c>
    </row>
    <row r="92" ht="15" customHeight="1" s="1">
      <c r="N92">
        <f>IF(L92="","",IF(2026-E92&gt;0,L92/(2026-E92),L92))</f>
        <v/>
      </c>
    </row>
    <row r="93" ht="15" customHeight="1" s="1">
      <c r="N93">
        <f>IF(L93="","",IF(2026-E93&gt;0,L93/(2026-E93),L93))</f>
        <v/>
      </c>
    </row>
    <row r="94" ht="15" customHeight="1" s="1">
      <c r="N94">
        <f>IF(L94="","",IF(2026-E94&gt;0,L94/(2026-E94),L94))</f>
        <v/>
      </c>
    </row>
    <row r="95" ht="15" customHeight="1" s="1">
      <c r="N95">
        <f>IF(L95="","",IF(2026-E95&gt;0,L95/(2026-E95),L95))</f>
        <v/>
      </c>
    </row>
    <row r="96" ht="15" customHeight="1" s="1">
      <c r="N96">
        <f>IF(L96="","",IF(2026-E96&gt;0,L96/(2026-E96),L96))</f>
        <v/>
      </c>
    </row>
    <row r="97" ht="15" customHeight="1" s="1">
      <c r="N97">
        <f>IF(L97="","",IF(2026-E97&gt;0,L97/(2026-E97),L97))</f>
        <v/>
      </c>
    </row>
    <row r="98" ht="15" customHeight="1" s="1">
      <c r="N98">
        <f>IF(L98="","",IF(2026-E98&gt;0,L98/(2026-E98),L98))</f>
        <v/>
      </c>
    </row>
    <row r="99" ht="15" customHeight="1" s="1">
      <c r="N99">
        <f>IF(L99="","",IF(2026-E99&gt;0,L99/(2026-E99),L99))</f>
        <v/>
      </c>
    </row>
    <row r="100" ht="15" customHeight="1" s="1">
      <c r="N100">
        <f>IF(L100="","",IF(2026-E100&gt;0,L100/(2026-E100),L100))</f>
        <v/>
      </c>
    </row>
    <row r="101" ht="15" customHeight="1" s="1">
      <c r="N101">
        <f>IF(L101="","",IF(2026-E101&gt;0,L101/(2026-E101),L101))</f>
        <v/>
      </c>
    </row>
    <row r="102" ht="15" customHeight="1" s="1">
      <c r="N102">
        <f>IF(L102="","",IF(2026-E102&gt;0,L102/(2026-E102),L102))</f>
        <v/>
      </c>
    </row>
    <row r="103" ht="15" customHeight="1" s="1">
      <c r="N103">
        <f>IF(L103="","",IF(2026-E103&gt;0,L103/(2026-E103),L103))</f>
        <v/>
      </c>
    </row>
    <row r="104" ht="15" customHeight="1" s="1">
      <c r="N104">
        <f>IF(L104="","",IF(2026-E104&gt;0,L104/(2026-E104),L104))</f>
        <v/>
      </c>
    </row>
    <row r="105" ht="15" customHeight="1" s="1">
      <c r="N105">
        <f>IF(L105="","",IF(2026-E105&gt;0,L105/(2026-E105),L105))</f>
        <v/>
      </c>
    </row>
    <row r="106" ht="15" customHeight="1" s="1">
      <c r="N106">
        <f>IF(L106="","",IF(2026-E106&gt;0,L106/(2026-E106),L106))</f>
        <v/>
      </c>
    </row>
    <row r="107" ht="15" customHeight="1" s="1">
      <c r="N107">
        <f>IF(L107="","",IF(2026-E107&gt;0,L107/(2026-E107),L107))</f>
        <v/>
      </c>
    </row>
    <row r="108" ht="15" customHeight="1" s="1">
      <c r="N108">
        <f>IF(L108="","",IF(2026-E108&gt;0,L108/(2026-E108),L108))</f>
        <v/>
      </c>
    </row>
    <row r="109" ht="15" customHeight="1" s="1">
      <c r="N109">
        <f>IF(L109="","",IF(2026-E109&gt;0,L109/(2026-E109),L109))</f>
        <v/>
      </c>
    </row>
    <row r="110" ht="15" customHeight="1" s="1">
      <c r="N110">
        <f>IF(L110="","",IF(2026-E110&gt;0,L110/(2026-E110),L110))</f>
        <v/>
      </c>
    </row>
    <row r="111" ht="15" customHeight="1" s="1">
      <c r="N111">
        <f>IF(L111="","",IF(2026-E111&gt;0,L111/(2026-E111),L111))</f>
        <v/>
      </c>
    </row>
    <row r="112" ht="15" customHeight="1" s="1">
      <c r="N112">
        <f>IF(L112="","",IF(2026-E112&gt;0,L112/(2026-E112),L112))</f>
        <v/>
      </c>
    </row>
    <row r="113" ht="15" customHeight="1" s="1">
      <c r="N113">
        <f>IF(L113="","",IF(2026-E113&gt;0,L113/(2026-E113),L113))</f>
        <v/>
      </c>
    </row>
    <row r="114" ht="15" customHeight="1" s="1">
      <c r="N114">
        <f>IF(L114="","",IF(2026-E114&gt;0,L114/(2026-E114),L114))</f>
        <v/>
      </c>
    </row>
    <row r="115" ht="15" customHeight="1" s="1">
      <c r="N115">
        <f>IF(L115="","",IF(2026-E115&gt;0,L115/(2026-E115),L115))</f>
        <v/>
      </c>
    </row>
    <row r="116" ht="15" customHeight="1" s="1">
      <c r="N116">
        <f>IF(L116="","",IF(2026-E116&gt;0,L116/(2026-E116),L116))</f>
        <v/>
      </c>
    </row>
    <row r="117" ht="15" customHeight="1" s="1">
      <c r="N117">
        <f>IF(L117="","",IF(2026-E117&gt;0,L117/(2026-E117),L117))</f>
        <v/>
      </c>
    </row>
    <row r="118" ht="15" customHeight="1" s="1">
      <c r="N118">
        <f>IF(L118="","",IF(2026-E118&gt;0,L118/(2026-E118),L118))</f>
        <v/>
      </c>
    </row>
    <row r="119" ht="15" customHeight="1" s="1">
      <c r="N119">
        <f>IF(L119="","",IF(2026-E119&gt;0,L119/(2026-E119),L119))</f>
        <v/>
      </c>
    </row>
    <row r="120" ht="15" customHeight="1" s="1">
      <c r="N120">
        <f>IF(L120="","",IF(2026-E120&gt;0,L120/(2026-E120),L120))</f>
        <v/>
      </c>
    </row>
    <row r="121" ht="15" customHeight="1" s="1">
      <c r="N121">
        <f>IF(L121="","",IF(2026-E121&gt;0,L121/(2026-E121),L121))</f>
        <v/>
      </c>
    </row>
    <row r="122" ht="15" customHeight="1" s="1">
      <c r="N122">
        <f>IF(L122="","",IF(2026-E122&gt;0,L122/(2026-E122),L122))</f>
        <v/>
      </c>
    </row>
    <row r="123" ht="15" customHeight="1" s="1">
      <c r="N123">
        <f>IF(L123="","",IF(2026-E123&gt;0,L123/(2026-E123),L123))</f>
        <v/>
      </c>
    </row>
    <row r="124" ht="15" customHeight="1" s="1">
      <c r="N124">
        <f>IF(L124="","",IF(2026-E124&gt;0,L124/(2026-E124),L124))</f>
        <v/>
      </c>
    </row>
    <row r="125" ht="15" customHeight="1" s="1">
      <c r="N125">
        <f>IF(L125="","",IF(2026-E125&gt;0,L125/(2026-E125),L125))</f>
        <v/>
      </c>
    </row>
    <row r="126" ht="15" customHeight="1" s="1">
      <c r="N126">
        <f>IF(L126="","",IF(2026-E126&gt;0,L126/(2026-E126),L126))</f>
        <v/>
      </c>
    </row>
    <row r="127" ht="15" customHeight="1" s="1">
      <c r="N127">
        <f>IF(L127="","",IF(2026-E127&gt;0,L127/(2026-E127),L127))</f>
        <v/>
      </c>
    </row>
    <row r="128" ht="15" customHeight="1" s="1">
      <c r="N128">
        <f>IF(L128="","",IF(2026-E128&gt;0,L128/(2026-E128),L128))</f>
        <v/>
      </c>
    </row>
    <row r="129" ht="15" customHeight="1" s="1">
      <c r="N129">
        <f>IF(L129="","",IF(2026-E129&gt;0,L129/(2026-E129),L129))</f>
        <v/>
      </c>
    </row>
    <row r="130" ht="15" customHeight="1" s="1">
      <c r="N130">
        <f>IF(L130="","",IF(2026-E130&gt;0,L130/(2026-E130),L130))</f>
        <v/>
      </c>
    </row>
    <row r="131" ht="15" customHeight="1" s="1">
      <c r="N131">
        <f>IF(L131="","",IF(2026-E131&gt;0,L131/(2026-E131),L131))</f>
        <v/>
      </c>
    </row>
    <row r="132" ht="15" customHeight="1" s="1">
      <c r="N132">
        <f>IF(L132="","",IF(2026-E132&gt;0,L132/(2026-E132),L132))</f>
        <v/>
      </c>
    </row>
    <row r="133" ht="15" customHeight="1" s="1">
      <c r="N133">
        <f>IF(L133="","",IF(2026-E133&gt;0,L133/(2026-E133),L133))</f>
        <v/>
      </c>
    </row>
    <row r="134" ht="15" customHeight="1" s="1">
      <c r="N134">
        <f>IF(L134="","",IF(2026-E134&gt;0,L134/(2026-E134),L134))</f>
        <v/>
      </c>
    </row>
    <row r="135" ht="15" customHeight="1" s="1">
      <c r="N135">
        <f>IF(L135="","",IF(2026-E135&gt;0,L135/(2026-E135),L135))</f>
        <v/>
      </c>
    </row>
    <row r="136" ht="15" customHeight="1" s="1">
      <c r="N136">
        <f>IF(L136="","",IF(2026-E136&gt;0,L136/(2026-E136),L136))</f>
        <v/>
      </c>
    </row>
    <row r="137" ht="15" customHeight="1" s="1">
      <c r="N137">
        <f>IF(L137="","",IF(2026-E137&gt;0,L137/(2026-E137),L137))</f>
        <v/>
      </c>
    </row>
    <row r="138" ht="15" customHeight="1" s="1">
      <c r="N138">
        <f>IF(L138="","",IF(2026-E138&gt;0,L138/(2026-E138),L138))</f>
        <v/>
      </c>
    </row>
    <row r="139" ht="15" customHeight="1" s="1">
      <c r="N139">
        <f>IF(L139="","",IF(2026-E139&gt;0,L139/(2026-E139),L139))</f>
        <v/>
      </c>
    </row>
    <row r="140" ht="15" customHeight="1" s="1">
      <c r="N140">
        <f>IF(L140="","",IF(2026-E140&gt;0,L140/(2026-E140),L140))</f>
        <v/>
      </c>
    </row>
    <row r="141" ht="15" customHeight="1" s="1">
      <c r="N141">
        <f>IF(L141="","",IF(2026-E141&gt;0,L141/(2026-E141),L141))</f>
        <v/>
      </c>
    </row>
    <row r="142" ht="15" customHeight="1" s="1">
      <c r="N142">
        <f>IF(L142="","",IF(2026-E142&gt;0,L142/(2026-E142),L142))</f>
        <v/>
      </c>
    </row>
    <row r="143" ht="15" customHeight="1" s="1">
      <c r="N143">
        <f>IF(L143="","",IF(2026-E143&gt;0,L143/(2026-E143),L143))</f>
        <v/>
      </c>
    </row>
    <row r="144" ht="15" customHeight="1" s="1">
      <c r="N144">
        <f>IF(L144="","",IF(2026-E144&gt;0,L144/(2026-E144),L144))</f>
        <v/>
      </c>
    </row>
    <row r="145" ht="15" customHeight="1" s="1">
      <c r="N145">
        <f>IF(L145="","",IF(2026-E145&gt;0,L145/(2026-E145),L145))</f>
        <v/>
      </c>
    </row>
    <row r="146" ht="15" customHeight="1" s="1">
      <c r="N146">
        <f>IF(L146="","",IF(2026-E146&gt;0,L146/(2026-E146),L146))</f>
        <v/>
      </c>
    </row>
    <row r="147" ht="15" customHeight="1" s="1">
      <c r="N147">
        <f>IF(L147="","",IF(2026-E147&gt;0,L147/(2026-E147),L147))</f>
        <v/>
      </c>
    </row>
    <row r="148" ht="15" customHeight="1" s="1">
      <c r="N148">
        <f>IF(L148="","",IF(2026-E148&gt;0,L148/(2026-E148),L148))</f>
        <v/>
      </c>
    </row>
    <row r="149" ht="15" customHeight="1" s="1">
      <c r="N149">
        <f>IF(L149="","",IF(2026-E149&gt;0,L149/(2026-E149),L149))</f>
        <v/>
      </c>
    </row>
    <row r="150" ht="15" customHeight="1" s="1">
      <c r="N150">
        <f>IF(L150="","",IF(2026-E150&gt;0,L150/(2026-E150),L150))</f>
        <v/>
      </c>
    </row>
    <row r="151" ht="15" customHeight="1" s="1">
      <c r="N151">
        <f>IF(L151="","",IF(2026-E151&gt;0,L151/(2026-E151),L151))</f>
        <v/>
      </c>
    </row>
    <row r="152" ht="15" customHeight="1" s="1">
      <c r="N152">
        <f>IF(L152="","",IF(2026-E152&gt;0,L152/(2026-E152),L152))</f>
        <v/>
      </c>
    </row>
    <row r="153" ht="15" customHeight="1" s="1">
      <c r="N153">
        <f>IF(L153="","",IF(2026-E153&gt;0,L153/(2026-E153),L153))</f>
        <v/>
      </c>
    </row>
    <row r="154" ht="15" customHeight="1" s="1">
      <c r="N154">
        <f>IF(L154="","",IF(2026-E154&gt;0,L154/(2026-E154),L154))</f>
        <v/>
      </c>
    </row>
    <row r="155" ht="15" customHeight="1" s="1">
      <c r="N155">
        <f>IF(L155="","",IF(2026-E155&gt;0,L155/(2026-E155),L155))</f>
        <v/>
      </c>
    </row>
    <row r="156" ht="15" customHeight="1" s="1">
      <c r="N156">
        <f>IF(L156="","",IF(2026-E156&gt;0,L156/(2026-E156),L156))</f>
        <v/>
      </c>
    </row>
    <row r="157" ht="15" customHeight="1" s="1">
      <c r="N157">
        <f>IF(L157="","",IF(2026-E157&gt;0,L157/(2026-E157),L157))</f>
        <v/>
      </c>
    </row>
    <row r="158" ht="15" customHeight="1" s="1">
      <c r="N158">
        <f>IF(L158="","",IF(2026-E158&gt;0,L158/(2026-E158),L158))</f>
        <v/>
      </c>
    </row>
    <row r="159" ht="15" customHeight="1" s="1">
      <c r="N159">
        <f>IF(L159="","",IF(2026-E159&gt;0,L159/(2026-E159),L159))</f>
        <v/>
      </c>
    </row>
    <row r="160" ht="15" customHeight="1" s="1">
      <c r="N160">
        <f>IF(L160="","",IF(2026-E160&gt;0,L160/(2026-E160),L160))</f>
        <v/>
      </c>
    </row>
    <row r="161" ht="15" customHeight="1" s="1">
      <c r="N161">
        <f>IF(L161="","",IF(2026-E161&gt;0,L161/(2026-E161),L161))</f>
        <v/>
      </c>
    </row>
    <row r="162" ht="15" customHeight="1" s="1">
      <c r="N162">
        <f>IF(L162="","",IF(2026-E162&gt;0,L162/(2026-E162),L162))</f>
        <v/>
      </c>
    </row>
    <row r="163" ht="15" customHeight="1" s="1">
      <c r="N163">
        <f>IF(L163="","",IF(2026-E163&gt;0,L163/(2026-E163),L163))</f>
        <v/>
      </c>
    </row>
    <row r="164" ht="15" customHeight="1" s="1">
      <c r="N164">
        <f>IF(L164="","",IF(2026-E164&gt;0,L164/(2026-E164),L164))</f>
        <v/>
      </c>
    </row>
    <row r="165" ht="15" customHeight="1" s="1">
      <c r="N165">
        <f>IF(L165="","",IF(2026-E165&gt;0,L165/(2026-E165),L165))</f>
        <v/>
      </c>
    </row>
    <row r="166" ht="15" customHeight="1" s="1">
      <c r="N166">
        <f>IF(L166="","",IF(2026-E166&gt;0,L166/(2026-E166),L166))</f>
        <v/>
      </c>
    </row>
    <row r="167" ht="15" customHeight="1" s="1">
      <c r="N167">
        <f>IF(L167="","",IF(2026-E167&gt;0,L167/(2026-E167),L167))</f>
        <v/>
      </c>
    </row>
    <row r="168" ht="15" customHeight="1" s="1">
      <c r="N168">
        <f>IF(L168="","",IF(2026-E168&gt;0,L168/(2026-E168),L168))</f>
        <v/>
      </c>
    </row>
    <row r="169" ht="15" customHeight="1" s="1">
      <c r="N169">
        <f>IF(L169="","",IF(2026-E169&gt;0,L169/(2026-E169),L169))</f>
        <v/>
      </c>
    </row>
    <row r="170" ht="15" customHeight="1" s="1">
      <c r="N170">
        <f>IF(L170="","",IF(2026-E170&gt;0,L170/(2026-E170),L170))</f>
        <v/>
      </c>
    </row>
    <row r="171" ht="15" customHeight="1" s="1">
      <c r="N171">
        <f>IF(L171="","",IF(2026-E171&gt;0,L171/(2026-E171),L171))</f>
        <v/>
      </c>
    </row>
    <row r="172" ht="15" customHeight="1" s="1">
      <c r="N172">
        <f>IF(L172="","",IF(2026-E172&gt;0,L172/(2026-E172),L172))</f>
        <v/>
      </c>
    </row>
    <row r="173" ht="15" customHeight="1" s="1">
      <c r="N173">
        <f>IF(L173="","",IF(2026-E173&gt;0,L173/(2026-E173),L173))</f>
        <v/>
      </c>
    </row>
    <row r="174" ht="15" customHeight="1" s="1">
      <c r="N174">
        <f>IF(L174="","",IF(2026-E174&gt;0,L174/(2026-E174),L174))</f>
        <v/>
      </c>
    </row>
    <row r="175" ht="15" customHeight="1" s="1">
      <c r="N175">
        <f>IF(L175="","",IF(2026-E175&gt;0,L175/(2026-E175),L175))</f>
        <v/>
      </c>
    </row>
    <row r="176" ht="15" customHeight="1" s="1">
      <c r="N176">
        <f>IF(L176="","",IF(2026-E176&gt;0,L176/(2026-E176),L176))</f>
        <v/>
      </c>
    </row>
    <row r="177" ht="15" customHeight="1" s="1">
      <c r="N177">
        <f>IF(L177="","",IF(2026-E177&gt;0,L177/(2026-E177),L177))</f>
        <v/>
      </c>
    </row>
    <row r="178" ht="15" customHeight="1" s="1">
      <c r="N178">
        <f>IF(L178="","",IF(2026-E178&gt;0,L178/(2026-E178),L178))</f>
        <v/>
      </c>
    </row>
    <row r="179" ht="15" customHeight="1" s="1">
      <c r="N179">
        <f>IF(L179="","",IF(2026-E179&gt;0,L179/(2026-E179),L179))</f>
        <v/>
      </c>
    </row>
    <row r="180" ht="15" customHeight="1" s="1">
      <c r="N180">
        <f>IF(L180="","",IF(2026-E180&gt;0,L180/(2026-E180),L180))</f>
        <v/>
      </c>
    </row>
    <row r="181" ht="15" customHeight="1" s="1">
      <c r="N181">
        <f>IF(L181="","",IF(2026-E181&gt;0,L181/(2026-E181),L181))</f>
        <v/>
      </c>
    </row>
    <row r="182" ht="15" customHeight="1" s="1">
      <c r="N182">
        <f>IF(L182="","",IF(2026-E182&gt;0,L182/(2026-E182),L182))</f>
        <v/>
      </c>
    </row>
    <row r="183" ht="15" customHeight="1" s="1">
      <c r="N183">
        <f>IF(L183="","",IF(2026-E183&gt;0,L183/(2026-E183),L183))</f>
        <v/>
      </c>
    </row>
    <row r="184" ht="15" customHeight="1" s="1">
      <c r="N184">
        <f>IF(L184="","",IF(2026-E184&gt;0,L184/(2026-E184),L184))</f>
        <v/>
      </c>
    </row>
    <row r="185" ht="15" customHeight="1" s="1">
      <c r="N185">
        <f>IF(L185="","",IF(2026-E185&gt;0,L185/(2026-E185),L185))</f>
        <v/>
      </c>
    </row>
    <row r="186" ht="15" customHeight="1" s="1">
      <c r="N186">
        <f>IF(L186="","",IF(2026-E186&gt;0,L186/(2026-E186),L186))</f>
        <v/>
      </c>
    </row>
    <row r="187" ht="15" customHeight="1" s="1">
      <c r="N187">
        <f>IF(L187="","",IF(2026-E187&gt;0,L187/(2026-E187),L187))</f>
        <v/>
      </c>
    </row>
    <row r="188" ht="15" customHeight="1" s="1">
      <c r="N188">
        <f>IF(L188="","",IF(2026-E188&gt;0,L188/(2026-E188),L188))</f>
        <v/>
      </c>
    </row>
    <row r="189" ht="15" customHeight="1" s="1">
      <c r="N189">
        <f>IF(L189="","",IF(2026-E189&gt;0,L189/(2026-E189),L189))</f>
        <v/>
      </c>
    </row>
    <row r="190" ht="15" customHeight="1" s="1">
      <c r="N190">
        <f>IF(L190="","",IF(2026-E190&gt;0,L190/(2026-E190),L190))</f>
        <v/>
      </c>
    </row>
    <row r="191" ht="15" customHeight="1" s="1">
      <c r="N191">
        <f>IF(L191="","",IF(2026-E191&gt;0,L191/(2026-E191),L191))</f>
        <v/>
      </c>
    </row>
    <row r="192" ht="15" customHeight="1" s="1">
      <c r="N192">
        <f>IF(L192="","",IF(2026-E192&gt;0,L192/(2026-E192),L192))</f>
        <v/>
      </c>
    </row>
    <row r="193" ht="15" customHeight="1" s="1">
      <c r="N193">
        <f>IF(L193="","",IF(2026-E193&gt;0,L193/(2026-E193),L193))</f>
        <v/>
      </c>
    </row>
    <row r="194" ht="15" customHeight="1" s="1">
      <c r="N194">
        <f>IF(L194="","",IF(2026-E194&gt;0,L194/(2026-E194),L194))</f>
        <v/>
      </c>
    </row>
    <row r="195" ht="15" customHeight="1" s="1">
      <c r="N195">
        <f>IF(L195="","",IF(2026-E195&gt;0,L195/(2026-E195),L195))</f>
        <v/>
      </c>
    </row>
    <row r="196" ht="15" customHeight="1" s="1">
      <c r="N196">
        <f>IF(L196="","",IF(2026-E196&gt;0,L196/(2026-E196),L196))</f>
        <v/>
      </c>
    </row>
    <row r="197" ht="15" customHeight="1" s="1">
      <c r="N197">
        <f>IF(L197="","",IF(2026-E197&gt;0,L197/(2026-E197),L197))</f>
        <v/>
      </c>
    </row>
    <row r="198" ht="15" customHeight="1" s="1">
      <c r="N198">
        <f>IF(L198="","",IF(2026-E198&gt;0,L198/(2026-E198),L198))</f>
        <v/>
      </c>
    </row>
    <row r="199" ht="15" customHeight="1" s="1">
      <c r="N199">
        <f>IF(L199="","",IF(2026-E199&gt;0,L199/(2026-E199),L199))</f>
        <v/>
      </c>
    </row>
    <row r="200" ht="15" customHeight="1" s="1">
      <c r="N200">
        <f>IF(L200="","",IF(2026-E200&gt;0,L200/(2026-E200),L200))</f>
        <v/>
      </c>
    </row>
    <row r="201" ht="15" customHeight="1" s="1">
      <c r="N201">
        <f>IF(L201="","",IF(2026-E201&gt;0,L201/(2026-E201),L201))</f>
        <v/>
      </c>
    </row>
    <row r="202" ht="15" customHeight="1" s="1">
      <c r="N202">
        <f>IF(L202="","",IF(2026-E202&gt;0,L202/(2026-E202),L202))</f>
        <v/>
      </c>
    </row>
    <row r="203" ht="15" customHeight="1" s="1">
      <c r="N203">
        <f>IF(L203="","",IF(2026-E203&gt;0,L203/(2026-E203),L203))</f>
        <v/>
      </c>
    </row>
    <row r="204" ht="15" customHeight="1" s="1">
      <c r="N204">
        <f>IF(L204="","",IF(2026-E204&gt;0,L204/(2026-E204),L204))</f>
        <v/>
      </c>
    </row>
    <row r="205" ht="15" customHeight="1" s="1">
      <c r="N205">
        <f>IF(L205="","",IF(2026-E205&gt;0,L205/(2026-E205),L205))</f>
        <v/>
      </c>
    </row>
    <row r="206" ht="15" customHeight="1" s="1">
      <c r="N206">
        <f>IF(L206="","",IF(2026-E206&gt;0,L206/(2026-E206),L206))</f>
        <v/>
      </c>
    </row>
    <row r="207" ht="15" customHeight="1" s="1">
      <c r="N207">
        <f>IF(L207="","",IF(2026-E207&gt;0,L207/(2026-E207),L207))</f>
        <v/>
      </c>
    </row>
    <row r="208" ht="15" customHeight="1" s="1">
      <c r="N208">
        <f>IF(L208="","",IF(2026-E208&gt;0,L208/(2026-E208),L208))</f>
        <v/>
      </c>
    </row>
    <row r="209" ht="15" customHeight="1" s="1">
      <c r="N209">
        <f>IF(L209="","",IF(2026-E209&gt;0,L209/(2026-E209),L209))</f>
        <v/>
      </c>
    </row>
    <row r="210" ht="15" customHeight="1" s="1">
      <c r="N210">
        <f>IF(L210="","",IF(2026-E210&gt;0,L210/(2026-E210),L210))</f>
        <v/>
      </c>
    </row>
    <row r="211" ht="15" customHeight="1" s="1">
      <c r="N211">
        <f>IF(L211="","",IF(2026-E211&gt;0,L211/(2026-E211),L211))</f>
        <v/>
      </c>
    </row>
    <row r="212" ht="15" customHeight="1" s="1">
      <c r="N212">
        <f>IF(L212="","",IF(2026-E212&gt;0,L212/(2026-E212),L212))</f>
        <v/>
      </c>
    </row>
    <row r="213" ht="15" customHeight="1" s="1">
      <c r="N213">
        <f>IF(L213="","",IF(2026-E213&gt;0,L213/(2026-E213),L213))</f>
        <v/>
      </c>
    </row>
    <row r="214" ht="15" customHeight="1" s="1">
      <c r="N214">
        <f>IF(L214="","",IF(2026-E214&gt;0,L214/(2026-E214),L214))</f>
        <v/>
      </c>
    </row>
    <row r="215" ht="15" customHeight="1" s="1">
      <c r="N215">
        <f>IF(L215="","",IF(2026-E215&gt;0,L215/(2026-E215),L215))</f>
        <v/>
      </c>
    </row>
    <row r="216" ht="15" customHeight="1" s="1">
      <c r="N216">
        <f>IF(L216="","",IF(2026-E216&gt;0,L216/(2026-E216),L216))</f>
        <v/>
      </c>
    </row>
    <row r="217" ht="15" customHeight="1" s="1">
      <c r="N217">
        <f>IF(L217="","",IF(2026-E217&gt;0,L217/(2026-E217),L217))</f>
        <v/>
      </c>
    </row>
    <row r="218" ht="15" customHeight="1" s="1">
      <c r="N218">
        <f>IF(L218="","",IF(2026-E218&gt;0,L218/(2026-E218),L218))</f>
        <v/>
      </c>
    </row>
    <row r="219" ht="15" customHeight="1" s="1">
      <c r="N219">
        <f>IF(L219="","",IF(2026-E219&gt;0,L219/(2026-E219),L219))</f>
        <v/>
      </c>
    </row>
    <row r="220" ht="15" customHeight="1" s="1">
      <c r="N220">
        <f>IF(L220="","",IF(2026-E220&gt;0,L220/(2026-E220),L220))</f>
        <v/>
      </c>
    </row>
    <row r="221" ht="15" customHeight="1" s="1">
      <c r="N221">
        <f>IF(L221="","",IF(2026-E221&gt;0,L221/(2026-E221),L221))</f>
        <v/>
      </c>
    </row>
    <row r="222" ht="15" customHeight="1" s="1">
      <c r="N222">
        <f>IF(L222="","",IF(2026-E222&gt;0,L222/(2026-E222),L222))</f>
        <v/>
      </c>
    </row>
    <row r="223" ht="15" customHeight="1" s="1">
      <c r="N223">
        <f>IF(L223="","",IF(2026-E223&gt;0,L223/(2026-E223),L223))</f>
        <v/>
      </c>
    </row>
    <row r="224" ht="15" customHeight="1" s="1">
      <c r="N224">
        <f>IF(L224="","",IF(2026-E224&gt;0,L224/(2026-E224),L224))</f>
        <v/>
      </c>
    </row>
    <row r="225" ht="15" customHeight="1" s="1">
      <c r="N225">
        <f>IF(L225="","",IF(2026-E225&gt;0,L225/(2026-E225),L225))</f>
        <v/>
      </c>
    </row>
    <row r="226" ht="15" customHeight="1" s="1">
      <c r="N226">
        <f>IF(L226="","",IF(2026-E226&gt;0,L226/(2026-E226),L226))</f>
        <v/>
      </c>
    </row>
    <row r="227" ht="15" customHeight="1" s="1">
      <c r="N227">
        <f>IF(L227="","",IF(2026-E227&gt;0,L227/(2026-E227),L227))</f>
        <v/>
      </c>
    </row>
    <row r="228" ht="15" customHeight="1" s="1">
      <c r="N228">
        <f>IF(L228="","",IF(2026-E228&gt;0,L228/(2026-E228),L228))</f>
        <v/>
      </c>
    </row>
    <row r="229" ht="15" customHeight="1" s="1">
      <c r="N229">
        <f>IF(L229="","",IF(2026-E229&gt;0,L229/(2026-E229),L229))</f>
        <v/>
      </c>
    </row>
    <row r="230" ht="15" customHeight="1" s="1">
      <c r="N230">
        <f>IF(L230="","",IF(2026-E230&gt;0,L230/(2026-E230),L230))</f>
        <v/>
      </c>
    </row>
    <row r="231" ht="15" customHeight="1" s="1">
      <c r="N231">
        <f>IF(L231="","",IF(2026-E231&gt;0,L231/(2026-E231),L231))</f>
        <v/>
      </c>
    </row>
    <row r="232" ht="15" customHeight="1" s="1">
      <c r="N232">
        <f>IF(L232="","",IF(2026-E232&gt;0,L232/(2026-E232),L232))</f>
        <v/>
      </c>
    </row>
    <row r="233" ht="15" customHeight="1" s="1">
      <c r="N233">
        <f>IF(L233="","",IF(2026-E233&gt;0,L233/(2026-E233),L233))</f>
        <v/>
      </c>
    </row>
    <row r="234" ht="15" customHeight="1" s="1">
      <c r="N234">
        <f>IF(L234="","",IF(2026-E234&gt;0,L234/(2026-E234),L234))</f>
        <v/>
      </c>
    </row>
    <row r="235" ht="15" customHeight="1" s="1">
      <c r="N235">
        <f>IF(L235="","",IF(2026-E235&gt;0,L235/(2026-E235),L235))</f>
        <v/>
      </c>
    </row>
    <row r="236" ht="15" customHeight="1" s="1">
      <c r="N236">
        <f>IF(L236="","",IF(2026-E236&gt;0,L236/(2026-E236),L236))</f>
        <v/>
      </c>
    </row>
    <row r="237" ht="15" customHeight="1" s="1">
      <c r="N237">
        <f>IF(L237="","",IF(2026-E237&gt;0,L237/(2026-E237),L237))</f>
        <v/>
      </c>
    </row>
    <row r="238" ht="15" customHeight="1" s="1">
      <c r="N238">
        <f>IF(L238="","",IF(2026-E238&gt;0,L238/(2026-E238),L238))</f>
        <v/>
      </c>
    </row>
    <row r="239" ht="15" customHeight="1" s="1">
      <c r="N239">
        <f>IF(L239="","",IF(2026-E239&gt;0,L239/(2026-E239),L239))</f>
        <v/>
      </c>
    </row>
    <row r="240" ht="15" customHeight="1" s="1">
      <c r="N240">
        <f>IF(L240="","",IF(2026-E240&gt;0,L240/(2026-E240),L240))</f>
        <v/>
      </c>
    </row>
    <row r="241" ht="15" customHeight="1" s="1">
      <c r="N241">
        <f>IF(L241="","",IF(2026-E241&gt;0,L241/(2026-E241),L241))</f>
        <v/>
      </c>
    </row>
    <row r="242" ht="15" customHeight="1" s="1">
      <c r="N242">
        <f>IF(L242="","",IF(2026-E242&gt;0,L242/(2026-E242),L242))</f>
        <v/>
      </c>
    </row>
    <row r="243" ht="15" customHeight="1" s="1">
      <c r="N243">
        <f>IF(L243="","",IF(2026-E243&gt;0,L243/(2026-E243),L243))</f>
        <v/>
      </c>
    </row>
    <row r="244" ht="15" customHeight="1" s="1">
      <c r="N244">
        <f>IF(L244="","",IF(2026-E244&gt;0,L244/(2026-E244),L244))</f>
        <v/>
      </c>
    </row>
    <row r="245" ht="15" customHeight="1" s="1">
      <c r="N245">
        <f>IF(L245="","",IF(2026-E245&gt;0,L245/(2026-E245),L245))</f>
        <v/>
      </c>
    </row>
    <row r="246" ht="15" customHeight="1" s="1">
      <c r="N246">
        <f>IF(L246="","",IF(2026-E246&gt;0,L246/(2026-E246),L246))</f>
        <v/>
      </c>
    </row>
    <row r="247" ht="15" customHeight="1" s="1">
      <c r="N247">
        <f>IF(L247="","",IF(2026-E247&gt;0,L247/(2026-E247),L247))</f>
        <v/>
      </c>
    </row>
    <row r="248" ht="15" customHeight="1" s="1">
      <c r="N248">
        <f>IF(L248="","",IF(2026-E248&gt;0,L248/(2026-E248),L248))</f>
        <v/>
      </c>
    </row>
    <row r="249" ht="15" customHeight="1" s="1">
      <c r="N249">
        <f>IF(L249="","",IF(2026-E249&gt;0,L249/(2026-E249),L249))</f>
        <v/>
      </c>
    </row>
    <row r="250" ht="15" customHeight="1" s="1">
      <c r="N250">
        <f>IF(L250="","",IF(2026-E250&gt;0,L250/(2026-E250),L250))</f>
        <v/>
      </c>
    </row>
    <row r="251" ht="15" customHeight="1" s="1">
      <c r="N251">
        <f>IF(L251="","",IF(2026-E251&gt;0,L251/(2026-E251),L251))</f>
        <v/>
      </c>
    </row>
    <row r="252" ht="15" customHeight="1" s="1">
      <c r="N252">
        <f>IF(L252="","",IF(2026-E252&gt;0,L252/(2026-E252),L252))</f>
        <v/>
      </c>
    </row>
    <row r="253" ht="15" customHeight="1" s="1">
      <c r="N253">
        <f>IF(L253="","",IF(2026-E253&gt;0,L253/(2026-E253),L253))</f>
        <v/>
      </c>
    </row>
    <row r="254" ht="15" customHeight="1" s="1">
      <c r="N254">
        <f>IF(L254="","",IF(2026-E254&gt;0,L254/(2026-E254),L254))</f>
        <v/>
      </c>
    </row>
    <row r="255" ht="15" customHeight="1" s="1">
      <c r="N255">
        <f>IF(L255="","",IF(2026-E255&gt;0,L255/(2026-E255),L255))</f>
        <v/>
      </c>
    </row>
    <row r="256" ht="15" customHeight="1" s="1">
      <c r="N256">
        <f>IF(L256="","",IF(2026-E256&gt;0,L256/(2026-E256),L256))</f>
        <v/>
      </c>
    </row>
    <row r="257" ht="15" customHeight="1" s="1">
      <c r="N257">
        <f>IF(L257="","",IF(2026-E257&gt;0,L257/(2026-E257),L257))</f>
        <v/>
      </c>
    </row>
    <row r="258" ht="15" customHeight="1" s="1">
      <c r="N258">
        <f>IF(L258="","",IF(2026-E258&gt;0,L258/(2026-E258),L258))</f>
        <v/>
      </c>
    </row>
    <row r="259" ht="15" customHeight="1" s="1">
      <c r="N259">
        <f>IF(L259="","",IF(2026-E259&gt;0,L259/(2026-E259),L259))</f>
        <v/>
      </c>
    </row>
    <row r="260" ht="15" customHeight="1" s="1">
      <c r="N260">
        <f>IF(L260="","",IF(2026-E260&gt;0,L260/(2026-E260),L260))</f>
        <v/>
      </c>
    </row>
    <row r="261" ht="15" customHeight="1" s="1">
      <c r="N261">
        <f>IF(L261="","",IF(2026-E261&gt;0,L261/(2026-E261),L261))</f>
        <v/>
      </c>
    </row>
    <row r="262" ht="15" customHeight="1" s="1">
      <c r="N262">
        <f>IF(L262="","",IF(2026-E262&gt;0,L262/(2026-E262),L262))</f>
        <v/>
      </c>
    </row>
    <row r="263" ht="15" customHeight="1" s="1">
      <c r="N263">
        <f>IF(L263="","",IF(2026-E263&gt;0,L263/(2026-E263),L263))</f>
        <v/>
      </c>
    </row>
    <row r="264" ht="15" customHeight="1" s="1">
      <c r="N264">
        <f>IF(L264="","",IF(2026-E264&gt;0,L264/(2026-E264),L264))</f>
        <v/>
      </c>
    </row>
    <row r="265" ht="15" customHeight="1" s="1">
      <c r="N265">
        <f>IF(L265="","",IF(2026-E265&gt;0,L265/(2026-E265),L265))</f>
        <v/>
      </c>
    </row>
    <row r="266" ht="15" customHeight="1" s="1">
      <c r="N266">
        <f>IF(L266="","",IF(2026-E266&gt;0,L266/(2026-E266),L266))</f>
        <v/>
      </c>
    </row>
    <row r="267" ht="15" customHeight="1" s="1">
      <c r="N267">
        <f>IF(L267="","",IF(2026-E267&gt;0,L267/(2026-E267),L267))</f>
        <v/>
      </c>
    </row>
    <row r="268" ht="15" customHeight="1" s="1">
      <c r="N268">
        <f>IF(L268="","",IF(2026-E268&gt;0,L268/(2026-E268),L268))</f>
        <v/>
      </c>
    </row>
    <row r="269" ht="15" customHeight="1" s="1">
      <c r="N269">
        <f>IF(L269="","",IF(2026-E269&gt;0,L269/(2026-E269),L269))</f>
        <v/>
      </c>
    </row>
    <row r="270" ht="15" customHeight="1" s="1">
      <c r="N270">
        <f>IF(L270="","",IF(2026-E270&gt;0,L270/(2026-E270),L270))</f>
        <v/>
      </c>
    </row>
    <row r="271" ht="15" customHeight="1" s="1">
      <c r="N271">
        <f>IF(L271="","",IF(2026-E271&gt;0,L271/(2026-E271),L271))</f>
        <v/>
      </c>
    </row>
    <row r="272" ht="15" customHeight="1" s="1">
      <c r="N272">
        <f>IF(L272="","",IF(2026-E272&gt;0,L272/(2026-E272),L272))</f>
        <v/>
      </c>
    </row>
    <row r="273" ht="15" customHeight="1" s="1">
      <c r="N273">
        <f>IF(L273="","",IF(2026-E273&gt;0,L273/(2026-E273),L273))</f>
        <v/>
      </c>
    </row>
    <row r="274" ht="15" customHeight="1" s="1">
      <c r="N274">
        <f>IF(L274="","",IF(2026-E274&gt;0,L274/(2026-E274),L274))</f>
        <v/>
      </c>
    </row>
    <row r="275" ht="15" customHeight="1" s="1">
      <c r="N275">
        <f>IF(L275="","",IF(2026-E275&gt;0,L275/(2026-E275),L275))</f>
        <v/>
      </c>
    </row>
    <row r="276" ht="15" customHeight="1" s="1">
      <c r="N276">
        <f>IF(L276="","",IF(2026-E276&gt;0,L276/(2026-E276),L276))</f>
        <v/>
      </c>
    </row>
    <row r="277" ht="15" customHeight="1" s="1">
      <c r="N277">
        <f>IF(L277="","",IF(2026-E277&gt;0,L277/(2026-E277),L277))</f>
        <v/>
      </c>
    </row>
    <row r="278" ht="15" customHeight="1" s="1">
      <c r="N278">
        <f>IF(L278="","",IF(2026-E278&gt;0,L278/(2026-E278),L278))</f>
        <v/>
      </c>
    </row>
    <row r="279" ht="15" customHeight="1" s="1">
      <c r="N279">
        <f>IF(L279="","",IF(2026-E279&gt;0,L279/(2026-E279),L279))</f>
        <v/>
      </c>
    </row>
    <row r="280" ht="15" customHeight="1" s="1">
      <c r="N280">
        <f>IF(L280="","",IF(2026-E280&gt;0,L280/(2026-E280),L280))</f>
        <v/>
      </c>
    </row>
    <row r="281" ht="15" customHeight="1" s="1">
      <c r="N281">
        <f>IF(L281="","",IF(2026-E281&gt;0,L281/(2026-E281),L281))</f>
        <v/>
      </c>
    </row>
    <row r="282" ht="15" customHeight="1" s="1">
      <c r="N282">
        <f>IF(L282="","",IF(2026-E282&gt;0,L282/(2026-E282),L282))</f>
        <v/>
      </c>
    </row>
    <row r="283" ht="15" customHeight="1" s="1">
      <c r="N283">
        <f>IF(L283="","",IF(2026-E283&gt;0,L283/(2026-E283),L283))</f>
        <v/>
      </c>
    </row>
    <row r="284" ht="15" customHeight="1" s="1">
      <c r="N284">
        <f>IF(L284="","",IF(2026-E284&gt;0,L284/(2026-E284),L284))</f>
        <v/>
      </c>
    </row>
    <row r="285" ht="15" customHeight="1" s="1">
      <c r="N285">
        <f>IF(L285="","",IF(2026-E285&gt;0,L285/(2026-E285),L285))</f>
        <v/>
      </c>
    </row>
    <row r="286" ht="15" customHeight="1" s="1">
      <c r="N286">
        <f>IF(L286="","",IF(2026-E286&gt;0,L286/(2026-E286),L286))</f>
        <v/>
      </c>
    </row>
    <row r="287" ht="15" customHeight="1" s="1">
      <c r="N287">
        <f>IF(L287="","",IF(2026-E287&gt;0,L287/(2026-E287),L287))</f>
        <v/>
      </c>
    </row>
    <row r="288" ht="15" customHeight="1" s="1">
      <c r="N288">
        <f>IF(L288="","",IF(2026-E288&gt;0,L288/(2026-E288),L288))</f>
        <v/>
      </c>
    </row>
    <row r="289" ht="15" customHeight="1" s="1">
      <c r="N289">
        <f>IF(L289="","",IF(2026-E289&gt;0,L289/(2026-E289),L289))</f>
        <v/>
      </c>
    </row>
    <row r="290" ht="15" customHeight="1" s="1">
      <c r="N290">
        <f>IF(L290="","",IF(2026-E290&gt;0,L290/(2026-E290),L290))</f>
        <v/>
      </c>
    </row>
    <row r="291" ht="15" customHeight="1" s="1">
      <c r="N291">
        <f>IF(L291="","",IF(2026-E291&gt;0,L291/(2026-E291),L291))</f>
        <v/>
      </c>
    </row>
    <row r="292" ht="15" customHeight="1" s="1">
      <c r="N292">
        <f>IF(L292="","",IF(2026-E292&gt;0,L292/(2026-E292),L292))</f>
        <v/>
      </c>
    </row>
    <row r="293" ht="15" customHeight="1" s="1">
      <c r="N293">
        <f>IF(L293="","",IF(2026-E293&gt;0,L293/(2026-E293),L293))</f>
        <v/>
      </c>
    </row>
    <row r="294" ht="15" customHeight="1" s="1">
      <c r="N294">
        <f>IF(L294="","",IF(2026-E294&gt;0,L294/(2026-E294),L294))</f>
        <v/>
      </c>
    </row>
    <row r="295" ht="15" customHeight="1" s="1">
      <c r="N295">
        <f>IF(L295="","",IF(2026-E295&gt;0,L295/(2026-E295),L295))</f>
        <v/>
      </c>
    </row>
    <row r="296" ht="15" customHeight="1" s="1">
      <c r="N296">
        <f>IF(L296="","",IF(2026-E296&gt;0,L296/(2026-E296),L296))</f>
        <v/>
      </c>
    </row>
    <row r="297" ht="15" customHeight="1" s="1">
      <c r="N297">
        <f>IF(L297="","",IF(2026-E297&gt;0,L297/(2026-E297),L297))</f>
        <v/>
      </c>
    </row>
    <row r="298" ht="15" customHeight="1" s="1">
      <c r="N298">
        <f>IF(L298="","",IF(2026-E298&gt;0,L298/(2026-E298),L298))</f>
        <v/>
      </c>
    </row>
    <row r="299" ht="15" customHeight="1" s="1">
      <c r="N299">
        <f>IF(L299="","",IF(2026-E299&gt;0,L299/(2026-E299),L299))</f>
        <v/>
      </c>
    </row>
    <row r="300" ht="15" customHeight="1" s="1">
      <c r="N300">
        <f>IF(L300="","",IF(2026-E300&gt;0,L300/(2026-E300),L300))</f>
        <v/>
      </c>
    </row>
    <row r="301" ht="15" customHeight="1" s="1">
      <c r="N301">
        <f>IF(L301="","",IF(2026-E301&gt;0,L301/(2026-E301),L301))</f>
        <v/>
      </c>
    </row>
    <row r="302" ht="15" customHeight="1" s="1">
      <c r="N302">
        <f>IF(L302="","",IF(2026-E302&gt;0,L302/(2026-E302),L302))</f>
        <v/>
      </c>
    </row>
    <row r="303" ht="15" customHeight="1" s="1">
      <c r="N303">
        <f>IF(L303="","",IF(2026-E303&gt;0,L303/(2026-E303),L303))</f>
        <v/>
      </c>
    </row>
    <row r="304" ht="15" customHeight="1" s="1">
      <c r="N304">
        <f>IF(L304="","",IF(2026-E304&gt;0,L304/(2026-E304),L304))</f>
        <v/>
      </c>
    </row>
    <row r="305" ht="15" customHeight="1" s="1">
      <c r="N305">
        <f>IF(L305="","",IF(2026-E305&gt;0,L305/(2026-E305),L305))</f>
        <v/>
      </c>
    </row>
    <row r="306" ht="15" customHeight="1" s="1">
      <c r="N306">
        <f>IF(L306="","",IF(2026-E306&gt;0,L306/(2026-E306),L306))</f>
        <v/>
      </c>
    </row>
    <row r="307" ht="15" customHeight="1" s="1">
      <c r="N307">
        <f>IF(L307="","",IF(2026-E307&gt;0,L307/(2026-E307),L307))</f>
        <v/>
      </c>
    </row>
    <row r="308" ht="15" customHeight="1" s="1">
      <c r="N308">
        <f>IF(L308="","",IF(2026-E308&gt;0,L308/(2026-E308),L308))</f>
        <v/>
      </c>
    </row>
    <row r="309" ht="15" customHeight="1" s="1">
      <c r="N309">
        <f>IF(L309="","",IF(2026-E309&gt;0,L309/(2026-E309),L309))</f>
        <v/>
      </c>
    </row>
    <row r="310" ht="15" customHeight="1" s="1">
      <c r="N310">
        <f>IF(L310="","",IF(2026-E310&gt;0,L310/(2026-E310),L310))</f>
        <v/>
      </c>
    </row>
    <row r="311" ht="15" customHeight="1" s="1">
      <c r="N311">
        <f>IF(L311="","",IF(2026-E311&gt;0,L311/(2026-E311),L311))</f>
        <v/>
      </c>
    </row>
    <row r="312" ht="15" customHeight="1" s="1">
      <c r="N312">
        <f>IF(L312="","",IF(2026-E312&gt;0,L312/(2026-E312),L312))</f>
        <v/>
      </c>
    </row>
    <row r="313" ht="15" customHeight="1" s="1">
      <c r="N313">
        <f>IF(L313="","",IF(2026-E313&gt;0,L313/(2026-E313),L313))</f>
        <v/>
      </c>
    </row>
    <row r="314" ht="15" customHeight="1" s="1">
      <c r="N314">
        <f>IF(L314="","",IF(2026-E314&gt;0,L314/(2026-E314),L314))</f>
        <v/>
      </c>
    </row>
    <row r="315" ht="15" customHeight="1" s="1">
      <c r="N315">
        <f>IF(L315="","",IF(2026-E315&gt;0,L315/(2026-E315),L315))</f>
        <v/>
      </c>
    </row>
    <row r="316" ht="15" customHeight="1" s="1">
      <c r="N316">
        <f>IF(L316="","",IF(2026-E316&gt;0,L316/(2026-E316),L316))</f>
        <v/>
      </c>
    </row>
    <row r="317" ht="15" customHeight="1" s="1">
      <c r="N317">
        <f>IF(L317="","",IF(2026-E317&gt;0,L317/(2026-E317),L317))</f>
        <v/>
      </c>
    </row>
    <row r="318" ht="15" customHeight="1" s="1">
      <c r="N318">
        <f>IF(L318="","",IF(2026-E318&gt;0,L318/(2026-E318),L318))</f>
        <v/>
      </c>
    </row>
    <row r="319" ht="15" customHeight="1" s="1">
      <c r="N319">
        <f>IF(L319="","",IF(2026-E319&gt;0,L319/(2026-E319),L319))</f>
        <v/>
      </c>
    </row>
    <row r="320" ht="15" customHeight="1" s="1">
      <c r="N320">
        <f>IF(L320="","",IF(2026-E320&gt;0,L320/(2026-E320),L320))</f>
        <v/>
      </c>
    </row>
    <row r="321" ht="15" customHeight="1" s="1">
      <c r="N321">
        <f>IF(L321="","",IF(2026-E321&gt;0,L321/(2026-E321),L321))</f>
        <v/>
      </c>
    </row>
    <row r="322" ht="15" customHeight="1" s="1">
      <c r="N322">
        <f>IF(L322="","",IF(2026-E322&gt;0,L322/(2026-E322),L322))</f>
        <v/>
      </c>
    </row>
    <row r="323" ht="15" customHeight="1" s="1">
      <c r="N323">
        <f>IF(L323="","",IF(2026-E323&gt;0,L323/(2026-E323),L323))</f>
        <v/>
      </c>
    </row>
    <row r="324" ht="15" customHeight="1" s="1">
      <c r="N324">
        <f>IF(L324="","",IF(2026-E324&gt;0,L324/(2026-E324),L324))</f>
        <v/>
      </c>
    </row>
    <row r="325" ht="15" customHeight="1" s="1">
      <c r="N325">
        <f>IF(L325="","",IF(2026-E325&gt;0,L325/(2026-E325),L325))</f>
        <v/>
      </c>
    </row>
    <row r="326" ht="15" customHeight="1" s="1">
      <c r="N326">
        <f>IF(L326="","",IF(2026-E326&gt;0,L326/(2026-E326),L326))</f>
        <v/>
      </c>
    </row>
    <row r="327" ht="15" customHeight="1" s="1">
      <c r="N327">
        <f>IF(L327="","",IF(2026-E327&gt;0,L327/(2026-E327),L327))</f>
        <v/>
      </c>
    </row>
    <row r="328" ht="15" customHeight="1" s="1">
      <c r="N328">
        <f>IF(L328="","",IF(2026-E328&gt;0,L328/(2026-E328),L328))</f>
        <v/>
      </c>
    </row>
    <row r="329" ht="15" customHeight="1" s="1">
      <c r="N329">
        <f>IF(L329="","",IF(2026-E329&gt;0,L329/(2026-E329),L329))</f>
        <v/>
      </c>
    </row>
    <row r="330" ht="15" customHeight="1" s="1">
      <c r="N330">
        <f>IF(L330="","",IF(2026-E330&gt;0,L330/(2026-E330),L330))</f>
        <v/>
      </c>
    </row>
    <row r="331" ht="15" customHeight="1" s="1">
      <c r="N331">
        <f>IF(L331="","",IF(2026-E331&gt;0,L331/(2026-E331),L331))</f>
        <v/>
      </c>
    </row>
    <row r="332" ht="15" customHeight="1" s="1">
      <c r="N332">
        <f>IF(L332="","",IF(2026-E332&gt;0,L332/(2026-E332),L332))</f>
        <v/>
      </c>
    </row>
    <row r="333" ht="15" customHeight="1" s="1">
      <c r="N333">
        <f>IF(L333="","",IF(2026-E333&gt;0,L333/(2026-E333),L333))</f>
        <v/>
      </c>
    </row>
    <row r="334" ht="15" customHeight="1" s="1">
      <c r="N334">
        <f>IF(L334="","",IF(2026-E334&gt;0,L334/(2026-E334),L334))</f>
        <v/>
      </c>
    </row>
    <row r="335" ht="15" customHeight="1" s="1">
      <c r="N335">
        <f>IF(L335="","",IF(2026-E335&gt;0,L335/(2026-E335),L335))</f>
        <v/>
      </c>
    </row>
    <row r="336" ht="15" customHeight="1" s="1">
      <c r="N336">
        <f>IF(L336="","",IF(2026-E336&gt;0,L336/(2026-E336),L336))</f>
        <v/>
      </c>
    </row>
    <row r="337" ht="15" customHeight="1" s="1">
      <c r="N337">
        <f>IF(L337="","",IF(2026-E337&gt;0,L337/(2026-E337),L337))</f>
        <v/>
      </c>
    </row>
    <row r="338" ht="15" customHeight="1" s="1">
      <c r="N338">
        <f>IF(L338="","",IF(2026-E338&gt;0,L338/(2026-E338),L338))</f>
        <v/>
      </c>
    </row>
    <row r="339" ht="15" customHeight="1" s="1">
      <c r="N339">
        <f>IF(L339="","",IF(2026-E339&gt;0,L339/(2026-E339),L339))</f>
        <v/>
      </c>
    </row>
    <row r="340" ht="15" customHeight="1" s="1">
      <c r="N340">
        <f>IF(L340="","",IF(2026-E340&gt;0,L340/(2026-E340),L340))</f>
        <v/>
      </c>
    </row>
    <row r="341" ht="15" customHeight="1" s="1">
      <c r="N341">
        <f>IF(L341="","",IF(2026-E341&gt;0,L341/(2026-E341),L341))</f>
        <v/>
      </c>
    </row>
    <row r="342" ht="15" customHeight="1" s="1">
      <c r="N342">
        <f>IF(L342="","",IF(2026-E342&gt;0,L342/(2026-E342),L342))</f>
        <v/>
      </c>
    </row>
    <row r="343" ht="15" customHeight="1" s="1">
      <c r="N343">
        <f>IF(L343="","",IF(2026-E343&gt;0,L343/(2026-E343),L343))</f>
        <v/>
      </c>
    </row>
    <row r="344" ht="15" customHeight="1" s="1">
      <c r="N344">
        <f>IF(L344="","",IF(2026-E344&gt;0,L344/(2026-E344),L344))</f>
        <v/>
      </c>
    </row>
    <row r="345" ht="15" customHeight="1" s="1">
      <c r="N345">
        <f>IF(L345="","",IF(2026-E345&gt;0,L345/(2026-E345),L345))</f>
        <v/>
      </c>
    </row>
    <row r="346" ht="15" customHeight="1" s="1">
      <c r="N346">
        <f>IF(L346="","",IF(2026-E346&gt;0,L346/(2026-E346),L346))</f>
        <v/>
      </c>
    </row>
    <row r="347" ht="15" customHeight="1" s="1">
      <c r="N347">
        <f>IF(L347="","",IF(2026-E347&gt;0,L347/(2026-E347),L347))</f>
        <v/>
      </c>
    </row>
    <row r="348" ht="15" customHeight="1" s="1">
      <c r="N348">
        <f>IF(L348="","",IF(2026-E348&gt;0,L348/(2026-E348),L348))</f>
        <v/>
      </c>
    </row>
    <row r="349" ht="15" customHeight="1" s="1">
      <c r="N349">
        <f>IF(L349="","",IF(2026-E349&gt;0,L349/(2026-E349),L349))</f>
        <v/>
      </c>
    </row>
    <row r="350" ht="15" customHeight="1" s="1">
      <c r="N350">
        <f>IF(L350="","",IF(2026-E350&gt;0,L350/(2026-E350),L350))</f>
        <v/>
      </c>
    </row>
    <row r="351" ht="15" customHeight="1" s="1">
      <c r="N351">
        <f>IF(L351="","",IF(2026-E351&gt;0,L351/(2026-E351),L351))</f>
        <v/>
      </c>
    </row>
    <row r="352" ht="15" customHeight="1" s="1">
      <c r="N352">
        <f>IF(L352="","",IF(2026-E352&gt;0,L352/(2026-E352),L352))</f>
        <v/>
      </c>
    </row>
    <row r="353" ht="15" customHeight="1" s="1">
      <c r="N353">
        <f>IF(L353="","",IF(2026-E353&gt;0,L353/(2026-E353),L353))</f>
        <v/>
      </c>
    </row>
    <row r="354" ht="15" customHeight="1" s="1">
      <c r="N354">
        <f>IF(L354="","",IF(2026-E354&gt;0,L354/(2026-E354),L354))</f>
        <v/>
      </c>
    </row>
    <row r="355" ht="15" customHeight="1" s="1">
      <c r="N355">
        <f>IF(L355="","",IF(2026-E355&gt;0,L355/(2026-E355),L355))</f>
        <v/>
      </c>
    </row>
    <row r="356" ht="15" customHeight="1" s="1">
      <c r="N356">
        <f>IF(L356="","",IF(2026-E356&gt;0,L356/(2026-E356),L356))</f>
        <v/>
      </c>
    </row>
    <row r="357" ht="15" customHeight="1" s="1">
      <c r="N357">
        <f>IF(L357="","",IF(2026-E357&gt;0,L357/(2026-E357),L357))</f>
        <v/>
      </c>
    </row>
    <row r="358" ht="15" customHeight="1" s="1">
      <c r="N358">
        <f>IF(L358="","",IF(2026-E358&gt;0,L358/(2026-E358),L358))</f>
        <v/>
      </c>
    </row>
    <row r="359" ht="15" customHeight="1" s="1">
      <c r="N359">
        <f>IF(L359="","",IF(2026-E359&gt;0,L359/(2026-E359),L359))</f>
        <v/>
      </c>
    </row>
    <row r="360" ht="15" customHeight="1" s="1">
      <c r="N360">
        <f>IF(L360="","",IF(2026-E360&gt;0,L360/(2026-E360),L360))</f>
        <v/>
      </c>
    </row>
    <row r="361" ht="15" customHeight="1" s="1">
      <c r="N361">
        <f>IF(L361="","",IF(2026-E361&gt;0,L361/(2026-E361),L361))</f>
        <v/>
      </c>
    </row>
    <row r="362" ht="15" customHeight="1" s="1">
      <c r="N362">
        <f>IF(L362="","",IF(2026-E362&gt;0,L362/(2026-E362),L362))</f>
        <v/>
      </c>
    </row>
    <row r="363" ht="15" customHeight="1" s="1">
      <c r="N363">
        <f>IF(L363="","",IF(2026-E363&gt;0,L363/(2026-E363),L363))</f>
        <v/>
      </c>
    </row>
    <row r="364" ht="15" customHeight="1" s="1">
      <c r="N364">
        <f>IF(L364="","",IF(2026-E364&gt;0,L364/(2026-E364),L364))</f>
        <v/>
      </c>
    </row>
    <row r="365" ht="15" customHeight="1" s="1">
      <c r="N365">
        <f>IF(L365="","",IF(2026-E365&gt;0,L365/(2026-E365),L365))</f>
        <v/>
      </c>
    </row>
    <row r="366" ht="15" customHeight="1" s="1">
      <c r="N366">
        <f>IF(L366="","",IF(2026-E366&gt;0,L366/(2026-E366),L366))</f>
        <v/>
      </c>
    </row>
    <row r="367" ht="15" customHeight="1" s="1">
      <c r="N367">
        <f>IF(L367="","",IF(2026-E367&gt;0,L367/(2026-E367),L367))</f>
        <v/>
      </c>
    </row>
    <row r="368" ht="15" customHeight="1" s="1">
      <c r="N368">
        <f>IF(L368="","",IF(2026-E368&gt;0,L368/(2026-E368),L368))</f>
        <v/>
      </c>
    </row>
    <row r="369" ht="15" customHeight="1" s="1">
      <c r="N369">
        <f>IF(L369="","",IF(2026-E369&gt;0,L369/(2026-E369),L369))</f>
        <v/>
      </c>
    </row>
    <row r="370" ht="15" customHeight="1" s="1">
      <c r="N370">
        <f>IF(L370="","",IF(2026-E370&gt;0,L370/(2026-E370),L370))</f>
        <v/>
      </c>
    </row>
    <row r="371" ht="15" customHeight="1" s="1">
      <c r="N371">
        <f>IF(L371="","",IF(2026-E371&gt;0,L371/(2026-E371),L371))</f>
        <v/>
      </c>
    </row>
    <row r="372" ht="15" customHeight="1" s="1">
      <c r="N372">
        <f>IF(L372="","",IF(2026-E372&gt;0,L372/(2026-E372),L372))</f>
        <v/>
      </c>
    </row>
    <row r="373" ht="15" customHeight="1" s="1">
      <c r="N373">
        <f>IF(L373="","",IF(2026-E373&gt;0,L373/(2026-E373),L373))</f>
        <v/>
      </c>
    </row>
    <row r="374" ht="15" customHeight="1" s="1">
      <c r="N374">
        <f>IF(L374="","",IF(2026-E374&gt;0,L374/(2026-E374),L374))</f>
        <v/>
      </c>
    </row>
    <row r="375" ht="15" customHeight="1" s="1">
      <c r="N375">
        <f>IF(L375="","",IF(2026-E375&gt;0,L375/(2026-E375),L375))</f>
        <v/>
      </c>
    </row>
    <row r="376" ht="15" customHeight="1" s="1">
      <c r="N376">
        <f>IF(L376="","",IF(2026-E376&gt;0,L376/(2026-E376),L376))</f>
        <v/>
      </c>
    </row>
    <row r="377" ht="15" customHeight="1" s="1">
      <c r="N377">
        <f>IF(L377="","",IF(2026-E377&gt;0,L377/(2026-E377),L377))</f>
        <v/>
      </c>
    </row>
    <row r="378" ht="15" customHeight="1" s="1">
      <c r="N378">
        <f>IF(L378="","",IF(2026-E378&gt;0,L378/(2026-E378),L378))</f>
        <v/>
      </c>
    </row>
    <row r="379" ht="15" customHeight="1" s="1">
      <c r="N379">
        <f>IF(L379="","",IF(2026-E379&gt;0,L379/(2026-E379),L379))</f>
        <v/>
      </c>
    </row>
    <row r="380" ht="15" customHeight="1" s="1">
      <c r="N380">
        <f>IF(L380="","",IF(2026-E380&gt;0,L380/(2026-E380),L380))</f>
        <v/>
      </c>
    </row>
    <row r="381" ht="15" customHeight="1" s="1">
      <c r="N381">
        <f>IF(L381="","",IF(2026-E381&gt;0,L381/(2026-E381),L381))</f>
        <v/>
      </c>
    </row>
    <row r="382" ht="15" customHeight="1" s="1">
      <c r="N382">
        <f>IF(L382="","",IF(2026-E382&gt;0,L382/(2026-E382),L382))</f>
        <v/>
      </c>
    </row>
    <row r="383" ht="15" customHeight="1" s="1">
      <c r="N383">
        <f>IF(L383="","",IF(2026-E383&gt;0,L383/(2026-E383),L383))</f>
        <v/>
      </c>
    </row>
    <row r="384" ht="15" customHeight="1" s="1">
      <c r="N384">
        <f>IF(L384="","",IF(2026-E384&gt;0,L384/(2026-E384),L384))</f>
        <v/>
      </c>
    </row>
    <row r="385" ht="15" customHeight="1" s="1">
      <c r="N385">
        <f>IF(L385="","",IF(2026-E385&gt;0,L385/(2026-E385),L385))</f>
        <v/>
      </c>
    </row>
    <row r="386" ht="15" customHeight="1" s="1">
      <c r="N386">
        <f>IF(L386="","",IF(2026-E386&gt;0,L386/(2026-E386),L386))</f>
        <v/>
      </c>
    </row>
    <row r="387" ht="15" customHeight="1" s="1">
      <c r="N387">
        <f>IF(L387="","",IF(2026-E387&gt;0,L387/(2026-E387),L387))</f>
        <v/>
      </c>
    </row>
    <row r="388" ht="15" customHeight="1" s="1">
      <c r="N388">
        <f>IF(L388="","",IF(2026-E388&gt;0,L388/(2026-E388),L388))</f>
        <v/>
      </c>
    </row>
    <row r="389" ht="15" customHeight="1" s="1">
      <c r="N389">
        <f>IF(L389="","",IF(2026-E389&gt;0,L389/(2026-E389),L389))</f>
        <v/>
      </c>
    </row>
    <row r="390" ht="15" customHeight="1" s="1">
      <c r="N390">
        <f>IF(L390="","",IF(2026-E390&gt;0,L390/(2026-E390),L390))</f>
        <v/>
      </c>
    </row>
    <row r="391" ht="15" customHeight="1" s="1">
      <c r="N391">
        <f>IF(L391="","",IF(2026-E391&gt;0,L391/(2026-E391),L391))</f>
        <v/>
      </c>
    </row>
    <row r="392" ht="15" customHeight="1" s="1">
      <c r="N392">
        <f>IF(L392="","",IF(2026-E392&gt;0,L392/(2026-E392),L392))</f>
        <v/>
      </c>
    </row>
    <row r="393" ht="15" customHeight="1" s="1">
      <c r="N393">
        <f>IF(L393="","",IF(2026-E393&gt;0,L393/(2026-E393),L393))</f>
        <v/>
      </c>
    </row>
    <row r="394" ht="15" customHeight="1" s="1">
      <c r="N394">
        <f>IF(L394="","",IF(2026-E394&gt;0,L394/(2026-E394),L394))</f>
        <v/>
      </c>
    </row>
    <row r="395" ht="15" customHeight="1" s="1">
      <c r="N395">
        <f>IF(L395="","",IF(2026-E395&gt;0,L395/(2026-E395),L395))</f>
        <v/>
      </c>
    </row>
    <row r="396" ht="15" customHeight="1" s="1">
      <c r="N396">
        <f>IF(L396="","",IF(2026-E396&gt;0,L396/(2026-E396),L396))</f>
        <v/>
      </c>
    </row>
    <row r="397" ht="15" customHeight="1" s="1">
      <c r="N397">
        <f>IF(L397="","",IF(2026-E397&gt;0,L397/(2026-E397),L397))</f>
        <v/>
      </c>
    </row>
    <row r="398" ht="15" customHeight="1" s="1">
      <c r="N398">
        <f>IF(L398="","",IF(2026-E398&gt;0,L398/(2026-E398),L398))</f>
        <v/>
      </c>
    </row>
    <row r="399" ht="15" customHeight="1" s="1">
      <c r="N399">
        <f>IF(L399="","",IF(2026-E399&gt;0,L399/(2026-E399),L399))</f>
        <v/>
      </c>
    </row>
    <row r="400" ht="15" customHeight="1" s="1">
      <c r="N400">
        <f>IF(L400="","",IF(2026-E400&gt;0,L400/(2026-E400),L400))</f>
        <v/>
      </c>
    </row>
    <row r="401" ht="15" customHeight="1" s="1">
      <c r="N401">
        <f>IF(L401="","",IF(2026-E401&gt;0,L401/(2026-E401),L401))</f>
        <v/>
      </c>
    </row>
    <row r="402" ht="15" customHeight="1" s="1">
      <c r="N402">
        <f>IF(L402="","",IF(2026-E402&gt;0,L402/(2026-E402),L402))</f>
        <v/>
      </c>
    </row>
    <row r="403" ht="15" customHeight="1" s="1">
      <c r="N403">
        <f>IF(L403="","",IF(2026-E403&gt;0,L403/(2026-E403),L403))</f>
        <v/>
      </c>
    </row>
    <row r="404" ht="15" customHeight="1" s="1">
      <c r="N404">
        <f>IF(L404="","",IF(2026-E404&gt;0,L404/(2026-E404),L404))</f>
        <v/>
      </c>
    </row>
    <row r="405" ht="15" customHeight="1" s="1">
      <c r="N405">
        <f>IF(L405="","",IF(2026-E405&gt;0,L405/(2026-E405),L405))</f>
        <v/>
      </c>
    </row>
    <row r="406" ht="15" customHeight="1" s="1">
      <c r="N406">
        <f>IF(L406="","",IF(2026-E406&gt;0,L406/(2026-E406),L406))</f>
        <v/>
      </c>
    </row>
    <row r="407" ht="15" customHeight="1" s="1">
      <c r="N407">
        <f>IF(L407="","",IF(2026-E407&gt;0,L407/(2026-E407),L407))</f>
        <v/>
      </c>
    </row>
    <row r="408" ht="15" customHeight="1" s="1">
      <c r="N408">
        <f>IF(L408="","",IF(2026-E408&gt;0,L408/(2026-E408),L408))</f>
        <v/>
      </c>
    </row>
    <row r="409" ht="15" customHeight="1" s="1">
      <c r="N409">
        <f>IF(L409="","",IF(2026-E409&gt;0,L409/(2026-E409),L409))</f>
        <v/>
      </c>
    </row>
    <row r="410" ht="15" customHeight="1" s="1">
      <c r="N410">
        <f>IF(L410="","",IF(2026-E410&gt;0,L410/(2026-E410),L410))</f>
        <v/>
      </c>
    </row>
    <row r="411" ht="15" customHeight="1" s="1">
      <c r="N411">
        <f>IF(L411="","",IF(2026-E411&gt;0,L411/(2026-E411),L411))</f>
        <v/>
      </c>
    </row>
    <row r="412" ht="15" customHeight="1" s="1">
      <c r="N412">
        <f>IF(L412="","",IF(2026-E412&gt;0,L412/(2026-E412),L412))</f>
        <v/>
      </c>
    </row>
    <row r="413" ht="15" customHeight="1" s="1">
      <c r="N413">
        <f>IF(L413="","",IF(2026-E413&gt;0,L413/(2026-E413),L413))</f>
        <v/>
      </c>
    </row>
    <row r="414" ht="15" customHeight="1" s="1">
      <c r="N414">
        <f>IF(L414="","",IF(2026-E414&gt;0,L414/(2026-E414),L414))</f>
        <v/>
      </c>
    </row>
    <row r="415" ht="15" customHeight="1" s="1">
      <c r="N415">
        <f>IF(L415="","",IF(2026-E415&gt;0,L415/(2026-E415),L415))</f>
        <v/>
      </c>
    </row>
    <row r="416" ht="15" customHeight="1" s="1">
      <c r="N416">
        <f>IF(L416="","",IF(2026-E416&gt;0,L416/(2026-E416),L416))</f>
        <v/>
      </c>
    </row>
    <row r="417" ht="15" customHeight="1" s="1">
      <c r="N417">
        <f>IF(L417="","",IF(2026-E417&gt;0,L417/(2026-E417),L417))</f>
        <v/>
      </c>
    </row>
    <row r="418" ht="15" customHeight="1" s="1">
      <c r="N418">
        <f>IF(L418="","",IF(2026-E418&gt;0,L418/(2026-E418),L418))</f>
        <v/>
      </c>
    </row>
    <row r="419" ht="15" customHeight="1" s="1">
      <c r="N419">
        <f>IF(L419="","",IF(2026-E419&gt;0,L419/(2026-E419),L419))</f>
        <v/>
      </c>
    </row>
    <row r="420" ht="15" customHeight="1" s="1">
      <c r="N420">
        <f>IF(L420="","",IF(2026-E420&gt;0,L420/(2026-E420),L420))</f>
        <v/>
      </c>
    </row>
    <row r="421" ht="15" customHeight="1" s="1">
      <c r="N421">
        <f>IF(L421="","",IF(2026-E421&gt;0,L421/(2026-E421),L421))</f>
        <v/>
      </c>
    </row>
    <row r="422" ht="15" customHeight="1" s="1">
      <c r="N422">
        <f>IF(L422="","",IF(2026-E422&gt;0,L422/(2026-E422),L422))</f>
        <v/>
      </c>
    </row>
    <row r="423" ht="15" customHeight="1" s="1">
      <c r="N423">
        <f>IF(L423="","",IF(2026-E423&gt;0,L423/(2026-E423),L423))</f>
        <v/>
      </c>
    </row>
    <row r="424" ht="15" customHeight="1" s="1">
      <c r="N424">
        <f>IF(L424="","",IF(2026-E424&gt;0,L424/(2026-E424),L424))</f>
        <v/>
      </c>
    </row>
    <row r="425" ht="15" customHeight="1" s="1">
      <c r="N425">
        <f>IF(L425="","",IF(2026-E425&gt;0,L425/(2026-E425),L425))</f>
        <v/>
      </c>
    </row>
    <row r="426" ht="15" customHeight="1" s="1">
      <c r="N426">
        <f>IF(L426="","",IF(2026-E426&gt;0,L426/(2026-E426),L426))</f>
        <v/>
      </c>
    </row>
    <row r="427" ht="15" customHeight="1" s="1">
      <c r="N427">
        <f>IF(L427="","",IF(2026-E427&gt;0,L427/(2026-E427),L427))</f>
        <v/>
      </c>
    </row>
    <row r="428" ht="15" customHeight="1" s="1">
      <c r="N428">
        <f>IF(L428="","",IF(2026-E428&gt;0,L428/(2026-E428),L428))</f>
        <v/>
      </c>
    </row>
    <row r="429" ht="15" customHeight="1" s="1">
      <c r="N429">
        <f>IF(L429="","",IF(2026-E429&gt;0,L429/(2026-E429),L429))</f>
        <v/>
      </c>
    </row>
    <row r="430" ht="15" customHeight="1" s="1">
      <c r="N430">
        <f>IF(L430="","",IF(2026-E430&gt;0,L430/(2026-E430),L430))</f>
        <v/>
      </c>
    </row>
    <row r="431" ht="15" customHeight="1" s="1">
      <c r="N431">
        <f>IF(L431="","",IF(2026-E431&gt;0,L431/(2026-E431),L431))</f>
        <v/>
      </c>
    </row>
    <row r="432" ht="15" customHeight="1" s="1">
      <c r="N432">
        <f>IF(L432="","",IF(2026-E432&gt;0,L432/(2026-E432),L432))</f>
        <v/>
      </c>
    </row>
    <row r="433" ht="15" customHeight="1" s="1">
      <c r="N433">
        <f>IF(L433="","",IF(2026-E433&gt;0,L433/(2026-E433),L433))</f>
        <v/>
      </c>
    </row>
    <row r="434" ht="15" customHeight="1" s="1">
      <c r="N434">
        <f>IF(L434="","",IF(2026-E434&gt;0,L434/(2026-E434),L434))</f>
        <v/>
      </c>
    </row>
    <row r="435" ht="15" customHeight="1" s="1">
      <c r="N435">
        <f>IF(L435="","",IF(2026-E435&gt;0,L435/(2026-E435),L435))</f>
        <v/>
      </c>
    </row>
    <row r="436" ht="15" customHeight="1" s="1">
      <c r="N436">
        <f>IF(L436="","",IF(2026-E436&gt;0,L436/(2026-E436),L436))</f>
        <v/>
      </c>
    </row>
    <row r="437" ht="15" customHeight="1" s="1">
      <c r="N437">
        <f>IF(L437="","",IF(2026-E437&gt;0,L437/(2026-E437),L437))</f>
        <v/>
      </c>
    </row>
    <row r="438" ht="15" customHeight="1" s="1">
      <c r="N438">
        <f>IF(L438="","",IF(2026-E438&gt;0,L438/(2026-E438),L438))</f>
        <v/>
      </c>
    </row>
    <row r="439" ht="15" customHeight="1" s="1">
      <c r="N439">
        <f>IF(L439="","",IF(2026-E439&gt;0,L439/(2026-E439),L439))</f>
        <v/>
      </c>
    </row>
    <row r="440" ht="15" customHeight="1" s="1">
      <c r="N440">
        <f>IF(L440="","",IF(2026-E440&gt;0,L440/(2026-E440),L440))</f>
        <v/>
      </c>
    </row>
    <row r="441" ht="15" customHeight="1" s="1">
      <c r="N441">
        <f>IF(L441="","",IF(2026-E441&gt;0,L441/(2026-E441),L441))</f>
        <v/>
      </c>
    </row>
    <row r="442" ht="15" customHeight="1" s="1">
      <c r="N442">
        <f>IF(L442="","",IF(2026-E442&gt;0,L442/(2026-E442),L442))</f>
        <v/>
      </c>
    </row>
    <row r="443" ht="15" customHeight="1" s="1">
      <c r="N443">
        <f>IF(L443="","",IF(2026-E443&gt;0,L443/(2026-E443),L443))</f>
        <v/>
      </c>
    </row>
    <row r="444" ht="15" customHeight="1" s="1">
      <c r="N444">
        <f>IF(L444="","",IF(2026-E444&gt;0,L444/(2026-E444),L444))</f>
        <v/>
      </c>
    </row>
    <row r="445" ht="15" customHeight="1" s="1">
      <c r="N445">
        <f>IF(L445="","",IF(2026-E445&gt;0,L445/(2026-E445),L445))</f>
        <v/>
      </c>
    </row>
    <row r="446" ht="15" customHeight="1" s="1">
      <c r="N446">
        <f>IF(L446="","",IF(2026-E446&gt;0,L446/(2026-E446),L446))</f>
        <v/>
      </c>
    </row>
    <row r="447" ht="15" customHeight="1" s="1">
      <c r="N447">
        <f>IF(L447="","",IF(2026-E447&gt;0,L447/(2026-E447),L447))</f>
        <v/>
      </c>
    </row>
    <row r="448" ht="15" customHeight="1" s="1">
      <c r="N448">
        <f>IF(L448="","",IF(2026-E448&gt;0,L448/(2026-E448),L448))</f>
        <v/>
      </c>
    </row>
    <row r="449" ht="15" customHeight="1" s="1">
      <c r="N449">
        <f>IF(L449="","",IF(2026-E449&gt;0,L449/(2026-E449),L449))</f>
        <v/>
      </c>
    </row>
    <row r="450" ht="15" customHeight="1" s="1">
      <c r="N450">
        <f>IF(L450="","",IF(2026-E450&gt;0,L450/(2026-E450),L450))</f>
        <v/>
      </c>
    </row>
    <row r="451" ht="15" customHeight="1" s="1">
      <c r="N451">
        <f>IF(L451="","",IF(2026-E451&gt;0,L451/(2026-E451),L451))</f>
        <v/>
      </c>
    </row>
    <row r="452" ht="15" customHeight="1" s="1">
      <c r="N452">
        <f>IF(L452="","",IF(2026-E452&gt;0,L452/(2026-E452),L452))</f>
        <v/>
      </c>
    </row>
    <row r="453" ht="15" customHeight="1" s="1">
      <c r="N453">
        <f>IF(L453="","",IF(2026-E453&gt;0,L453/(2026-E453),L453))</f>
        <v/>
      </c>
    </row>
    <row r="454" ht="15" customHeight="1" s="1">
      <c r="N454">
        <f>IF(L454="","",IF(2026-E454&gt;0,L454/(2026-E454),L454))</f>
        <v/>
      </c>
    </row>
    <row r="455" ht="15" customHeight="1" s="1">
      <c r="N455">
        <f>IF(L455="","",IF(2026-E455&gt;0,L455/(2026-E455),L455))</f>
        <v/>
      </c>
    </row>
    <row r="456" ht="15" customHeight="1" s="1">
      <c r="N456">
        <f>IF(L456="","",IF(2026-E456&gt;0,L456/(2026-E456),L456))</f>
        <v/>
      </c>
    </row>
    <row r="457" ht="15" customHeight="1" s="1">
      <c r="N457">
        <f>IF(L457="","",IF(2026-E457&gt;0,L457/(2026-E457),L457))</f>
        <v/>
      </c>
    </row>
    <row r="458" ht="15" customHeight="1" s="1">
      <c r="N458">
        <f>IF(L458="","",IF(2026-E458&gt;0,L458/(2026-E458),L458))</f>
        <v/>
      </c>
    </row>
    <row r="459" ht="15" customHeight="1" s="1">
      <c r="N459">
        <f>IF(L459="","",IF(2026-E459&gt;0,L459/(2026-E459),L459))</f>
        <v/>
      </c>
    </row>
    <row r="460" ht="15" customHeight="1" s="1">
      <c r="N460">
        <f>IF(L460="","",IF(2026-E460&gt;0,L460/(2026-E460),L460))</f>
        <v/>
      </c>
    </row>
    <row r="461" ht="15" customHeight="1" s="1">
      <c r="N461">
        <f>IF(L461="","",IF(2026-E461&gt;0,L461/(2026-E461),L461))</f>
        <v/>
      </c>
    </row>
    <row r="462" ht="15" customHeight="1" s="1">
      <c r="N462">
        <f>IF(L462="","",IF(2026-E462&gt;0,L462/(2026-E462),L462))</f>
        <v/>
      </c>
    </row>
    <row r="463" ht="15" customHeight="1" s="1">
      <c r="N463">
        <f>IF(L463="","",IF(2026-E463&gt;0,L463/(2026-E463),L463))</f>
        <v/>
      </c>
    </row>
    <row r="464" ht="15" customHeight="1" s="1">
      <c r="N464">
        <f>IF(L464="","",IF(2026-E464&gt;0,L464/(2026-E464),L464))</f>
        <v/>
      </c>
    </row>
    <row r="465" ht="15" customHeight="1" s="1">
      <c r="N465">
        <f>IF(L465="","",IF(2026-E465&gt;0,L465/(2026-E465),L465))</f>
        <v/>
      </c>
    </row>
    <row r="466" ht="15" customHeight="1" s="1">
      <c r="N466">
        <f>IF(L466="","",IF(2026-E466&gt;0,L466/(2026-E466),L466))</f>
        <v/>
      </c>
    </row>
    <row r="467" ht="15" customHeight="1" s="1">
      <c r="N467">
        <f>IF(L467="","",IF(2026-E467&gt;0,L467/(2026-E467),L467))</f>
        <v/>
      </c>
    </row>
    <row r="468" ht="15" customHeight="1" s="1">
      <c r="N468">
        <f>IF(L468="","",IF(2026-E468&gt;0,L468/(2026-E468),L468))</f>
        <v/>
      </c>
    </row>
    <row r="469" ht="15" customHeight="1" s="1">
      <c r="N469">
        <f>IF(L469="","",IF(2026-E469&gt;0,L469/(2026-E469),L469))</f>
        <v/>
      </c>
    </row>
    <row r="470" ht="15" customHeight="1" s="1">
      <c r="N470">
        <f>IF(L470="","",IF(2026-E470&gt;0,L470/(2026-E470),L470))</f>
        <v/>
      </c>
    </row>
    <row r="471" ht="15" customHeight="1" s="1">
      <c r="N471">
        <f>IF(L471="","",IF(2026-E471&gt;0,L471/(2026-E471),L471))</f>
        <v/>
      </c>
    </row>
    <row r="472" ht="15" customHeight="1" s="1">
      <c r="N472">
        <f>IF(L472="","",IF(2026-E472&gt;0,L472/(2026-E472),L472))</f>
        <v/>
      </c>
    </row>
    <row r="473" ht="15" customHeight="1" s="1">
      <c r="N473">
        <f>IF(L473="","",IF(2026-E473&gt;0,L473/(2026-E473),L473))</f>
        <v/>
      </c>
    </row>
    <row r="474" ht="15" customHeight="1" s="1">
      <c r="N474">
        <f>IF(L474="","",IF(2026-E474&gt;0,L474/(2026-E474),L474))</f>
        <v/>
      </c>
    </row>
    <row r="475" ht="15" customHeight="1" s="1">
      <c r="N475">
        <f>IF(L475="","",IF(2026-E475&gt;0,L475/(2026-E475),L475))</f>
        <v/>
      </c>
    </row>
    <row r="476" ht="15" customHeight="1" s="1">
      <c r="N476">
        <f>IF(L476="","",IF(2026-E476&gt;0,L476/(2026-E476),L476))</f>
        <v/>
      </c>
    </row>
    <row r="477" ht="15" customHeight="1" s="1">
      <c r="N477">
        <f>IF(L477="","",IF(2026-E477&gt;0,L477/(2026-E477),L477))</f>
        <v/>
      </c>
    </row>
    <row r="478" ht="15" customHeight="1" s="1">
      <c r="N478">
        <f>IF(L478="","",IF(2026-E478&gt;0,L478/(2026-E478),L478))</f>
        <v/>
      </c>
    </row>
    <row r="479" ht="15" customHeight="1" s="1">
      <c r="N479">
        <f>IF(L479="","",IF(2026-E479&gt;0,L479/(2026-E479),L479))</f>
        <v/>
      </c>
    </row>
    <row r="480" ht="15" customHeight="1" s="1">
      <c r="N480">
        <f>IF(L480="","",IF(2026-E480&gt;0,L480/(2026-E480),L480))</f>
        <v/>
      </c>
    </row>
    <row r="481" ht="15" customHeight="1" s="1">
      <c r="N481">
        <f>IF(L481="","",IF(2026-E481&gt;0,L481/(2026-E481),L481))</f>
        <v/>
      </c>
    </row>
    <row r="482" ht="15" customHeight="1" s="1">
      <c r="N482">
        <f>IF(L482="","",IF(2026-E482&gt;0,L482/(2026-E482),L482))</f>
        <v/>
      </c>
    </row>
    <row r="483" ht="15" customHeight="1" s="1">
      <c r="N483">
        <f>IF(L483="","",IF(2026-E483&gt;0,L483/(2026-E483),L483))</f>
        <v/>
      </c>
    </row>
    <row r="484" ht="15" customHeight="1" s="1">
      <c r="N484">
        <f>IF(L484="","",IF(2026-E484&gt;0,L484/(2026-E484),L484))</f>
        <v/>
      </c>
    </row>
    <row r="485" ht="15" customHeight="1" s="1">
      <c r="N485">
        <f>IF(L485="","",IF(2026-E485&gt;0,L485/(2026-E485),L485))</f>
        <v/>
      </c>
    </row>
    <row r="486" ht="15" customHeight="1" s="1">
      <c r="N486">
        <f>IF(L486="","",IF(2026-E486&gt;0,L486/(2026-E486),L486))</f>
        <v/>
      </c>
    </row>
    <row r="487" ht="15" customHeight="1" s="1">
      <c r="N487">
        <f>IF(L487="","",IF(2026-E487&gt;0,L487/(2026-E487),L487))</f>
        <v/>
      </c>
    </row>
    <row r="488" ht="15" customHeight="1" s="1">
      <c r="N488">
        <f>IF(L488="","",IF(2026-E488&gt;0,L488/(2026-E488),L488))</f>
        <v/>
      </c>
    </row>
    <row r="489" ht="15" customHeight="1" s="1">
      <c r="N489">
        <f>IF(L489="","",IF(2026-E489&gt;0,L489/(2026-E489),L489))</f>
        <v/>
      </c>
    </row>
    <row r="490" ht="15" customHeight="1" s="1">
      <c r="N490">
        <f>IF(L490="","",IF(2026-E490&gt;0,L490/(2026-E490),L490))</f>
        <v/>
      </c>
    </row>
    <row r="491" ht="15" customHeight="1" s="1">
      <c r="N491">
        <f>IF(L491="","",IF(2026-E491&gt;0,L491/(2026-E491),L491))</f>
        <v/>
      </c>
    </row>
    <row r="492" ht="15" customHeight="1" s="1">
      <c r="N492">
        <f>IF(L492="","",IF(2026-E492&gt;0,L492/(2026-E492),L492))</f>
        <v/>
      </c>
    </row>
    <row r="493" ht="15" customHeight="1" s="1">
      <c r="N493">
        <f>IF(L493="","",IF(2026-E493&gt;0,L493/(2026-E493),L493))</f>
        <v/>
      </c>
    </row>
    <row r="494" ht="15" customHeight="1" s="1">
      <c r="N494">
        <f>IF(L494="","",IF(2026-E494&gt;0,L494/(2026-E494),L494))</f>
        <v/>
      </c>
    </row>
    <row r="495" ht="15" customHeight="1" s="1">
      <c r="N495">
        <f>IF(L495="","",IF(2026-E495&gt;0,L495/(2026-E495),L495))</f>
        <v/>
      </c>
    </row>
    <row r="496" ht="15" customHeight="1" s="1">
      <c r="N496">
        <f>IF(L496="","",IF(2026-E496&gt;0,L496/(2026-E496),L496))</f>
        <v/>
      </c>
    </row>
    <row r="497" ht="15" customHeight="1" s="1">
      <c r="N497">
        <f>IF(L497="","",IF(2026-E497&gt;0,L497/(2026-E497),L497))</f>
        <v/>
      </c>
    </row>
    <row r="498" ht="15" customHeight="1" s="1">
      <c r="N498">
        <f>IF(L498="","",IF(2026-E498&gt;0,L498/(2026-E498),L498))</f>
        <v/>
      </c>
    </row>
    <row r="499" ht="15" customHeight="1" s="1">
      <c r="N499">
        <f>IF(L499="","",IF(2026-E499&gt;0,L499/(2026-E499),L499))</f>
        <v/>
      </c>
    </row>
    <row r="500" ht="15" customHeight="1" s="1">
      <c r="N500">
        <f>IF(L500="","",IF(2026-E500&gt;0,L500/(2026-E500),L500))</f>
        <v/>
      </c>
    </row>
    <row r="501" ht="15" customHeight="1" s="1">
      <c r="N501">
        <f>IF(L501="","",IF(2026-E501&gt;0,L501/(2026-E501),L501))</f>
        <v/>
      </c>
    </row>
    <row r="502" ht="15" customHeight="1" s="1">
      <c r="N502">
        <f>IF(L502="","",IF(2026-E502&gt;0,L502/(2026-E502),L502))</f>
        <v/>
      </c>
    </row>
    <row r="503" ht="15" customHeight="1" s="1">
      <c r="N503">
        <f>IF(L503="","",IF(2026-E503&gt;0,L503/(2026-E503),L503))</f>
        <v/>
      </c>
    </row>
    <row r="504" ht="15" customHeight="1" s="1">
      <c r="N504">
        <f>IF(L504="","",IF(2026-E504&gt;0,L504/(2026-E504),L504))</f>
        <v/>
      </c>
    </row>
    <row r="505" ht="15" customHeight="1" s="1">
      <c r="N505">
        <f>IF(L505="","",IF(2026-E505&gt;0,L505/(2026-E505),L505))</f>
        <v/>
      </c>
    </row>
    <row r="506" ht="15" customHeight="1" s="1">
      <c r="N506">
        <f>IF(L506="","",IF(2026-E506&gt;0,L506/(2026-E506),L506))</f>
        <v/>
      </c>
    </row>
    <row r="507" ht="15" customHeight="1" s="1">
      <c r="N507">
        <f>IF(L507="","",IF(2026-E507&gt;0,L507/(2026-E507),L507))</f>
        <v/>
      </c>
    </row>
    <row r="508" ht="15" customHeight="1" s="1">
      <c r="N508">
        <f>IF(L508="","",IF(2026-E508&gt;0,L508/(2026-E508),L508))</f>
        <v/>
      </c>
    </row>
    <row r="509" ht="15" customHeight="1" s="1">
      <c r="N509">
        <f>IF(L509="","",IF(2026-E509&gt;0,L509/(2026-E509),L509))</f>
        <v/>
      </c>
    </row>
    <row r="510" ht="15" customHeight="1" s="1">
      <c r="N510">
        <f>IF(L510="","",IF(2026-E510&gt;0,L510/(2026-E510),L510))</f>
        <v/>
      </c>
    </row>
    <row r="511" ht="15" customHeight="1" s="1">
      <c r="N511">
        <f>IF(L511="","",IF(2026-E511&gt;0,L511/(2026-E511),L511))</f>
        <v/>
      </c>
    </row>
    <row r="512" ht="15" customHeight="1" s="1">
      <c r="N512">
        <f>IF(L512="","",IF(2026-E512&gt;0,L512/(2026-E512),L512))</f>
        <v/>
      </c>
    </row>
    <row r="513" ht="15" customHeight="1" s="1">
      <c r="N513">
        <f>IF(L513="","",IF(2026-E513&gt;0,L513/(2026-E513),L513))</f>
        <v/>
      </c>
    </row>
    <row r="514" ht="15" customHeight="1" s="1">
      <c r="N514">
        <f>IF(L514="","",IF(2026-E514&gt;0,L514/(2026-E514),L514))</f>
        <v/>
      </c>
    </row>
    <row r="515" ht="15" customHeight="1" s="1">
      <c r="N515">
        <f>IF(L515="","",IF(2026-E515&gt;0,L515/(2026-E515),L515))</f>
        <v/>
      </c>
    </row>
    <row r="516" ht="15" customHeight="1" s="1">
      <c r="N516">
        <f>IF(L516="","",IF(2026-E516&gt;0,L516/(2026-E516),L516))</f>
        <v/>
      </c>
    </row>
    <row r="517" ht="15" customHeight="1" s="1">
      <c r="N517">
        <f>IF(L517="","",IF(2026-E517&gt;0,L517/(2026-E517),L517))</f>
        <v/>
      </c>
    </row>
    <row r="518" ht="15" customHeight="1" s="1">
      <c r="N518">
        <f>IF(L518="","",IF(2026-E518&gt;0,L518/(2026-E518),L518))</f>
        <v/>
      </c>
    </row>
    <row r="519" ht="15" customHeight="1" s="1">
      <c r="N519">
        <f>IF(L519="","",IF(2026-E519&gt;0,L519/(2026-E519),L519))</f>
        <v/>
      </c>
    </row>
    <row r="520" ht="15" customHeight="1" s="1">
      <c r="N520">
        <f>IF(L520="","",IF(2026-E520&gt;0,L520/(2026-E520),L520))</f>
        <v/>
      </c>
    </row>
    <row r="521" ht="15" customHeight="1" s="1">
      <c r="N521">
        <f>IF(L521="","",IF(2026-E521&gt;0,L521/(2026-E521),L521))</f>
        <v/>
      </c>
    </row>
    <row r="522" ht="15" customHeight="1" s="1">
      <c r="N522">
        <f>IF(L522="","",IF(2026-E522&gt;0,L522/(2026-E522),L522))</f>
        <v/>
      </c>
    </row>
    <row r="523" ht="15" customHeight="1" s="1">
      <c r="N523">
        <f>IF(L523="","",IF(2026-E523&gt;0,L523/(2026-E523),L523))</f>
        <v/>
      </c>
    </row>
    <row r="524" ht="15" customHeight="1" s="1">
      <c r="N524">
        <f>IF(L524="","",IF(2026-E524&gt;0,L524/(2026-E524),L524))</f>
        <v/>
      </c>
    </row>
    <row r="525" ht="15" customHeight="1" s="1">
      <c r="N525">
        <f>IF(L525="","",IF(2026-E525&gt;0,L525/(2026-E525),L525))</f>
        <v/>
      </c>
    </row>
    <row r="526" ht="15" customHeight="1" s="1">
      <c r="N526">
        <f>IF(L526="","",IF(2026-E526&gt;0,L526/(2026-E526),L526))</f>
        <v/>
      </c>
    </row>
    <row r="527" ht="15" customHeight="1" s="1">
      <c r="N527">
        <f>IF(L527="","",IF(2026-E527&gt;0,L527/(2026-E527),L527))</f>
        <v/>
      </c>
    </row>
    <row r="528" ht="15" customHeight="1" s="1">
      <c r="N528">
        <f>IF(L528="","",IF(2026-E528&gt;0,L528/(2026-E528),L528))</f>
        <v/>
      </c>
    </row>
    <row r="529" ht="15" customHeight="1" s="1">
      <c r="N529">
        <f>IF(L529="","",IF(2026-E529&gt;0,L529/(2026-E529),L529))</f>
        <v/>
      </c>
    </row>
    <row r="530" ht="15" customHeight="1" s="1">
      <c r="N530">
        <f>IF(L530="","",IF(2026-E530&gt;0,L530/(2026-E530),L530))</f>
        <v/>
      </c>
    </row>
    <row r="531" ht="15" customHeight="1" s="1">
      <c r="N531">
        <f>IF(L531="","",IF(2026-E531&gt;0,L531/(2026-E531),L531))</f>
        <v/>
      </c>
    </row>
    <row r="532" ht="15" customHeight="1" s="1">
      <c r="N532">
        <f>IF(L532="","",IF(2026-E532&gt;0,L532/(2026-E532),L532))</f>
        <v/>
      </c>
    </row>
    <row r="533" ht="15" customHeight="1" s="1">
      <c r="N533">
        <f>IF(L533="","",IF(2026-E533&gt;0,L533/(2026-E533),L533))</f>
        <v/>
      </c>
    </row>
    <row r="534" ht="15" customHeight="1" s="1">
      <c r="N534">
        <f>IF(L534="","",IF(2026-E534&gt;0,L534/(2026-E534),L534))</f>
        <v/>
      </c>
    </row>
    <row r="535" ht="15" customHeight="1" s="1">
      <c r="N535">
        <f>IF(L535="","",IF(2026-E535&gt;0,L535/(2026-E535),L535))</f>
        <v/>
      </c>
    </row>
    <row r="536" ht="15" customHeight="1" s="1">
      <c r="N536">
        <f>IF(L536="","",IF(2026-E536&gt;0,L536/(2026-E536),L536))</f>
        <v/>
      </c>
    </row>
    <row r="537" ht="15" customHeight="1" s="1">
      <c r="N537">
        <f>IF(L537="","",IF(2026-E537&gt;0,L537/(2026-E537),L537))</f>
        <v/>
      </c>
    </row>
    <row r="538" ht="15" customHeight="1" s="1">
      <c r="N538">
        <f>IF(L538="","",IF(2026-E538&gt;0,L538/(2026-E538),L538))</f>
        <v/>
      </c>
    </row>
    <row r="539" ht="15" customHeight="1" s="1">
      <c r="N539">
        <f>IF(L539="","",IF(2026-E539&gt;0,L539/(2026-E539),L539))</f>
        <v/>
      </c>
    </row>
    <row r="540" ht="15" customHeight="1" s="1">
      <c r="N540">
        <f>IF(L540="","",IF(2026-E540&gt;0,L540/(2026-E540),L540))</f>
        <v/>
      </c>
    </row>
    <row r="541" ht="15" customHeight="1" s="1">
      <c r="N541">
        <f>IF(L541="","",IF(2026-E541&gt;0,L541/(2026-E541),L541))</f>
        <v/>
      </c>
    </row>
    <row r="542" ht="15" customHeight="1" s="1">
      <c r="N542">
        <f>IF(L542="","",IF(2026-E542&gt;0,L542/(2026-E542),L542))</f>
        <v/>
      </c>
    </row>
    <row r="543" ht="15" customHeight="1" s="1">
      <c r="N543">
        <f>IF(L543="","",IF(2026-E543&gt;0,L543/(2026-E543),L543))</f>
        <v/>
      </c>
    </row>
    <row r="544" ht="15" customHeight="1" s="1">
      <c r="N544">
        <f>IF(L544="","",IF(2026-E544&gt;0,L544/(2026-E544),L544))</f>
        <v/>
      </c>
    </row>
    <row r="545" ht="15" customHeight="1" s="1">
      <c r="N545">
        <f>IF(L545="","",IF(2026-E545&gt;0,L545/(2026-E545),L545))</f>
        <v/>
      </c>
    </row>
    <row r="546" ht="15" customHeight="1" s="1">
      <c r="N546">
        <f>IF(L546="","",IF(2026-E546&gt;0,L546/(2026-E546),L546))</f>
        <v/>
      </c>
    </row>
    <row r="547" ht="15" customHeight="1" s="1">
      <c r="N547">
        <f>IF(L547="","",IF(2026-E547&gt;0,L547/(2026-E547),L547))</f>
        <v/>
      </c>
    </row>
    <row r="548" ht="15" customHeight="1" s="1">
      <c r="N548">
        <f>IF(L548="","",IF(2026-E548&gt;0,L548/(2026-E548),L548))</f>
        <v/>
      </c>
    </row>
    <row r="549" ht="15" customHeight="1" s="1">
      <c r="N549">
        <f>IF(L549="","",IF(2026-E549&gt;0,L549/(2026-E549),L549))</f>
        <v/>
      </c>
    </row>
    <row r="550" ht="15" customHeight="1" s="1">
      <c r="N550">
        <f>IF(L550="","",IF(2026-E550&gt;0,L550/(2026-E550),L550))</f>
        <v/>
      </c>
    </row>
    <row r="551" ht="15" customHeight="1" s="1">
      <c r="N551">
        <f>IF(L551="","",IF(2026-E551&gt;0,L551/(2026-E551),L551))</f>
        <v/>
      </c>
    </row>
    <row r="552" ht="15" customHeight="1" s="1">
      <c r="N552">
        <f>IF(L552="","",IF(2026-E552&gt;0,L552/(2026-E552),L552))</f>
        <v/>
      </c>
    </row>
    <row r="553" ht="15" customHeight="1" s="1">
      <c r="N553">
        <f>IF(L553="","",IF(2026-E553&gt;0,L553/(2026-E553),L553))</f>
        <v/>
      </c>
    </row>
    <row r="554" ht="15" customHeight="1" s="1">
      <c r="N554">
        <f>IF(L554="","",IF(2026-E554&gt;0,L554/(2026-E554),L554))</f>
        <v/>
      </c>
    </row>
    <row r="555" ht="15" customHeight="1" s="1">
      <c r="N555">
        <f>IF(L555="","",IF(2026-E555&gt;0,L555/(2026-E555),L555))</f>
        <v/>
      </c>
    </row>
    <row r="556" ht="15" customHeight="1" s="1">
      <c r="N556">
        <f>IF(L556="","",IF(2026-E556&gt;0,L556/(2026-E556),L556))</f>
        <v/>
      </c>
    </row>
    <row r="557" ht="15" customHeight="1" s="1">
      <c r="N557">
        <f>IF(L557="","",IF(2026-E557&gt;0,L557/(2026-E557),L557))</f>
        <v/>
      </c>
    </row>
    <row r="558" ht="15" customHeight="1" s="1">
      <c r="N558">
        <f>IF(L558="","",IF(2026-E558&gt;0,L558/(2026-E558),L558))</f>
        <v/>
      </c>
    </row>
    <row r="559" ht="15" customHeight="1" s="1">
      <c r="N559">
        <f>IF(L559="","",IF(2026-E559&gt;0,L559/(2026-E559),L559))</f>
        <v/>
      </c>
    </row>
    <row r="560" ht="15" customHeight="1" s="1">
      <c r="N560">
        <f>IF(L560="","",IF(2026-E560&gt;0,L560/(2026-E560),L560))</f>
        <v/>
      </c>
    </row>
    <row r="561" ht="15" customHeight="1" s="1">
      <c r="N561">
        <f>IF(L561="","",IF(2026-E561&gt;0,L561/(2026-E561),L561))</f>
        <v/>
      </c>
    </row>
    <row r="562" ht="15" customHeight="1" s="1">
      <c r="N562">
        <f>IF(L562="","",IF(2026-E562&gt;0,L562/(2026-E562),L562))</f>
        <v/>
      </c>
    </row>
    <row r="563" ht="15" customHeight="1" s="1">
      <c r="N563">
        <f>IF(L563="","",IF(2026-E563&gt;0,L563/(2026-E563),L563))</f>
        <v/>
      </c>
    </row>
    <row r="564" ht="15" customHeight="1" s="1">
      <c r="N564">
        <f>IF(L564="","",IF(2026-E564&gt;0,L564/(2026-E564),L564))</f>
        <v/>
      </c>
    </row>
    <row r="565" ht="15" customHeight="1" s="1">
      <c r="N565">
        <f>IF(L565="","",IF(2026-E565&gt;0,L565/(2026-E565),L565))</f>
        <v/>
      </c>
    </row>
    <row r="566" ht="15" customHeight="1" s="1">
      <c r="N566">
        <f>IF(L566="","",IF(2026-E566&gt;0,L566/(2026-E566),L566))</f>
        <v/>
      </c>
    </row>
    <row r="567" ht="15" customHeight="1" s="1">
      <c r="N567">
        <f>IF(L567="","",IF(2026-E567&gt;0,L567/(2026-E567),L567))</f>
        <v/>
      </c>
    </row>
    <row r="568" ht="15" customHeight="1" s="1">
      <c r="N568">
        <f>IF(L568="","",IF(2026-E568&gt;0,L568/(2026-E568),L568))</f>
        <v/>
      </c>
    </row>
    <row r="569" ht="15" customHeight="1" s="1">
      <c r="N569">
        <f>IF(L569="","",IF(2026-E569&gt;0,L569/(2026-E569),L569))</f>
        <v/>
      </c>
    </row>
    <row r="570" ht="15" customHeight="1" s="1">
      <c r="N570">
        <f>IF(L570="","",IF(2026-E570&gt;0,L570/(2026-E570),L570))</f>
        <v/>
      </c>
    </row>
    <row r="571" ht="15" customHeight="1" s="1">
      <c r="N571">
        <f>IF(L571="","",IF(2026-E571&gt;0,L571/(2026-E571),L571))</f>
        <v/>
      </c>
    </row>
    <row r="572" ht="15" customHeight="1" s="1">
      <c r="N572">
        <f>IF(L572="","",IF(2026-E572&gt;0,L572/(2026-E572),L572))</f>
        <v/>
      </c>
    </row>
    <row r="573" ht="15" customHeight="1" s="1">
      <c r="N573">
        <f>IF(L573="","",IF(2026-E573&gt;0,L573/(2026-E573),L573))</f>
        <v/>
      </c>
    </row>
    <row r="574" ht="15" customHeight="1" s="1">
      <c r="N574">
        <f>IF(L574="","",IF(2026-E574&gt;0,L574/(2026-E574),L574))</f>
        <v/>
      </c>
    </row>
    <row r="575" ht="15" customHeight="1" s="1">
      <c r="N575">
        <f>IF(L575="","",IF(2026-E575&gt;0,L575/(2026-E575),L575))</f>
        <v/>
      </c>
    </row>
    <row r="576" ht="15" customHeight="1" s="1">
      <c r="N576">
        <f>IF(L576="","",IF(2026-E576&gt;0,L576/(2026-E576),L576))</f>
        <v/>
      </c>
    </row>
    <row r="577" ht="15" customHeight="1" s="1">
      <c r="N577">
        <f>IF(L577="","",IF(2026-E577&gt;0,L577/(2026-E577),L577))</f>
        <v/>
      </c>
    </row>
    <row r="578" ht="15" customHeight="1" s="1">
      <c r="N578">
        <f>IF(L578="","",IF(2026-E578&gt;0,L578/(2026-E578),L578))</f>
        <v/>
      </c>
    </row>
    <row r="579" ht="15" customHeight="1" s="1">
      <c r="N579">
        <f>IF(L579="","",IF(2026-E579&gt;0,L579/(2026-E579),L579))</f>
        <v/>
      </c>
    </row>
    <row r="580" ht="15" customHeight="1" s="1">
      <c r="N580">
        <f>IF(L580="","",IF(2026-E580&gt;0,L580/(2026-E580),L580))</f>
        <v/>
      </c>
    </row>
    <row r="581" ht="15" customHeight="1" s="1">
      <c r="N581">
        <f>IF(L581="","",IF(2026-E581&gt;0,L581/(2026-E581),L581))</f>
        <v/>
      </c>
    </row>
    <row r="582" ht="15" customHeight="1" s="1">
      <c r="N582">
        <f>IF(L582="","",IF(2026-E582&gt;0,L582/(2026-E582),L582))</f>
        <v/>
      </c>
    </row>
    <row r="583" ht="15" customHeight="1" s="1">
      <c r="N583">
        <f>IF(L583="","",IF(2026-E583&gt;0,L583/(2026-E583),L583))</f>
        <v/>
      </c>
    </row>
    <row r="584" ht="15" customHeight="1" s="1">
      <c r="N584">
        <f>IF(L584="","",IF(2026-E584&gt;0,L584/(2026-E584),L584))</f>
        <v/>
      </c>
    </row>
    <row r="585" ht="15" customHeight="1" s="1">
      <c r="N585">
        <f>IF(L585="","",IF(2026-E585&gt;0,L585/(2026-E585),L585))</f>
        <v/>
      </c>
    </row>
    <row r="586" ht="15" customHeight="1" s="1">
      <c r="N586">
        <f>IF(L586="","",IF(2026-E586&gt;0,L586/(2026-E586),L586))</f>
        <v/>
      </c>
    </row>
    <row r="587" ht="15" customHeight="1" s="1">
      <c r="N587">
        <f>IF(L587="","",IF(2026-E587&gt;0,L587/(2026-E587),L587))</f>
        <v/>
      </c>
    </row>
    <row r="588" ht="15" customHeight="1" s="1">
      <c r="N588">
        <f>IF(L588="","",IF(2026-E588&gt;0,L588/(2026-E588),L588))</f>
        <v/>
      </c>
    </row>
    <row r="589" ht="15" customHeight="1" s="1">
      <c r="N589">
        <f>IF(L589="","",IF(2026-E589&gt;0,L589/(2026-E589),L589))</f>
        <v/>
      </c>
    </row>
    <row r="590" ht="15" customHeight="1" s="1">
      <c r="N590">
        <f>IF(L590="","",IF(2026-E590&gt;0,L590/(2026-E590),L590))</f>
        <v/>
      </c>
    </row>
    <row r="591" ht="15" customHeight="1" s="1">
      <c r="N591">
        <f>IF(L591="","",IF(2026-E591&gt;0,L591/(2026-E591),L591))</f>
        <v/>
      </c>
    </row>
    <row r="592" ht="15" customHeight="1" s="1">
      <c r="N592">
        <f>IF(L592="","",IF(2026-E592&gt;0,L592/(2026-E592),L592))</f>
        <v/>
      </c>
    </row>
    <row r="593" ht="15" customHeight="1" s="1">
      <c r="N593">
        <f>IF(L593="","",IF(2026-E593&gt;0,L593/(2026-E593),L593))</f>
        <v/>
      </c>
    </row>
    <row r="594" ht="15" customHeight="1" s="1">
      <c r="N594">
        <f>IF(L594="","",IF(2026-E594&gt;0,L594/(2026-E594),L594))</f>
        <v/>
      </c>
    </row>
    <row r="595" ht="15" customHeight="1" s="1">
      <c r="N595">
        <f>IF(L595="","",IF(2026-E595&gt;0,L595/(2026-E595),L595))</f>
        <v/>
      </c>
    </row>
    <row r="596" ht="15" customHeight="1" s="1">
      <c r="N596">
        <f>IF(L596="","",IF(2026-E596&gt;0,L596/(2026-E596),L596))</f>
        <v/>
      </c>
    </row>
    <row r="597" ht="15" customHeight="1" s="1">
      <c r="N597">
        <f>IF(L597="","",IF(2026-E597&gt;0,L597/(2026-E597),L597))</f>
        <v/>
      </c>
    </row>
    <row r="598" ht="15" customHeight="1" s="1">
      <c r="N598">
        <f>IF(L598="","",IF(2026-E598&gt;0,L598/(2026-E598),L598))</f>
        <v/>
      </c>
    </row>
    <row r="599" ht="15" customHeight="1" s="1">
      <c r="N599">
        <f>IF(L599="","",IF(2026-E599&gt;0,L599/(2026-E599),L599))</f>
        <v/>
      </c>
    </row>
    <row r="600" ht="15" customHeight="1" s="1">
      <c r="N600">
        <f>IF(L600="","",IF(2026-E600&gt;0,L600/(2026-E600),L600))</f>
        <v/>
      </c>
    </row>
    <row r="601" ht="15" customHeight="1" s="1">
      <c r="N601">
        <f>IF(L601="","",IF(2026-E601&gt;0,L601/(2026-E601),L601))</f>
        <v/>
      </c>
    </row>
    <row r="602" ht="15" customHeight="1" s="1">
      <c r="N602">
        <f>IF(L602="","",IF(2026-E602&gt;0,L602/(2026-E602),L602))</f>
        <v/>
      </c>
    </row>
    <row r="603" ht="15" customHeight="1" s="1">
      <c r="N603">
        <f>IF(L603="","",IF(2026-E603&gt;0,L603/(2026-E603),L603))</f>
        <v/>
      </c>
    </row>
    <row r="604" ht="15" customHeight="1" s="1">
      <c r="N604">
        <f>IF(L604="","",IF(2026-E604&gt;0,L604/(2026-E604),L604))</f>
        <v/>
      </c>
    </row>
    <row r="605" ht="15" customHeight="1" s="1">
      <c r="N605">
        <f>IF(L605="","",IF(2026-E605&gt;0,L605/(2026-E605),L605))</f>
        <v/>
      </c>
    </row>
    <row r="606" ht="15" customHeight="1" s="1">
      <c r="N606">
        <f>IF(L606="","",IF(2026-E606&gt;0,L606/(2026-E606),L606))</f>
        <v/>
      </c>
    </row>
    <row r="607" ht="15" customHeight="1" s="1">
      <c r="N607">
        <f>IF(L607="","",IF(2026-E607&gt;0,L607/(2026-E607),L607))</f>
        <v/>
      </c>
    </row>
    <row r="608" ht="15" customHeight="1" s="1">
      <c r="N608">
        <f>IF(L608="","",IF(2026-E608&gt;0,L608/(2026-E608),L608))</f>
        <v/>
      </c>
    </row>
    <row r="609" ht="15" customHeight="1" s="1">
      <c r="N609">
        <f>IF(L609="","",IF(2026-E609&gt;0,L609/(2026-E609),L609))</f>
        <v/>
      </c>
    </row>
    <row r="610" ht="15" customHeight="1" s="1">
      <c r="N610">
        <f>IF(L610="","",IF(2026-E610&gt;0,L610/(2026-E610),L610))</f>
        <v/>
      </c>
    </row>
    <row r="611" ht="15" customHeight="1" s="1">
      <c r="N611">
        <f>IF(L611="","",IF(2026-E611&gt;0,L611/(2026-E611),L611))</f>
        <v/>
      </c>
    </row>
    <row r="612" ht="15" customHeight="1" s="1">
      <c r="N612">
        <f>IF(L612="","",IF(2026-E612&gt;0,L612/(2026-E612),L612))</f>
        <v/>
      </c>
    </row>
    <row r="613" ht="15" customHeight="1" s="1">
      <c r="N613">
        <f>IF(L613="","",IF(2026-E613&gt;0,L613/(2026-E613),L613))</f>
        <v/>
      </c>
    </row>
    <row r="614" ht="15" customHeight="1" s="1">
      <c r="N614">
        <f>IF(L614="","",IF(2026-E614&gt;0,L614/(2026-E614),L614))</f>
        <v/>
      </c>
    </row>
    <row r="615" ht="15" customHeight="1" s="1">
      <c r="N615">
        <f>IF(L615="","",IF(2026-E615&gt;0,L615/(2026-E615),L615))</f>
        <v/>
      </c>
    </row>
    <row r="616" ht="15" customHeight="1" s="1">
      <c r="N616">
        <f>IF(L616="","",IF(2026-E616&gt;0,L616/(2026-E616),L616))</f>
        <v/>
      </c>
    </row>
    <row r="617" ht="15" customHeight="1" s="1">
      <c r="N617">
        <f>IF(L617="","",IF(2026-E617&gt;0,L617/(2026-E617),L617))</f>
        <v/>
      </c>
    </row>
    <row r="618" ht="15" customHeight="1" s="1">
      <c r="N618">
        <f>IF(L618="","",IF(2026-E618&gt;0,L618/(2026-E618),L618))</f>
        <v/>
      </c>
    </row>
    <row r="619" ht="15" customHeight="1" s="1">
      <c r="N619">
        <f>IF(L619="","",IF(2026-E619&gt;0,L619/(2026-E619),L619))</f>
        <v/>
      </c>
    </row>
    <row r="620" ht="15" customHeight="1" s="1">
      <c r="N620">
        <f>IF(L620="","",IF(2026-E620&gt;0,L620/(2026-E620),L620))</f>
        <v/>
      </c>
    </row>
    <row r="621" ht="15" customHeight="1" s="1">
      <c r="N621">
        <f>IF(L621="","",IF(2026-E621&gt;0,L621/(2026-E621),L621))</f>
        <v/>
      </c>
    </row>
    <row r="622" ht="15" customHeight="1" s="1">
      <c r="N622">
        <f>IF(L622="","",IF(2026-E622&gt;0,L622/(2026-E622),L622))</f>
        <v/>
      </c>
    </row>
    <row r="623" ht="15" customHeight="1" s="1">
      <c r="N623">
        <f>IF(L623="","",IF(2026-E623&gt;0,L623/(2026-E623),L623))</f>
        <v/>
      </c>
    </row>
    <row r="624" ht="15" customHeight="1" s="1">
      <c r="N624">
        <f>IF(L624="","",IF(2026-E624&gt;0,L624/(2026-E624),L624))</f>
        <v/>
      </c>
    </row>
    <row r="625" ht="15" customHeight="1" s="1">
      <c r="N625">
        <f>IF(L625="","",IF(2026-E625&gt;0,L625/(2026-E625),L625))</f>
        <v/>
      </c>
    </row>
    <row r="626" ht="15" customHeight="1" s="1">
      <c r="N626">
        <f>IF(L626="","",IF(2026-E626&gt;0,L626/(2026-E626),L626))</f>
        <v/>
      </c>
    </row>
    <row r="627" ht="15" customHeight="1" s="1">
      <c r="N627">
        <f>IF(L627="","",IF(2026-E627&gt;0,L627/(2026-E627),L627))</f>
        <v/>
      </c>
    </row>
    <row r="628" ht="15" customHeight="1" s="1">
      <c r="N628">
        <f>IF(L628="","",IF(2026-E628&gt;0,L628/(2026-E628),L628))</f>
        <v/>
      </c>
    </row>
    <row r="629" ht="15" customHeight="1" s="1">
      <c r="N629">
        <f>IF(L629="","",IF(2026-E629&gt;0,L629/(2026-E629),L629))</f>
        <v/>
      </c>
    </row>
    <row r="630" ht="15" customHeight="1" s="1">
      <c r="N630">
        <f>IF(L630="","",IF(2026-E630&gt;0,L630/(2026-E630),L630))</f>
        <v/>
      </c>
    </row>
    <row r="631" ht="15" customHeight="1" s="1">
      <c r="N631">
        <f>IF(L631="","",IF(2026-E631&gt;0,L631/(2026-E631),L631))</f>
        <v/>
      </c>
    </row>
    <row r="632" ht="15" customHeight="1" s="1">
      <c r="N632">
        <f>IF(L632="","",IF(2026-E632&gt;0,L632/(2026-E632),L632))</f>
        <v/>
      </c>
    </row>
    <row r="633" ht="15" customHeight="1" s="1">
      <c r="N633">
        <f>IF(L633="","",IF(2026-E633&gt;0,L633/(2026-E633),L633))</f>
        <v/>
      </c>
    </row>
    <row r="634" ht="15" customHeight="1" s="1">
      <c r="N634">
        <f>IF(L634="","",IF(2026-E634&gt;0,L634/(2026-E634),L634))</f>
        <v/>
      </c>
    </row>
    <row r="635" ht="15" customHeight="1" s="1">
      <c r="N635">
        <f>IF(L635="","",IF(2026-E635&gt;0,L635/(2026-E635),L635))</f>
        <v/>
      </c>
    </row>
    <row r="636" ht="15" customHeight="1" s="1">
      <c r="N636">
        <f>IF(L636="","",IF(2026-E636&gt;0,L636/(2026-E636),L636))</f>
        <v/>
      </c>
    </row>
    <row r="637" ht="15" customHeight="1" s="1">
      <c r="N637">
        <f>IF(L637="","",IF(2026-E637&gt;0,L637/(2026-E637),L637))</f>
        <v/>
      </c>
    </row>
    <row r="638" ht="15" customHeight="1" s="1">
      <c r="N638">
        <f>IF(L638="","",IF(2026-E638&gt;0,L638/(2026-E638),L638))</f>
        <v/>
      </c>
    </row>
    <row r="639" ht="15" customHeight="1" s="1">
      <c r="N639">
        <f>IF(L639="","",IF(2026-E639&gt;0,L639/(2026-E639),L639))</f>
        <v/>
      </c>
    </row>
    <row r="640" ht="15" customHeight="1" s="1">
      <c r="N640">
        <f>IF(L640="","",IF(2026-E640&gt;0,L640/(2026-E640),L640))</f>
        <v/>
      </c>
    </row>
    <row r="641" ht="15" customHeight="1" s="1">
      <c r="N641">
        <f>IF(L641="","",IF(2026-E641&gt;0,L641/(2026-E641),L641))</f>
        <v/>
      </c>
    </row>
    <row r="642" ht="15" customHeight="1" s="1">
      <c r="N642">
        <f>IF(L642="","",IF(2026-E642&gt;0,L642/(2026-E642),L642))</f>
        <v/>
      </c>
    </row>
    <row r="643" ht="15" customHeight="1" s="1">
      <c r="N643">
        <f>IF(L643="","",IF(2026-E643&gt;0,L643/(2026-E643),L643))</f>
        <v/>
      </c>
    </row>
    <row r="644" ht="15" customHeight="1" s="1">
      <c r="N644">
        <f>IF(L644="","",IF(2026-E644&gt;0,L644/(2026-E644),L644))</f>
        <v/>
      </c>
    </row>
    <row r="645" ht="15" customHeight="1" s="1">
      <c r="N645">
        <f>IF(L645="","",IF(2026-E645&gt;0,L645/(2026-E645),L645))</f>
        <v/>
      </c>
    </row>
    <row r="646" ht="15" customHeight="1" s="1">
      <c r="N646">
        <f>IF(L646="","",IF(2026-E646&gt;0,L646/(2026-E646),L646))</f>
        <v/>
      </c>
    </row>
    <row r="647" ht="15" customHeight="1" s="1">
      <c r="N647">
        <f>IF(L647="","",IF(2026-E647&gt;0,L647/(2026-E647),L647))</f>
        <v/>
      </c>
    </row>
    <row r="648" ht="15" customHeight="1" s="1">
      <c r="N648">
        <f>IF(L648="","",IF(2026-E648&gt;0,L648/(2026-E648),L648))</f>
        <v/>
      </c>
    </row>
    <row r="649" ht="15" customHeight="1" s="1">
      <c r="N649">
        <f>IF(L649="","",IF(2026-E649&gt;0,L649/(2026-E649),L649))</f>
        <v/>
      </c>
    </row>
    <row r="650" ht="15" customHeight="1" s="1">
      <c r="N650">
        <f>IF(L650="","",IF(2026-E650&gt;0,L650/(2026-E650),L650))</f>
        <v/>
      </c>
    </row>
    <row r="651" ht="15" customHeight="1" s="1">
      <c r="N651">
        <f>IF(L651="","",IF(2026-E651&gt;0,L651/(2026-E651),L651))</f>
        <v/>
      </c>
    </row>
    <row r="652" ht="15" customHeight="1" s="1">
      <c r="N652">
        <f>IF(L652="","",IF(2026-E652&gt;0,L652/(2026-E652),L652))</f>
        <v/>
      </c>
    </row>
    <row r="653" ht="15" customHeight="1" s="1">
      <c r="N653">
        <f>IF(L653="","",IF(2026-E653&gt;0,L653/(2026-E653),L653))</f>
        <v/>
      </c>
    </row>
    <row r="654" ht="15" customHeight="1" s="1">
      <c r="N654">
        <f>IF(L654="","",IF(2026-E654&gt;0,L654/(2026-E654),L654))</f>
        <v/>
      </c>
    </row>
    <row r="655" ht="15" customHeight="1" s="1">
      <c r="N655">
        <f>IF(L655="","",IF(2026-E655&gt;0,L655/(2026-E655),L655))</f>
        <v/>
      </c>
    </row>
    <row r="656" ht="15" customHeight="1" s="1">
      <c r="N656">
        <f>IF(L656="","",IF(2026-E656&gt;0,L656/(2026-E656),L656))</f>
        <v/>
      </c>
    </row>
    <row r="657" ht="15" customHeight="1" s="1">
      <c r="N657">
        <f>IF(L657="","",IF(2026-E657&gt;0,L657/(2026-E657),L657))</f>
        <v/>
      </c>
    </row>
    <row r="658" ht="15" customHeight="1" s="1">
      <c r="N658">
        <f>IF(L658="","",IF(2026-E658&gt;0,L658/(2026-E658),L658))</f>
        <v/>
      </c>
    </row>
    <row r="659" ht="15" customHeight="1" s="1">
      <c r="N659">
        <f>IF(L659="","",IF(2026-E659&gt;0,L659/(2026-E659),L659))</f>
        <v/>
      </c>
    </row>
    <row r="660" ht="15" customHeight="1" s="1">
      <c r="N660">
        <f>IF(L660="","",IF(2026-E660&gt;0,L660/(2026-E660),L660))</f>
        <v/>
      </c>
    </row>
    <row r="661" ht="15" customHeight="1" s="1">
      <c r="N661">
        <f>IF(L661="","",IF(2026-E661&gt;0,L661/(2026-E661),L661))</f>
        <v/>
      </c>
    </row>
    <row r="662" ht="15" customHeight="1" s="1">
      <c r="N662">
        <f>IF(L662="","",IF(2026-E662&gt;0,L662/(2026-E662),L662))</f>
        <v/>
      </c>
    </row>
    <row r="663" ht="15" customHeight="1" s="1">
      <c r="N663">
        <f>IF(L663="","",IF(2026-E663&gt;0,L663/(2026-E663),L663))</f>
        <v/>
      </c>
    </row>
    <row r="664" ht="15" customHeight="1" s="1">
      <c r="N664">
        <f>IF(L664="","",IF(2026-E664&gt;0,L664/(2026-E664),L664))</f>
        <v/>
      </c>
    </row>
    <row r="665" ht="15" customHeight="1" s="1">
      <c r="N665">
        <f>IF(L665="","",IF(2026-E665&gt;0,L665/(2026-E665),L665))</f>
        <v/>
      </c>
    </row>
    <row r="666" ht="15" customHeight="1" s="1">
      <c r="N666">
        <f>IF(L666="","",IF(2026-E666&gt;0,L666/(2026-E666),L666))</f>
        <v/>
      </c>
    </row>
    <row r="667" ht="15" customHeight="1" s="1">
      <c r="N667">
        <f>IF(L667="","",IF(2026-E667&gt;0,L667/(2026-E667),L667))</f>
        <v/>
      </c>
    </row>
    <row r="668" ht="15" customHeight="1" s="1">
      <c r="N668">
        <f>IF(L668="","",IF(2026-E668&gt;0,L668/(2026-E668),L668))</f>
        <v/>
      </c>
    </row>
    <row r="669" ht="15" customHeight="1" s="1">
      <c r="N669">
        <f>IF(L669="","",IF(2026-E669&gt;0,L669/(2026-E669),L669))</f>
        <v/>
      </c>
    </row>
    <row r="670" ht="15" customHeight="1" s="1">
      <c r="N670">
        <f>IF(L670="","",IF(2026-E670&gt;0,L670/(2026-E670),L670))</f>
        <v/>
      </c>
    </row>
    <row r="671" ht="15" customHeight="1" s="1">
      <c r="N671">
        <f>IF(L671="","",IF(2026-E671&gt;0,L671/(2026-E671),L671))</f>
        <v/>
      </c>
    </row>
    <row r="672" ht="15" customHeight="1" s="1">
      <c r="N672">
        <f>IF(L672="","",IF(2026-E672&gt;0,L672/(2026-E672),L672))</f>
        <v/>
      </c>
    </row>
    <row r="673" ht="15" customHeight="1" s="1">
      <c r="N673">
        <f>IF(L673="","",IF(2026-E673&gt;0,L673/(2026-E673),L673))</f>
        <v/>
      </c>
    </row>
    <row r="674" ht="15" customHeight="1" s="1">
      <c r="N674">
        <f>IF(L674="","",IF(2026-E674&gt;0,L674/(2026-E674),L674))</f>
        <v/>
      </c>
    </row>
    <row r="675" ht="15" customHeight="1" s="1">
      <c r="N675">
        <f>IF(L675="","",IF(2026-E675&gt;0,L675/(2026-E675),L675))</f>
        <v/>
      </c>
    </row>
    <row r="676" ht="15" customHeight="1" s="1">
      <c r="N676">
        <f>IF(L676="","",IF(2026-E676&gt;0,L676/(2026-E676),L676))</f>
        <v/>
      </c>
    </row>
    <row r="677" ht="15" customHeight="1" s="1">
      <c r="N677">
        <f>IF(L677="","",IF(2026-E677&gt;0,L677/(2026-E677),L677))</f>
        <v/>
      </c>
    </row>
    <row r="678" ht="15" customHeight="1" s="1">
      <c r="N678">
        <f>IF(L678="","",IF(2026-E678&gt;0,L678/(2026-E678),L678))</f>
        <v/>
      </c>
    </row>
    <row r="679" ht="15" customHeight="1" s="1">
      <c r="N679">
        <f>IF(L679="","",IF(2026-E679&gt;0,L679/(2026-E679),L679))</f>
        <v/>
      </c>
    </row>
    <row r="680" ht="15" customHeight="1" s="1">
      <c r="N680">
        <f>IF(L680="","",IF(2026-E680&gt;0,L680/(2026-E680),L680))</f>
        <v/>
      </c>
    </row>
    <row r="681" ht="15" customHeight="1" s="1">
      <c r="N681">
        <f>IF(L681="","",IF(2026-E681&gt;0,L681/(2026-E681),L681))</f>
        <v/>
      </c>
    </row>
    <row r="682" ht="15" customHeight="1" s="1">
      <c r="N682">
        <f>IF(L682="","",IF(2026-E682&gt;0,L682/(2026-E682),L682))</f>
        <v/>
      </c>
    </row>
    <row r="683" ht="15" customHeight="1" s="1">
      <c r="N683">
        <f>IF(L683="","",IF(2026-E683&gt;0,L683/(2026-E683),L683))</f>
        <v/>
      </c>
    </row>
    <row r="684" ht="15" customHeight="1" s="1">
      <c r="N684">
        <f>IF(L684="","",IF(2026-E684&gt;0,L684/(2026-E684),L684))</f>
        <v/>
      </c>
    </row>
    <row r="685" ht="15" customHeight="1" s="1">
      <c r="N685">
        <f>IF(L685="","",IF(2026-E685&gt;0,L685/(2026-E685),L685))</f>
        <v/>
      </c>
    </row>
    <row r="686" ht="15" customHeight="1" s="1">
      <c r="N686">
        <f>IF(L686="","",IF(2026-E686&gt;0,L686/(2026-E686),L686))</f>
        <v/>
      </c>
    </row>
    <row r="687" ht="15" customHeight="1" s="1">
      <c r="N687">
        <f>IF(L687="","",IF(2026-E687&gt;0,L687/(2026-E687),L687))</f>
        <v/>
      </c>
    </row>
    <row r="688" ht="15" customHeight="1" s="1">
      <c r="N688">
        <f>IF(L688="","",IF(2026-E688&gt;0,L688/(2026-E688),L688))</f>
        <v/>
      </c>
    </row>
    <row r="689" ht="15" customHeight="1" s="1">
      <c r="N689">
        <f>IF(L689="","",IF(2026-E689&gt;0,L689/(2026-E689),L689))</f>
        <v/>
      </c>
    </row>
    <row r="690" ht="15" customHeight="1" s="1">
      <c r="N690">
        <f>IF(L690="","",IF(2026-E690&gt;0,L690/(2026-E690),L690))</f>
        <v/>
      </c>
    </row>
    <row r="691" ht="15" customHeight="1" s="1">
      <c r="N691">
        <f>IF(L691="","",IF(2026-E691&gt;0,L691/(2026-E691),L691))</f>
        <v/>
      </c>
    </row>
    <row r="692" ht="15" customHeight="1" s="1">
      <c r="N692">
        <f>IF(L692="","",IF(2026-E692&gt;0,L692/(2026-E692),L692))</f>
        <v/>
      </c>
    </row>
    <row r="693" ht="15" customHeight="1" s="1">
      <c r="N693">
        <f>IF(L693="","",IF(2026-E693&gt;0,L693/(2026-E693),L693))</f>
        <v/>
      </c>
    </row>
    <row r="694" ht="15" customHeight="1" s="1">
      <c r="N694">
        <f>IF(L694="","",IF(2026-E694&gt;0,L694/(2026-E694),L694))</f>
        <v/>
      </c>
    </row>
    <row r="695" ht="15" customHeight="1" s="1">
      <c r="N695">
        <f>IF(L695="","",IF(2026-E695&gt;0,L695/(2026-E695),L695))</f>
        <v/>
      </c>
    </row>
    <row r="696" ht="15" customHeight="1" s="1">
      <c r="N696">
        <f>IF(L696="","",IF(2026-E696&gt;0,L696/(2026-E696),L696))</f>
        <v/>
      </c>
    </row>
    <row r="697" ht="15" customHeight="1" s="1">
      <c r="N697">
        <f>IF(L697="","",IF(2026-E697&gt;0,L697/(2026-E697),L697))</f>
        <v/>
      </c>
    </row>
    <row r="698" ht="15" customHeight="1" s="1">
      <c r="N698">
        <f>IF(L698="","",IF(2026-E698&gt;0,L698/(2026-E698),L698))</f>
        <v/>
      </c>
    </row>
    <row r="699" ht="15" customHeight="1" s="1">
      <c r="N699">
        <f>IF(L699="","",IF(2026-E699&gt;0,L699/(2026-E699),L699))</f>
        <v/>
      </c>
    </row>
    <row r="700" ht="15" customHeight="1" s="1">
      <c r="N700">
        <f>IF(L700="","",IF(2026-E700&gt;0,L700/(2026-E700),L700))</f>
        <v/>
      </c>
    </row>
    <row r="701" ht="15" customHeight="1" s="1">
      <c r="N701">
        <f>IF(L701="","",IF(2026-E701&gt;0,L701/(2026-E701),L701))</f>
        <v/>
      </c>
    </row>
    <row r="702" ht="15" customHeight="1" s="1">
      <c r="N702">
        <f>IF(L702="","",IF(2026-E702&gt;0,L702/(2026-E702),L702))</f>
        <v/>
      </c>
    </row>
    <row r="703" ht="15" customHeight="1" s="1">
      <c r="N703">
        <f>IF(L703="","",IF(2026-E703&gt;0,L703/(2026-E703),L703))</f>
        <v/>
      </c>
    </row>
    <row r="704" ht="15" customHeight="1" s="1">
      <c r="N704">
        <f>IF(L704="","",IF(2026-E704&gt;0,L704/(2026-E704),L704))</f>
        <v/>
      </c>
    </row>
    <row r="705" ht="15" customHeight="1" s="1">
      <c r="N705">
        <f>IF(L705="","",IF(2026-E705&gt;0,L705/(2026-E705),L705))</f>
        <v/>
      </c>
    </row>
    <row r="706" ht="15" customHeight="1" s="1">
      <c r="N706">
        <f>IF(L706="","",IF(2026-E706&gt;0,L706/(2026-E706),L706))</f>
        <v/>
      </c>
    </row>
    <row r="707" ht="15" customHeight="1" s="1">
      <c r="N707">
        <f>IF(L707="","",IF(2026-E707&gt;0,L707/(2026-E707),L707))</f>
        <v/>
      </c>
    </row>
    <row r="708" ht="15" customHeight="1" s="1">
      <c r="N708">
        <f>IF(L708="","",IF(2026-E708&gt;0,L708/(2026-E708),L708))</f>
        <v/>
      </c>
    </row>
    <row r="709" ht="15" customHeight="1" s="1">
      <c r="N709">
        <f>IF(L709="","",IF(2026-E709&gt;0,L709/(2026-E709),L709))</f>
        <v/>
      </c>
    </row>
    <row r="710" ht="15" customHeight="1" s="1">
      <c r="N710">
        <f>IF(L710="","",IF(2026-E710&gt;0,L710/(2026-E710),L710))</f>
        <v/>
      </c>
    </row>
    <row r="711" ht="15" customHeight="1" s="1">
      <c r="N711">
        <f>IF(L711="","",IF(2026-E711&gt;0,L711/(2026-E711),L711))</f>
        <v/>
      </c>
    </row>
    <row r="712" ht="15" customHeight="1" s="1">
      <c r="N712">
        <f>IF(L712="","",IF(2026-E712&gt;0,L712/(2026-E712),L712))</f>
        <v/>
      </c>
    </row>
    <row r="713" ht="15" customHeight="1" s="1">
      <c r="N713">
        <f>IF(L713="","",IF(2026-E713&gt;0,L713/(2026-E713),L713))</f>
        <v/>
      </c>
    </row>
    <row r="714" ht="15" customHeight="1" s="1">
      <c r="N714">
        <f>IF(L714="","",IF(2026-E714&gt;0,L714/(2026-E714),L714))</f>
        <v/>
      </c>
    </row>
    <row r="715" ht="15" customHeight="1" s="1">
      <c r="N715">
        <f>IF(L715="","",IF(2026-E715&gt;0,L715/(2026-E715),L715))</f>
        <v/>
      </c>
    </row>
    <row r="716" ht="15" customHeight="1" s="1">
      <c r="N716">
        <f>IF(L716="","",IF(2026-E716&gt;0,L716/(2026-E716),L716))</f>
        <v/>
      </c>
    </row>
    <row r="717" ht="15" customHeight="1" s="1">
      <c r="N717">
        <f>IF(L717="","",IF(2026-E717&gt;0,L717/(2026-E717),L717))</f>
        <v/>
      </c>
    </row>
    <row r="718" ht="15" customHeight="1" s="1">
      <c r="N718">
        <f>IF(L718="","",IF(2026-E718&gt;0,L718/(2026-E718),L718))</f>
        <v/>
      </c>
    </row>
    <row r="719" ht="15" customHeight="1" s="1">
      <c r="N719">
        <f>IF(L719="","",IF(2026-E719&gt;0,L719/(2026-E719),L719))</f>
        <v/>
      </c>
    </row>
    <row r="720" ht="15" customHeight="1" s="1">
      <c r="N720">
        <f>IF(L720="","",IF(2026-E720&gt;0,L720/(2026-E720),L720))</f>
        <v/>
      </c>
    </row>
    <row r="721" ht="15" customHeight="1" s="1">
      <c r="N721">
        <f>IF(L721="","",IF(2026-E721&gt;0,L721/(2026-E721),L721))</f>
        <v/>
      </c>
    </row>
    <row r="722" ht="15" customHeight="1" s="1">
      <c r="N722">
        <f>IF(L722="","",IF(2026-E722&gt;0,L722/(2026-E722),L722))</f>
        <v/>
      </c>
    </row>
    <row r="723" ht="15" customHeight="1" s="1">
      <c r="N723">
        <f>IF(L723="","",IF(2026-E723&gt;0,L723/(2026-E723),L723))</f>
        <v/>
      </c>
    </row>
    <row r="724" ht="15" customHeight="1" s="1">
      <c r="N724">
        <f>IF(L724="","",IF(2026-E724&gt;0,L724/(2026-E724),L724))</f>
        <v/>
      </c>
    </row>
    <row r="725" ht="15" customHeight="1" s="1">
      <c r="N725">
        <f>IF(L725="","",IF(2026-E725&gt;0,L725/(2026-E725),L725))</f>
        <v/>
      </c>
    </row>
    <row r="726" ht="15" customHeight="1" s="1">
      <c r="N726">
        <f>IF(L726="","",IF(2026-E726&gt;0,L726/(2026-E726),L726))</f>
        <v/>
      </c>
    </row>
    <row r="727" ht="15" customHeight="1" s="1">
      <c r="N727">
        <f>IF(L727="","",IF(2026-E727&gt;0,L727/(2026-E727),L727))</f>
        <v/>
      </c>
    </row>
    <row r="728" ht="15" customHeight="1" s="1">
      <c r="N728">
        <f>IF(L728="","",IF(2026-E728&gt;0,L728/(2026-E728),L728))</f>
        <v/>
      </c>
    </row>
    <row r="729" ht="15" customHeight="1" s="1">
      <c r="N729">
        <f>IF(L729="","",IF(2026-E729&gt;0,L729/(2026-E729),L729))</f>
        <v/>
      </c>
    </row>
    <row r="730" ht="15" customHeight="1" s="1">
      <c r="N730">
        <f>IF(L730="","",IF(2026-E730&gt;0,L730/(2026-E730),L730))</f>
        <v/>
      </c>
    </row>
    <row r="731" ht="15" customHeight="1" s="1">
      <c r="N731">
        <f>IF(L731="","",IF(2026-E731&gt;0,L731/(2026-E731),L731))</f>
        <v/>
      </c>
    </row>
    <row r="732" ht="15" customHeight="1" s="1">
      <c r="N732">
        <f>IF(L732="","",IF(2026-E732&gt;0,L732/(2026-E732),L732))</f>
        <v/>
      </c>
    </row>
    <row r="733" ht="15" customHeight="1" s="1">
      <c r="N733">
        <f>IF(L733="","",IF(2026-E733&gt;0,L733/(2026-E733),L733))</f>
        <v/>
      </c>
    </row>
    <row r="734" ht="15" customHeight="1" s="1">
      <c r="N734">
        <f>IF(L734="","",IF(2026-E734&gt;0,L734/(2026-E734),L734))</f>
        <v/>
      </c>
    </row>
    <row r="735" ht="15" customHeight="1" s="1">
      <c r="N735">
        <f>IF(L735="","",IF(2026-E735&gt;0,L735/(2026-E735),L735))</f>
        <v/>
      </c>
    </row>
    <row r="736" ht="15" customHeight="1" s="1">
      <c r="N736">
        <f>IF(L736="","",IF(2026-E736&gt;0,L736/(2026-E736),L736))</f>
        <v/>
      </c>
    </row>
    <row r="737" ht="15" customHeight="1" s="1">
      <c r="N737">
        <f>IF(L737="","",IF(2026-E737&gt;0,L737/(2026-E737),L737))</f>
        <v/>
      </c>
    </row>
    <row r="738" ht="15" customHeight="1" s="1">
      <c r="N738">
        <f>IF(L738="","",IF(2026-E738&gt;0,L738/(2026-E738),L738))</f>
        <v/>
      </c>
    </row>
    <row r="739" ht="15" customHeight="1" s="1">
      <c r="N739">
        <f>IF(L739="","",IF(2026-E739&gt;0,L739/(2026-E739),L739))</f>
        <v/>
      </c>
    </row>
    <row r="740" ht="15" customHeight="1" s="1">
      <c r="N740">
        <f>IF(L740="","",IF(2026-E740&gt;0,L740/(2026-E740),L740))</f>
        <v/>
      </c>
    </row>
    <row r="741" ht="15" customHeight="1" s="1">
      <c r="N741">
        <f>IF(L741="","",IF(2026-E741&gt;0,L741/(2026-E741),L741))</f>
        <v/>
      </c>
    </row>
    <row r="742" ht="15" customHeight="1" s="1">
      <c r="N742">
        <f>IF(L742="","",IF(2026-E742&gt;0,L742/(2026-E742),L742))</f>
        <v/>
      </c>
    </row>
    <row r="743" ht="15" customHeight="1" s="1">
      <c r="N743">
        <f>IF(L743="","",IF(2026-E743&gt;0,L743/(2026-E743),L743))</f>
        <v/>
      </c>
    </row>
    <row r="744" ht="15" customHeight="1" s="1">
      <c r="N744">
        <f>IF(L744="","",IF(2026-E744&gt;0,L744/(2026-E744),L744))</f>
        <v/>
      </c>
    </row>
    <row r="745" ht="15" customHeight="1" s="1">
      <c r="N745">
        <f>IF(L745="","",IF(2026-E745&gt;0,L745/(2026-E745),L745))</f>
        <v/>
      </c>
    </row>
    <row r="746" ht="15" customHeight="1" s="1">
      <c r="N746">
        <f>IF(L746="","",IF(2026-E746&gt;0,L746/(2026-E746),L746))</f>
        <v/>
      </c>
    </row>
    <row r="747" ht="15" customHeight="1" s="1">
      <c r="N747">
        <f>IF(L747="","",IF(2026-E747&gt;0,L747/(2026-E747),L747))</f>
        <v/>
      </c>
    </row>
    <row r="748" ht="15" customHeight="1" s="1">
      <c r="N748">
        <f>IF(L748="","",IF(2026-E748&gt;0,L748/(2026-E748),L748))</f>
        <v/>
      </c>
    </row>
    <row r="749" ht="15" customHeight="1" s="1">
      <c r="N749">
        <f>IF(L749="","",IF(2026-E749&gt;0,L749/(2026-E749),L749))</f>
        <v/>
      </c>
    </row>
    <row r="750" ht="15" customHeight="1" s="1">
      <c r="N750">
        <f>IF(L750="","",IF(2026-E750&gt;0,L750/(2026-E750),L750))</f>
        <v/>
      </c>
    </row>
    <row r="751" ht="15" customHeight="1" s="1">
      <c r="N751">
        <f>IF(L751="","",IF(2026-E751&gt;0,L751/(2026-E751),L751))</f>
        <v/>
      </c>
    </row>
    <row r="752" ht="15" customHeight="1" s="1">
      <c r="N752">
        <f>IF(L752="","",IF(2026-E752&gt;0,L752/(2026-E752),L752))</f>
        <v/>
      </c>
    </row>
    <row r="753" ht="15" customHeight="1" s="1">
      <c r="N753">
        <f>IF(L753="","",IF(2026-E753&gt;0,L753/(2026-E753),L753))</f>
        <v/>
      </c>
    </row>
    <row r="754" ht="15" customHeight="1" s="1">
      <c r="N754">
        <f>IF(L754="","",IF(2026-E754&gt;0,L754/(2026-E754),L754))</f>
        <v/>
      </c>
    </row>
    <row r="755" ht="15" customHeight="1" s="1">
      <c r="N755">
        <f>IF(L755="","",IF(2026-E755&gt;0,L755/(2026-E755),L755))</f>
        <v/>
      </c>
    </row>
    <row r="756" ht="15" customHeight="1" s="1">
      <c r="N756">
        <f>IF(L756="","",IF(2026-E756&gt;0,L756/(2026-E756),L756))</f>
        <v/>
      </c>
    </row>
    <row r="757" ht="15" customHeight="1" s="1">
      <c r="N757">
        <f>IF(L757="","",IF(2026-E757&gt;0,L757/(2026-E757),L757))</f>
        <v/>
      </c>
    </row>
    <row r="758" ht="15" customHeight="1" s="1">
      <c r="N758">
        <f>IF(L758="","",IF(2026-E758&gt;0,L758/(2026-E758),L758))</f>
        <v/>
      </c>
    </row>
    <row r="759" ht="15" customHeight="1" s="1">
      <c r="N759">
        <f>IF(L759="","",IF(2026-E759&gt;0,L759/(2026-E759),L759))</f>
        <v/>
      </c>
    </row>
    <row r="760" ht="15" customHeight="1" s="1">
      <c r="N760">
        <f>IF(L760="","",IF(2026-E760&gt;0,L760/(2026-E760),L760))</f>
        <v/>
      </c>
    </row>
    <row r="761" ht="15" customHeight="1" s="1">
      <c r="N761">
        <f>IF(L761="","",IF(2026-E761&gt;0,L761/(2026-E761),L761))</f>
        <v/>
      </c>
    </row>
    <row r="762" ht="15" customHeight="1" s="1">
      <c r="N762">
        <f>IF(L762="","",IF(2026-E762&gt;0,L762/(2026-E762),L762))</f>
        <v/>
      </c>
    </row>
    <row r="763" ht="15" customHeight="1" s="1">
      <c r="N763">
        <f>IF(L763="","",IF(2026-E763&gt;0,L763/(2026-E763),L763))</f>
        <v/>
      </c>
    </row>
    <row r="764" ht="15" customHeight="1" s="1">
      <c r="N764">
        <f>IF(L764="","",IF(2026-E764&gt;0,L764/(2026-E764),L764))</f>
        <v/>
      </c>
    </row>
    <row r="765" ht="15" customHeight="1" s="1">
      <c r="N765">
        <f>IF(L765="","",IF(2026-E765&gt;0,L765/(2026-E765),L765))</f>
        <v/>
      </c>
    </row>
    <row r="766" ht="15" customHeight="1" s="1">
      <c r="N766">
        <f>IF(L766="","",IF(2026-E766&gt;0,L766/(2026-E766),L766))</f>
        <v/>
      </c>
    </row>
    <row r="767" ht="15" customHeight="1" s="1">
      <c r="N767">
        <f>IF(L767="","",IF(2026-E767&gt;0,L767/(2026-E767),L767))</f>
        <v/>
      </c>
    </row>
    <row r="768" ht="15" customHeight="1" s="1">
      <c r="N768">
        <f>IF(L768="","",IF(2026-E768&gt;0,L768/(2026-E768),L768))</f>
        <v/>
      </c>
    </row>
    <row r="769" ht="15" customHeight="1" s="1">
      <c r="N769">
        <f>IF(L769="","",IF(2026-E769&gt;0,L769/(2026-E769),L769))</f>
        <v/>
      </c>
    </row>
    <row r="770" ht="15" customHeight="1" s="1">
      <c r="N770">
        <f>IF(L770="","",IF(2026-E770&gt;0,L770/(2026-E770),L770))</f>
        <v/>
      </c>
    </row>
    <row r="771" ht="15" customHeight="1" s="1">
      <c r="N771">
        <f>IF(L771="","",IF(2026-E771&gt;0,L771/(2026-E771),L771))</f>
        <v/>
      </c>
    </row>
    <row r="772" ht="15" customHeight="1" s="1">
      <c r="N772">
        <f>IF(L772="","",IF(2026-E772&gt;0,L772/(2026-E772),L772))</f>
        <v/>
      </c>
    </row>
    <row r="773" ht="15" customHeight="1" s="1">
      <c r="N773">
        <f>IF(L773="","",IF(2026-E773&gt;0,L773/(2026-E773),L773))</f>
        <v/>
      </c>
    </row>
    <row r="774" ht="15" customHeight="1" s="1">
      <c r="N774">
        <f>IF(L774="","",IF(2026-E774&gt;0,L774/(2026-E774),L774))</f>
        <v/>
      </c>
    </row>
    <row r="775" ht="15" customHeight="1" s="1">
      <c r="N775">
        <f>IF(L775="","",IF(2026-E775&gt;0,L775/(2026-E775),L775))</f>
        <v/>
      </c>
    </row>
    <row r="776" ht="15" customHeight="1" s="1">
      <c r="N776">
        <f>IF(L776="","",IF(2026-E776&gt;0,L776/(2026-E776),L776))</f>
        <v/>
      </c>
    </row>
    <row r="777" ht="15" customHeight="1" s="1">
      <c r="N777">
        <f>IF(L777="","",IF(2026-E777&gt;0,L777/(2026-E777),L777))</f>
        <v/>
      </c>
    </row>
    <row r="778" ht="15" customHeight="1" s="1">
      <c r="N778">
        <f>IF(L778="","",IF(2026-E778&gt;0,L778/(2026-E778),L778))</f>
        <v/>
      </c>
    </row>
    <row r="779" ht="15" customHeight="1" s="1">
      <c r="N779">
        <f>IF(L779="","",IF(2026-E779&gt;0,L779/(2026-E779),L779))</f>
        <v/>
      </c>
    </row>
    <row r="780" ht="15" customHeight="1" s="1">
      <c r="N780">
        <f>IF(L780="","",IF(2026-E780&gt;0,L780/(2026-E780),L780))</f>
        <v/>
      </c>
    </row>
    <row r="781" ht="15" customHeight="1" s="1">
      <c r="N781">
        <f>IF(L781="","",IF(2026-E781&gt;0,L781/(2026-E781),L781))</f>
        <v/>
      </c>
    </row>
    <row r="782" ht="15" customHeight="1" s="1">
      <c r="N782">
        <f>IF(L782="","",IF(2026-E782&gt;0,L782/(2026-E782),L782))</f>
        <v/>
      </c>
    </row>
    <row r="783" ht="15" customHeight="1" s="1">
      <c r="N783">
        <f>IF(L783="","",IF(2026-E783&gt;0,L783/(2026-E783),L783))</f>
        <v/>
      </c>
    </row>
    <row r="784" ht="15" customHeight="1" s="1">
      <c r="N784">
        <f>IF(L784="","",IF(2026-E784&gt;0,L784/(2026-E784),L784))</f>
        <v/>
      </c>
    </row>
    <row r="785" ht="15" customHeight="1" s="1">
      <c r="N785">
        <f>IF(L785="","",IF(2026-E785&gt;0,L785/(2026-E785),L785))</f>
        <v/>
      </c>
    </row>
    <row r="786" ht="15" customHeight="1" s="1">
      <c r="N786">
        <f>IF(L786="","",IF(2026-E786&gt;0,L786/(2026-E786),L786))</f>
        <v/>
      </c>
    </row>
    <row r="787" ht="15" customHeight="1" s="1">
      <c r="N787">
        <f>IF(L787="","",IF(2026-E787&gt;0,L787/(2026-E787),L787))</f>
        <v/>
      </c>
    </row>
    <row r="788" ht="15" customHeight="1" s="1">
      <c r="N788">
        <f>IF(L788="","",IF(2026-E788&gt;0,L788/(2026-E788),L788))</f>
        <v/>
      </c>
    </row>
    <row r="789" ht="15" customHeight="1" s="1">
      <c r="N789">
        <f>IF(L789="","",IF(2026-E789&gt;0,L789/(2026-E789),L789))</f>
        <v/>
      </c>
    </row>
    <row r="790" ht="15" customHeight="1" s="1">
      <c r="N790">
        <f>IF(L790="","",IF(2026-E790&gt;0,L790/(2026-E790),L790))</f>
        <v/>
      </c>
    </row>
    <row r="791" ht="15" customHeight="1" s="1">
      <c r="N791">
        <f>IF(L791="","",IF(2026-E791&gt;0,L791/(2026-E791),L791))</f>
        <v/>
      </c>
    </row>
    <row r="792" ht="15" customHeight="1" s="1">
      <c r="N792">
        <f>IF(L792="","",IF(2026-E792&gt;0,L792/(2026-E792),L792))</f>
        <v/>
      </c>
    </row>
    <row r="793" ht="15" customHeight="1" s="1">
      <c r="N793">
        <f>IF(L793="","",IF(2026-E793&gt;0,L793/(2026-E793),L793))</f>
        <v/>
      </c>
    </row>
    <row r="794" ht="15" customHeight="1" s="1">
      <c r="N794">
        <f>IF(L794="","",IF(2026-E794&gt;0,L794/(2026-E794),L794))</f>
        <v/>
      </c>
    </row>
    <row r="795" ht="15" customHeight="1" s="1">
      <c r="N795">
        <f>IF(L795="","",IF(2026-E795&gt;0,L795/(2026-E795),L795))</f>
        <v/>
      </c>
    </row>
    <row r="796" ht="15" customHeight="1" s="1">
      <c r="N796">
        <f>IF(L796="","",IF(2026-E796&gt;0,L796/(2026-E796),L796))</f>
        <v/>
      </c>
    </row>
    <row r="797" ht="15" customHeight="1" s="1">
      <c r="N797">
        <f>IF(L797="","",IF(2026-E797&gt;0,L797/(2026-E797),L797))</f>
        <v/>
      </c>
    </row>
    <row r="798" ht="15" customHeight="1" s="1">
      <c r="N798">
        <f>IF(L798="","",IF(2026-E798&gt;0,L798/(2026-E798),L798))</f>
        <v/>
      </c>
    </row>
    <row r="799" ht="15" customHeight="1" s="1">
      <c r="N799">
        <f>IF(L799="","",IF(2026-E799&gt;0,L799/(2026-E799),L799))</f>
        <v/>
      </c>
    </row>
    <row r="800" ht="15" customHeight="1" s="1">
      <c r="N800">
        <f>IF(L800="","",IF(2026-E800&gt;0,L800/(2026-E800),L800))</f>
        <v/>
      </c>
    </row>
    <row r="801" ht="15" customHeight="1" s="1">
      <c r="N801">
        <f>IF(L801="","",IF(2026-E801&gt;0,L801/(2026-E801),L801))</f>
        <v/>
      </c>
    </row>
    <row r="802" ht="15" customHeight="1" s="1">
      <c r="N802">
        <f>IF(L802="","",IF(2026-E802&gt;0,L802/(2026-E802),L802))</f>
        <v/>
      </c>
    </row>
    <row r="803" ht="15" customHeight="1" s="1">
      <c r="N803">
        <f>IF(L803="","",IF(2026-E803&gt;0,L803/(2026-E803),L803))</f>
        <v/>
      </c>
    </row>
    <row r="804" ht="15" customHeight="1" s="1">
      <c r="N804">
        <f>IF(L804="","",IF(2026-E804&gt;0,L804/(2026-E804),L804))</f>
        <v/>
      </c>
    </row>
    <row r="805" ht="15" customHeight="1" s="1">
      <c r="N805">
        <f>IF(L805="","",IF(2026-E805&gt;0,L805/(2026-E805),L805))</f>
        <v/>
      </c>
    </row>
    <row r="806" ht="15" customHeight="1" s="1">
      <c r="N806">
        <f>IF(L806="","",IF(2026-E806&gt;0,L806/(2026-E806),L806))</f>
        <v/>
      </c>
    </row>
    <row r="807" ht="15" customHeight="1" s="1">
      <c r="N807">
        <f>IF(L807="","",IF(2026-E807&gt;0,L807/(2026-E807),L807))</f>
        <v/>
      </c>
    </row>
    <row r="808" ht="15" customHeight="1" s="1">
      <c r="N808">
        <f>IF(L808="","",IF(2026-E808&gt;0,L808/(2026-E808),L808))</f>
        <v/>
      </c>
    </row>
    <row r="809" ht="15" customHeight="1" s="1">
      <c r="N809">
        <f>IF(L809="","",IF(2026-E809&gt;0,L809/(2026-E809),L809))</f>
        <v/>
      </c>
    </row>
    <row r="810" ht="15" customHeight="1" s="1">
      <c r="N810">
        <f>IF(L810="","",IF(2026-E810&gt;0,L810/(2026-E810),L810))</f>
        <v/>
      </c>
    </row>
    <row r="811" ht="15" customHeight="1" s="1">
      <c r="N811">
        <f>IF(L811="","",IF(2026-E811&gt;0,L811/(2026-E811),L811))</f>
        <v/>
      </c>
    </row>
    <row r="812" ht="15" customHeight="1" s="1">
      <c r="N812">
        <f>IF(L812="","",IF(2026-E812&gt;0,L812/(2026-E812),L812))</f>
        <v/>
      </c>
    </row>
    <row r="813" ht="15" customHeight="1" s="1">
      <c r="N813">
        <f>IF(L813="","",IF(2026-E813&gt;0,L813/(2026-E813),L813))</f>
        <v/>
      </c>
    </row>
    <row r="814" ht="15" customHeight="1" s="1">
      <c r="N814">
        <f>IF(L814="","",IF(2026-E814&gt;0,L814/(2026-E814),L814))</f>
        <v/>
      </c>
    </row>
    <row r="815" ht="15" customHeight="1" s="1">
      <c r="N815">
        <f>IF(L815="","",IF(2026-E815&gt;0,L815/(2026-E815),L815))</f>
        <v/>
      </c>
    </row>
    <row r="816" ht="15" customHeight="1" s="1">
      <c r="N816">
        <f>IF(L816="","",IF(2026-E816&gt;0,L816/(2026-E816),L816))</f>
        <v/>
      </c>
    </row>
    <row r="817" ht="15" customHeight="1" s="1">
      <c r="N817">
        <f>IF(L817="","",IF(2026-E817&gt;0,L817/(2026-E817),L817))</f>
        <v/>
      </c>
    </row>
    <row r="818" ht="15" customHeight="1" s="1">
      <c r="N818">
        <f>IF(L818="","",IF(2026-E818&gt;0,L818/(2026-E818),L818))</f>
        <v/>
      </c>
    </row>
    <row r="819" ht="15" customHeight="1" s="1">
      <c r="N819">
        <f>IF(L819="","",IF(2026-E819&gt;0,L819/(2026-E819),L819))</f>
        <v/>
      </c>
    </row>
    <row r="820" ht="15" customHeight="1" s="1">
      <c r="N820">
        <f>IF(L820="","",IF(2026-E820&gt;0,L820/(2026-E820),L820))</f>
        <v/>
      </c>
    </row>
    <row r="821" ht="15" customHeight="1" s="1">
      <c r="N821">
        <f>IF(L821="","",IF(2026-E821&gt;0,L821/(2026-E821),L821))</f>
        <v/>
      </c>
    </row>
    <row r="822" ht="15" customHeight="1" s="1">
      <c r="N822">
        <f>IF(L822="","",IF(2026-E822&gt;0,L822/(2026-E822),L822))</f>
        <v/>
      </c>
    </row>
    <row r="823" ht="15" customHeight="1" s="1">
      <c r="N823">
        <f>IF(L823="","",IF(2026-E823&gt;0,L823/(2026-E823),L823))</f>
        <v/>
      </c>
    </row>
    <row r="824" ht="15" customHeight="1" s="1">
      <c r="N824">
        <f>IF(L824="","",IF(2026-E824&gt;0,L824/(2026-E824),L824))</f>
        <v/>
      </c>
    </row>
    <row r="825" ht="15" customHeight="1" s="1">
      <c r="N825">
        <f>IF(L825="","",IF(2026-E825&gt;0,L825/(2026-E825),L825))</f>
        <v/>
      </c>
    </row>
    <row r="826" ht="15" customHeight="1" s="1">
      <c r="N826">
        <f>IF(L826="","",IF(2026-E826&gt;0,L826/(2026-E826),L826))</f>
        <v/>
      </c>
    </row>
    <row r="827" ht="15" customHeight="1" s="1">
      <c r="N827">
        <f>IF(L827="","",IF(2026-E827&gt;0,L827/(2026-E827),L827))</f>
        <v/>
      </c>
    </row>
    <row r="828" ht="15" customHeight="1" s="1">
      <c r="N828">
        <f>IF(L828="","",IF(2026-E828&gt;0,L828/(2026-E828),L828))</f>
        <v/>
      </c>
    </row>
    <row r="829" ht="15" customHeight="1" s="1">
      <c r="N829">
        <f>IF(L829="","",IF(2026-E829&gt;0,L829/(2026-E829),L829))</f>
        <v/>
      </c>
    </row>
    <row r="830" ht="15" customHeight="1" s="1">
      <c r="N830">
        <f>IF(L830="","",IF(2026-E830&gt;0,L830/(2026-E830),L830))</f>
        <v/>
      </c>
    </row>
    <row r="831" ht="15" customHeight="1" s="1">
      <c r="N831">
        <f>IF(L831="","",IF(2026-E831&gt;0,L831/(2026-E831),L831))</f>
        <v/>
      </c>
    </row>
    <row r="832" ht="15" customHeight="1" s="1">
      <c r="N832">
        <f>IF(L832="","",IF(2026-E832&gt;0,L832/(2026-E832),L832))</f>
        <v/>
      </c>
    </row>
    <row r="833" ht="15" customHeight="1" s="1">
      <c r="N833">
        <f>IF(L833="","",IF(2026-E833&gt;0,L833/(2026-E833),L833))</f>
        <v/>
      </c>
    </row>
    <row r="834" ht="15" customHeight="1" s="1">
      <c r="N834">
        <f>IF(L834="","",IF(2026-E834&gt;0,L834/(2026-E834),L834))</f>
        <v/>
      </c>
    </row>
    <row r="835" ht="15" customHeight="1" s="1">
      <c r="N835">
        <f>IF(L835="","",IF(2026-E835&gt;0,L835/(2026-E835),L835))</f>
        <v/>
      </c>
    </row>
    <row r="836" ht="15" customHeight="1" s="1">
      <c r="N836">
        <f>IF(L836="","",IF(2026-E836&gt;0,L836/(2026-E836),L836))</f>
        <v/>
      </c>
    </row>
    <row r="837" ht="15" customHeight="1" s="1">
      <c r="N837">
        <f>IF(L837="","",IF(2026-E837&gt;0,L837/(2026-E837),L837))</f>
        <v/>
      </c>
    </row>
    <row r="838" ht="15" customHeight="1" s="1">
      <c r="N838">
        <f>IF(L838="","",IF(2026-E838&gt;0,L838/(2026-E838),L838))</f>
        <v/>
      </c>
    </row>
    <row r="839" ht="15" customHeight="1" s="1">
      <c r="N839">
        <f>IF(L839="","",IF(2026-E839&gt;0,L839/(2026-E839),L839))</f>
        <v/>
      </c>
    </row>
    <row r="840" ht="15" customHeight="1" s="1">
      <c r="N840">
        <f>IF(L840="","",IF(2026-E840&gt;0,L840/(2026-E840),L840))</f>
        <v/>
      </c>
    </row>
    <row r="841" ht="15" customHeight="1" s="1">
      <c r="N841">
        <f>IF(L841="","",IF(2026-E841&gt;0,L841/(2026-E841),L841))</f>
        <v/>
      </c>
    </row>
    <row r="842" ht="15" customHeight="1" s="1">
      <c r="N842">
        <f>IF(L842="","",IF(2026-E842&gt;0,L842/(2026-E842),L842))</f>
        <v/>
      </c>
    </row>
    <row r="843" ht="15" customHeight="1" s="1">
      <c r="N843">
        <f>IF(L843="","",IF(2026-E843&gt;0,L843/(2026-E843),L843))</f>
        <v/>
      </c>
    </row>
    <row r="844" ht="15" customHeight="1" s="1">
      <c r="N844">
        <f>IF(L844="","",IF(2026-E844&gt;0,L844/(2026-E844),L844))</f>
        <v/>
      </c>
    </row>
    <row r="845" ht="15" customHeight="1" s="1">
      <c r="N845">
        <f>IF(L845="","",IF(2026-E845&gt;0,L845/(2026-E845),L845))</f>
        <v/>
      </c>
    </row>
    <row r="846" ht="15" customHeight="1" s="1">
      <c r="N846">
        <f>IF(L846="","",IF(2026-E846&gt;0,L846/(2026-E846),L846))</f>
        <v/>
      </c>
    </row>
    <row r="847" ht="15" customHeight="1" s="1">
      <c r="N847">
        <f>IF(L847="","",IF(2026-E847&gt;0,L847/(2026-E847),L847))</f>
        <v/>
      </c>
    </row>
    <row r="848" ht="15" customHeight="1" s="1">
      <c r="N848">
        <f>IF(L848="","",IF(2026-E848&gt;0,L848/(2026-E848),L848))</f>
        <v/>
      </c>
    </row>
    <row r="849" ht="15" customHeight="1" s="1">
      <c r="N849">
        <f>IF(L849="","",IF(2026-E849&gt;0,L849/(2026-E849),L849))</f>
        <v/>
      </c>
    </row>
    <row r="850" ht="15" customHeight="1" s="1">
      <c r="N850">
        <f>IF(L850="","",IF(2026-E850&gt;0,L850/(2026-E850),L850))</f>
        <v/>
      </c>
    </row>
    <row r="851" ht="15" customHeight="1" s="1">
      <c r="N851">
        <f>IF(L851="","",IF(2026-E851&gt;0,L851/(2026-E851),L851))</f>
        <v/>
      </c>
    </row>
    <row r="852" ht="15" customHeight="1" s="1">
      <c r="N852">
        <f>IF(L852="","",IF(2026-E852&gt;0,L852/(2026-E852),L852))</f>
        <v/>
      </c>
    </row>
    <row r="853" ht="15" customHeight="1" s="1">
      <c r="N853">
        <f>IF(L853="","",IF(2026-E853&gt;0,L853/(2026-E853),L853))</f>
        <v/>
      </c>
    </row>
    <row r="854" ht="15" customHeight="1" s="1">
      <c r="N854">
        <f>IF(L854="","",IF(2026-E854&gt;0,L854/(2026-E854),L854))</f>
        <v/>
      </c>
    </row>
    <row r="855" ht="15" customHeight="1" s="1">
      <c r="N855">
        <f>IF(L855="","",IF(2026-E855&gt;0,L855/(2026-E855),L855))</f>
        <v/>
      </c>
    </row>
    <row r="856" ht="15" customHeight="1" s="1">
      <c r="N856">
        <f>IF(L856="","",IF(2026-E856&gt;0,L856/(2026-E856),L856))</f>
        <v/>
      </c>
    </row>
    <row r="857" ht="15" customHeight="1" s="1">
      <c r="N857">
        <f>IF(L857="","",IF(2026-E857&gt;0,L857/(2026-E857),L857))</f>
        <v/>
      </c>
    </row>
    <row r="858" ht="15" customHeight="1" s="1">
      <c r="N858">
        <f>IF(L858="","",IF(2026-E858&gt;0,L858/(2026-E858),L858))</f>
        <v/>
      </c>
    </row>
    <row r="859" ht="15" customHeight="1" s="1">
      <c r="N859">
        <f>IF(L859="","",IF(2026-E859&gt;0,L859/(2026-E859),L859))</f>
        <v/>
      </c>
    </row>
    <row r="860" ht="15" customHeight="1" s="1">
      <c r="N860">
        <f>IF(L860="","",IF(2026-E860&gt;0,L860/(2026-E860),L860))</f>
        <v/>
      </c>
    </row>
    <row r="861" ht="15" customHeight="1" s="1">
      <c r="N861">
        <f>IF(L861="","",IF(2026-E861&gt;0,L861/(2026-E861),L861))</f>
        <v/>
      </c>
    </row>
    <row r="862" ht="15" customHeight="1" s="1">
      <c r="N862">
        <f>IF(L862="","",IF(2026-E862&gt;0,L862/(2026-E862),L862))</f>
        <v/>
      </c>
    </row>
    <row r="863" ht="15" customHeight="1" s="1">
      <c r="N863">
        <f>IF(L863="","",IF(2026-E863&gt;0,L863/(2026-E863),L863))</f>
        <v/>
      </c>
    </row>
    <row r="864" ht="15" customHeight="1" s="1">
      <c r="N864">
        <f>IF(L864="","",IF(2026-E864&gt;0,L864/(2026-E864),L864))</f>
        <v/>
      </c>
    </row>
    <row r="865" ht="15" customHeight="1" s="1">
      <c r="N865">
        <f>IF(L865="","",IF(2026-E865&gt;0,L865/(2026-E865),L865))</f>
        <v/>
      </c>
    </row>
    <row r="866" ht="15" customHeight="1" s="1">
      <c r="N866">
        <f>IF(L866="","",IF(2026-E866&gt;0,L866/(2026-E866),L866))</f>
        <v/>
      </c>
    </row>
    <row r="867" ht="15" customHeight="1" s="1">
      <c r="N867">
        <f>IF(L867="","",IF(2026-E867&gt;0,L867/(2026-E867),L867))</f>
        <v/>
      </c>
    </row>
    <row r="868" ht="15" customHeight="1" s="1">
      <c r="N868">
        <f>IF(L868="","",IF(2026-E868&gt;0,L868/(2026-E868),L868))</f>
        <v/>
      </c>
    </row>
    <row r="869" ht="15" customHeight="1" s="1">
      <c r="N869">
        <f>IF(L869="","",IF(2026-E869&gt;0,L869/(2026-E869),L869))</f>
        <v/>
      </c>
    </row>
    <row r="870" ht="15" customHeight="1" s="1">
      <c r="N870">
        <f>IF(L870="","",IF(2026-E870&gt;0,L870/(2026-E870),L870))</f>
        <v/>
      </c>
    </row>
    <row r="871" ht="15" customHeight="1" s="1">
      <c r="N871">
        <f>IF(L871="","",IF(2026-E871&gt;0,L871/(2026-E871),L871))</f>
        <v/>
      </c>
    </row>
    <row r="872" ht="15" customHeight="1" s="1">
      <c r="N872">
        <f>IF(L872="","",IF(2026-E872&gt;0,L872/(2026-E872),L872))</f>
        <v/>
      </c>
    </row>
    <row r="873" ht="15" customHeight="1" s="1">
      <c r="N873">
        <f>IF(L873="","",IF(2026-E873&gt;0,L873/(2026-E873),L873))</f>
        <v/>
      </c>
    </row>
    <row r="874" ht="15" customHeight="1" s="1">
      <c r="N874">
        <f>IF(L874="","",IF(2026-E874&gt;0,L874/(2026-E874),L874))</f>
        <v/>
      </c>
    </row>
    <row r="875" ht="15" customHeight="1" s="1">
      <c r="N875">
        <f>IF(L875="","",IF(2026-E875&gt;0,L875/(2026-E875),L875))</f>
        <v/>
      </c>
    </row>
    <row r="876" ht="15" customHeight="1" s="1">
      <c r="N876">
        <f>IF(L876="","",IF(2026-E876&gt;0,L876/(2026-E876),L876))</f>
        <v/>
      </c>
    </row>
    <row r="877" ht="15" customHeight="1" s="1">
      <c r="N877">
        <f>IF(L877="","",IF(2026-E877&gt;0,L877/(2026-E877),L877))</f>
        <v/>
      </c>
    </row>
    <row r="878" ht="15" customHeight="1" s="1">
      <c r="N878">
        <f>IF(L878="","",IF(2026-E878&gt;0,L878/(2026-E878),L878))</f>
        <v/>
      </c>
    </row>
    <row r="879" ht="15" customHeight="1" s="1">
      <c r="N879">
        <f>IF(L879="","",IF(2026-E879&gt;0,L879/(2026-E879),L879))</f>
        <v/>
      </c>
    </row>
    <row r="880" ht="15" customHeight="1" s="1">
      <c r="N880">
        <f>IF(L880="","",IF(2026-E880&gt;0,L880/(2026-E880),L880))</f>
        <v/>
      </c>
    </row>
    <row r="881" ht="15" customHeight="1" s="1">
      <c r="N881">
        <f>IF(L881="","",IF(2026-E881&gt;0,L881/(2026-E881),L881))</f>
        <v/>
      </c>
    </row>
    <row r="882" ht="15" customHeight="1" s="1">
      <c r="N882">
        <f>IF(L882="","",IF(2026-E882&gt;0,L882/(2026-E882),L882))</f>
        <v/>
      </c>
    </row>
    <row r="883" ht="15" customHeight="1" s="1">
      <c r="N883">
        <f>IF(L883="","",IF(2026-E883&gt;0,L883/(2026-E883),L883))</f>
        <v/>
      </c>
    </row>
    <row r="884" ht="15" customHeight="1" s="1">
      <c r="N884">
        <f>IF(L884="","",IF(2026-E884&gt;0,L884/(2026-E884),L884))</f>
        <v/>
      </c>
    </row>
    <row r="885" ht="15" customHeight="1" s="1">
      <c r="N885">
        <f>IF(L885="","",IF(2026-E885&gt;0,L885/(2026-E885),L885))</f>
        <v/>
      </c>
    </row>
    <row r="886" ht="15" customHeight="1" s="1">
      <c r="N886">
        <f>IF(L886="","",IF(2026-E886&gt;0,L886/(2026-E886),L886))</f>
        <v/>
      </c>
    </row>
    <row r="887" ht="15" customHeight="1" s="1">
      <c r="N887">
        <f>IF(L887="","",IF(2026-E887&gt;0,L887/(2026-E887),L887))</f>
        <v/>
      </c>
    </row>
    <row r="888" ht="15" customHeight="1" s="1">
      <c r="N888">
        <f>IF(L888="","",IF(2026-E888&gt;0,L888/(2026-E888),L888))</f>
        <v/>
      </c>
    </row>
    <row r="889" ht="15" customHeight="1" s="1">
      <c r="N889">
        <f>IF(L889="","",IF(2026-E889&gt;0,L889/(2026-E889),L889))</f>
        <v/>
      </c>
    </row>
    <row r="890" ht="15" customHeight="1" s="1">
      <c r="N890">
        <f>IF(L890="","",IF(2026-E890&gt;0,L890/(2026-E890),L890))</f>
        <v/>
      </c>
    </row>
    <row r="891" ht="15" customHeight="1" s="1">
      <c r="N891">
        <f>IF(L891="","",IF(2026-E891&gt;0,L891/(2026-E891),L891))</f>
        <v/>
      </c>
    </row>
    <row r="892" ht="15" customHeight="1" s="1">
      <c r="N892">
        <f>IF(L892="","",IF(2026-E892&gt;0,L892/(2026-E892),L892))</f>
        <v/>
      </c>
    </row>
    <row r="893" ht="15" customHeight="1" s="1">
      <c r="N893">
        <f>IF(L893="","",IF(2026-E893&gt;0,L893/(2026-E893),L893))</f>
        <v/>
      </c>
    </row>
    <row r="894" ht="15" customHeight="1" s="1">
      <c r="N894">
        <f>IF(L894="","",IF(2026-E894&gt;0,L894/(2026-E894),L894))</f>
        <v/>
      </c>
    </row>
    <row r="895" ht="15" customHeight="1" s="1">
      <c r="N895">
        <f>IF(L895="","",IF(2026-E895&gt;0,L895/(2026-E895),L895))</f>
        <v/>
      </c>
    </row>
    <row r="896" ht="15" customHeight="1" s="1">
      <c r="N896">
        <f>IF(L896="","",IF(2026-E896&gt;0,L896/(2026-E896),L896))</f>
        <v/>
      </c>
    </row>
    <row r="897" ht="15" customHeight="1" s="1">
      <c r="N897">
        <f>IF(L897="","",IF(2026-E897&gt;0,L897/(2026-E897),L897))</f>
        <v/>
      </c>
    </row>
    <row r="898" ht="15" customHeight="1" s="1">
      <c r="N898">
        <f>IF(L898="","",IF(2026-E898&gt;0,L898/(2026-E898),L898))</f>
        <v/>
      </c>
    </row>
    <row r="899" ht="15" customHeight="1" s="1">
      <c r="N899">
        <f>IF(L899="","",IF(2026-E899&gt;0,L899/(2026-E899),L899))</f>
        <v/>
      </c>
    </row>
    <row r="900" ht="15" customHeight="1" s="1">
      <c r="N900">
        <f>IF(L900="","",IF(2026-E900&gt;0,L900/(2026-E900),L900))</f>
        <v/>
      </c>
    </row>
    <row r="901" ht="15" customHeight="1" s="1">
      <c r="N901">
        <f>IF(L901="","",IF(2026-E901&gt;0,L901/(2026-E901),L901))</f>
        <v/>
      </c>
    </row>
    <row r="902" ht="15" customHeight="1" s="1">
      <c r="N902">
        <f>IF(L902="","",IF(2026-E902&gt;0,L902/(2026-E902),L902))</f>
        <v/>
      </c>
    </row>
    <row r="903" ht="15" customHeight="1" s="1">
      <c r="N903">
        <f>IF(L903="","",IF(2026-E903&gt;0,L903/(2026-E903),L903))</f>
        <v/>
      </c>
    </row>
    <row r="904" ht="15" customHeight="1" s="1">
      <c r="N904">
        <f>IF(L904="","",IF(2026-E904&gt;0,L904/(2026-E904),L904))</f>
        <v/>
      </c>
    </row>
    <row r="905" ht="15" customHeight="1" s="1">
      <c r="N905">
        <f>IF(L905="","",IF(2026-E905&gt;0,L905/(2026-E905),L905))</f>
        <v/>
      </c>
    </row>
    <row r="906" ht="15" customHeight="1" s="1">
      <c r="N906">
        <f>IF(L906="","",IF(2026-E906&gt;0,L906/(2026-E906),L906))</f>
        <v/>
      </c>
    </row>
    <row r="907" ht="15" customHeight="1" s="1">
      <c r="N907">
        <f>IF(L907="","",IF(2026-E907&gt;0,L907/(2026-E907),L907))</f>
        <v/>
      </c>
    </row>
    <row r="908" ht="15" customHeight="1" s="1">
      <c r="N908">
        <f>IF(L908="","",IF(2026-E908&gt;0,L908/(2026-E908),L908))</f>
        <v/>
      </c>
    </row>
    <row r="909" ht="15" customHeight="1" s="1">
      <c r="N909">
        <f>IF(L909="","",IF(2026-E909&gt;0,L909/(2026-E909),L909))</f>
        <v/>
      </c>
    </row>
    <row r="910" ht="15" customHeight="1" s="1">
      <c r="N910">
        <f>IF(L910="","",IF(2026-E910&gt;0,L910/(2026-E910),L910))</f>
        <v/>
      </c>
    </row>
    <row r="911" ht="15" customHeight="1" s="1">
      <c r="N911">
        <f>IF(L911="","",IF(2026-E911&gt;0,L911/(2026-E911),L911))</f>
        <v/>
      </c>
    </row>
    <row r="912" ht="15" customHeight="1" s="1">
      <c r="N912">
        <f>IF(L912="","",IF(2026-E912&gt;0,L912/(2026-E912),L912))</f>
        <v/>
      </c>
    </row>
    <row r="913" ht="15" customHeight="1" s="1">
      <c r="N913">
        <f>IF(L913="","",IF(2026-E913&gt;0,L913/(2026-E913),L913))</f>
        <v/>
      </c>
    </row>
    <row r="914" ht="15" customHeight="1" s="1">
      <c r="N914">
        <f>IF(L914="","",IF(2026-E914&gt;0,L914/(2026-E914),L914))</f>
        <v/>
      </c>
    </row>
    <row r="915" ht="15" customHeight="1" s="1">
      <c r="N915">
        <f>IF(L915="","",IF(2026-E915&gt;0,L915/(2026-E915),L915))</f>
        <v/>
      </c>
    </row>
    <row r="916" ht="15" customHeight="1" s="1">
      <c r="N916">
        <f>IF(L916="","",IF(2026-E916&gt;0,L916/(2026-E916),L916))</f>
        <v/>
      </c>
    </row>
    <row r="917" ht="15" customHeight="1" s="1">
      <c r="N917">
        <f>IF(L917="","",IF(2026-E917&gt;0,L917/(2026-E917),L917))</f>
        <v/>
      </c>
    </row>
    <row r="918" ht="15" customHeight="1" s="1">
      <c r="N918">
        <f>IF(L918="","",IF(2026-E918&gt;0,L918/(2026-E918),L918))</f>
        <v/>
      </c>
    </row>
    <row r="919" ht="15" customHeight="1" s="1">
      <c r="N919">
        <f>IF(L919="","",IF(2026-E919&gt;0,L919/(2026-E919),L919))</f>
        <v/>
      </c>
    </row>
    <row r="920" ht="15" customHeight="1" s="1">
      <c r="N920">
        <f>IF(L920="","",IF(2026-E920&gt;0,L920/(2026-E920),L920))</f>
        <v/>
      </c>
    </row>
    <row r="921" ht="15" customHeight="1" s="1">
      <c r="N921">
        <f>IF(L921="","",IF(2026-E921&gt;0,L921/(2026-E921),L921))</f>
        <v/>
      </c>
    </row>
    <row r="922" ht="15" customHeight="1" s="1">
      <c r="N922">
        <f>IF(L922="","",IF(2026-E922&gt;0,L922/(2026-E922),L922))</f>
        <v/>
      </c>
    </row>
    <row r="923" ht="15" customHeight="1" s="1">
      <c r="N923">
        <f>IF(L923="","",IF(2026-E923&gt;0,L923/(2026-E923),L923))</f>
        <v/>
      </c>
    </row>
    <row r="924" ht="15" customHeight="1" s="1">
      <c r="N924">
        <f>IF(L924="","",IF(2026-E924&gt;0,L924/(2026-E924),L924))</f>
        <v/>
      </c>
    </row>
    <row r="925" ht="15" customHeight="1" s="1">
      <c r="N925">
        <f>IF(L925="","",IF(2026-E925&gt;0,L925/(2026-E925),L925))</f>
        <v/>
      </c>
    </row>
    <row r="926" ht="15" customHeight="1" s="1">
      <c r="N926">
        <f>IF(L926="","",IF(2026-E926&gt;0,L926/(2026-E926),L926))</f>
        <v/>
      </c>
    </row>
    <row r="927" ht="15" customHeight="1" s="1">
      <c r="N927">
        <f>IF(L927="","",IF(2026-E927&gt;0,L927/(2026-E927),L927))</f>
        <v/>
      </c>
    </row>
    <row r="928" ht="15" customHeight="1" s="1">
      <c r="N928">
        <f>IF(L928="","",IF(2026-E928&gt;0,L928/(2026-E928),L928))</f>
        <v/>
      </c>
    </row>
    <row r="929" ht="15" customHeight="1" s="1">
      <c r="N929">
        <f>IF(L929="","",IF(2026-E929&gt;0,L929/(2026-E929),L929))</f>
        <v/>
      </c>
    </row>
    <row r="930" ht="15" customHeight="1" s="1">
      <c r="N930">
        <f>IF(L930="","",IF(2026-E930&gt;0,L930/(2026-E930),L930))</f>
        <v/>
      </c>
    </row>
    <row r="931" ht="15" customHeight="1" s="1">
      <c r="N931">
        <f>IF(L931="","",IF(2026-E931&gt;0,L931/(2026-E931),L931))</f>
        <v/>
      </c>
    </row>
    <row r="932" ht="15" customHeight="1" s="1">
      <c r="N932">
        <f>IF(L932="","",IF(2026-E932&gt;0,L932/(2026-E932),L932))</f>
        <v/>
      </c>
    </row>
    <row r="933" ht="15" customHeight="1" s="1">
      <c r="N933">
        <f>IF(L933="","",IF(2026-E933&gt;0,L933/(2026-E933),L933))</f>
        <v/>
      </c>
    </row>
    <row r="934" ht="15" customHeight="1" s="1">
      <c r="N934">
        <f>IF(L934="","",IF(2026-E934&gt;0,L934/(2026-E934),L934))</f>
        <v/>
      </c>
    </row>
    <row r="935" ht="15" customHeight="1" s="1">
      <c r="N935">
        <f>IF(L935="","",IF(2026-E935&gt;0,L935/(2026-E935),L935))</f>
        <v/>
      </c>
    </row>
    <row r="936" ht="15" customHeight="1" s="1">
      <c r="N936">
        <f>IF(L936="","",IF(2026-E936&gt;0,L936/(2026-E936),L936))</f>
        <v/>
      </c>
    </row>
    <row r="937" ht="15" customHeight="1" s="1">
      <c r="N937">
        <f>IF(L937="","",IF(2026-E937&gt;0,L937/(2026-E937),L937))</f>
        <v/>
      </c>
    </row>
    <row r="938" ht="15" customHeight="1" s="1">
      <c r="N938">
        <f>IF(L938="","",IF(2026-E938&gt;0,L938/(2026-E938),L938))</f>
        <v/>
      </c>
    </row>
    <row r="939" ht="15" customHeight="1" s="1">
      <c r="N939">
        <f>IF(L939="","",IF(2026-E939&gt;0,L939/(2026-E939),L939))</f>
        <v/>
      </c>
    </row>
    <row r="940" ht="15" customHeight="1" s="1">
      <c r="N940">
        <f>IF(L940="","",IF(2026-E940&gt;0,L940/(2026-E940),L940))</f>
        <v/>
      </c>
    </row>
    <row r="941" ht="15" customHeight="1" s="1">
      <c r="N941">
        <f>IF(L941="","",IF(2026-E941&gt;0,L941/(2026-E941),L941))</f>
        <v/>
      </c>
    </row>
    <row r="942" ht="15" customHeight="1" s="1">
      <c r="N942">
        <f>IF(L942="","",IF(2026-E942&gt;0,L942/(2026-E942),L942))</f>
        <v/>
      </c>
    </row>
    <row r="943" ht="15" customHeight="1" s="1">
      <c r="N943">
        <f>IF(L943="","",IF(2026-E943&gt;0,L943/(2026-E943),L943))</f>
        <v/>
      </c>
    </row>
    <row r="944" ht="15" customHeight="1" s="1">
      <c r="N944">
        <f>IF(L944="","",IF(2026-E944&gt;0,L944/(2026-E944),L944))</f>
        <v/>
      </c>
    </row>
    <row r="945" ht="15" customHeight="1" s="1">
      <c r="N945">
        <f>IF(L945="","",IF(2026-E945&gt;0,L945/(2026-E945),L945))</f>
        <v/>
      </c>
    </row>
    <row r="946" ht="15" customHeight="1" s="1">
      <c r="N946">
        <f>IF(L946="","",IF(2026-E946&gt;0,L946/(2026-E946),L946))</f>
        <v/>
      </c>
    </row>
    <row r="947" ht="15" customHeight="1" s="1">
      <c r="N947">
        <f>IF(L947="","",IF(2026-E947&gt;0,L947/(2026-E947),L947))</f>
        <v/>
      </c>
    </row>
    <row r="948" ht="15" customHeight="1" s="1">
      <c r="N948">
        <f>IF(L948="","",IF(2026-E948&gt;0,L948/(2026-E948),L948))</f>
        <v/>
      </c>
    </row>
    <row r="949" ht="15" customHeight="1" s="1">
      <c r="N949">
        <f>IF(L949="","",IF(2026-E949&gt;0,L949/(2026-E949),L949))</f>
        <v/>
      </c>
    </row>
    <row r="950" ht="15" customHeight="1" s="1">
      <c r="N950">
        <f>IF(L950="","",IF(2026-E950&gt;0,L950/(2026-E950),L950))</f>
        <v/>
      </c>
    </row>
    <row r="951" ht="15" customHeight="1" s="1">
      <c r="N951">
        <f>IF(L951="","",IF(2026-E951&gt;0,L951/(2026-E951),L951))</f>
        <v/>
      </c>
    </row>
    <row r="952" ht="15" customHeight="1" s="1">
      <c r="N952">
        <f>IF(L952="","",IF(2026-E952&gt;0,L952/(2026-E952),L952))</f>
        <v/>
      </c>
    </row>
    <row r="953" ht="15" customHeight="1" s="1">
      <c r="N953">
        <f>IF(L953="","",IF(2026-E953&gt;0,L953/(2026-E953),L953))</f>
        <v/>
      </c>
    </row>
    <row r="954" ht="15" customHeight="1" s="1">
      <c r="N954">
        <f>IF(L954="","",IF(2026-E954&gt;0,L954/(2026-E954),L954))</f>
        <v/>
      </c>
    </row>
    <row r="955" ht="15" customHeight="1" s="1">
      <c r="N955">
        <f>IF(L955="","",IF(2026-E955&gt;0,L955/(2026-E955),L955))</f>
        <v/>
      </c>
    </row>
    <row r="956" ht="15" customHeight="1" s="1">
      <c r="N956">
        <f>IF(L956="","",IF(2026-E956&gt;0,L956/(2026-E956),L956))</f>
        <v/>
      </c>
    </row>
    <row r="957" ht="15" customHeight="1" s="1">
      <c r="N957">
        <f>IF(L957="","",IF(2026-E957&gt;0,L957/(2026-E957),L957))</f>
        <v/>
      </c>
    </row>
    <row r="958" ht="15" customHeight="1" s="1">
      <c r="N958">
        <f>IF(L958="","",IF(2026-E958&gt;0,L958/(2026-E958),L958))</f>
        <v/>
      </c>
    </row>
    <row r="959" ht="15" customHeight="1" s="1">
      <c r="N959">
        <f>IF(L959="","",IF(2026-E959&gt;0,L959/(2026-E959),L959))</f>
        <v/>
      </c>
    </row>
    <row r="960" ht="15" customHeight="1" s="1">
      <c r="N960">
        <f>IF(L960="","",IF(2026-E960&gt;0,L960/(2026-E960),L960))</f>
        <v/>
      </c>
    </row>
    <row r="961" ht="15" customHeight="1" s="1">
      <c r="N961">
        <f>IF(L961="","",IF(2026-E961&gt;0,L961/(2026-E961),L961))</f>
        <v/>
      </c>
    </row>
    <row r="962" ht="15" customHeight="1" s="1">
      <c r="N962">
        <f>IF(L962="","",IF(2026-E962&gt;0,L962/(2026-E962),L962))</f>
        <v/>
      </c>
    </row>
    <row r="963" ht="15" customHeight="1" s="1">
      <c r="N963">
        <f>IF(L963="","",IF(2026-E963&gt;0,L963/(2026-E963),L963))</f>
        <v/>
      </c>
    </row>
    <row r="964" ht="15" customHeight="1" s="1">
      <c r="N964">
        <f>IF(L964="","",IF(2026-E964&gt;0,L964/(2026-E964),L964))</f>
        <v/>
      </c>
    </row>
    <row r="965" ht="15" customHeight="1" s="1">
      <c r="N965">
        <f>IF(L965="","",IF(2026-E965&gt;0,L965/(2026-E965),L965))</f>
        <v/>
      </c>
    </row>
    <row r="966" ht="15" customHeight="1" s="1">
      <c r="N966">
        <f>IF(L966="","",IF(2026-E966&gt;0,L966/(2026-E966),L966))</f>
        <v/>
      </c>
    </row>
    <row r="967" ht="15" customHeight="1" s="1">
      <c r="N967">
        <f>IF(L967="","",IF(2026-E967&gt;0,L967/(2026-E967),L967))</f>
        <v/>
      </c>
    </row>
    <row r="968" ht="15" customHeight="1" s="1">
      <c r="N968">
        <f>IF(L968="","",IF(2026-E968&gt;0,L968/(2026-E968),L968))</f>
        <v/>
      </c>
    </row>
    <row r="969" ht="15" customHeight="1" s="1">
      <c r="N969">
        <f>IF(L969="","",IF(2026-E969&gt;0,L969/(2026-E969),L969))</f>
        <v/>
      </c>
    </row>
    <row r="970" ht="15" customHeight="1" s="1">
      <c r="N970">
        <f>IF(L970="","",IF(2026-E970&gt;0,L970/(2026-E970),L970))</f>
        <v/>
      </c>
    </row>
    <row r="971" ht="15" customHeight="1" s="1">
      <c r="N971">
        <f>IF(L971="","",IF(2026-E971&gt;0,L971/(2026-E971),L971))</f>
        <v/>
      </c>
    </row>
    <row r="972" ht="15" customHeight="1" s="1">
      <c r="N972">
        <f>IF(L972="","",IF(2026-E972&gt;0,L972/(2026-E972),L972))</f>
        <v/>
      </c>
    </row>
    <row r="973" ht="15" customHeight="1" s="1">
      <c r="N973">
        <f>IF(L973="","",IF(2026-E973&gt;0,L973/(2026-E973),L973))</f>
        <v/>
      </c>
    </row>
    <row r="974" ht="15" customHeight="1" s="1">
      <c r="N974">
        <f>IF(L974="","",IF(2026-E974&gt;0,L974/(2026-E974),L974))</f>
        <v/>
      </c>
    </row>
    <row r="975" ht="15" customHeight="1" s="1">
      <c r="N975">
        <f>IF(L975="","",IF(2026-E975&gt;0,L975/(2026-E975),L975))</f>
        <v/>
      </c>
    </row>
    <row r="976" ht="15" customHeight="1" s="1">
      <c r="N976">
        <f>IF(L976="","",IF(2026-E976&gt;0,L976/(2026-E976),L976))</f>
        <v/>
      </c>
    </row>
    <row r="977" ht="15" customHeight="1" s="1">
      <c r="N977">
        <f>IF(L977="","",IF(2026-E977&gt;0,L977/(2026-E977),L977))</f>
        <v/>
      </c>
    </row>
    <row r="978" ht="15" customHeight="1" s="1">
      <c r="N978">
        <f>IF(L978="","",IF(2026-E978&gt;0,L978/(2026-E978),L978))</f>
        <v/>
      </c>
    </row>
    <row r="979" ht="15" customHeight="1" s="1">
      <c r="N979">
        <f>IF(L979="","",IF(2026-E979&gt;0,L979/(2026-E979),L979))</f>
        <v/>
      </c>
    </row>
    <row r="980" ht="15" customHeight="1" s="1">
      <c r="N980">
        <f>IF(L980="","",IF(2026-E980&gt;0,L980/(2026-E980),L980))</f>
        <v/>
      </c>
    </row>
    <row r="981" ht="15" customHeight="1" s="1">
      <c r="N981">
        <f>IF(L981="","",IF(2026-E981&gt;0,L981/(2026-E981),L981))</f>
        <v/>
      </c>
    </row>
    <row r="982" ht="15" customHeight="1" s="1">
      <c r="N982">
        <f>IF(L982="","",IF(2026-E982&gt;0,L982/(2026-E982),L982))</f>
        <v/>
      </c>
    </row>
    <row r="983" ht="15" customHeight="1" s="1">
      <c r="N983">
        <f>IF(L983="","",IF(2026-E983&gt;0,L983/(2026-E983),L983))</f>
        <v/>
      </c>
    </row>
    <row r="984" ht="15" customHeight="1" s="1">
      <c r="N984">
        <f>IF(L984="","",IF(2026-E984&gt;0,L984/(2026-E984),L984))</f>
        <v/>
      </c>
    </row>
    <row r="985" ht="15" customHeight="1" s="1">
      <c r="N985">
        <f>IF(L985="","",IF(2026-E985&gt;0,L985/(2026-E985),L985))</f>
        <v/>
      </c>
    </row>
    <row r="986" ht="15" customHeight="1" s="1">
      <c r="N986">
        <f>IF(L986="","",IF(2026-E986&gt;0,L986/(2026-E986),L986))</f>
        <v/>
      </c>
    </row>
    <row r="987" ht="15" customHeight="1" s="1">
      <c r="N987">
        <f>IF(L987="","",IF(2026-E987&gt;0,L987/(2026-E987),L987))</f>
        <v/>
      </c>
    </row>
    <row r="988" ht="15" customHeight="1" s="1">
      <c r="N988">
        <f>IF(L988="","",IF(2026-E988&gt;0,L988/(2026-E988),L988))</f>
        <v/>
      </c>
    </row>
    <row r="989" ht="15" customHeight="1" s="1">
      <c r="N989">
        <f>IF(L989="","",IF(2026-E989&gt;0,L989/(2026-E989),L989))</f>
        <v/>
      </c>
    </row>
    <row r="990" ht="15" customHeight="1" s="1">
      <c r="N990">
        <f>IF(L990="","",IF(2026-E990&gt;0,L990/(2026-E990),L990))</f>
        <v/>
      </c>
    </row>
    <row r="991" ht="15" customHeight="1" s="1">
      <c r="N991">
        <f>IF(L991="","",IF(2026-E991&gt;0,L991/(2026-E991),L991))</f>
        <v/>
      </c>
    </row>
    <row r="992" ht="15" customHeight="1" s="1">
      <c r="N992">
        <f>IF(L992="","",IF(2026-E992&gt;0,L992/(2026-E992),L992))</f>
        <v/>
      </c>
    </row>
    <row r="993" ht="15" customHeight="1" s="1">
      <c r="N993">
        <f>IF(L993="","",IF(2026-E993&gt;0,L993/(2026-E993),L993))</f>
        <v/>
      </c>
    </row>
    <row r="994" ht="15" customHeight="1" s="1">
      <c r="N994">
        <f>IF(L994="","",IF(2026-E994&gt;0,L994/(2026-E994),L994))</f>
        <v/>
      </c>
    </row>
    <row r="995" ht="15" customHeight="1" s="1">
      <c r="N995">
        <f>IF(L995="","",IF(2026-E995&gt;0,L995/(2026-E995),L995))</f>
        <v/>
      </c>
    </row>
    <row r="996" ht="15" customHeight="1" s="1">
      <c r="N996">
        <f>IF(L996="","",IF(2026-E996&gt;0,L996/(2026-E996),L996))</f>
        <v/>
      </c>
    </row>
    <row r="997" ht="15" customHeight="1" s="1">
      <c r="N997">
        <f>IF(L997="","",IF(2026-E997&gt;0,L997/(2026-E997),L997))</f>
        <v/>
      </c>
    </row>
    <row r="998" ht="15" customHeight="1" s="1">
      <c r="N998">
        <f>IF(L998="","",IF(2026-E998&gt;0,L998/(2026-E998),L998))</f>
        <v/>
      </c>
    </row>
    <row r="999" ht="15" customHeight="1" s="1">
      <c r="N999">
        <f>IF(L999="","",IF(2026-E999&gt;0,L999/(2026-E999),L999))</f>
        <v/>
      </c>
    </row>
    <row r="1000" ht="15" customHeight="1" s="1">
      <c r="N1000">
        <f>IF(L1000="","",IF(2026-E1000&gt;0,L1000/(2026-E1000),L1000))</f>
        <v/>
      </c>
    </row>
    <row r="1001" ht="15" customHeight="1" s="1">
      <c r="N1001">
        <f>IF(L1001="","",IF(2026-E1001&gt;0,L1001/(2026-E1001),L1001))</f>
        <v/>
      </c>
    </row>
    <row r="1002" ht="15" customHeight="1" s="1">
      <c r="N1002">
        <f>IF(L1002="","",IF(2026-E1002&gt;0,L1002/(2026-E1002),L1002))</f>
        <v/>
      </c>
    </row>
    <row r="1003" ht="15" customHeight="1" s="1">
      <c r="N1003">
        <f>IF(L1003="","",IF(2026-E1003&gt;0,L1003/(2026-E1003),L1003))</f>
        <v/>
      </c>
    </row>
    <row r="1004" ht="15" customHeight="1" s="1">
      <c r="N1004">
        <f>IF(L1004="","",IF(2026-E1004&gt;0,L1004/(2026-E1004),L1004))</f>
        <v/>
      </c>
    </row>
    <row r="1005" ht="15" customHeight="1" s="1">
      <c r="N1005">
        <f>IF(L1005="","",IF(2026-E1005&gt;0,L1005/(2026-E1005),L1005))</f>
        <v/>
      </c>
    </row>
    <row r="1006" ht="15" customHeight="1" s="1">
      <c r="N1006">
        <f>IF(L1006="","",IF(2026-E1006&gt;0,L1006/(2026-E1006),L1006))</f>
        <v/>
      </c>
    </row>
    <row r="1007" ht="15" customHeight="1" s="1">
      <c r="N1007">
        <f>IF(L1007="","",IF(2026-E1007&gt;0,L1007/(2026-E1007),L1007))</f>
        <v/>
      </c>
    </row>
    <row r="1008" ht="15" customHeight="1" s="1">
      <c r="N1008">
        <f>IF(L1008="","",IF(2026-E1008&gt;0,L1008/(2026-E1008),L1008))</f>
        <v/>
      </c>
    </row>
    <row r="1009" ht="15" customHeight="1" s="1">
      <c r="N1009">
        <f>IF(L1009="","",IF(2026-E1009&gt;0,L1009/(2026-E1009),L1009))</f>
        <v/>
      </c>
    </row>
    <row r="1010" ht="15" customHeight="1" s="1">
      <c r="N1010">
        <f>IF(L1010="","",IF(2026-E1010&gt;0,L1010/(2026-E1010),L1010))</f>
        <v/>
      </c>
    </row>
    <row r="1011" ht="15" customHeight="1" s="1">
      <c r="N1011">
        <f>IF(L1011="","",IF(2026-E1011&gt;0,L1011/(2026-E1011),L1011))</f>
        <v/>
      </c>
    </row>
    <row r="1012" ht="15" customHeight="1" s="1">
      <c r="N1012">
        <f>IF(L1012="","",IF(2026-E1012&gt;0,L1012/(2026-E1012),L1012))</f>
        <v/>
      </c>
    </row>
    <row r="1013" ht="15" customHeight="1" s="1">
      <c r="N1013">
        <f>IF(L1013="","",IF(2026-E1013&gt;0,L1013/(2026-E1013),L1013))</f>
        <v/>
      </c>
    </row>
    <row r="1014" ht="15" customHeight="1" s="1">
      <c r="N1014">
        <f>IF(L1014="","",IF(2026-E1014&gt;0,L1014/(2026-E1014),L1014))</f>
        <v/>
      </c>
    </row>
    <row r="1015" ht="15" customHeight="1" s="1">
      <c r="N1015">
        <f>IF(L1015="","",IF(2026-E1015&gt;0,L1015/(2026-E1015),L1015))</f>
        <v/>
      </c>
    </row>
    <row r="1016" ht="15" customHeight="1" s="1">
      <c r="N1016">
        <f>IF(L1016="","",IF(2026-E1016&gt;0,L1016/(2026-E1016),L1016))</f>
        <v/>
      </c>
    </row>
    <row r="1017" ht="15" customHeight="1" s="1">
      <c r="N1017">
        <f>IF(L1017="","",IF(2026-E1017&gt;0,L1017/(2026-E1017),L1017))</f>
        <v/>
      </c>
    </row>
    <row r="1018" ht="15" customHeight="1" s="1">
      <c r="N1018">
        <f>IF(L1018="","",IF(2026-E1018&gt;0,L1018/(2026-E1018),L1018))</f>
        <v/>
      </c>
    </row>
    <row r="1019" ht="15" customHeight="1" s="1">
      <c r="N1019">
        <f>IF(L1019="","",IF(2026-E1019&gt;0,L1019/(2026-E1019),L1019))</f>
        <v/>
      </c>
    </row>
    <row r="1020" ht="15" customHeight="1" s="1">
      <c r="N1020">
        <f>IF(L1020="","",IF(2026-E1020&gt;0,L1020/(2026-E1020),L1020))</f>
        <v/>
      </c>
    </row>
    <row r="1021" ht="15" customHeight="1" s="1">
      <c r="N1021">
        <f>IF(L1021="","",IF(2026-E1021&gt;0,L1021/(2026-E1021),L1021))</f>
        <v/>
      </c>
    </row>
    <row r="1022" ht="15" customHeight="1" s="1">
      <c r="N1022">
        <f>IF(L1022="","",IF(2026-E1022&gt;0,L1022/(2026-E1022),L1022))</f>
        <v/>
      </c>
    </row>
    <row r="1023" ht="15" customHeight="1" s="1">
      <c r="N1023">
        <f>IF(L1023="","",IF(2026-E1023&gt;0,L1023/(2026-E1023),L1023))</f>
        <v/>
      </c>
    </row>
    <row r="1024" ht="15" customHeight="1" s="1">
      <c r="N1024">
        <f>IF(L1024="","",IF(2026-E1024&gt;0,L1024/(2026-E1024),L1024))</f>
        <v/>
      </c>
    </row>
    <row r="1025" ht="15" customHeight="1" s="1">
      <c r="N1025">
        <f>IF(L1025="","",IF(2026-E1025&gt;0,L1025/(2026-E1025),L1025))</f>
        <v/>
      </c>
    </row>
    <row r="1026" ht="15" customHeight="1" s="1">
      <c r="N1026">
        <f>IF(L1026="","",IF(2026-E1026&gt;0,L1026/(2026-E1026),L1026))</f>
        <v/>
      </c>
    </row>
    <row r="1027" ht="15" customHeight="1" s="1">
      <c r="N1027">
        <f>IF(L1027="","",IF(2026-E1027&gt;0,L1027/(2026-E1027),L1027))</f>
        <v/>
      </c>
    </row>
    <row r="1028" ht="15" customHeight="1" s="1">
      <c r="N1028">
        <f>IF(L1028="","",IF(2026-E1028&gt;0,L1028/(2026-E1028),L1028))</f>
        <v/>
      </c>
    </row>
    <row r="1029" ht="15" customHeight="1" s="1">
      <c r="N1029">
        <f>IF(L1029="","",IF(2026-E1029&gt;0,L1029/(2026-E1029),L1029))</f>
        <v/>
      </c>
    </row>
    <row r="1030" ht="15" customHeight="1" s="1">
      <c r="N1030">
        <f>IF(L1030="","",IF(2026-E1030&gt;0,L1030/(2026-E1030),L1030))</f>
        <v/>
      </c>
    </row>
    <row r="1031" ht="15" customHeight="1" s="1">
      <c r="N1031">
        <f>IF(L1031="","",IF(2026-E1031&gt;0,L1031/(2026-E1031),L1031))</f>
        <v/>
      </c>
    </row>
    <row r="1032" ht="15" customHeight="1" s="1">
      <c r="N1032">
        <f>IF(L1032="","",IF(2026-E1032&gt;0,L1032/(2026-E1032),L1032))</f>
        <v/>
      </c>
    </row>
    <row r="1033" ht="15" customHeight="1" s="1">
      <c r="N1033">
        <f>IF(L1033="","",IF(2026-E1033&gt;0,L1033/(2026-E1033),L1033))</f>
        <v/>
      </c>
    </row>
    <row r="1034" ht="15" customHeight="1" s="1">
      <c r="N1034">
        <f>IF(L1034="","",IF(2026-E1034&gt;0,L1034/(2026-E1034),L1034))</f>
        <v/>
      </c>
    </row>
    <row r="1035" ht="15" customHeight="1" s="1">
      <c r="N1035">
        <f>IF(L1035="","",IF(2026-E1035&gt;0,L1035/(2026-E1035),L1035))</f>
        <v/>
      </c>
    </row>
    <row r="1036" ht="15" customHeight="1" s="1">
      <c r="N1036">
        <f>IF(L1036="","",IF(2026-E1036&gt;0,L1036/(2026-E1036),L1036))</f>
        <v/>
      </c>
    </row>
    <row r="1037" ht="15" customHeight="1" s="1">
      <c r="N1037">
        <f>IF(L1037="","",IF(2026-E1037&gt;0,L1037/(2026-E1037),L1037))</f>
        <v/>
      </c>
    </row>
    <row r="1038" ht="15" customHeight="1" s="1">
      <c r="N1038">
        <f>IF(L1038="","",IF(2026-E1038&gt;0,L1038/(2026-E1038),L1038))</f>
        <v/>
      </c>
    </row>
    <row r="1039" ht="15" customHeight="1" s="1">
      <c r="N1039">
        <f>IF(L1039="","",IF(2026-E1039&gt;0,L1039/(2026-E1039),L1039))</f>
        <v/>
      </c>
    </row>
    <row r="1040" ht="15" customHeight="1" s="1">
      <c r="N1040">
        <f>IF(L1040="","",IF(2026-E1040&gt;0,L1040/(2026-E1040),L1040))</f>
        <v/>
      </c>
    </row>
    <row r="1041" ht="15" customHeight="1" s="1">
      <c r="N1041">
        <f>IF(L1041="","",IF(2026-E1041&gt;0,L1041/(2026-E1041),L1041))</f>
        <v/>
      </c>
    </row>
    <row r="1042" ht="15" customHeight="1" s="1">
      <c r="N1042">
        <f>IF(L1042="","",IF(2026-E1042&gt;0,L1042/(2026-E1042),L1042))</f>
        <v/>
      </c>
    </row>
    <row r="1043" ht="15" customHeight="1" s="1">
      <c r="N1043">
        <f>IF(L1043="","",IF(2026-E1043&gt;0,L1043/(2026-E1043),L1043))</f>
        <v/>
      </c>
    </row>
    <row r="1044" ht="15" customHeight="1" s="1">
      <c r="N1044">
        <f>IF(L1044="","",IF(2026-E1044&gt;0,L1044/(2026-E1044),L1044))</f>
        <v/>
      </c>
    </row>
    <row r="1045" ht="15" customHeight="1" s="1">
      <c r="N1045">
        <f>IF(L1045="","",IF(2026-E1045&gt;0,L1045/(2026-E1045),L1045))</f>
        <v/>
      </c>
    </row>
    <row r="1046" ht="15" customHeight="1" s="1">
      <c r="N1046">
        <f>IF(L1046="","",IF(2026-E1046&gt;0,L1046/(2026-E1046),L1046))</f>
        <v/>
      </c>
    </row>
    <row r="1047" ht="15" customHeight="1" s="1">
      <c r="N1047">
        <f>IF(L1047="","",IF(2026-E1047&gt;0,L1047/(2026-E1047),L1047))</f>
        <v/>
      </c>
    </row>
    <row r="1048" ht="15" customHeight="1" s="1">
      <c r="N1048">
        <f>IF(L1048="","",IF(2026-E1048&gt;0,L1048/(2026-E1048),L1048))</f>
        <v/>
      </c>
    </row>
    <row r="1049" ht="15" customHeight="1" s="1">
      <c r="N1049">
        <f>IF(L1049="","",IF(2026-E1049&gt;0,L1049/(2026-E1049),L1049))</f>
        <v/>
      </c>
    </row>
    <row r="1050" ht="15" customHeight="1" s="1">
      <c r="N1050">
        <f>IF(L1050="","",IF(2026-E1050&gt;0,L1050/(2026-E1050),L1050))</f>
        <v/>
      </c>
    </row>
    <row r="1051" ht="15" customHeight="1" s="1">
      <c r="N1051">
        <f>IF(L1051="","",IF(2026-E1051&gt;0,L1051/(2026-E1051),L1051))</f>
        <v/>
      </c>
    </row>
    <row r="1052" ht="15" customHeight="1" s="1">
      <c r="N1052">
        <f>IF(L1052="","",IF(2026-E1052&gt;0,L1052/(2026-E1052),L1052))</f>
        <v/>
      </c>
    </row>
    <row r="1053" ht="15" customHeight="1" s="1">
      <c r="N1053">
        <f>IF(L1053="","",IF(2026-E1053&gt;0,L1053/(2026-E1053),L1053))</f>
        <v/>
      </c>
    </row>
    <row r="1054" ht="15" customHeight="1" s="1">
      <c r="N1054">
        <f>IF(L1054="","",IF(2026-E1054&gt;0,L1054/(2026-E1054),L1054))</f>
        <v/>
      </c>
    </row>
    <row r="1055" ht="15" customHeight="1" s="1">
      <c r="N1055">
        <f>IF(L1055="","",IF(2026-E1055&gt;0,L1055/(2026-E1055),L1055))</f>
        <v/>
      </c>
    </row>
    <row r="1056" ht="15" customHeight="1" s="1">
      <c r="N1056">
        <f>IF(L1056="","",IF(2026-E1056&gt;0,L1056/(2026-E1056),L1056))</f>
        <v/>
      </c>
    </row>
    <row r="1057" ht="15" customHeight="1" s="1">
      <c r="N1057">
        <f>IF(L1057="","",IF(2026-E1057&gt;0,L1057/(2026-E1057),L1057))</f>
        <v/>
      </c>
    </row>
    <row r="1058" ht="15" customHeight="1" s="1">
      <c r="N1058">
        <f>IF(L1058="","",IF(2026-E1058&gt;0,L1058/(2026-E1058),L1058))</f>
        <v/>
      </c>
    </row>
    <row r="1059" ht="15" customHeight="1" s="1">
      <c r="N1059">
        <f>IF(L1059="","",IF(2026-E1059&gt;0,L1059/(2026-E1059),L1059))</f>
        <v/>
      </c>
    </row>
    <row r="1060" ht="15" customHeight="1" s="1">
      <c r="N1060">
        <f>IF(L1060="","",IF(2026-E1060&gt;0,L1060/(2026-E1060),L1060))</f>
        <v/>
      </c>
    </row>
    <row r="1061" ht="15" customHeight="1" s="1">
      <c r="N1061">
        <f>IF(L1061="","",IF(2026-E1061&gt;0,L1061/(2026-E1061),L1061))</f>
        <v/>
      </c>
    </row>
    <row r="1062" ht="15" customHeight="1" s="1">
      <c r="N1062">
        <f>IF(L1062="","",IF(2026-E1062&gt;0,L1062/(2026-E1062),L1062))</f>
        <v/>
      </c>
    </row>
    <row r="1063" ht="15" customHeight="1" s="1">
      <c r="N1063">
        <f>IF(L1063="","",IF(2026-E1063&gt;0,L1063/(2026-E1063),L1063))</f>
        <v/>
      </c>
    </row>
    <row r="1064" ht="15" customHeight="1" s="1">
      <c r="N1064">
        <f>IF(L1064="","",IF(2026-E1064&gt;0,L1064/(2026-E1064),L1064))</f>
        <v/>
      </c>
    </row>
    <row r="1065" ht="15" customHeight="1" s="1">
      <c r="N1065">
        <f>IF(L1065="","",IF(2026-E1065&gt;0,L1065/(2026-E1065),L1065))</f>
        <v/>
      </c>
    </row>
    <row r="1066" ht="15" customHeight="1" s="1">
      <c r="N1066">
        <f>IF(L1066="","",IF(2026-E1066&gt;0,L1066/(2026-E1066),L1066))</f>
        <v/>
      </c>
    </row>
    <row r="1067" ht="15" customHeight="1" s="1">
      <c r="N1067">
        <f>IF(L1067="","",IF(2026-E1067&gt;0,L1067/(2026-E1067),L1067))</f>
        <v/>
      </c>
    </row>
    <row r="1068" ht="15" customHeight="1" s="1">
      <c r="N1068">
        <f>IF(L1068="","",IF(2026-E1068&gt;0,L1068/(2026-E1068),L1068))</f>
        <v/>
      </c>
    </row>
    <row r="1069" ht="15" customHeight="1" s="1">
      <c r="N1069">
        <f>IF(L1069="","",IF(2026-E1069&gt;0,L1069/(2026-E1069),L1069))</f>
        <v/>
      </c>
    </row>
    <row r="1070" ht="15" customHeight="1" s="1">
      <c r="N1070">
        <f>IF(L1070="","",IF(2026-E1070&gt;0,L1070/(2026-E1070),L1070))</f>
        <v/>
      </c>
    </row>
    <row r="1071" ht="15" customHeight="1" s="1">
      <c r="N1071">
        <f>IF(L1071="","",IF(2026-E1071&gt;0,L1071/(2026-E1071),L1071))</f>
        <v/>
      </c>
    </row>
    <row r="1072" ht="15" customHeight="1" s="1">
      <c r="N1072">
        <f>IF(L1072="","",IF(2026-E1072&gt;0,L1072/(2026-E1072),L1072))</f>
        <v/>
      </c>
    </row>
    <row r="1073" ht="15" customHeight="1" s="1">
      <c r="N1073">
        <f>IF(L1073="","",IF(2026-E1073&gt;0,L1073/(2026-E1073),L1073))</f>
        <v/>
      </c>
    </row>
    <row r="1074" ht="15" customHeight="1" s="1">
      <c r="N1074">
        <f>IF(L1074="","",IF(2026-E1074&gt;0,L1074/(2026-E1074),L1074))</f>
        <v/>
      </c>
    </row>
    <row r="1075" ht="15" customHeight="1" s="1">
      <c r="N1075">
        <f>IF(L1075="","",IF(2026-E1075&gt;0,L1075/(2026-E1075),L1075))</f>
        <v/>
      </c>
    </row>
    <row r="1076" ht="15" customHeight="1" s="1">
      <c r="N1076">
        <f>IF(L1076="","",IF(2026-E1076&gt;0,L1076/(2026-E1076),L1076))</f>
        <v/>
      </c>
    </row>
    <row r="1077" ht="15" customHeight="1" s="1">
      <c r="N1077">
        <f>IF(L1077="","",IF(2026-E1077&gt;0,L1077/(2026-E1077),L1077))</f>
        <v/>
      </c>
    </row>
    <row r="1078" ht="15" customHeight="1" s="1">
      <c r="N1078">
        <f>IF(L1078="","",IF(2026-E1078&gt;0,L1078/(2026-E1078),L1078))</f>
        <v/>
      </c>
    </row>
    <row r="1079" ht="15" customHeight="1" s="1">
      <c r="N1079">
        <f>IF(L1079="","",IF(2026-E1079&gt;0,L1079/(2026-E1079),L1079))</f>
        <v/>
      </c>
    </row>
    <row r="1080" ht="15" customHeight="1" s="1">
      <c r="N1080">
        <f>IF(L1080="","",IF(2026-E1080&gt;0,L1080/(2026-E1080),L1080))</f>
        <v/>
      </c>
    </row>
    <row r="1081" ht="15" customHeight="1" s="1">
      <c r="N1081">
        <f>IF(L1081="","",IF(2026-E1081&gt;0,L1081/(2026-E1081),L1081))</f>
        <v/>
      </c>
    </row>
    <row r="1082" ht="15" customHeight="1" s="1">
      <c r="N1082">
        <f>IF(L1082="","",IF(2026-E1082&gt;0,L1082/(2026-E1082),L1082))</f>
        <v/>
      </c>
    </row>
    <row r="1083" ht="15" customHeight="1" s="1">
      <c r="N1083">
        <f>IF(L1083="","",IF(2026-E1083&gt;0,L1083/(2026-E1083),L1083))</f>
        <v/>
      </c>
    </row>
    <row r="1084" ht="15" customHeight="1" s="1">
      <c r="N1084">
        <f>IF(L1084="","",IF(2026-E1084&gt;0,L1084/(2026-E1084),L1084))</f>
        <v/>
      </c>
    </row>
    <row r="1085" ht="15" customHeight="1" s="1">
      <c r="N1085">
        <f>IF(L1085="","",IF(2026-E1085&gt;0,L1085/(2026-E1085),L1085))</f>
        <v/>
      </c>
    </row>
    <row r="1086" ht="15" customHeight="1" s="1">
      <c r="N1086">
        <f>IF(L1086="","",IF(2026-E1086&gt;0,L1086/(2026-E1086),L1086))</f>
        <v/>
      </c>
    </row>
    <row r="1087" ht="15" customHeight="1" s="1">
      <c r="N1087">
        <f>IF(L1087="","",IF(2026-E1087&gt;0,L1087/(2026-E1087),L1087))</f>
        <v/>
      </c>
    </row>
    <row r="1088" ht="15" customHeight="1" s="1">
      <c r="N1088">
        <f>IF(L1088="","",IF(2026-E1088&gt;0,L1088/(2026-E1088),L1088))</f>
        <v/>
      </c>
    </row>
    <row r="1089" ht="15" customHeight="1" s="1">
      <c r="N1089">
        <f>IF(L1089="","",IF(2026-E1089&gt;0,L1089/(2026-E1089),L1089))</f>
        <v/>
      </c>
    </row>
    <row r="1090" ht="15" customHeight="1" s="1">
      <c r="N1090">
        <f>IF(L1090="","",IF(2026-E1090&gt;0,L1090/(2026-E1090),L1090))</f>
        <v/>
      </c>
    </row>
    <row r="1091" ht="15" customHeight="1" s="1">
      <c r="N1091">
        <f>IF(L1091="","",IF(2026-E1091&gt;0,L1091/(2026-E1091),L1091))</f>
        <v/>
      </c>
    </row>
    <row r="1092" ht="15" customHeight="1" s="1">
      <c r="N1092">
        <f>IF(L1092="","",IF(2026-E1092&gt;0,L1092/(2026-E1092),L1092))</f>
        <v/>
      </c>
    </row>
    <row r="1093" ht="15" customHeight="1" s="1">
      <c r="N1093">
        <f>IF(L1093="","",IF(2026-E1093&gt;0,L1093/(2026-E1093),L1093))</f>
        <v/>
      </c>
    </row>
    <row r="1094" ht="15" customHeight="1" s="1">
      <c r="N1094">
        <f>IF(L1094="","",IF(2026-E1094&gt;0,L1094/(2026-E1094),L1094))</f>
        <v/>
      </c>
    </row>
    <row r="1095" ht="15" customHeight="1" s="1">
      <c r="N1095">
        <f>IF(L1095="","",IF(2026-E1095&gt;0,L1095/(2026-E1095),L1095))</f>
        <v/>
      </c>
    </row>
    <row r="1096" ht="15" customHeight="1" s="1">
      <c r="N1096">
        <f>IF(L1096="","",IF(2026-E1096&gt;0,L1096/(2026-E1096),L1096))</f>
        <v/>
      </c>
    </row>
    <row r="1097" ht="15" customHeight="1" s="1">
      <c r="N1097">
        <f>IF(L1097="","",IF(2026-E1097&gt;0,L1097/(2026-E1097),L1097))</f>
        <v/>
      </c>
    </row>
    <row r="1098" ht="15" customHeight="1" s="1">
      <c r="N1098">
        <f>IF(L1098="","",IF(2026-E1098&gt;0,L1098/(2026-E1098),L1098))</f>
        <v/>
      </c>
    </row>
    <row r="1099" ht="15" customHeight="1" s="1">
      <c r="N1099">
        <f>IF(L1099="","",IF(2026-E1099&gt;0,L1099/(2026-E1099),L1099))</f>
        <v/>
      </c>
    </row>
    <row r="1100" ht="15" customHeight="1" s="1">
      <c r="N1100">
        <f>IF(L1100="","",IF(2026-E1100&gt;0,L1100/(2026-E1100),L1100))</f>
        <v/>
      </c>
    </row>
    <row r="1101" ht="15" customHeight="1" s="1">
      <c r="N1101">
        <f>IF(L1101="","",IF(2026-E1101&gt;0,L1101/(2026-E1101),L1101))</f>
        <v/>
      </c>
    </row>
    <row r="1102" ht="15" customHeight="1" s="1">
      <c r="N1102">
        <f>IF(L1102="","",IF(2026-E1102&gt;0,L1102/(2026-E1102),L1102))</f>
        <v/>
      </c>
    </row>
    <row r="1103" ht="15" customHeight="1" s="1">
      <c r="N1103">
        <f>IF(L1103="","",IF(2026-E1103&gt;0,L1103/(2026-E1103),L1103))</f>
        <v/>
      </c>
    </row>
    <row r="1104" ht="15" customHeight="1" s="1">
      <c r="N1104">
        <f>IF(L1104="","",IF(2026-E1104&gt;0,L1104/(2026-E1104),L1104))</f>
        <v/>
      </c>
    </row>
    <row r="1105" ht="15" customHeight="1" s="1">
      <c r="N1105">
        <f>IF(L1105="","",IF(2026-E1105&gt;0,L1105/(2026-E1105),L1105))</f>
        <v/>
      </c>
    </row>
    <row r="1106" ht="15" customHeight="1" s="1">
      <c r="N1106">
        <f>IF(L1106="","",IF(2026-E1106&gt;0,L1106/(2026-E1106),L1106))</f>
        <v/>
      </c>
    </row>
    <row r="1107" ht="15" customHeight="1" s="1">
      <c r="N1107">
        <f>IF(L1107="","",IF(2026-E1107&gt;0,L1107/(2026-E1107),L1107))</f>
        <v/>
      </c>
    </row>
    <row r="1108" ht="15" customHeight="1" s="1">
      <c r="N1108">
        <f>IF(L1108="","",IF(2026-E1108&gt;0,L1108/(2026-E1108),L1108))</f>
        <v/>
      </c>
    </row>
    <row r="1109" ht="15" customHeight="1" s="1">
      <c r="N1109">
        <f>IF(L1109="","",IF(2026-E1109&gt;0,L1109/(2026-E1109),L1109))</f>
        <v/>
      </c>
    </row>
    <row r="1110" ht="15" customHeight="1" s="1">
      <c r="N1110">
        <f>IF(L1110="","",IF(2026-E1110&gt;0,L1110/(2026-E1110),L1110))</f>
        <v/>
      </c>
    </row>
    <row r="1111" ht="15" customHeight="1" s="1">
      <c r="N1111">
        <f>IF(L1111="","",IF(2026-E1111&gt;0,L1111/(2026-E1111),L1111))</f>
        <v/>
      </c>
    </row>
    <row r="1112" ht="15" customHeight="1" s="1">
      <c r="N1112">
        <f>IF(L1112="","",IF(2026-E1112&gt;0,L1112/(2026-E1112),L1112))</f>
        <v/>
      </c>
    </row>
    <row r="1113" ht="15" customHeight="1" s="1">
      <c r="N1113">
        <f>IF(L1113="","",IF(2026-E1113&gt;0,L1113/(2026-E1113),L1113))</f>
        <v/>
      </c>
    </row>
    <row r="1114" ht="15" customHeight="1" s="1">
      <c r="N1114">
        <f>IF(L1114="","",IF(2026-E1114&gt;0,L1114/(2026-E1114),L1114))</f>
        <v/>
      </c>
    </row>
    <row r="1115" ht="15" customHeight="1" s="1">
      <c r="N1115">
        <f>IF(L1115="","",IF(2026-E1115&gt;0,L1115/(2026-E1115),L1115))</f>
        <v/>
      </c>
    </row>
    <row r="1116" ht="15" customHeight="1" s="1">
      <c r="N1116">
        <f>IF(L1116="","",IF(2026-E1116&gt;0,L1116/(2026-E1116),L1116))</f>
        <v/>
      </c>
    </row>
    <row r="1117" ht="15" customHeight="1" s="1">
      <c r="N1117">
        <f>IF(L1117="","",IF(2026-E1117&gt;0,L1117/(2026-E1117),L1117))</f>
        <v/>
      </c>
    </row>
    <row r="1118" ht="15" customHeight="1" s="1">
      <c r="N1118">
        <f>IF(L1118="","",IF(2026-E1118&gt;0,L1118/(2026-E1118),L1118))</f>
        <v/>
      </c>
    </row>
    <row r="1119" ht="15" customHeight="1" s="1">
      <c r="N1119">
        <f>IF(L1119="","",IF(2026-E1119&gt;0,L1119/(2026-E1119),L1119))</f>
        <v/>
      </c>
    </row>
    <row r="1120" ht="15" customHeight="1" s="1">
      <c r="N1120">
        <f>IF(L1120="","",IF(2026-E1120&gt;0,L1120/(2026-E1120),L1120))</f>
        <v/>
      </c>
    </row>
    <row r="1121" ht="15" customHeight="1" s="1">
      <c r="N1121">
        <f>IF(L1121="","",IF(2026-E1121&gt;0,L1121/(2026-E1121),L1121))</f>
        <v/>
      </c>
    </row>
    <row r="1122" ht="15" customHeight="1" s="1">
      <c r="N1122">
        <f>IF(L1122="","",IF(2026-E1122&gt;0,L1122/(2026-E1122),L1122))</f>
        <v/>
      </c>
    </row>
    <row r="1123" ht="15" customHeight="1" s="1">
      <c r="N1123">
        <f>IF(L1123="","",IF(2026-E1123&gt;0,L1123/(2026-E1123),L1123))</f>
        <v/>
      </c>
    </row>
    <row r="1124" ht="15" customHeight="1" s="1">
      <c r="N1124">
        <f>IF(L1124="","",IF(2026-E1124&gt;0,L1124/(2026-E1124),L1124))</f>
        <v/>
      </c>
    </row>
    <row r="1125" ht="15" customHeight="1" s="1">
      <c r="N1125">
        <f>IF(L1125="","",IF(2026-E1125&gt;0,L1125/(2026-E1125),L1125))</f>
        <v/>
      </c>
    </row>
    <row r="1126" ht="15" customHeight="1" s="1">
      <c r="N1126">
        <f>IF(L1126="","",IF(2026-E1126&gt;0,L1126/(2026-E1126),L1126))</f>
        <v/>
      </c>
    </row>
    <row r="1127" ht="15" customHeight="1" s="1">
      <c r="N1127">
        <f>IF(L1127="","",IF(2026-E1127&gt;0,L1127/(2026-E1127),L1127))</f>
        <v/>
      </c>
    </row>
    <row r="1128" ht="15" customHeight="1" s="1">
      <c r="N1128">
        <f>IF(L1128="","",IF(2026-E1128&gt;0,L1128/(2026-E1128),L1128))</f>
        <v/>
      </c>
    </row>
    <row r="1129" ht="15" customHeight="1" s="1">
      <c r="N1129">
        <f>IF(L1129="","",IF(2026-E1129&gt;0,L1129/(2026-E1129),L1129))</f>
        <v/>
      </c>
    </row>
    <row r="1130" ht="15" customHeight="1" s="1">
      <c r="N1130">
        <f>IF(L1130="","",IF(2026-E1130&gt;0,L1130/(2026-E1130),L1130))</f>
        <v/>
      </c>
    </row>
    <row r="1131" ht="15" customHeight="1" s="1">
      <c r="N1131">
        <f>IF(L1131="","",IF(2026-E1131&gt;0,L1131/(2026-E1131),L1131))</f>
        <v/>
      </c>
    </row>
    <row r="1132" ht="15" customHeight="1" s="1">
      <c r="N1132">
        <f>IF(L1132="","",IF(2026-E1132&gt;0,L1132/(2026-E1132),L1132))</f>
        <v/>
      </c>
    </row>
    <row r="1133" ht="15" customHeight="1" s="1">
      <c r="N1133">
        <f>IF(L1133="","",IF(2026-E1133&gt;0,L1133/(2026-E1133),L1133))</f>
        <v/>
      </c>
    </row>
    <row r="1134" ht="15" customHeight="1" s="1">
      <c r="N1134">
        <f>IF(L1134="","",IF(2026-E1134&gt;0,L1134/(2026-E1134),L1134))</f>
        <v/>
      </c>
    </row>
    <row r="1135" ht="15" customHeight="1" s="1">
      <c r="N1135">
        <f>IF(L1135="","",IF(2026-E1135&gt;0,L1135/(2026-E1135),L1135))</f>
        <v/>
      </c>
    </row>
    <row r="1136" ht="15" customHeight="1" s="1">
      <c r="N1136">
        <f>IF(L1136="","",IF(2026-E1136&gt;0,L1136/(2026-E1136),L1136))</f>
        <v/>
      </c>
    </row>
    <row r="1137" ht="15" customHeight="1" s="1">
      <c r="N1137">
        <f>IF(L1137="","",IF(2026-E1137&gt;0,L1137/(2026-E1137),L1137))</f>
        <v/>
      </c>
    </row>
    <row r="1138" ht="15" customHeight="1" s="1">
      <c r="N1138">
        <f>IF(L1138="","",IF(2026-E1138&gt;0,L1138/(2026-E1138),L1138))</f>
        <v/>
      </c>
    </row>
    <row r="1139" ht="15" customHeight="1" s="1">
      <c r="N1139">
        <f>IF(L1139="","",IF(2026-E1139&gt;0,L1139/(2026-E1139),L1139))</f>
        <v/>
      </c>
    </row>
    <row r="1140" ht="15" customHeight="1" s="1">
      <c r="N1140">
        <f>IF(L1140="","",IF(2026-E1140&gt;0,L1140/(2026-E1140),L1140))</f>
        <v/>
      </c>
    </row>
    <row r="1141" ht="15" customHeight="1" s="1">
      <c r="N1141">
        <f>IF(L1141="","",IF(2026-E1141&gt;0,L1141/(2026-E1141),L1141))</f>
        <v/>
      </c>
    </row>
    <row r="1142" ht="15" customHeight="1" s="1">
      <c r="N1142">
        <f>IF(L1142="","",IF(2026-E1142&gt;0,L1142/(2026-E1142),L1142))</f>
        <v/>
      </c>
    </row>
    <row r="1143" ht="15" customHeight="1" s="1">
      <c r="N1143">
        <f>IF(L1143="","",IF(2026-E1143&gt;0,L1143/(2026-E1143),L1143))</f>
        <v/>
      </c>
    </row>
    <row r="1144" ht="15" customHeight="1" s="1">
      <c r="N1144">
        <f>IF(L1144="","",IF(2026-E1144&gt;0,L1144/(2026-E1144),L1144))</f>
        <v/>
      </c>
    </row>
    <row r="1145" ht="15" customHeight="1" s="1">
      <c r="N1145">
        <f>IF(L1145="","",IF(2026-E1145&gt;0,L1145/(2026-E1145),L1145))</f>
        <v/>
      </c>
    </row>
    <row r="1146" ht="15" customHeight="1" s="1">
      <c r="N1146">
        <f>IF(L1146="","",IF(2026-E1146&gt;0,L1146/(2026-E1146),L1146))</f>
        <v/>
      </c>
    </row>
    <row r="1147" ht="15" customHeight="1" s="1">
      <c r="N1147">
        <f>IF(L1147="","",IF(2026-E1147&gt;0,L1147/(2026-E1147),L1147))</f>
        <v/>
      </c>
    </row>
    <row r="1148" ht="15" customHeight="1" s="1">
      <c r="N1148">
        <f>IF(L1148="","",IF(2026-E1148&gt;0,L1148/(2026-E1148),L1148))</f>
        <v/>
      </c>
    </row>
    <row r="1149" ht="15" customHeight="1" s="1">
      <c r="N1149">
        <f>IF(L1149="","",IF(2026-E1149&gt;0,L1149/(2026-E1149),L1149))</f>
        <v/>
      </c>
    </row>
    <row r="1150" ht="15" customHeight="1" s="1">
      <c r="N1150">
        <f>IF(L1150="","",IF(2026-E1150&gt;0,L1150/(2026-E1150),L1150))</f>
        <v/>
      </c>
    </row>
    <row r="1151" ht="15" customHeight="1" s="1">
      <c r="N1151">
        <f>IF(L1151="","",IF(2026-E1151&gt;0,L1151/(2026-E1151),L1151))</f>
        <v/>
      </c>
    </row>
    <row r="1152" ht="15" customHeight="1" s="1">
      <c r="N1152">
        <f>IF(L1152="","",IF(2026-E1152&gt;0,L1152/(2026-E1152),L1152))</f>
        <v/>
      </c>
    </row>
    <row r="1153" ht="15" customHeight="1" s="1">
      <c r="N1153">
        <f>IF(L1153="","",IF(2026-E1153&gt;0,L1153/(2026-E1153),L1153))</f>
        <v/>
      </c>
    </row>
    <row r="1154" ht="15" customHeight="1" s="1">
      <c r="N1154">
        <f>IF(L1154="","",IF(2026-E1154&gt;0,L1154/(2026-E1154),L1154))</f>
        <v/>
      </c>
    </row>
    <row r="1155" ht="15" customHeight="1" s="1">
      <c r="N1155">
        <f>IF(L1155="","",IF(2026-E1155&gt;0,L1155/(2026-E1155),L1155))</f>
        <v/>
      </c>
    </row>
    <row r="1156" ht="15" customHeight="1" s="1">
      <c r="N1156">
        <f>IF(L1156="","",IF(2026-E1156&gt;0,L1156/(2026-E1156),L1156))</f>
        <v/>
      </c>
    </row>
    <row r="1157" ht="15" customHeight="1" s="1">
      <c r="N1157">
        <f>IF(L1157="","",IF(2026-E1157&gt;0,L1157/(2026-E1157),L1157))</f>
        <v/>
      </c>
    </row>
    <row r="1158" ht="15" customHeight="1" s="1">
      <c r="N1158">
        <f>IF(L1158="","",IF(2026-E1158&gt;0,L1158/(2026-E1158),L1158))</f>
        <v/>
      </c>
    </row>
    <row r="1159" ht="15" customHeight="1" s="1">
      <c r="N1159">
        <f>IF(L1159="","",IF(2026-E1159&gt;0,L1159/(2026-E1159),L1159))</f>
        <v/>
      </c>
    </row>
    <row r="1160" ht="15" customHeight="1" s="1">
      <c r="N1160">
        <f>IF(L1160="","",IF(2026-E1160&gt;0,L1160/(2026-E1160),L1160))</f>
        <v/>
      </c>
    </row>
    <row r="1161" ht="15" customHeight="1" s="1">
      <c r="N1161">
        <f>IF(L1161="","",IF(2026-E1161&gt;0,L1161/(2026-E1161),L1161))</f>
        <v/>
      </c>
    </row>
    <row r="1162" ht="15" customHeight="1" s="1">
      <c r="N1162">
        <f>IF(L1162="","",IF(2026-E1162&gt;0,L1162/(2026-E1162),L1162))</f>
        <v/>
      </c>
    </row>
    <row r="1163" ht="15" customHeight="1" s="1">
      <c r="N1163">
        <f>IF(L1163="","",IF(2026-E1163&gt;0,L1163/(2026-E1163),L1163))</f>
        <v/>
      </c>
    </row>
    <row r="1164" ht="15" customHeight="1" s="1">
      <c r="N1164">
        <f>IF(L1164="","",IF(2026-E1164&gt;0,L1164/(2026-E1164),L1164))</f>
        <v/>
      </c>
    </row>
    <row r="1165" ht="15" customHeight="1" s="1">
      <c r="N1165">
        <f>IF(L1165="","",IF(2026-E1165&gt;0,L1165/(2026-E1165),L1165))</f>
        <v/>
      </c>
    </row>
    <row r="1166" ht="15" customHeight="1" s="1">
      <c r="N1166">
        <f>IF(L1166="","",IF(2026-E1166&gt;0,L1166/(2026-E1166),L1166))</f>
        <v/>
      </c>
    </row>
    <row r="1167" ht="15" customHeight="1" s="1">
      <c r="N1167">
        <f>IF(L1167="","",IF(2026-E1167&gt;0,L1167/(2026-E1167),L1167))</f>
        <v/>
      </c>
    </row>
    <row r="1168" ht="15" customHeight="1" s="1">
      <c r="N1168">
        <f>IF(L1168="","",IF(2026-E1168&gt;0,L1168/(2026-E1168),L1168))</f>
        <v/>
      </c>
    </row>
    <row r="1169" ht="15" customHeight="1" s="1">
      <c r="N1169">
        <f>IF(L1169="","",IF(2026-E1169&gt;0,L1169/(2026-E1169),L1169))</f>
        <v/>
      </c>
    </row>
    <row r="1170" ht="15" customHeight="1" s="1">
      <c r="N1170">
        <f>IF(L1170="","",IF(2026-E1170&gt;0,L1170/(2026-E1170),L1170))</f>
        <v/>
      </c>
    </row>
    <row r="1171" ht="15" customHeight="1" s="1">
      <c r="N1171">
        <f>IF(L1171="","",IF(2026-E1171&gt;0,L1171/(2026-E1171),L1171))</f>
        <v/>
      </c>
    </row>
    <row r="1172" ht="15" customHeight="1" s="1">
      <c r="N1172">
        <f>IF(L1172="","",IF(2026-E1172&gt;0,L1172/(2026-E1172),L1172))</f>
        <v/>
      </c>
    </row>
    <row r="1173" ht="15" customHeight="1" s="1">
      <c r="N1173">
        <f>IF(L1173="","",IF(2026-E1173&gt;0,L1173/(2026-E1173),L1173))</f>
        <v/>
      </c>
    </row>
    <row r="1174" ht="15" customHeight="1" s="1">
      <c r="N1174">
        <f>IF(L1174="","",IF(2026-E1174&gt;0,L1174/(2026-E1174),L1174))</f>
        <v/>
      </c>
    </row>
    <row r="1175" ht="15" customHeight="1" s="1">
      <c r="N1175">
        <f>IF(L1175="","",IF(2026-E1175&gt;0,L1175/(2026-E1175),L1175))</f>
        <v/>
      </c>
    </row>
    <row r="1176" ht="15" customHeight="1" s="1">
      <c r="N1176">
        <f>IF(L1176="","",IF(2026-E1176&gt;0,L1176/(2026-E1176),L1176))</f>
        <v/>
      </c>
    </row>
    <row r="1177" ht="15" customHeight="1" s="1">
      <c r="N1177">
        <f>IF(L1177="","",IF(2026-E1177&gt;0,L1177/(2026-E1177),L1177))</f>
        <v/>
      </c>
    </row>
    <row r="1178" ht="15" customHeight="1" s="1">
      <c r="N1178">
        <f>IF(L1178="","",IF(2026-E1178&gt;0,L1178/(2026-E1178),L1178))</f>
        <v/>
      </c>
    </row>
    <row r="1179" ht="15" customHeight="1" s="1">
      <c r="N1179">
        <f>IF(L1179="","",IF(2026-E1179&gt;0,L1179/(2026-E1179),L1179))</f>
        <v/>
      </c>
    </row>
    <row r="1180" ht="15" customHeight="1" s="1">
      <c r="N1180">
        <f>IF(L1180="","",IF(2026-E1180&gt;0,L1180/(2026-E1180),L1180))</f>
        <v/>
      </c>
    </row>
    <row r="1181" ht="15" customHeight="1" s="1">
      <c r="N1181">
        <f>IF(L1181="","",IF(2026-E1181&gt;0,L1181/(2026-E1181),L1181))</f>
        <v/>
      </c>
    </row>
    <row r="1182" ht="15" customHeight="1" s="1">
      <c r="N1182">
        <f>IF(L1182="","",IF(2026-E1182&gt;0,L1182/(2026-E1182),L1182))</f>
        <v/>
      </c>
    </row>
    <row r="1183" ht="15" customHeight="1" s="1">
      <c r="N1183">
        <f>IF(L1183="","",IF(2026-E1183&gt;0,L1183/(2026-E1183),L1183))</f>
        <v/>
      </c>
    </row>
    <row r="1184" ht="15" customHeight="1" s="1">
      <c r="N1184">
        <f>IF(L1184="","",IF(2026-E1184&gt;0,L1184/(2026-E1184),L1184))</f>
        <v/>
      </c>
    </row>
    <row r="1185" ht="15" customHeight="1" s="1">
      <c r="N1185">
        <f>IF(L1185="","",IF(2026-E1185&gt;0,L1185/(2026-E1185),L1185))</f>
        <v/>
      </c>
    </row>
    <row r="1186" ht="15" customHeight="1" s="1">
      <c r="N1186">
        <f>IF(L1186="","",IF(2026-E1186&gt;0,L1186/(2026-E1186),L1186))</f>
        <v/>
      </c>
    </row>
    <row r="1187" ht="15" customHeight="1" s="1">
      <c r="N1187">
        <f>IF(L1187="","",IF(2026-E1187&gt;0,L1187/(2026-E1187),L1187))</f>
        <v/>
      </c>
    </row>
    <row r="1188" ht="15" customHeight="1" s="1">
      <c r="N1188">
        <f>IF(L1188="","",IF(2026-E1188&gt;0,L1188/(2026-E1188),L1188))</f>
        <v/>
      </c>
    </row>
    <row r="1189" ht="15" customHeight="1" s="1">
      <c r="N1189">
        <f>IF(L1189="","",IF(2026-E1189&gt;0,L1189/(2026-E1189),L1189))</f>
        <v/>
      </c>
    </row>
    <row r="1190" ht="15" customHeight="1" s="1">
      <c r="N1190">
        <f>IF(L1190="","",IF(2026-E1190&gt;0,L1190/(2026-E1190),L1190))</f>
        <v/>
      </c>
    </row>
    <row r="1191" ht="15" customHeight="1" s="1">
      <c r="N1191">
        <f>IF(L1191="","",IF(2026-E1191&gt;0,L1191/(2026-E1191),L1191))</f>
        <v/>
      </c>
    </row>
    <row r="1192" ht="15" customHeight="1" s="1">
      <c r="N1192">
        <f>IF(L1192="","",IF(2026-E1192&gt;0,L1192/(2026-E1192),L1192))</f>
        <v/>
      </c>
    </row>
    <row r="1193" ht="15" customHeight="1" s="1">
      <c r="N1193">
        <f>IF(L1193="","",IF(2026-E1193&gt;0,L1193/(2026-E1193),L1193))</f>
        <v/>
      </c>
    </row>
    <row r="1194" ht="15" customHeight="1" s="1">
      <c r="N1194">
        <f>IF(L1194="","",IF(2026-E1194&gt;0,L1194/(2026-E1194),L1194))</f>
        <v/>
      </c>
    </row>
    <row r="1195" ht="15" customHeight="1" s="1">
      <c r="N1195">
        <f>IF(L1195="","",IF(2026-E1195&gt;0,L1195/(2026-E1195),L1195))</f>
        <v/>
      </c>
    </row>
    <row r="1196" ht="15" customHeight="1" s="1">
      <c r="N1196">
        <f>IF(L1196="","",IF(2026-E1196&gt;0,L1196/(2026-E1196),L1196))</f>
        <v/>
      </c>
    </row>
    <row r="1197" ht="15" customHeight="1" s="1">
      <c r="N1197">
        <f>IF(L1197="","",IF(2026-E1197&gt;0,L1197/(2026-E1197),L1197))</f>
        <v/>
      </c>
    </row>
    <row r="1198" ht="15" customHeight="1" s="1">
      <c r="N1198">
        <f>IF(L1198="","",IF(2026-E1198&gt;0,L1198/(2026-E1198),L1198))</f>
        <v/>
      </c>
    </row>
    <row r="1199" ht="15" customHeight="1" s="1">
      <c r="N1199">
        <f>IF(L1199="","",IF(2026-E1199&gt;0,L1199/(2026-E1199),L1199))</f>
        <v/>
      </c>
    </row>
    <row r="1200" ht="15" customHeight="1" s="1">
      <c r="N1200">
        <f>IF(L1200="","",IF(2026-E1200&gt;0,L1200/(2026-E1200),L1200))</f>
        <v/>
      </c>
    </row>
    <row r="1201" ht="15" customHeight="1" s="1">
      <c r="N1201">
        <f>IF(L1201="","",IF(2026-E1201&gt;0,L1201/(2026-E1201),L1201))</f>
        <v/>
      </c>
    </row>
    <row r="1202" ht="15" customHeight="1" s="1">
      <c r="N1202">
        <f>IF(L1202="","",IF(2026-E1202&gt;0,L1202/(2026-E1202),L1202))</f>
        <v/>
      </c>
    </row>
    <row r="1203" ht="15" customHeight="1" s="1">
      <c r="N1203">
        <f>IF(L1203="","",IF(2026-E1203&gt;0,L1203/(2026-E1203),L1203))</f>
        <v/>
      </c>
    </row>
    <row r="1204" ht="15" customHeight="1" s="1">
      <c r="N1204">
        <f>IF(L1204="","",IF(2026-E1204&gt;0,L1204/(2026-E1204),L1204))</f>
        <v/>
      </c>
    </row>
    <row r="1205" ht="15" customHeight="1" s="1">
      <c r="N1205">
        <f>IF(L1205="","",IF(2026-E1205&gt;0,L1205/(2026-E1205),L1205))</f>
        <v/>
      </c>
    </row>
    <row r="1206" ht="15" customHeight="1" s="1">
      <c r="N1206">
        <f>IF(L1206="","",IF(2026-E1206&gt;0,L1206/(2026-E1206),L1206))</f>
        <v/>
      </c>
    </row>
    <row r="1207" ht="15" customHeight="1" s="1">
      <c r="N1207">
        <f>IF(L1207="","",IF(2026-E1207&gt;0,L1207/(2026-E1207),L1207))</f>
        <v/>
      </c>
    </row>
    <row r="1208" ht="15" customHeight="1" s="1">
      <c r="N1208">
        <f>IF(L1208="","",IF(2026-E1208&gt;0,L1208/(2026-E1208),L1208))</f>
        <v/>
      </c>
    </row>
    <row r="1209" ht="15" customHeight="1" s="1">
      <c r="N1209">
        <f>IF(L1209="","",IF(2026-E1209&gt;0,L1209/(2026-E1209),L1209))</f>
        <v/>
      </c>
    </row>
    <row r="1210" ht="15" customHeight="1" s="1">
      <c r="N1210">
        <f>IF(L1210="","",IF(2026-E1210&gt;0,L1210/(2026-E1210),L1210))</f>
        <v/>
      </c>
    </row>
    <row r="1211" ht="15" customHeight="1" s="1">
      <c r="N1211">
        <f>IF(L1211="","",IF(2026-E1211&gt;0,L1211/(2026-E1211),L1211))</f>
        <v/>
      </c>
    </row>
    <row r="1212" ht="15" customHeight="1" s="1">
      <c r="N1212">
        <f>IF(L1212="","",IF(2026-E1212&gt;0,L1212/(2026-E1212),L1212))</f>
        <v/>
      </c>
    </row>
    <row r="1213" ht="15" customHeight="1" s="1">
      <c r="N1213">
        <f>IF(L1213="","",IF(2026-E1213&gt;0,L1213/(2026-E1213),L1213))</f>
        <v/>
      </c>
    </row>
    <row r="1214" ht="15" customHeight="1" s="1">
      <c r="N1214">
        <f>IF(L1214="","",IF(2026-E1214&gt;0,L1214/(2026-E1214),L1214))</f>
        <v/>
      </c>
    </row>
    <row r="1215" ht="15" customHeight="1" s="1">
      <c r="N1215">
        <f>IF(L1215="","",IF(2026-E1215&gt;0,L1215/(2026-E1215),L1215))</f>
        <v/>
      </c>
    </row>
    <row r="1216" ht="15" customHeight="1" s="1">
      <c r="N1216">
        <f>IF(L1216="","",IF(2026-E1216&gt;0,L1216/(2026-E1216),L1216))</f>
        <v/>
      </c>
    </row>
    <row r="1217" ht="15" customHeight="1" s="1">
      <c r="N1217">
        <f>IF(L1217="","",IF(2026-E1217&gt;0,L1217/(2026-E1217),L1217))</f>
        <v/>
      </c>
    </row>
    <row r="1218" ht="15" customHeight="1" s="1">
      <c r="N1218">
        <f>IF(L1218="","",IF(2026-E1218&gt;0,L1218/(2026-E1218),L1218))</f>
        <v/>
      </c>
    </row>
    <row r="1219" ht="15" customHeight="1" s="1">
      <c r="N1219">
        <f>IF(L1219="","",IF(2026-E1219&gt;0,L1219/(2026-E1219),L1219))</f>
        <v/>
      </c>
    </row>
    <row r="1220" ht="15" customHeight="1" s="1">
      <c r="N1220">
        <f>IF(L1220="","",IF(2026-E1220&gt;0,L1220/(2026-E1220),L1220))</f>
        <v/>
      </c>
    </row>
    <row r="1221" ht="15" customHeight="1" s="1">
      <c r="N1221">
        <f>IF(L1221="","",IF(2026-E1221&gt;0,L1221/(2026-E1221),L1221))</f>
        <v/>
      </c>
    </row>
    <row r="1222" ht="15" customHeight="1" s="1">
      <c r="N1222">
        <f>IF(L1222="","",IF(2026-E1222&gt;0,L1222/(2026-E1222),L1222))</f>
        <v/>
      </c>
    </row>
    <row r="1223" ht="15" customHeight="1" s="1">
      <c r="N1223">
        <f>IF(L1223="","",IF(2026-E1223&gt;0,L1223/(2026-E1223),L1223))</f>
        <v/>
      </c>
    </row>
    <row r="1224" ht="15" customHeight="1" s="1">
      <c r="N1224">
        <f>IF(L1224="","",IF(2026-E1224&gt;0,L1224/(2026-E1224),L1224))</f>
        <v/>
      </c>
    </row>
    <row r="1225" ht="15" customHeight="1" s="1">
      <c r="N1225">
        <f>IF(L1225="","",IF(2026-E1225&gt;0,L1225/(2026-E1225),L1225))</f>
        <v/>
      </c>
    </row>
    <row r="1226" ht="15" customHeight="1" s="1">
      <c r="N1226">
        <f>IF(L1226="","",IF(2026-E1226&gt;0,L1226/(2026-E1226),L1226))</f>
        <v/>
      </c>
    </row>
    <row r="1227" ht="15" customHeight="1" s="1">
      <c r="N1227">
        <f>IF(L1227="","",IF(2026-E1227&gt;0,L1227/(2026-E1227),L1227))</f>
        <v/>
      </c>
    </row>
    <row r="1228" ht="15" customHeight="1" s="1">
      <c r="N1228">
        <f>IF(L1228="","",IF(2026-E1228&gt;0,L1228/(2026-E1228),L1228))</f>
        <v/>
      </c>
    </row>
    <row r="1229" ht="15" customHeight="1" s="1">
      <c r="N1229">
        <f>IF(L1229="","",IF(2026-E1229&gt;0,L1229/(2026-E1229),L1229))</f>
        <v/>
      </c>
    </row>
    <row r="1230" ht="15" customHeight="1" s="1">
      <c r="N1230">
        <f>IF(L1230="","",IF(2026-E1230&gt;0,L1230/(2026-E1230),L1230))</f>
        <v/>
      </c>
    </row>
    <row r="1231" ht="15" customHeight="1" s="1">
      <c r="N1231">
        <f>IF(L1231="","",IF(2026-E1231&gt;0,L1231/(2026-E1231),L1231))</f>
        <v/>
      </c>
    </row>
    <row r="1232" ht="15" customHeight="1" s="1">
      <c r="N1232">
        <f>IF(L1232="","",IF(2026-E1232&gt;0,L1232/(2026-E1232),L1232))</f>
        <v/>
      </c>
    </row>
    <row r="1233" ht="15" customHeight="1" s="1">
      <c r="N1233">
        <f>IF(L1233="","",IF(2026-E1233&gt;0,L1233/(2026-E1233),L1233))</f>
        <v/>
      </c>
    </row>
    <row r="1234" ht="15" customHeight="1" s="1">
      <c r="N1234">
        <f>IF(L1234="","",IF(2026-E1234&gt;0,L1234/(2026-E1234),L1234))</f>
        <v/>
      </c>
    </row>
    <row r="1235" ht="15" customHeight="1" s="1">
      <c r="N1235">
        <f>IF(L1235="","",IF(2026-E1235&gt;0,L1235/(2026-E1235),L1235))</f>
        <v/>
      </c>
    </row>
    <row r="1236" ht="15" customHeight="1" s="1">
      <c r="N1236">
        <f>IF(L1236="","",IF(2026-E1236&gt;0,L1236/(2026-E1236),L1236))</f>
        <v/>
      </c>
    </row>
    <row r="1237" ht="15" customHeight="1" s="1">
      <c r="N1237">
        <f>IF(L1237="","",IF(2026-E1237&gt;0,L1237/(2026-E1237),L1237))</f>
        <v/>
      </c>
    </row>
    <row r="1238" ht="15" customHeight="1" s="1">
      <c r="N1238">
        <f>IF(L1238="","",IF(2026-E1238&gt;0,L1238/(2026-E1238),L1238))</f>
        <v/>
      </c>
    </row>
    <row r="1239" ht="15" customHeight="1" s="1">
      <c r="N1239">
        <f>IF(L1239="","",IF(2026-E1239&gt;0,L1239/(2026-E1239),L1239))</f>
        <v/>
      </c>
    </row>
    <row r="1240" ht="15" customHeight="1" s="1">
      <c r="N1240">
        <f>IF(L1240="","",IF(2026-E1240&gt;0,L1240/(2026-E1240),L1240))</f>
        <v/>
      </c>
    </row>
    <row r="1241" ht="15" customHeight="1" s="1">
      <c r="N1241">
        <f>IF(L1241="","",IF(2026-E1241&gt;0,L1241/(2026-E1241),L1241))</f>
        <v/>
      </c>
    </row>
    <row r="1242" ht="15" customHeight="1" s="1">
      <c r="N1242">
        <f>IF(L1242="","",IF(2026-E1242&gt;0,L1242/(2026-E1242),L1242))</f>
        <v/>
      </c>
    </row>
    <row r="1243" ht="15" customHeight="1" s="1">
      <c r="N1243">
        <f>IF(L1243="","",IF(2026-E1243&gt;0,L1243/(2026-E1243),L1243))</f>
        <v/>
      </c>
    </row>
    <row r="1244" ht="15" customHeight="1" s="1">
      <c r="N1244">
        <f>IF(L1244="","",IF(2026-E1244&gt;0,L1244/(2026-E1244),L1244))</f>
        <v/>
      </c>
    </row>
    <row r="1245" ht="15" customHeight="1" s="1">
      <c r="N1245">
        <f>IF(L1245="","",IF(2026-E1245&gt;0,L1245/(2026-E1245),L1245))</f>
        <v/>
      </c>
    </row>
    <row r="1246" ht="15" customHeight="1" s="1">
      <c r="N1246">
        <f>IF(L1246="","",IF(2026-E1246&gt;0,L1246/(2026-E1246),L1246))</f>
        <v/>
      </c>
    </row>
    <row r="1247" ht="15" customHeight="1" s="1">
      <c r="N1247">
        <f>IF(L1247="","",IF(2026-E1247&gt;0,L1247/(2026-E1247),L1247))</f>
        <v/>
      </c>
    </row>
    <row r="1248" ht="15" customHeight="1" s="1">
      <c r="N1248">
        <f>IF(L1248="","",IF(2026-E1248&gt;0,L1248/(2026-E1248),L1248))</f>
        <v/>
      </c>
    </row>
    <row r="1249" ht="15" customHeight="1" s="1">
      <c r="N1249">
        <f>IF(L1249="","",IF(2026-E1249&gt;0,L1249/(2026-E1249),L1249))</f>
        <v/>
      </c>
    </row>
    <row r="1250" ht="15" customHeight="1" s="1">
      <c r="N1250">
        <f>IF(L1250="","",IF(2026-E1250&gt;0,L1250/(2026-E1250),L1250))</f>
        <v/>
      </c>
    </row>
    <row r="1251" ht="15" customHeight="1" s="1">
      <c r="N1251">
        <f>IF(L1251="","",IF(2026-E1251&gt;0,L1251/(2026-E1251),L1251))</f>
        <v/>
      </c>
    </row>
    <row r="1252" ht="15" customHeight="1" s="1">
      <c r="N1252">
        <f>IF(L1252="","",IF(2026-E1252&gt;0,L1252/(2026-E1252),L1252))</f>
        <v/>
      </c>
    </row>
    <row r="1253" ht="15" customHeight="1" s="1">
      <c r="N1253">
        <f>IF(L1253="","",IF(2026-E1253&gt;0,L1253/(2026-E1253),L1253))</f>
        <v/>
      </c>
    </row>
    <row r="1254" ht="15" customHeight="1" s="1">
      <c r="N1254">
        <f>IF(L1254="","",IF(2026-E1254&gt;0,L1254/(2026-E1254),L1254))</f>
        <v/>
      </c>
    </row>
    <row r="1255" ht="15" customHeight="1" s="1">
      <c r="N1255">
        <f>IF(L1255="","",IF(2026-E1255&gt;0,L1255/(2026-E1255),L1255))</f>
        <v/>
      </c>
    </row>
    <row r="1256" ht="15" customHeight="1" s="1">
      <c r="N1256">
        <f>IF(L1256="","",IF(2026-E1256&gt;0,L1256/(2026-E1256),L1256))</f>
        <v/>
      </c>
    </row>
    <row r="1257" ht="15" customHeight="1" s="1">
      <c r="N1257">
        <f>IF(L1257="","",IF(2026-E1257&gt;0,L1257/(2026-E1257),L1257))</f>
        <v/>
      </c>
    </row>
    <row r="1258" ht="15" customHeight="1" s="1">
      <c r="N1258">
        <f>IF(L1258="","",IF(2026-E1258&gt;0,L1258/(2026-E1258),L1258))</f>
        <v/>
      </c>
    </row>
    <row r="1259" ht="15" customHeight="1" s="1">
      <c r="N1259">
        <f>IF(L1259="","",IF(2026-E1259&gt;0,L1259/(2026-E1259),L1259))</f>
        <v/>
      </c>
    </row>
    <row r="1260" ht="15" customHeight="1" s="1">
      <c r="N1260">
        <f>IF(L1260="","",IF(2026-E1260&gt;0,L1260/(2026-E1260),L1260))</f>
        <v/>
      </c>
    </row>
    <row r="1261" ht="15" customHeight="1" s="1">
      <c r="N1261">
        <f>IF(L1261="","",IF(2026-E1261&gt;0,L1261/(2026-E1261),L1261))</f>
        <v/>
      </c>
    </row>
    <row r="1262" ht="15" customHeight="1" s="1">
      <c r="N1262">
        <f>IF(L1262="","",IF(2026-E1262&gt;0,L1262/(2026-E1262),L1262))</f>
        <v/>
      </c>
    </row>
    <row r="1263" ht="15" customHeight="1" s="1">
      <c r="N1263">
        <f>IF(L1263="","",IF(2026-E1263&gt;0,L1263/(2026-E1263),L1263))</f>
        <v/>
      </c>
    </row>
    <row r="1264" ht="15" customHeight="1" s="1">
      <c r="N1264">
        <f>IF(L1264="","",IF(2026-E1264&gt;0,L1264/(2026-E1264),L1264))</f>
        <v/>
      </c>
    </row>
    <row r="1265" ht="15" customHeight="1" s="1">
      <c r="N1265">
        <f>IF(L1265="","",IF(2026-E1265&gt;0,L1265/(2026-E1265),L1265))</f>
        <v/>
      </c>
    </row>
    <row r="1266" ht="15" customHeight="1" s="1">
      <c r="N1266">
        <f>IF(L1266="","",IF(2026-E1266&gt;0,L1266/(2026-E1266),L1266))</f>
        <v/>
      </c>
    </row>
    <row r="1267" ht="15" customHeight="1" s="1">
      <c r="N1267">
        <f>IF(L1267="","",IF(2026-E1267&gt;0,L1267/(2026-E1267),L1267))</f>
        <v/>
      </c>
    </row>
    <row r="1268" ht="15" customHeight="1" s="1">
      <c r="N1268">
        <f>IF(L1268="","",IF(2026-E1268&gt;0,L1268/(2026-E1268),L1268))</f>
        <v/>
      </c>
    </row>
    <row r="1269" ht="15" customHeight="1" s="1">
      <c r="N1269">
        <f>IF(L1269="","",IF(2026-E1269&gt;0,L1269/(2026-E1269),L1269))</f>
        <v/>
      </c>
    </row>
    <row r="1270" ht="15" customHeight="1" s="1">
      <c r="N1270">
        <f>IF(L1270="","",IF(2026-E1270&gt;0,L1270/(2026-E1270),L1270))</f>
        <v/>
      </c>
    </row>
    <row r="1271" ht="15" customHeight="1" s="1">
      <c r="N1271">
        <f>IF(L1271="","",IF(2026-E1271&gt;0,L1271/(2026-E1271),L1271))</f>
        <v/>
      </c>
    </row>
    <row r="1272" ht="15" customHeight="1" s="1">
      <c r="N1272">
        <f>IF(L1272="","",IF(2026-E1272&gt;0,L1272/(2026-E1272),L1272))</f>
        <v/>
      </c>
    </row>
    <row r="1273" ht="15" customHeight="1" s="1">
      <c r="N1273">
        <f>IF(L1273="","",IF(2026-E1273&gt;0,L1273/(2026-E1273),L1273))</f>
        <v/>
      </c>
    </row>
    <row r="1274" ht="15" customHeight="1" s="1">
      <c r="N1274">
        <f>IF(L1274="","",IF(2026-E1274&gt;0,L1274/(2026-E1274),L1274))</f>
        <v/>
      </c>
    </row>
    <row r="1275" ht="15" customHeight="1" s="1">
      <c r="N1275">
        <f>IF(L1275="","",IF(2026-E1275&gt;0,L1275/(2026-E1275),L1275))</f>
        <v/>
      </c>
    </row>
    <row r="1276" ht="15" customHeight="1" s="1">
      <c r="N1276">
        <f>IF(L1276="","",IF(2026-E1276&gt;0,L1276/(2026-E1276),L1276))</f>
        <v/>
      </c>
    </row>
    <row r="1277" ht="15" customHeight="1" s="1">
      <c r="N1277">
        <f>IF(L1277="","",IF(2026-E1277&gt;0,L1277/(2026-E1277),L1277))</f>
        <v/>
      </c>
    </row>
    <row r="1278" ht="15" customHeight="1" s="1">
      <c r="N1278">
        <f>IF(L1278="","",IF(2026-E1278&gt;0,L1278/(2026-E1278),L1278))</f>
        <v/>
      </c>
    </row>
    <row r="1279" ht="15" customHeight="1" s="1">
      <c r="N1279">
        <f>IF(L1279="","",IF(2026-E1279&gt;0,L1279/(2026-E1279),L1279))</f>
        <v/>
      </c>
    </row>
    <row r="1280" ht="15" customHeight="1" s="1">
      <c r="N1280">
        <f>IF(L1280="","",IF(2026-E1280&gt;0,L1280/(2026-E1280),L1280))</f>
        <v/>
      </c>
    </row>
    <row r="1281" ht="15" customHeight="1" s="1">
      <c r="N1281">
        <f>IF(L1281="","",IF(2026-E1281&gt;0,L1281/(2026-E1281),L1281))</f>
        <v/>
      </c>
    </row>
    <row r="1282" ht="15" customHeight="1" s="1">
      <c r="N1282">
        <f>IF(L1282="","",IF(2026-E1282&gt;0,L1282/(2026-E1282),L1282))</f>
        <v/>
      </c>
    </row>
    <row r="1283" ht="15" customHeight="1" s="1">
      <c r="N1283">
        <f>IF(L1283="","",IF(2026-E1283&gt;0,L1283/(2026-E1283),L1283))</f>
        <v/>
      </c>
    </row>
    <row r="1284" ht="15" customHeight="1" s="1">
      <c r="N1284">
        <f>IF(L1284="","",IF(2026-E1284&gt;0,L1284/(2026-E1284),L1284))</f>
        <v/>
      </c>
    </row>
    <row r="1285" ht="15" customHeight="1" s="1">
      <c r="N1285">
        <f>IF(L1285="","",IF(2026-E1285&gt;0,L1285/(2026-E1285),L1285))</f>
        <v/>
      </c>
    </row>
    <row r="1286" ht="15" customHeight="1" s="1">
      <c r="N1286">
        <f>IF(L1286="","",IF(2026-E1286&gt;0,L1286/(2026-E1286),L1286))</f>
        <v/>
      </c>
    </row>
    <row r="1287" ht="15" customHeight="1" s="1">
      <c r="N1287">
        <f>IF(L1287="","",IF(2026-E1287&gt;0,L1287/(2026-E1287),L1287))</f>
        <v/>
      </c>
    </row>
    <row r="1288" ht="15" customHeight="1" s="1">
      <c r="N1288">
        <f>IF(L1288="","",IF(2026-E1288&gt;0,L1288/(2026-E1288),L1288))</f>
        <v/>
      </c>
    </row>
    <row r="1289" ht="15" customHeight="1" s="1">
      <c r="N1289">
        <f>IF(L1289="","",IF(2026-E1289&gt;0,L1289/(2026-E1289),L1289))</f>
        <v/>
      </c>
    </row>
    <row r="1290" ht="15" customHeight="1" s="1">
      <c r="N1290">
        <f>IF(L1290="","",IF(2026-E1290&gt;0,L1290/(2026-E1290),L1290))</f>
        <v/>
      </c>
    </row>
    <row r="1291" ht="15" customHeight="1" s="1">
      <c r="N1291">
        <f>IF(L1291="","",IF(2026-E1291&gt;0,L1291/(2026-E1291),L1291))</f>
        <v/>
      </c>
    </row>
    <row r="1292" ht="15" customHeight="1" s="1">
      <c r="N1292">
        <f>IF(L1292="","",IF(2026-E1292&gt;0,L1292/(2026-E1292),L1292))</f>
        <v/>
      </c>
    </row>
    <row r="1293" ht="15" customHeight="1" s="1">
      <c r="N1293">
        <f>IF(L1293="","",IF(2026-E1293&gt;0,L1293/(2026-E1293),L1293))</f>
        <v/>
      </c>
    </row>
    <row r="1294" ht="15" customHeight="1" s="1">
      <c r="N1294">
        <f>IF(L1294="","",IF(2026-E1294&gt;0,L1294/(2026-E1294),L1294))</f>
        <v/>
      </c>
    </row>
    <row r="1295" ht="15" customHeight="1" s="1">
      <c r="N1295">
        <f>IF(L1295="","",IF(2026-E1295&gt;0,L1295/(2026-E1295),L1295))</f>
        <v/>
      </c>
    </row>
    <row r="1296" ht="15" customHeight="1" s="1">
      <c r="N1296">
        <f>IF(L1296="","",IF(2026-E1296&gt;0,L1296/(2026-E1296),L1296))</f>
        <v/>
      </c>
    </row>
    <row r="1297" ht="15" customHeight="1" s="1">
      <c r="N1297">
        <f>IF(L1297="","",IF(2026-E1297&gt;0,L1297/(2026-E1297),L1297))</f>
        <v/>
      </c>
    </row>
    <row r="1298" ht="15" customHeight="1" s="1">
      <c r="N1298">
        <f>IF(L1298="","",IF(2026-E1298&gt;0,L1298/(2026-E1298),L1298))</f>
        <v/>
      </c>
    </row>
    <row r="1299" ht="15" customHeight="1" s="1">
      <c r="N1299">
        <f>IF(L1299="","",IF(2026-E1299&gt;0,L1299/(2026-E1299),L1299))</f>
        <v/>
      </c>
    </row>
    <row r="1300" ht="15" customHeight="1" s="1">
      <c r="N1300">
        <f>IF(L1300="","",IF(2026-E1300&gt;0,L1300/(2026-E1300),L1300))</f>
        <v/>
      </c>
    </row>
    <row r="1301" ht="15" customHeight="1" s="1">
      <c r="N1301">
        <f>IF(L1301="","",IF(2026-E1301&gt;0,L1301/(2026-E1301),L1301))</f>
        <v/>
      </c>
    </row>
    <row r="1302" ht="15" customHeight="1" s="1">
      <c r="N1302">
        <f>IF(L1302="","",IF(2026-E1302&gt;0,L1302/(2026-E1302),L1302))</f>
        <v/>
      </c>
    </row>
    <row r="1303" ht="15" customHeight="1" s="1">
      <c r="N1303">
        <f>IF(L1303="","",IF(2026-E1303&gt;0,L1303/(2026-E1303),L1303))</f>
        <v/>
      </c>
    </row>
    <row r="1304" ht="15" customHeight="1" s="1">
      <c r="N1304">
        <f>IF(L1304="","",IF(2026-E1304&gt;0,L1304/(2026-E1304),L1304))</f>
        <v/>
      </c>
    </row>
    <row r="1305" ht="15" customHeight="1" s="1">
      <c r="N1305">
        <f>IF(L1305="","",IF(2026-E1305&gt;0,L1305/(2026-E1305),L1305))</f>
        <v/>
      </c>
    </row>
    <row r="1306" ht="15" customHeight="1" s="1">
      <c r="N1306">
        <f>IF(L1306="","",IF(2026-E1306&gt;0,L1306/(2026-E1306),L1306))</f>
        <v/>
      </c>
    </row>
    <row r="1307" ht="15" customHeight="1" s="1">
      <c r="N1307">
        <f>IF(L1307="","",IF(2026-E1307&gt;0,L1307/(2026-E1307),L1307))</f>
        <v/>
      </c>
    </row>
    <row r="1308" ht="15" customHeight="1" s="1">
      <c r="N1308">
        <f>IF(L1308="","",IF(2026-E1308&gt;0,L1308/(2026-E1308),L1308))</f>
        <v/>
      </c>
    </row>
    <row r="1309" ht="15" customHeight="1" s="1">
      <c r="N1309">
        <f>IF(L1309="","",IF(2026-E1309&gt;0,L1309/(2026-E1309),L1309))</f>
        <v/>
      </c>
    </row>
    <row r="1310" ht="15" customHeight="1" s="1">
      <c r="N1310">
        <f>IF(L1310="","",IF(2026-E1310&gt;0,L1310/(2026-E1310),L1310))</f>
        <v/>
      </c>
    </row>
    <row r="1311" ht="15" customHeight="1" s="1">
      <c r="N1311">
        <f>IF(L1311="","",IF(2026-E1311&gt;0,L1311/(2026-E1311),L1311))</f>
        <v/>
      </c>
    </row>
    <row r="1312" ht="15" customHeight="1" s="1">
      <c r="N1312">
        <f>IF(L1312="","",IF(2026-E1312&gt;0,L1312/(2026-E1312),L1312))</f>
        <v/>
      </c>
    </row>
    <row r="1313" ht="15" customHeight="1" s="1">
      <c r="N1313">
        <f>IF(L1313="","",IF(2026-E1313&gt;0,L1313/(2026-E1313),L1313))</f>
        <v/>
      </c>
    </row>
    <row r="1314" ht="15" customHeight="1" s="1">
      <c r="N1314">
        <f>IF(L1314="","",IF(2026-E1314&gt;0,L1314/(2026-E1314),L1314))</f>
        <v/>
      </c>
    </row>
    <row r="1315" ht="15" customHeight="1" s="1">
      <c r="N1315">
        <f>IF(L1315="","",IF(2026-E1315&gt;0,L1315/(2026-E1315),L1315))</f>
        <v/>
      </c>
    </row>
    <row r="1316" ht="15" customHeight="1" s="1">
      <c r="N1316">
        <f>IF(L1316="","",IF(2026-E1316&gt;0,L1316/(2026-E1316),L1316))</f>
        <v/>
      </c>
    </row>
    <row r="1317" ht="15" customHeight="1" s="1">
      <c r="N1317">
        <f>IF(L1317="","",IF(2026-E1317&gt;0,L1317/(2026-E1317),L1317))</f>
        <v/>
      </c>
    </row>
    <row r="1318" ht="15" customHeight="1" s="1">
      <c r="N1318">
        <f>IF(L1318="","",IF(2026-E1318&gt;0,L1318/(2026-E1318),L1318))</f>
        <v/>
      </c>
    </row>
    <row r="1319" ht="15" customHeight="1" s="1">
      <c r="N1319">
        <f>IF(L1319="","",IF(2026-E1319&gt;0,L1319/(2026-E1319),L1319))</f>
        <v/>
      </c>
    </row>
    <row r="1320" ht="15" customHeight="1" s="1">
      <c r="N1320">
        <f>IF(L1320="","",IF(2026-E1320&gt;0,L1320/(2026-E1320),L1320))</f>
        <v/>
      </c>
    </row>
    <row r="1321" ht="15" customHeight="1" s="1">
      <c r="N1321">
        <f>IF(L1321="","",IF(2026-E1321&gt;0,L1321/(2026-E1321),L1321))</f>
        <v/>
      </c>
    </row>
    <row r="1322" ht="15" customHeight="1" s="1">
      <c r="N1322">
        <f>IF(L1322="","",IF(2026-E1322&gt;0,L1322/(2026-E1322),L1322))</f>
        <v/>
      </c>
    </row>
    <row r="1323" ht="15" customHeight="1" s="1">
      <c r="N1323">
        <f>IF(L1323="","",IF(2026-E1323&gt;0,L1323/(2026-E1323),L1323))</f>
        <v/>
      </c>
    </row>
    <row r="1324" ht="15" customHeight="1" s="1">
      <c r="N1324">
        <f>IF(L1324="","",IF(2026-E1324&gt;0,L1324/(2026-E1324),L1324))</f>
        <v/>
      </c>
    </row>
    <row r="1325" ht="15" customHeight="1" s="1">
      <c r="N1325">
        <f>IF(L1325="","",IF(2026-E1325&gt;0,L1325/(2026-E1325),L1325))</f>
        <v/>
      </c>
    </row>
    <row r="1326" ht="15" customHeight="1" s="1">
      <c r="N1326">
        <f>IF(L1326="","",IF(2026-E1326&gt;0,L1326/(2026-E1326),L1326))</f>
        <v/>
      </c>
    </row>
    <row r="1327" ht="15" customHeight="1" s="1">
      <c r="N1327">
        <f>IF(L1327="","",IF(2026-E1327&gt;0,L1327/(2026-E1327),L1327))</f>
        <v/>
      </c>
    </row>
    <row r="1328" ht="15" customHeight="1" s="1">
      <c r="N1328">
        <f>IF(L1328="","",IF(2026-E1328&gt;0,L1328/(2026-E1328),L1328))</f>
        <v/>
      </c>
    </row>
    <row r="1329" ht="15" customHeight="1" s="1">
      <c r="N1329">
        <f>IF(L1329="","",IF(2026-E1329&gt;0,L1329/(2026-E1329),L1329))</f>
        <v/>
      </c>
    </row>
    <row r="1330" ht="15" customHeight="1" s="1">
      <c r="N1330">
        <f>IF(L1330="","",IF(2026-E1330&gt;0,L1330/(2026-E1330),L1330))</f>
        <v/>
      </c>
    </row>
    <row r="1331" ht="15" customHeight="1" s="1">
      <c r="N1331">
        <f>IF(L1331="","",IF(2026-E1331&gt;0,L1331/(2026-E1331),L1331))</f>
        <v/>
      </c>
    </row>
    <row r="1332" ht="15" customHeight="1" s="1">
      <c r="N1332">
        <f>IF(L1332="","",IF(2026-E1332&gt;0,L1332/(2026-E1332),L1332))</f>
        <v/>
      </c>
    </row>
    <row r="1333" ht="15" customHeight="1" s="1">
      <c r="N1333">
        <f>IF(L1333="","",IF(2026-E1333&gt;0,L1333/(2026-E1333),L1333))</f>
        <v/>
      </c>
    </row>
    <row r="1334" ht="15" customHeight="1" s="1">
      <c r="N1334">
        <f>IF(L1334="","",IF(2026-E1334&gt;0,L1334/(2026-E1334),L1334))</f>
        <v/>
      </c>
    </row>
    <row r="1335" ht="15" customHeight="1" s="1">
      <c r="N1335">
        <f>IF(L1335="","",IF(2026-E1335&gt;0,L1335/(2026-E1335),L1335))</f>
        <v/>
      </c>
    </row>
    <row r="1336" ht="15" customHeight="1" s="1">
      <c r="N1336">
        <f>IF(L1336="","",IF(2026-E1336&gt;0,L1336/(2026-E1336),L1336))</f>
        <v/>
      </c>
    </row>
    <row r="1337" ht="15" customHeight="1" s="1">
      <c r="N1337">
        <f>IF(L1337="","",IF(2026-E1337&gt;0,L1337/(2026-E1337),L1337))</f>
        <v/>
      </c>
    </row>
    <row r="1338" ht="15" customHeight="1" s="1">
      <c r="N1338">
        <f>IF(L1338="","",IF(2026-E1338&gt;0,L1338/(2026-E1338),L1338))</f>
        <v/>
      </c>
    </row>
    <row r="1339" ht="15" customHeight="1" s="1">
      <c r="N1339">
        <f>IF(L1339="","",IF(2026-E1339&gt;0,L1339/(2026-E1339),L1339))</f>
        <v/>
      </c>
    </row>
    <row r="1340" ht="15" customHeight="1" s="1">
      <c r="N1340">
        <f>IF(L1340="","",IF(2026-E1340&gt;0,L1340/(2026-E1340),L1340))</f>
        <v/>
      </c>
    </row>
    <row r="1341" ht="15" customHeight="1" s="1">
      <c r="N1341">
        <f>IF(L1341="","",IF(2026-E1341&gt;0,L1341/(2026-E1341),L1341))</f>
        <v/>
      </c>
    </row>
    <row r="1342" ht="15" customHeight="1" s="1">
      <c r="N1342">
        <f>IF(L1342="","",IF(2026-E1342&gt;0,L1342/(2026-E1342),L1342))</f>
        <v/>
      </c>
    </row>
    <row r="1343" ht="15" customHeight="1" s="1">
      <c r="N1343">
        <f>IF(L1343="","",IF(2026-E1343&gt;0,L1343/(2026-E1343),L1343))</f>
        <v/>
      </c>
    </row>
    <row r="1344" ht="15" customHeight="1" s="1">
      <c r="N1344">
        <f>IF(L1344="","",IF(2026-E1344&gt;0,L1344/(2026-E1344),L1344))</f>
        <v/>
      </c>
    </row>
    <row r="1345" ht="15" customHeight="1" s="1">
      <c r="N1345">
        <f>IF(L1345="","",IF(2026-E1345&gt;0,L1345/(2026-E1345),L1345))</f>
        <v/>
      </c>
    </row>
    <row r="1346" ht="15" customHeight="1" s="1">
      <c r="N1346">
        <f>IF(L1346="","",IF(2026-E1346&gt;0,L1346/(2026-E1346),L1346))</f>
        <v/>
      </c>
    </row>
    <row r="1347" ht="15" customHeight="1" s="1">
      <c r="N1347">
        <f>IF(L1347="","",IF(2026-E1347&gt;0,L1347/(2026-E1347),L1347))</f>
        <v/>
      </c>
    </row>
    <row r="1348" ht="15" customHeight="1" s="1">
      <c r="N1348">
        <f>IF(L1348="","",IF(2026-E1348&gt;0,L1348/(2026-E1348),L1348))</f>
        <v/>
      </c>
    </row>
    <row r="1349" ht="15" customHeight="1" s="1">
      <c r="N1349">
        <f>IF(L1349="","",IF(2026-E1349&gt;0,L1349/(2026-E1349),L1349))</f>
        <v/>
      </c>
    </row>
    <row r="1350" ht="15" customHeight="1" s="1">
      <c r="N1350">
        <f>IF(L1350="","",IF(2026-E1350&gt;0,L1350/(2026-E1350),L1350))</f>
        <v/>
      </c>
    </row>
    <row r="1351" ht="15" customHeight="1" s="1">
      <c r="N1351">
        <f>IF(L1351="","",IF(2026-E1351&gt;0,L1351/(2026-E1351),L1351))</f>
        <v/>
      </c>
    </row>
    <row r="1352" ht="15" customHeight="1" s="1">
      <c r="N1352">
        <f>IF(L1352="","",IF(2026-E1352&gt;0,L1352/(2026-E1352),L1352))</f>
        <v/>
      </c>
    </row>
    <row r="1353" ht="15" customHeight="1" s="1">
      <c r="N1353">
        <f>IF(L1353="","",IF(2026-E1353&gt;0,L1353/(2026-E1353),L1353))</f>
        <v/>
      </c>
    </row>
    <row r="1354" ht="15" customHeight="1" s="1">
      <c r="N1354">
        <f>IF(L1354="","",IF(2026-E1354&gt;0,L1354/(2026-E1354),L1354))</f>
        <v/>
      </c>
    </row>
    <row r="1355" ht="15" customHeight="1" s="1">
      <c r="N1355">
        <f>IF(L1355="","",IF(2026-E1355&gt;0,L1355/(2026-E1355),L1355))</f>
        <v/>
      </c>
    </row>
    <row r="1356" ht="15" customHeight="1" s="1">
      <c r="N1356">
        <f>IF(L1356="","",IF(2026-E1356&gt;0,L1356/(2026-E1356),L1356))</f>
        <v/>
      </c>
    </row>
    <row r="1357" ht="15" customHeight="1" s="1">
      <c r="N1357">
        <f>IF(L1357="","",IF(2026-E1357&gt;0,L1357/(2026-E1357),L1357))</f>
        <v/>
      </c>
    </row>
    <row r="1358" ht="15" customHeight="1" s="1">
      <c r="N1358">
        <f>IF(L1358="","",IF(2026-E1358&gt;0,L1358/(2026-E1358),L1358))</f>
        <v/>
      </c>
    </row>
    <row r="1359" ht="15" customHeight="1" s="1">
      <c r="N1359">
        <f>IF(L1359="","",IF(2026-E1359&gt;0,L1359/(2026-E1359),L1359))</f>
        <v/>
      </c>
    </row>
    <row r="1360" ht="15" customHeight="1" s="1">
      <c r="N1360">
        <f>IF(L1360="","",IF(2026-E1360&gt;0,L1360/(2026-E1360),L1360))</f>
        <v/>
      </c>
    </row>
    <row r="1361" ht="15" customHeight="1" s="1">
      <c r="N1361">
        <f>IF(L1361="","",IF(2026-E1361&gt;0,L1361/(2026-E1361),L1361))</f>
        <v/>
      </c>
    </row>
    <row r="1362" ht="15" customHeight="1" s="1">
      <c r="N1362">
        <f>IF(L1362="","",IF(2026-E1362&gt;0,L1362/(2026-E1362),L1362))</f>
        <v/>
      </c>
    </row>
    <row r="1363" ht="15" customHeight="1" s="1">
      <c r="N1363">
        <f>IF(L1363="","",IF(2026-E1363&gt;0,L1363/(2026-E1363),L1363))</f>
        <v/>
      </c>
    </row>
    <row r="1364" ht="15" customHeight="1" s="1">
      <c r="N1364">
        <f>IF(L1364="","",IF(2026-E1364&gt;0,L1364/(2026-E1364),L1364))</f>
        <v/>
      </c>
    </row>
    <row r="1365" ht="15" customHeight="1" s="1">
      <c r="N1365">
        <f>IF(L1365="","",IF(2026-E1365&gt;0,L1365/(2026-E1365),L1365))</f>
        <v/>
      </c>
    </row>
    <row r="1366" ht="15" customHeight="1" s="1">
      <c r="N1366">
        <f>IF(L1366="","",IF(2026-E1366&gt;0,L1366/(2026-E1366),L1366))</f>
        <v/>
      </c>
    </row>
    <row r="1367" ht="15" customHeight="1" s="1">
      <c r="N1367">
        <f>IF(L1367="","",IF(2026-E1367&gt;0,L1367/(2026-E1367),L1367))</f>
        <v/>
      </c>
    </row>
    <row r="1368" ht="15" customHeight="1" s="1">
      <c r="N1368">
        <f>IF(L1368="","",IF(2026-E1368&gt;0,L1368/(2026-E1368),L1368))</f>
        <v/>
      </c>
    </row>
    <row r="1369" ht="15" customHeight="1" s="1">
      <c r="N1369">
        <f>IF(L1369="","",IF(2026-E1369&gt;0,L1369/(2026-E1369),L1369))</f>
        <v/>
      </c>
    </row>
    <row r="1370" ht="15" customHeight="1" s="1">
      <c r="N1370">
        <f>IF(L1370="","",IF(2026-E1370&gt;0,L1370/(2026-E1370),L1370))</f>
        <v/>
      </c>
    </row>
    <row r="1371" ht="15" customHeight="1" s="1">
      <c r="N1371">
        <f>IF(L1371="","",IF(2026-E1371&gt;0,L1371/(2026-E1371),L1371))</f>
        <v/>
      </c>
    </row>
    <row r="1372" ht="15" customHeight="1" s="1">
      <c r="N1372">
        <f>IF(L1372="","",IF(2026-E1372&gt;0,L1372/(2026-E1372),L1372))</f>
        <v/>
      </c>
    </row>
    <row r="1373" ht="15" customHeight="1" s="1">
      <c r="N1373">
        <f>IF(L1373="","",IF(2026-E1373&gt;0,L1373/(2026-E1373),L1373))</f>
        <v/>
      </c>
    </row>
    <row r="1374" ht="15" customHeight="1" s="1">
      <c r="N1374">
        <f>IF(L1374="","",IF(2026-E1374&gt;0,L1374/(2026-E1374),L1374))</f>
        <v/>
      </c>
    </row>
    <row r="1375" ht="15" customHeight="1" s="1">
      <c r="N1375">
        <f>IF(L1375="","",IF(2026-E1375&gt;0,L1375/(2026-E1375),L1375))</f>
        <v/>
      </c>
    </row>
    <row r="1376" ht="15" customHeight="1" s="1">
      <c r="N1376">
        <f>IF(L1376="","",IF(2026-E1376&gt;0,L1376/(2026-E1376),L1376))</f>
        <v/>
      </c>
    </row>
    <row r="1377" ht="15" customHeight="1" s="1">
      <c r="N1377">
        <f>IF(L1377="","",IF(2026-E1377&gt;0,L1377/(2026-E1377),L1377))</f>
        <v/>
      </c>
    </row>
    <row r="1378" ht="15" customHeight="1" s="1">
      <c r="N1378">
        <f>IF(L1378="","",IF(2026-E1378&gt;0,L1378/(2026-E1378),L1378))</f>
        <v/>
      </c>
    </row>
    <row r="1379" ht="15" customHeight="1" s="1">
      <c r="N1379">
        <f>IF(L1379="","",IF(2026-E1379&gt;0,L1379/(2026-E1379),L1379))</f>
        <v/>
      </c>
    </row>
    <row r="1380" ht="15" customHeight="1" s="1">
      <c r="N1380">
        <f>IF(L1380="","",IF(2026-E1380&gt;0,L1380/(2026-E1380),L1380))</f>
        <v/>
      </c>
    </row>
    <row r="1381" ht="15" customHeight="1" s="1">
      <c r="N1381">
        <f>IF(L1381="","",IF(2026-E1381&gt;0,L1381/(2026-E1381),L1381))</f>
        <v/>
      </c>
    </row>
    <row r="1382" ht="15" customHeight="1" s="1">
      <c r="N1382">
        <f>IF(L1382="","",IF(2026-E1382&gt;0,L1382/(2026-E1382),L1382))</f>
        <v/>
      </c>
    </row>
    <row r="1383" ht="15" customHeight="1" s="1">
      <c r="N1383">
        <f>IF(L1383="","",IF(2026-E1383&gt;0,L1383/(2026-E1383),L1383))</f>
        <v/>
      </c>
    </row>
    <row r="1384" ht="15" customHeight="1" s="1">
      <c r="N1384">
        <f>IF(L1384="","",IF(2026-E1384&gt;0,L1384/(2026-E1384),L1384))</f>
        <v/>
      </c>
    </row>
    <row r="1385" ht="15" customHeight="1" s="1">
      <c r="N1385">
        <f>IF(L1385="","",IF(2026-E1385&gt;0,L1385/(2026-E1385),L1385))</f>
        <v/>
      </c>
    </row>
    <row r="1386" ht="15" customHeight="1" s="1">
      <c r="N1386">
        <f>IF(L1386="","",IF(2026-E1386&gt;0,L1386/(2026-E1386),L1386))</f>
        <v/>
      </c>
    </row>
    <row r="1387" ht="15" customHeight="1" s="1">
      <c r="N1387">
        <f>IF(L1387="","",IF(2026-E1387&gt;0,L1387/(2026-E1387),L1387))</f>
        <v/>
      </c>
    </row>
    <row r="1388" ht="15" customHeight="1" s="1">
      <c r="N1388">
        <f>IF(L1388="","",IF(2026-E1388&gt;0,L1388/(2026-E1388),L1388))</f>
        <v/>
      </c>
    </row>
    <row r="1389" ht="15" customHeight="1" s="1">
      <c r="N1389">
        <f>IF(L1389="","",IF(2026-E1389&gt;0,L1389/(2026-E1389),L1389))</f>
        <v/>
      </c>
    </row>
    <row r="1390" ht="15" customHeight="1" s="1">
      <c r="N1390">
        <f>IF(L1390="","",IF(2026-E1390&gt;0,L1390/(2026-E1390),L1390))</f>
        <v/>
      </c>
    </row>
    <row r="1391" ht="15" customHeight="1" s="1">
      <c r="N1391">
        <f>IF(L1391="","",IF(2026-E1391&gt;0,L1391/(2026-E1391),L1391))</f>
        <v/>
      </c>
    </row>
    <row r="1392" ht="15" customHeight="1" s="1">
      <c r="N1392">
        <f>IF(L1392="","",IF(2026-E1392&gt;0,L1392/(2026-E1392),L1392))</f>
        <v/>
      </c>
    </row>
    <row r="1393" ht="15" customHeight="1" s="1">
      <c r="N1393">
        <f>IF(L1393="","",IF(2026-E1393&gt;0,L1393/(2026-E1393),L1393))</f>
        <v/>
      </c>
    </row>
    <row r="1394" ht="15" customHeight="1" s="1">
      <c r="N1394">
        <f>IF(L1394="","",IF(2026-E1394&gt;0,L1394/(2026-E1394),L1394))</f>
        <v/>
      </c>
    </row>
    <row r="1395" ht="15" customHeight="1" s="1">
      <c r="N1395">
        <f>IF(L1395="","",IF(2026-E1395&gt;0,L1395/(2026-E1395),L1395))</f>
        <v/>
      </c>
    </row>
    <row r="1396" ht="15" customHeight="1" s="1">
      <c r="N1396">
        <f>IF(L1396="","",IF(2026-E1396&gt;0,L1396/(2026-E1396),L1396))</f>
        <v/>
      </c>
    </row>
    <row r="1397" ht="15" customHeight="1" s="1">
      <c r="N1397">
        <f>IF(L1397="","",IF(2026-E1397&gt;0,L1397/(2026-E1397),L1397))</f>
        <v/>
      </c>
    </row>
    <row r="1398" ht="15" customHeight="1" s="1">
      <c r="N1398">
        <f>IF(L1398="","",IF(2026-E1398&gt;0,L1398/(2026-E1398),L1398))</f>
        <v/>
      </c>
    </row>
    <row r="1399" ht="15" customHeight="1" s="1">
      <c r="N1399">
        <f>IF(L1399="","",IF(2026-E1399&gt;0,L1399/(2026-E1399),L1399))</f>
        <v/>
      </c>
    </row>
    <row r="1400" ht="15" customHeight="1" s="1">
      <c r="N1400">
        <f>IF(L1400="","",IF(2026-E1400&gt;0,L1400/(2026-E1400),L1400))</f>
        <v/>
      </c>
    </row>
    <row r="1401" ht="15" customHeight="1" s="1">
      <c r="N1401">
        <f>IF(L1401="","",IF(2026-E1401&gt;0,L1401/(2026-E1401),L1401))</f>
        <v/>
      </c>
    </row>
    <row r="1402" ht="15" customHeight="1" s="1">
      <c r="N1402">
        <f>IF(L1402="","",IF(2026-E1402&gt;0,L1402/(2026-E1402),L1402))</f>
        <v/>
      </c>
    </row>
    <row r="1403" ht="15" customHeight="1" s="1">
      <c r="N1403">
        <f>IF(L1403="","",IF(2026-E1403&gt;0,L1403/(2026-E1403),L1403))</f>
        <v/>
      </c>
    </row>
    <row r="1404" ht="15" customHeight="1" s="1">
      <c r="N1404">
        <f>IF(L1404="","",IF(2026-E1404&gt;0,L1404/(2026-E1404),L1404))</f>
        <v/>
      </c>
    </row>
    <row r="1405" ht="15" customHeight="1" s="1">
      <c r="N1405">
        <f>IF(L1405="","",IF(2026-E1405&gt;0,L1405/(2026-E1405),L1405))</f>
        <v/>
      </c>
    </row>
    <row r="1406" ht="15" customHeight="1" s="1">
      <c r="N1406">
        <f>IF(L1406="","",IF(2026-E1406&gt;0,L1406/(2026-E1406),L1406))</f>
        <v/>
      </c>
    </row>
    <row r="1407" ht="15" customHeight="1" s="1">
      <c r="N1407">
        <f>IF(L1407="","",IF(2026-E1407&gt;0,L1407/(2026-E1407),L1407))</f>
        <v/>
      </c>
    </row>
    <row r="1408" ht="15" customHeight="1" s="1">
      <c r="N1408">
        <f>IF(L1408="","",IF(2026-E1408&gt;0,L1408/(2026-E1408),L1408))</f>
        <v/>
      </c>
    </row>
    <row r="1409" ht="15" customHeight="1" s="1">
      <c r="N1409">
        <f>IF(L1409="","",IF(2026-E1409&gt;0,L1409/(2026-E1409),L1409))</f>
        <v/>
      </c>
    </row>
    <row r="1410" ht="15" customHeight="1" s="1">
      <c r="N1410">
        <f>IF(L1410="","",IF(2026-E1410&gt;0,L1410/(2026-E1410),L1410))</f>
        <v/>
      </c>
    </row>
    <row r="1411" ht="15" customHeight="1" s="1">
      <c r="N1411">
        <f>IF(L1411="","",IF(2026-E1411&gt;0,L1411/(2026-E1411),L1411))</f>
        <v/>
      </c>
    </row>
    <row r="1412" ht="15" customHeight="1" s="1">
      <c r="N1412">
        <f>IF(L1412="","",IF(2026-E1412&gt;0,L1412/(2026-E1412),L1412))</f>
        <v/>
      </c>
    </row>
    <row r="1413" ht="15" customHeight="1" s="1">
      <c r="N1413">
        <f>IF(L1413="","",IF(2026-E1413&gt;0,L1413/(2026-E1413),L1413))</f>
        <v/>
      </c>
    </row>
    <row r="1414" ht="15" customHeight="1" s="1">
      <c r="N1414">
        <f>IF(L1414="","",IF(2026-E1414&gt;0,L1414/(2026-E1414),L1414))</f>
        <v/>
      </c>
    </row>
    <row r="1415" ht="15" customHeight="1" s="1">
      <c r="N1415">
        <f>IF(L1415="","",IF(2026-E1415&gt;0,L1415/(2026-E1415),L1415))</f>
        <v/>
      </c>
    </row>
    <row r="1416" ht="15" customHeight="1" s="1">
      <c r="N1416">
        <f>IF(L1416="","",IF(2026-E1416&gt;0,L1416/(2026-E1416),L1416))</f>
        <v/>
      </c>
    </row>
    <row r="1417" ht="15" customHeight="1" s="1">
      <c r="N1417">
        <f>IF(L1417="","",IF(2026-E1417&gt;0,L1417/(2026-E1417),L1417))</f>
        <v/>
      </c>
    </row>
    <row r="1418" ht="15" customHeight="1" s="1">
      <c r="N1418">
        <f>IF(L1418="","",IF(2026-E1418&gt;0,L1418/(2026-E1418),L1418))</f>
        <v/>
      </c>
    </row>
    <row r="1419" ht="15" customHeight="1" s="1">
      <c r="N1419">
        <f>IF(L1419="","",IF(2026-E1419&gt;0,L1419/(2026-E1419),L1419))</f>
        <v/>
      </c>
    </row>
    <row r="1420" ht="15" customHeight="1" s="1">
      <c r="N1420">
        <f>IF(L1420="","",IF(2026-E1420&gt;0,L1420/(2026-E1420),L1420))</f>
        <v/>
      </c>
    </row>
    <row r="1421" ht="15" customHeight="1" s="1">
      <c r="N1421">
        <f>IF(L1421="","",IF(2026-E1421&gt;0,L1421/(2026-E1421),L1421))</f>
        <v/>
      </c>
    </row>
    <row r="1422" ht="15" customHeight="1" s="1">
      <c r="N1422">
        <f>IF(L1422="","",IF(2026-E1422&gt;0,L1422/(2026-E1422),L1422))</f>
        <v/>
      </c>
    </row>
    <row r="1423" ht="15" customHeight="1" s="1">
      <c r="N1423">
        <f>IF(L1423="","",IF(2026-E1423&gt;0,L1423/(2026-E1423),L1423))</f>
        <v/>
      </c>
    </row>
    <row r="1424" ht="15" customHeight="1" s="1">
      <c r="N1424">
        <f>IF(L1424="","",IF(2026-E1424&gt;0,L1424/(2026-E1424),L1424))</f>
        <v/>
      </c>
    </row>
    <row r="1425" ht="15" customHeight="1" s="1">
      <c r="N1425">
        <f>IF(L1425="","",IF(2026-E1425&gt;0,L1425/(2026-E1425),L1425))</f>
        <v/>
      </c>
    </row>
    <row r="1426" ht="15" customHeight="1" s="1">
      <c r="N1426">
        <f>IF(L1426="","",IF(2026-E1426&gt;0,L1426/(2026-E1426),L1426))</f>
        <v/>
      </c>
    </row>
    <row r="1427" ht="15" customHeight="1" s="1">
      <c r="N1427">
        <f>IF(L1427="","",IF(2026-E1427&gt;0,L1427/(2026-E1427),L1427))</f>
        <v/>
      </c>
    </row>
    <row r="1428" ht="15" customHeight="1" s="1">
      <c r="N1428">
        <f>IF(L1428="","",IF(2026-E1428&gt;0,L1428/(2026-E1428),L1428))</f>
        <v/>
      </c>
    </row>
    <row r="1429" ht="15" customHeight="1" s="1">
      <c r="N1429">
        <f>IF(L1429="","",IF(2026-E1429&gt;0,L1429/(2026-E1429),L1429))</f>
        <v/>
      </c>
    </row>
    <row r="1430" ht="15" customHeight="1" s="1">
      <c r="N1430">
        <f>IF(L1430="","",IF(2026-E1430&gt;0,L1430/(2026-E1430),L1430))</f>
        <v/>
      </c>
    </row>
    <row r="1431" ht="15" customHeight="1" s="1">
      <c r="N1431">
        <f>IF(L1431="","",IF(2026-E1431&gt;0,L1431/(2026-E1431),L1431))</f>
        <v/>
      </c>
    </row>
    <row r="1432" ht="15" customHeight="1" s="1">
      <c r="N1432">
        <f>IF(L1432="","",IF(2026-E1432&gt;0,L1432/(2026-E1432),L1432))</f>
        <v/>
      </c>
    </row>
    <row r="1433" ht="15" customHeight="1" s="1">
      <c r="N1433">
        <f>IF(L1433="","",IF(2026-E1433&gt;0,L1433/(2026-E1433),L1433))</f>
        <v/>
      </c>
    </row>
    <row r="1434" ht="15" customHeight="1" s="1">
      <c r="N1434">
        <f>IF(L1434="","",IF(2026-E1434&gt;0,L1434/(2026-E1434),L1434))</f>
        <v/>
      </c>
    </row>
    <row r="1435" ht="15" customHeight="1" s="1">
      <c r="N1435">
        <f>IF(L1435="","",IF(2026-E1435&gt;0,L1435/(2026-E1435),L1435))</f>
        <v/>
      </c>
    </row>
    <row r="1436" ht="15" customHeight="1" s="1">
      <c r="N1436">
        <f>IF(L1436="","",IF(2026-E1436&gt;0,L1436/(2026-E1436),L1436))</f>
        <v/>
      </c>
    </row>
    <row r="1437" ht="15" customHeight="1" s="1">
      <c r="N1437">
        <f>IF(L1437="","",IF(2026-E1437&gt;0,L1437/(2026-E1437),L1437))</f>
        <v/>
      </c>
    </row>
    <row r="1438" ht="15" customHeight="1" s="1">
      <c r="N1438">
        <f>IF(L1438="","",IF(2026-E1438&gt;0,L1438/(2026-E1438),L1438))</f>
        <v/>
      </c>
    </row>
    <row r="1439" ht="15" customHeight="1" s="1">
      <c r="N1439">
        <f>IF(L1439="","",IF(2026-E1439&gt;0,L1439/(2026-E1439),L1439))</f>
        <v/>
      </c>
    </row>
    <row r="1440" ht="15" customHeight="1" s="1">
      <c r="N1440">
        <f>IF(L1440="","",IF(2026-E1440&gt;0,L1440/(2026-E1440),L1440))</f>
        <v/>
      </c>
    </row>
    <row r="1441" ht="15" customHeight="1" s="1">
      <c r="N1441">
        <f>IF(L1441="","",IF(2026-E1441&gt;0,L1441/(2026-E1441),L1441))</f>
        <v/>
      </c>
    </row>
    <row r="1442" ht="15" customHeight="1" s="1">
      <c r="N1442">
        <f>IF(L1442="","",IF(2026-E1442&gt;0,L1442/(2026-E1442),L1442))</f>
        <v/>
      </c>
    </row>
    <row r="1443" ht="15" customHeight="1" s="1">
      <c r="N1443">
        <f>IF(L1443="","",IF(2026-E1443&gt;0,L1443/(2026-E1443),L1443))</f>
        <v/>
      </c>
    </row>
    <row r="1444" ht="15" customHeight="1" s="1">
      <c r="N1444">
        <f>IF(L1444="","",IF(2026-E1444&gt;0,L1444/(2026-E1444),L1444))</f>
        <v/>
      </c>
    </row>
    <row r="1445" ht="15" customHeight="1" s="1">
      <c r="N1445">
        <f>IF(L1445="","",IF(2026-E1445&gt;0,L1445/(2026-E1445),L1445))</f>
        <v/>
      </c>
    </row>
    <row r="1446" ht="15" customHeight="1" s="1">
      <c r="N1446">
        <f>IF(L1446="","",IF(2026-E1446&gt;0,L1446/(2026-E1446),L1446))</f>
        <v/>
      </c>
    </row>
    <row r="1447" ht="15" customHeight="1" s="1">
      <c r="N1447">
        <f>IF(L1447="","",IF(2026-E1447&gt;0,L1447/(2026-E1447),L1447))</f>
        <v/>
      </c>
    </row>
    <row r="1448" ht="15" customHeight="1" s="1">
      <c r="N1448">
        <f>IF(L1448="","",IF(2026-E1448&gt;0,L1448/(2026-E1448),L1448))</f>
        <v/>
      </c>
    </row>
    <row r="1449" ht="15" customHeight="1" s="1">
      <c r="N1449">
        <f>IF(L1449="","",IF(2026-E1449&gt;0,L1449/(2026-E1449),L1449))</f>
        <v/>
      </c>
    </row>
    <row r="1450" ht="15" customHeight="1" s="1">
      <c r="N1450">
        <f>IF(L1450="","",IF(2026-E1450&gt;0,L1450/(2026-E1450),L1450))</f>
        <v/>
      </c>
    </row>
    <row r="1451" ht="15" customHeight="1" s="1">
      <c r="N1451">
        <f>IF(L1451="","",IF(2026-E1451&gt;0,L1451/(2026-E1451),L1451))</f>
        <v/>
      </c>
    </row>
    <row r="1452" ht="15" customHeight="1" s="1">
      <c r="N1452">
        <f>IF(L1452="","",IF(2026-E1452&gt;0,L1452/(2026-E1452),L1452))</f>
        <v/>
      </c>
    </row>
    <row r="1453" ht="15" customHeight="1" s="1">
      <c r="N1453">
        <f>IF(L1453="","",IF(2026-E1453&gt;0,L1453/(2026-E1453),L1453))</f>
        <v/>
      </c>
    </row>
    <row r="1454" ht="15" customHeight="1" s="1">
      <c r="N1454">
        <f>IF(L1454="","",IF(2026-E1454&gt;0,L1454/(2026-E1454),L1454))</f>
        <v/>
      </c>
    </row>
    <row r="1455" ht="15" customHeight="1" s="1">
      <c r="N1455">
        <f>IF(L1455="","",IF(2026-E1455&gt;0,L1455/(2026-E1455),L1455))</f>
        <v/>
      </c>
    </row>
    <row r="1456" ht="15" customHeight="1" s="1">
      <c r="N1456">
        <f>IF(L1456="","",IF(2026-E1456&gt;0,L1456/(2026-E1456),L1456))</f>
        <v/>
      </c>
    </row>
    <row r="1457" ht="15" customHeight="1" s="1">
      <c r="N1457">
        <f>IF(L1457="","",IF(2026-E1457&gt;0,L1457/(2026-E1457),L1457))</f>
        <v/>
      </c>
    </row>
    <row r="1458" ht="15" customHeight="1" s="1">
      <c r="N1458">
        <f>IF(L1458="","",IF(2026-E1458&gt;0,L1458/(2026-E1458),L1458))</f>
        <v/>
      </c>
    </row>
    <row r="1459" ht="15" customHeight="1" s="1">
      <c r="N1459">
        <f>IF(L1459="","",IF(2026-E1459&gt;0,L1459/(2026-E1459),L1459))</f>
        <v/>
      </c>
    </row>
    <row r="1460" ht="15" customHeight="1" s="1">
      <c r="N1460">
        <f>IF(L1460="","",IF(2026-E1460&gt;0,L1460/(2026-E1460),L1460))</f>
        <v/>
      </c>
    </row>
    <row r="1461" ht="15" customHeight="1" s="1">
      <c r="N1461">
        <f>IF(L1461="","",IF(2026-E1461&gt;0,L1461/(2026-E1461),L1461))</f>
        <v/>
      </c>
    </row>
    <row r="1462" ht="15" customHeight="1" s="1">
      <c r="N1462">
        <f>IF(L1462="","",IF(2026-E1462&gt;0,L1462/(2026-E1462),L1462))</f>
        <v/>
      </c>
    </row>
    <row r="1463" ht="15" customHeight="1" s="1">
      <c r="N1463">
        <f>IF(L1463="","",IF(2026-E1463&gt;0,L1463/(2026-E1463),L1463))</f>
        <v/>
      </c>
    </row>
    <row r="1464" ht="15" customHeight="1" s="1">
      <c r="N1464">
        <f>IF(L1464="","",IF(2026-E1464&gt;0,L1464/(2026-E1464),L1464))</f>
        <v/>
      </c>
    </row>
    <row r="1465" ht="15" customHeight="1" s="1">
      <c r="N1465">
        <f>IF(L1465="","",IF(2026-E1465&gt;0,L1465/(2026-E1465),L1465))</f>
        <v/>
      </c>
    </row>
    <row r="1466" ht="15" customHeight="1" s="1">
      <c r="N1466">
        <f>IF(L1466="","",IF(2026-E1466&gt;0,L1466/(2026-E1466),L1466))</f>
        <v/>
      </c>
    </row>
    <row r="1467" ht="15" customHeight="1" s="1">
      <c r="N1467">
        <f>IF(L1467="","",IF(2026-E1467&gt;0,L1467/(2026-E1467),L1467))</f>
        <v/>
      </c>
    </row>
    <row r="1468" ht="15" customHeight="1" s="1">
      <c r="N1468">
        <f>IF(L1468="","",IF(2026-E1468&gt;0,L1468/(2026-E1468),L1468))</f>
        <v/>
      </c>
    </row>
    <row r="1469" ht="15" customHeight="1" s="1">
      <c r="N1469">
        <f>IF(L1469="","",IF(2026-E1469&gt;0,L1469/(2026-E1469),L1469))</f>
        <v/>
      </c>
    </row>
    <row r="1470" ht="15" customHeight="1" s="1">
      <c r="N1470">
        <f>IF(L1470="","",IF(2026-E1470&gt;0,L1470/(2026-E1470),L1470))</f>
        <v/>
      </c>
    </row>
    <row r="1471" ht="15" customHeight="1" s="1">
      <c r="N1471">
        <f>IF(L1471="","",IF(2026-E1471&gt;0,L1471/(2026-E1471),L1471))</f>
        <v/>
      </c>
    </row>
    <row r="1472" ht="15" customHeight="1" s="1">
      <c r="N1472">
        <f>IF(L1472="","",IF(2026-E1472&gt;0,L1472/(2026-E1472),L1472))</f>
        <v/>
      </c>
    </row>
    <row r="1473" ht="15" customHeight="1" s="1">
      <c r="N1473">
        <f>IF(L1473="","",IF(2026-E1473&gt;0,L1473/(2026-E1473),L1473))</f>
        <v/>
      </c>
    </row>
    <row r="1474" ht="15" customHeight="1" s="1">
      <c r="N1474">
        <f>IF(L1474="","",IF(2026-E1474&gt;0,L1474/(2026-E1474),L1474))</f>
        <v/>
      </c>
    </row>
    <row r="1475" ht="15" customHeight="1" s="1">
      <c r="N1475">
        <f>IF(L1475="","",IF(2026-E1475&gt;0,L1475/(2026-E1475),L1475))</f>
        <v/>
      </c>
    </row>
    <row r="1476" ht="15" customHeight="1" s="1">
      <c r="N1476">
        <f>IF(L1476="","",IF(2026-E1476&gt;0,L1476/(2026-E1476),L1476))</f>
        <v/>
      </c>
    </row>
    <row r="1477" ht="15" customHeight="1" s="1">
      <c r="N1477">
        <f>IF(L1477="","",IF(2026-E1477&gt;0,L1477/(2026-E1477),L1477))</f>
        <v/>
      </c>
    </row>
    <row r="1478" ht="15" customHeight="1" s="1">
      <c r="N1478">
        <f>IF(L1478="","",IF(2026-E1478&gt;0,L1478/(2026-E1478),L1478))</f>
        <v/>
      </c>
    </row>
    <row r="1479" ht="15" customHeight="1" s="1">
      <c r="N1479">
        <f>IF(L1479="","",IF(2026-E1479&gt;0,L1479/(2026-E1479),L1479))</f>
        <v/>
      </c>
    </row>
    <row r="1480" ht="15" customHeight="1" s="1">
      <c r="N1480">
        <f>IF(L1480="","",IF(2026-E1480&gt;0,L1480/(2026-E1480),L1480))</f>
        <v/>
      </c>
    </row>
    <row r="1481" ht="15" customHeight="1" s="1">
      <c r="N1481">
        <f>IF(L1481="","",IF(2026-E1481&gt;0,L1481/(2026-E1481),L1481))</f>
        <v/>
      </c>
    </row>
    <row r="1482" ht="15" customHeight="1" s="1">
      <c r="N1482">
        <f>IF(L1482="","",IF(2026-E1482&gt;0,L1482/(2026-E1482),L1482))</f>
        <v/>
      </c>
    </row>
    <row r="1483" ht="15" customHeight="1" s="1">
      <c r="N1483">
        <f>IF(L1483="","",IF(2026-E1483&gt;0,L1483/(2026-E1483),L1483))</f>
        <v/>
      </c>
    </row>
    <row r="1484" ht="15" customHeight="1" s="1">
      <c r="N1484">
        <f>IF(L1484="","",IF(2026-E1484&gt;0,L1484/(2026-E1484),L1484))</f>
        <v/>
      </c>
    </row>
    <row r="1485" ht="15" customHeight="1" s="1">
      <c r="N1485">
        <f>IF(L1485="","",IF(2026-E1485&gt;0,L1485/(2026-E1485),L1485))</f>
        <v/>
      </c>
    </row>
    <row r="1486" ht="15" customHeight="1" s="1">
      <c r="N1486">
        <f>IF(L1486="","",IF(2026-E1486&gt;0,L1486/(2026-E1486),L1486))</f>
        <v/>
      </c>
    </row>
    <row r="1487" ht="15" customHeight="1" s="1">
      <c r="N1487">
        <f>IF(L1487="","",IF(2026-E1487&gt;0,L1487/(2026-E1487),L1487))</f>
        <v/>
      </c>
    </row>
    <row r="1488" ht="15" customHeight="1" s="1">
      <c r="N1488">
        <f>IF(L1488="","",IF(2026-E1488&gt;0,L1488/(2026-E1488),L1488))</f>
        <v/>
      </c>
    </row>
    <row r="1489" ht="15" customHeight="1" s="1">
      <c r="N1489">
        <f>IF(L1489="","",IF(2026-E1489&gt;0,L1489/(2026-E1489),L1489))</f>
        <v/>
      </c>
    </row>
    <row r="1490" ht="15" customHeight="1" s="1">
      <c r="N1490">
        <f>IF(L1490="","",IF(2026-E1490&gt;0,L1490/(2026-E1490),L1490))</f>
        <v/>
      </c>
    </row>
    <row r="1491" ht="15" customHeight="1" s="1">
      <c r="N1491">
        <f>IF(L1491="","",IF(2026-E1491&gt;0,L1491/(2026-E1491),L1491))</f>
        <v/>
      </c>
    </row>
    <row r="1492" ht="15" customHeight="1" s="1">
      <c r="N1492">
        <f>IF(L1492="","",IF(2026-E1492&gt;0,L1492/(2026-E1492),L1492))</f>
        <v/>
      </c>
    </row>
    <row r="1493" ht="15" customHeight="1" s="1">
      <c r="N1493">
        <f>IF(L1493="","",IF(2026-E1493&gt;0,L1493/(2026-E1493),L1493))</f>
        <v/>
      </c>
    </row>
    <row r="1494" ht="15" customHeight="1" s="1">
      <c r="N1494">
        <f>IF(L1494="","",IF(2026-E1494&gt;0,L1494/(2026-E1494),L1494))</f>
        <v/>
      </c>
    </row>
    <row r="1495" ht="15" customHeight="1" s="1">
      <c r="N1495">
        <f>IF(L1495="","",IF(2026-E1495&gt;0,L1495/(2026-E1495),L1495))</f>
        <v/>
      </c>
    </row>
    <row r="1496" ht="15" customHeight="1" s="1">
      <c r="N1496">
        <f>IF(L1496="","",IF(2026-E1496&gt;0,L1496/(2026-E1496),L1496))</f>
        <v/>
      </c>
    </row>
    <row r="1497" ht="15" customHeight="1" s="1">
      <c r="N1497">
        <f>IF(L1497="","",IF(2026-E1497&gt;0,L1497/(2026-E1497),L1497))</f>
        <v/>
      </c>
    </row>
    <row r="1498" ht="15" customHeight="1" s="1">
      <c r="N1498">
        <f>IF(L1498="","",IF(2026-E1498&gt;0,L1498/(2026-E1498),L1498))</f>
        <v/>
      </c>
    </row>
    <row r="1499" ht="15" customHeight="1" s="1">
      <c r="N1499">
        <f>IF(L1499="","",IF(2026-E1499&gt;0,L1499/(2026-E1499),L1499))</f>
        <v/>
      </c>
    </row>
    <row r="1500" ht="15" customHeight="1" s="1">
      <c r="N1500">
        <f>IF(L1500="","",IF(2026-E1500&gt;0,L1500/(2026-E1500),L1500))</f>
        <v/>
      </c>
    </row>
    <row r="1501" ht="15" customHeight="1" s="1">
      <c r="N1501">
        <f>IF(L1501="","",IF(2026-E1501&gt;0,L1501/(2026-E1501),L1501))</f>
        <v/>
      </c>
    </row>
    <row r="1502" ht="15" customHeight="1" s="1">
      <c r="N1502">
        <f>IF(L1502="","",IF(2026-E1502&gt;0,L1502/(2026-E1502),L1502))</f>
        <v/>
      </c>
    </row>
    <row r="1503" ht="15" customHeight="1" s="1">
      <c r="N1503">
        <f>IF(L1503="","",IF(2026-E1503&gt;0,L1503/(2026-E1503),L1503))</f>
        <v/>
      </c>
    </row>
    <row r="1504" ht="15" customHeight="1" s="1">
      <c r="N1504">
        <f>IF(L1504="","",IF(2026-E1504&gt;0,L1504/(2026-E1504),L1504))</f>
        <v/>
      </c>
    </row>
    <row r="1505" ht="15" customHeight="1" s="1">
      <c r="N1505">
        <f>IF(L1505="","",IF(2026-E1505&gt;0,L1505/(2026-E1505),L1505))</f>
        <v/>
      </c>
    </row>
    <row r="1506" ht="15" customHeight="1" s="1">
      <c r="N1506">
        <f>IF(L1506="","",IF(2026-E1506&gt;0,L1506/(2026-E1506),L1506))</f>
        <v/>
      </c>
    </row>
    <row r="1507" ht="15" customHeight="1" s="1">
      <c r="N1507">
        <f>IF(L1507="","",IF(2026-E1507&gt;0,L1507/(2026-E1507),L1507))</f>
        <v/>
      </c>
    </row>
    <row r="1508" ht="15" customHeight="1" s="1">
      <c r="N1508">
        <f>IF(L1508="","",IF(2026-E1508&gt;0,L1508/(2026-E1508),L1508))</f>
        <v/>
      </c>
    </row>
    <row r="1509" ht="15" customHeight="1" s="1">
      <c r="N1509">
        <f>IF(L1509="","",IF(2026-E1509&gt;0,L1509/(2026-E1509),L1509))</f>
        <v/>
      </c>
    </row>
    <row r="1510" ht="15" customHeight="1" s="1">
      <c r="N1510">
        <f>IF(L1510="","",IF(2026-E1510&gt;0,L1510/(2026-E1510),L1510))</f>
        <v/>
      </c>
    </row>
    <row r="1511" ht="15" customHeight="1" s="1">
      <c r="N1511">
        <f>IF(L1511="","",IF(2026-E1511&gt;0,L1511/(2026-E1511),L1511))</f>
        <v/>
      </c>
    </row>
    <row r="1512" ht="15" customHeight="1" s="1">
      <c r="N1512">
        <f>IF(L1512="","",IF(2026-E1512&gt;0,L1512/(2026-E1512),L1512))</f>
        <v/>
      </c>
    </row>
    <row r="1513" ht="15" customHeight="1" s="1">
      <c r="N1513">
        <f>IF(L1513="","",IF(2026-E1513&gt;0,L1513/(2026-E1513),L1513))</f>
        <v/>
      </c>
    </row>
    <row r="1514" ht="15" customHeight="1" s="1">
      <c r="N1514">
        <f>IF(L1514="","",IF(2026-E1514&gt;0,L1514/(2026-E1514),L1514))</f>
        <v/>
      </c>
    </row>
    <row r="1515" ht="15" customHeight="1" s="1">
      <c r="N1515">
        <f>IF(L1515="","",IF(2026-E1515&gt;0,L1515/(2026-E1515),L1515))</f>
        <v/>
      </c>
    </row>
    <row r="1516" ht="15" customHeight="1" s="1">
      <c r="N1516">
        <f>IF(L1516="","",IF(2026-E1516&gt;0,L1516/(2026-E1516),L1516))</f>
        <v/>
      </c>
    </row>
    <row r="1517" ht="15" customHeight="1" s="1">
      <c r="N1517">
        <f>IF(L1517="","",IF(2026-E1517&gt;0,L1517/(2026-E1517),L1517))</f>
        <v/>
      </c>
    </row>
    <row r="1518" ht="15" customHeight="1" s="1">
      <c r="N1518">
        <f>IF(L1518="","",IF(2026-E1518&gt;0,L1518/(2026-E1518),L1518))</f>
        <v/>
      </c>
    </row>
    <row r="1519" ht="15" customHeight="1" s="1">
      <c r="N1519">
        <f>IF(L1519="","",IF(2026-E1519&gt;0,L1519/(2026-E1519),L1519))</f>
        <v/>
      </c>
    </row>
    <row r="1520" ht="15" customHeight="1" s="1">
      <c r="N1520">
        <f>IF(L1520="","",IF(2026-E1520&gt;0,L1520/(2026-E1520),L1520))</f>
        <v/>
      </c>
    </row>
    <row r="1521" ht="15" customHeight="1" s="1">
      <c r="N1521">
        <f>IF(L1521="","",IF(2026-E1521&gt;0,L1521/(2026-E1521),L1521))</f>
        <v/>
      </c>
    </row>
    <row r="1522" ht="15" customHeight="1" s="1">
      <c r="N1522">
        <f>IF(L1522="","",IF(2026-E1522&gt;0,L1522/(2026-E1522),L1522))</f>
        <v/>
      </c>
    </row>
    <row r="1523" ht="15" customHeight="1" s="1">
      <c r="N1523">
        <f>IF(L1523="","",IF(2026-E1523&gt;0,L1523/(2026-E1523),L1523))</f>
        <v/>
      </c>
    </row>
    <row r="1524" ht="15" customHeight="1" s="1">
      <c r="N1524">
        <f>IF(L1524="","",IF(2026-E1524&gt;0,L1524/(2026-E1524),L1524))</f>
        <v/>
      </c>
    </row>
    <row r="1525" ht="15" customHeight="1" s="1">
      <c r="N1525">
        <f>IF(L1525="","",IF(2026-E1525&gt;0,L1525/(2026-E1525),L1525))</f>
        <v/>
      </c>
    </row>
    <row r="1526" ht="15" customHeight="1" s="1">
      <c r="N1526">
        <f>IF(L1526="","",IF(2026-E1526&gt;0,L1526/(2026-E1526),L1526))</f>
        <v/>
      </c>
    </row>
    <row r="1527" ht="15" customHeight="1" s="1">
      <c r="N1527">
        <f>IF(L1527="","",IF(2026-E1527&gt;0,L1527/(2026-E1527),L1527))</f>
        <v/>
      </c>
    </row>
    <row r="1528" ht="15" customHeight="1" s="1">
      <c r="N1528">
        <f>IF(L1528="","",IF(2026-E1528&gt;0,L1528/(2026-E1528),L1528))</f>
        <v/>
      </c>
    </row>
    <row r="1529" ht="15" customHeight="1" s="1">
      <c r="N1529">
        <f>IF(L1529="","",IF(2026-E1529&gt;0,L1529/(2026-E1529),L1529))</f>
        <v/>
      </c>
    </row>
    <row r="1530" ht="15" customHeight="1" s="1">
      <c r="N1530">
        <f>IF(L1530="","",IF(2026-E1530&gt;0,L1530/(2026-E1530),L1530))</f>
        <v/>
      </c>
    </row>
    <row r="1531" ht="15" customHeight="1" s="1">
      <c r="N1531">
        <f>IF(L1531="","",IF(2026-E1531&gt;0,L1531/(2026-E1531),L1531))</f>
        <v/>
      </c>
    </row>
    <row r="1532" ht="15" customHeight="1" s="1">
      <c r="N1532">
        <f>IF(L1532="","",IF(2026-E1532&gt;0,L1532/(2026-E1532),L1532))</f>
        <v/>
      </c>
    </row>
    <row r="1533" ht="15" customHeight="1" s="1">
      <c r="N1533">
        <f>IF(L1533="","",IF(2026-E1533&gt;0,L1533/(2026-E1533),L1533))</f>
        <v/>
      </c>
    </row>
    <row r="1534" ht="15" customHeight="1" s="1">
      <c r="N1534">
        <f>IF(L1534="","",IF(2026-E1534&gt;0,L1534/(2026-E1534),L1534))</f>
        <v/>
      </c>
    </row>
    <row r="1535" ht="15" customHeight="1" s="1">
      <c r="N1535">
        <f>IF(L1535="","",IF(2026-E1535&gt;0,L1535/(2026-E1535),L1535))</f>
        <v/>
      </c>
    </row>
    <row r="1536" ht="15" customHeight="1" s="1">
      <c r="N1536">
        <f>IF(L1536="","",IF(2026-E1536&gt;0,L1536/(2026-E1536),L1536))</f>
        <v/>
      </c>
    </row>
    <row r="1537" ht="15" customHeight="1" s="1">
      <c r="N1537">
        <f>IF(L1537="","",IF(2026-E1537&gt;0,L1537/(2026-E1537),L1537))</f>
        <v/>
      </c>
    </row>
    <row r="1538" ht="15" customHeight="1" s="1">
      <c r="N1538">
        <f>IF(L1538="","",IF(2026-E1538&gt;0,L1538/(2026-E1538),L1538))</f>
        <v/>
      </c>
    </row>
    <row r="1539" ht="15" customHeight="1" s="1">
      <c r="N1539">
        <f>IF(L1539="","",IF(2026-E1539&gt;0,L1539/(2026-E1539),L1539))</f>
        <v/>
      </c>
    </row>
    <row r="1540" ht="15" customHeight="1" s="1">
      <c r="N1540">
        <f>IF(L1540="","",IF(2026-E1540&gt;0,L1540/(2026-E1540),L1540))</f>
        <v/>
      </c>
    </row>
    <row r="1541" ht="15" customHeight="1" s="1">
      <c r="N1541">
        <f>IF(L1541="","",IF(2026-E1541&gt;0,L1541/(2026-E1541),L1541))</f>
        <v/>
      </c>
    </row>
    <row r="1542" ht="15" customHeight="1" s="1">
      <c r="N1542">
        <f>IF(L1542="","",IF(2026-E1542&gt;0,L1542/(2026-E1542),L1542))</f>
        <v/>
      </c>
    </row>
    <row r="1543" ht="15" customHeight="1" s="1">
      <c r="N1543">
        <f>IF(L1543="","",IF(2026-E1543&gt;0,L1543/(2026-E1543),L1543))</f>
        <v/>
      </c>
    </row>
    <row r="1544" ht="15" customHeight="1" s="1">
      <c r="N1544">
        <f>IF(L1544="","",IF(2026-E1544&gt;0,L1544/(2026-E1544),L1544))</f>
        <v/>
      </c>
    </row>
    <row r="1545" ht="15" customHeight="1" s="1">
      <c r="N1545">
        <f>IF(L1545="","",IF(2026-E1545&gt;0,L1545/(2026-E1545),L1545))</f>
        <v/>
      </c>
    </row>
    <row r="1546" ht="15" customHeight="1" s="1">
      <c r="N1546">
        <f>IF(L1546="","",IF(2026-E1546&gt;0,L1546/(2026-E1546),L1546))</f>
        <v/>
      </c>
    </row>
    <row r="1547" ht="15" customHeight="1" s="1">
      <c r="N1547">
        <f>IF(L1547="","",IF(2026-E1547&gt;0,L1547/(2026-E1547),L1547))</f>
        <v/>
      </c>
    </row>
    <row r="1548" ht="15" customHeight="1" s="1">
      <c r="N1548">
        <f>IF(L1548="","",IF(2026-E1548&gt;0,L1548/(2026-E1548),L1548))</f>
        <v/>
      </c>
    </row>
    <row r="1549" ht="15" customHeight="1" s="1">
      <c r="N1549">
        <f>IF(L1549="","",IF(2026-E1549&gt;0,L1549/(2026-E1549),L1549))</f>
        <v/>
      </c>
    </row>
    <row r="1550" ht="15" customHeight="1" s="1">
      <c r="N1550">
        <f>IF(L1550="","",IF(2026-E1550&gt;0,L1550/(2026-E1550),L1550))</f>
        <v/>
      </c>
    </row>
    <row r="1551" ht="15" customHeight="1" s="1">
      <c r="N1551">
        <f>IF(L1551="","",IF(2026-E1551&gt;0,L1551/(2026-E1551),L1551))</f>
        <v/>
      </c>
    </row>
    <row r="1552" ht="15" customHeight="1" s="1">
      <c r="N1552">
        <f>IF(L1552="","",IF(2026-E1552&gt;0,L1552/(2026-E1552),L1552))</f>
        <v/>
      </c>
    </row>
    <row r="1553" ht="15" customHeight="1" s="1">
      <c r="N1553">
        <f>IF(L1553="","",IF(2026-E1553&gt;0,L1553/(2026-E1553),L1553))</f>
        <v/>
      </c>
    </row>
    <row r="1554" ht="15" customHeight="1" s="1">
      <c r="N1554">
        <f>IF(L1554="","",IF(2026-E1554&gt;0,L1554/(2026-E1554),L1554))</f>
        <v/>
      </c>
    </row>
    <row r="1555" ht="15" customHeight="1" s="1">
      <c r="N1555">
        <f>IF(L1555="","",IF(2026-E1555&gt;0,L1555/(2026-E1555),L1555))</f>
        <v/>
      </c>
    </row>
    <row r="1556" ht="15" customHeight="1" s="1">
      <c r="N1556">
        <f>IF(L1556="","",IF(2026-E1556&gt;0,L1556/(2026-E1556),L1556))</f>
        <v/>
      </c>
    </row>
    <row r="1557" ht="15" customHeight="1" s="1">
      <c r="N1557">
        <f>IF(L1557="","",IF(2026-E1557&gt;0,L1557/(2026-E1557),L1557))</f>
        <v/>
      </c>
    </row>
    <row r="1558" ht="15" customHeight="1" s="1">
      <c r="N1558">
        <f>IF(L1558="","",IF(2026-E1558&gt;0,L1558/(2026-E1558),L1558))</f>
        <v/>
      </c>
    </row>
    <row r="1559" ht="15" customHeight="1" s="1">
      <c r="N1559">
        <f>IF(L1559="","",IF(2026-E1559&gt;0,L1559/(2026-E1559),L1559))</f>
        <v/>
      </c>
    </row>
    <row r="1560" ht="15" customHeight="1" s="1">
      <c r="N1560">
        <f>IF(L1560="","",IF(2026-E1560&gt;0,L1560/(2026-E1560),L1560))</f>
        <v/>
      </c>
    </row>
    <row r="1561" ht="15" customHeight="1" s="1">
      <c r="N1561">
        <f>IF(L1561="","",IF(2026-E1561&gt;0,L1561/(2026-E1561),L1561))</f>
        <v/>
      </c>
    </row>
    <row r="1562" ht="15" customHeight="1" s="1">
      <c r="N1562">
        <f>IF(L1562="","",IF(2026-E1562&gt;0,L1562/(2026-E1562),L1562))</f>
        <v/>
      </c>
    </row>
    <row r="1563" ht="15" customHeight="1" s="1">
      <c r="N1563">
        <f>IF(L1563="","",IF(2026-E1563&gt;0,L1563/(2026-E1563),L1563))</f>
        <v/>
      </c>
    </row>
    <row r="1564" ht="15" customHeight="1" s="1">
      <c r="N1564">
        <f>IF(L1564="","",IF(2026-E1564&gt;0,L1564/(2026-E1564),L1564))</f>
        <v/>
      </c>
    </row>
    <row r="1565" ht="15" customHeight="1" s="1">
      <c r="N1565">
        <f>IF(L1565="","",IF(2026-E1565&gt;0,L1565/(2026-E1565),L1565))</f>
        <v/>
      </c>
    </row>
    <row r="1566" ht="15" customHeight="1" s="1">
      <c r="N1566">
        <f>IF(L1566="","",IF(2026-E1566&gt;0,L1566/(2026-E1566),L1566))</f>
        <v/>
      </c>
    </row>
    <row r="1567" ht="15" customHeight="1" s="1">
      <c r="N1567">
        <f>IF(L1567="","",IF(2026-E1567&gt;0,L1567/(2026-E1567),L1567))</f>
        <v/>
      </c>
    </row>
    <row r="1568" ht="15" customHeight="1" s="1">
      <c r="N1568">
        <f>IF(L1568="","",IF(2026-E1568&gt;0,L1568/(2026-E1568),L1568))</f>
        <v/>
      </c>
    </row>
    <row r="1569" ht="15" customHeight="1" s="1">
      <c r="N1569">
        <f>IF(L1569="","",IF(2026-E1569&gt;0,L1569/(2026-E1569),L1569))</f>
        <v/>
      </c>
    </row>
    <row r="1570" ht="15" customHeight="1" s="1">
      <c r="N1570">
        <f>IF(L1570="","",IF(2026-E1570&gt;0,L1570/(2026-E1570),L1570))</f>
        <v/>
      </c>
    </row>
    <row r="1571" ht="15" customHeight="1" s="1">
      <c r="N1571">
        <f>IF(L1571="","",IF(2026-E1571&gt;0,L1571/(2026-E1571),L1571))</f>
        <v/>
      </c>
    </row>
    <row r="1572" ht="15" customHeight="1" s="1">
      <c r="N1572">
        <f>IF(L1572="","",IF(2026-E1572&gt;0,L1572/(2026-E1572),L1572))</f>
        <v/>
      </c>
    </row>
    <row r="1573" ht="15" customHeight="1" s="1">
      <c r="N1573">
        <f>IF(L1573="","",IF(2026-E1573&gt;0,L1573/(2026-E1573),L1573))</f>
        <v/>
      </c>
    </row>
    <row r="1574" ht="15" customHeight="1" s="1">
      <c r="N1574">
        <f>IF(L1574="","",IF(2026-E1574&gt;0,L1574/(2026-E1574),L1574))</f>
        <v/>
      </c>
    </row>
    <row r="1575" ht="15" customHeight="1" s="1">
      <c r="N1575">
        <f>IF(L1575="","",IF(2026-E1575&gt;0,L1575/(2026-E1575),L1575))</f>
        <v/>
      </c>
    </row>
    <row r="1576" ht="15" customHeight="1" s="1">
      <c r="N1576">
        <f>IF(L1576="","",IF(2026-E1576&gt;0,L1576/(2026-E1576),L1576))</f>
        <v/>
      </c>
    </row>
    <row r="1577" ht="15" customHeight="1" s="1">
      <c r="N1577">
        <f>IF(L1577="","",IF(2026-E1577&gt;0,L1577/(2026-E1577),L1577))</f>
        <v/>
      </c>
    </row>
    <row r="1578" ht="15" customHeight="1" s="1">
      <c r="N1578">
        <f>IF(L1578="","",IF(2026-E1578&gt;0,L1578/(2026-E1578),L1578))</f>
        <v/>
      </c>
    </row>
    <row r="1579" ht="15" customHeight="1" s="1">
      <c r="N1579">
        <f>IF(L1579="","",IF(2026-E1579&gt;0,L1579/(2026-E1579),L1579))</f>
        <v/>
      </c>
    </row>
    <row r="1580" ht="15" customHeight="1" s="1">
      <c r="N1580">
        <f>IF(L1580="","",IF(2026-E1580&gt;0,L1580/(2026-E1580),L1580))</f>
        <v/>
      </c>
    </row>
    <row r="1581" ht="15" customHeight="1" s="1">
      <c r="N1581">
        <f>IF(L1581="","",IF(2026-E1581&gt;0,L1581/(2026-E1581),L1581))</f>
        <v/>
      </c>
    </row>
    <row r="1582" ht="15" customHeight="1" s="1">
      <c r="N1582">
        <f>IF(L1582="","",IF(2026-E1582&gt;0,L1582/(2026-E1582),L1582))</f>
        <v/>
      </c>
    </row>
    <row r="1583" ht="15" customHeight="1" s="1">
      <c r="N1583">
        <f>IF(L1583="","",IF(2026-E1583&gt;0,L1583/(2026-E1583),L1583))</f>
        <v/>
      </c>
    </row>
    <row r="1584" ht="15" customHeight="1" s="1">
      <c r="N1584">
        <f>IF(L1584="","",IF(2026-E1584&gt;0,L1584/(2026-E1584),L1584))</f>
        <v/>
      </c>
    </row>
    <row r="1585" ht="15" customHeight="1" s="1">
      <c r="N1585">
        <f>IF(L1585="","",IF(2026-E1585&gt;0,L1585/(2026-E1585),L1585))</f>
        <v/>
      </c>
    </row>
    <row r="1586" ht="15" customHeight="1" s="1">
      <c r="N1586">
        <f>IF(L1586="","",IF(2026-E1586&gt;0,L1586/(2026-E1586),L1586))</f>
        <v/>
      </c>
    </row>
    <row r="1587" ht="15" customHeight="1" s="1">
      <c r="N1587">
        <f>IF(L1587="","",IF(2026-E1587&gt;0,L1587/(2026-E1587),L1587))</f>
        <v/>
      </c>
    </row>
    <row r="1588" ht="15" customHeight="1" s="1">
      <c r="N1588">
        <f>IF(L1588="","",IF(2026-E1588&gt;0,L1588/(2026-E1588),L1588))</f>
        <v/>
      </c>
    </row>
    <row r="1589" ht="15" customHeight="1" s="1">
      <c r="N1589">
        <f>IF(L1589="","",IF(2026-E1589&gt;0,L1589/(2026-E1589),L1589))</f>
        <v/>
      </c>
    </row>
    <row r="1590" ht="15" customHeight="1" s="1">
      <c r="N1590">
        <f>IF(L1590="","",IF(2026-E1590&gt;0,L1590/(2026-E1590),L1590))</f>
        <v/>
      </c>
    </row>
    <row r="1591" ht="15" customHeight="1" s="1">
      <c r="N1591">
        <f>IF(L1591="","",IF(2026-E1591&gt;0,L1591/(2026-E1591),L1591))</f>
        <v/>
      </c>
    </row>
    <row r="1592" ht="15" customHeight="1" s="1">
      <c r="N1592">
        <f>IF(L1592="","",IF(2026-E1592&gt;0,L1592/(2026-E1592),L1592))</f>
        <v/>
      </c>
    </row>
    <row r="1593" ht="15" customHeight="1" s="1">
      <c r="N1593">
        <f>IF(L1593="","",IF(2026-E1593&gt;0,L1593/(2026-E1593),L1593))</f>
        <v/>
      </c>
    </row>
    <row r="1594" ht="15" customHeight="1" s="1">
      <c r="N1594">
        <f>IF(L1594="","",IF(2026-E1594&gt;0,L1594/(2026-E1594),L1594))</f>
        <v/>
      </c>
    </row>
    <row r="1595" ht="15" customHeight="1" s="1">
      <c r="N1595">
        <f>IF(L1595="","",IF(2026-E1595&gt;0,L1595/(2026-E1595),L1595))</f>
        <v/>
      </c>
    </row>
    <row r="1596" ht="15" customHeight="1" s="1">
      <c r="N1596">
        <f>IF(L1596="","",IF(2026-E1596&gt;0,L1596/(2026-E1596),L1596))</f>
        <v/>
      </c>
    </row>
    <row r="1597" ht="15" customHeight="1" s="1">
      <c r="N1597">
        <f>IF(L1597="","",IF(2026-E1597&gt;0,L1597/(2026-E1597),L1597))</f>
        <v/>
      </c>
    </row>
    <row r="1598" ht="15" customHeight="1" s="1">
      <c r="N1598">
        <f>IF(L1598="","",IF(2026-E1598&gt;0,L1598/(2026-E1598),L1598))</f>
        <v/>
      </c>
    </row>
    <row r="1599" ht="15" customHeight="1" s="1">
      <c r="N1599">
        <f>IF(L1599="","",IF(2026-E1599&gt;0,L1599/(2026-E1599),L1599))</f>
        <v/>
      </c>
    </row>
    <row r="1600" ht="15" customHeight="1" s="1">
      <c r="N1600">
        <f>IF(L1600="","",IF(2026-E1600&gt;0,L1600/(2026-E1600),L1600))</f>
        <v/>
      </c>
    </row>
    <row r="1601" ht="15" customHeight="1" s="1">
      <c r="N1601">
        <f>IF(L1601="","",IF(2026-E1601&gt;0,L1601/(2026-E1601),L1601))</f>
        <v/>
      </c>
    </row>
    <row r="1602" ht="15" customHeight="1" s="1">
      <c r="N1602">
        <f>IF(L1602="","",IF(2026-E1602&gt;0,L1602/(2026-E1602),L1602))</f>
        <v/>
      </c>
    </row>
    <row r="1603" ht="15" customHeight="1" s="1">
      <c r="N1603">
        <f>IF(L1603="","",IF(2026-E1603&gt;0,L1603/(2026-E1603),L1603))</f>
        <v/>
      </c>
    </row>
    <row r="1604" ht="15" customHeight="1" s="1">
      <c r="N1604">
        <f>IF(L1604="","",IF(2026-E1604&gt;0,L1604/(2026-E1604),L1604))</f>
        <v/>
      </c>
    </row>
    <row r="1605" ht="15" customHeight="1" s="1">
      <c r="N1605">
        <f>IF(L1605="","",IF(2026-E1605&gt;0,L1605/(2026-E1605),L1605))</f>
        <v/>
      </c>
    </row>
    <row r="1606" ht="15" customHeight="1" s="1">
      <c r="N1606">
        <f>IF(L1606="","",IF(2026-E1606&gt;0,L1606/(2026-E1606),L1606))</f>
        <v/>
      </c>
    </row>
    <row r="1607" ht="15" customHeight="1" s="1">
      <c r="N1607">
        <f>IF(L1607="","",IF(2026-E1607&gt;0,L1607/(2026-E1607),L1607))</f>
        <v/>
      </c>
    </row>
    <row r="1608" ht="15" customHeight="1" s="1">
      <c r="N1608">
        <f>IF(L1608="","",IF(2026-E1608&gt;0,L1608/(2026-E1608),L1608))</f>
        <v/>
      </c>
    </row>
    <row r="1609" ht="15" customHeight="1" s="1">
      <c r="N1609">
        <f>IF(L1609="","",IF(2026-E1609&gt;0,L1609/(2026-E1609),L1609))</f>
        <v/>
      </c>
    </row>
    <row r="1610" ht="15" customHeight="1" s="1">
      <c r="N1610">
        <f>IF(L1610="","",IF(2026-E1610&gt;0,L1610/(2026-E1610),L1610))</f>
        <v/>
      </c>
    </row>
    <row r="1611" ht="15" customHeight="1" s="1">
      <c r="N1611">
        <f>IF(L1611="","",IF(2026-E1611&gt;0,L1611/(2026-E1611),L1611))</f>
        <v/>
      </c>
    </row>
    <row r="1612" ht="15" customHeight="1" s="1">
      <c r="N1612">
        <f>IF(L1612="","",IF(2026-E1612&gt;0,L1612/(2026-E1612),L1612))</f>
        <v/>
      </c>
    </row>
    <row r="1613" ht="15" customHeight="1" s="1">
      <c r="N1613">
        <f>IF(L1613="","",IF(2026-E1613&gt;0,L1613/(2026-E1613),L1613))</f>
        <v/>
      </c>
    </row>
    <row r="1614" ht="15" customHeight="1" s="1">
      <c r="N1614">
        <f>IF(L1614="","",IF(2026-E1614&gt;0,L1614/(2026-E1614),L1614))</f>
        <v/>
      </c>
    </row>
    <row r="1615" ht="15" customHeight="1" s="1">
      <c r="N1615">
        <f>IF(L1615="","",IF(2026-E1615&gt;0,L1615/(2026-E1615),L1615))</f>
        <v/>
      </c>
    </row>
    <row r="1616" ht="15" customHeight="1" s="1">
      <c r="N1616">
        <f>IF(L1616="","",IF(2026-E1616&gt;0,L1616/(2026-E1616),L1616))</f>
        <v/>
      </c>
    </row>
    <row r="1617" ht="15" customHeight="1" s="1">
      <c r="N1617">
        <f>IF(L1617="","",IF(2026-E1617&gt;0,L1617/(2026-E1617),L1617))</f>
        <v/>
      </c>
    </row>
    <row r="1618" ht="15" customHeight="1" s="1">
      <c r="N1618">
        <f>IF(L1618="","",IF(2026-E1618&gt;0,L1618/(2026-E1618),L1618))</f>
        <v/>
      </c>
    </row>
    <row r="1619" ht="15" customHeight="1" s="1">
      <c r="N1619">
        <f>IF(L1619="","",IF(2026-E1619&gt;0,L1619/(2026-E1619),L1619))</f>
        <v/>
      </c>
    </row>
    <row r="1620" ht="15" customHeight="1" s="1">
      <c r="N1620">
        <f>IF(L1620="","",IF(2026-E1620&gt;0,L1620/(2026-E1620),L1620))</f>
        <v/>
      </c>
    </row>
    <row r="1621" ht="15" customHeight="1" s="1">
      <c r="N1621">
        <f>IF(L1621="","",IF(2026-E1621&gt;0,L1621/(2026-E1621),L1621))</f>
        <v/>
      </c>
    </row>
    <row r="1622" ht="15" customHeight="1" s="1">
      <c r="N1622">
        <f>IF(L1622="","",IF(2026-E1622&gt;0,L1622/(2026-E1622),L1622))</f>
        <v/>
      </c>
    </row>
    <row r="1623" ht="15" customHeight="1" s="1">
      <c r="N1623">
        <f>IF(L1623="","",IF(2026-E1623&gt;0,L1623/(2026-E1623),L1623))</f>
        <v/>
      </c>
    </row>
    <row r="1624" ht="15" customHeight="1" s="1">
      <c r="N1624">
        <f>IF(L1624="","",IF(2026-E1624&gt;0,L1624/(2026-E1624),L1624))</f>
        <v/>
      </c>
    </row>
    <row r="1625" ht="15" customHeight="1" s="1">
      <c r="N1625">
        <f>IF(L1625="","",IF(2026-E1625&gt;0,L1625/(2026-E1625),L1625))</f>
        <v/>
      </c>
    </row>
    <row r="1626" ht="15" customHeight="1" s="1">
      <c r="N1626">
        <f>IF(L1626="","",IF(2026-E1626&gt;0,L1626/(2026-E1626),L1626))</f>
        <v/>
      </c>
    </row>
    <row r="1627" ht="15" customHeight="1" s="1">
      <c r="N1627">
        <f>IF(L1627="","",IF(2026-E1627&gt;0,L1627/(2026-E1627),L1627))</f>
        <v/>
      </c>
    </row>
    <row r="1628" ht="15" customHeight="1" s="1">
      <c r="N1628">
        <f>IF(L1628="","",IF(2026-E1628&gt;0,L1628/(2026-E1628),L1628))</f>
        <v/>
      </c>
    </row>
    <row r="1629" ht="15" customHeight="1" s="1">
      <c r="N1629">
        <f>IF(L1629="","",IF(2026-E1629&gt;0,L1629/(2026-E1629),L1629))</f>
        <v/>
      </c>
    </row>
    <row r="1630" ht="15" customHeight="1" s="1">
      <c r="N1630">
        <f>IF(L1630="","",IF(2026-E1630&gt;0,L1630/(2026-E1630),L1630))</f>
        <v/>
      </c>
    </row>
    <row r="1631" ht="15" customHeight="1" s="1">
      <c r="N1631">
        <f>IF(L1631="","",IF(2026-E1631&gt;0,L1631/(2026-E1631),L1631))</f>
        <v/>
      </c>
    </row>
    <row r="1632" ht="15" customHeight="1" s="1">
      <c r="N1632">
        <f>IF(L1632="","",IF(2026-E1632&gt;0,L1632/(2026-E1632),L1632))</f>
        <v/>
      </c>
    </row>
    <row r="1633" ht="15" customHeight="1" s="1">
      <c r="N1633">
        <f>IF(L1633="","",IF(2026-E1633&gt;0,L1633/(2026-E1633),L1633))</f>
        <v/>
      </c>
    </row>
    <row r="1634" ht="15" customHeight="1" s="1">
      <c r="N1634">
        <f>IF(L1634="","",IF(2026-E1634&gt;0,L1634/(2026-E1634),L1634))</f>
        <v/>
      </c>
    </row>
    <row r="1635" ht="15" customHeight="1" s="1">
      <c r="N1635">
        <f>IF(L1635="","",IF(2026-E1635&gt;0,L1635/(2026-E1635),L1635))</f>
        <v/>
      </c>
    </row>
    <row r="1636" ht="15" customHeight="1" s="1">
      <c r="N1636">
        <f>IF(L1636="","",IF(2026-E1636&gt;0,L1636/(2026-E1636),L1636))</f>
        <v/>
      </c>
    </row>
    <row r="1637" ht="15" customHeight="1" s="1">
      <c r="N1637">
        <f>IF(L1637="","",IF(2026-E1637&gt;0,L1637/(2026-E1637),L1637))</f>
        <v/>
      </c>
    </row>
    <row r="1638" ht="15" customHeight="1" s="1">
      <c r="N1638">
        <f>IF(L1638="","",IF(2026-E1638&gt;0,L1638/(2026-E1638),L1638))</f>
        <v/>
      </c>
    </row>
    <row r="1639" ht="15" customHeight="1" s="1">
      <c r="N1639">
        <f>IF(L1639="","",IF(2026-E1639&gt;0,L1639/(2026-E1639),L1639))</f>
        <v/>
      </c>
    </row>
    <row r="1640" ht="15" customHeight="1" s="1">
      <c r="N1640">
        <f>IF(L1640="","",IF(2026-E1640&gt;0,L1640/(2026-E1640),L1640))</f>
        <v/>
      </c>
    </row>
    <row r="1641" ht="15" customHeight="1" s="1">
      <c r="N1641">
        <f>IF(L1641="","",IF(2026-E1641&gt;0,L1641/(2026-E1641),L1641))</f>
        <v/>
      </c>
    </row>
    <row r="1642" ht="15" customHeight="1" s="1">
      <c r="N1642">
        <f>IF(L1642="","",IF(2026-E1642&gt;0,L1642/(2026-E1642),L1642))</f>
        <v/>
      </c>
    </row>
    <row r="1643" ht="15" customHeight="1" s="1">
      <c r="N1643">
        <f>IF(L1643="","",IF(2026-E1643&gt;0,L1643/(2026-E1643),L1643))</f>
        <v/>
      </c>
    </row>
    <row r="1644" ht="15" customHeight="1" s="1">
      <c r="N1644">
        <f>IF(L1644="","",IF(2026-E1644&gt;0,L1644/(2026-E1644),L1644))</f>
        <v/>
      </c>
    </row>
    <row r="1645" ht="15" customHeight="1" s="1">
      <c r="N1645">
        <f>IF(L1645="","",IF(2026-E1645&gt;0,L1645/(2026-E1645),L1645))</f>
        <v/>
      </c>
    </row>
    <row r="1646" ht="15" customHeight="1" s="1">
      <c r="N1646">
        <f>IF(L1646="","",IF(2026-E1646&gt;0,L1646/(2026-E1646),L1646))</f>
        <v/>
      </c>
    </row>
    <row r="1647" ht="15" customHeight="1" s="1">
      <c r="N1647">
        <f>IF(L1647="","",IF(2026-E1647&gt;0,L1647/(2026-E1647),L1647))</f>
        <v/>
      </c>
    </row>
    <row r="1648" ht="15" customHeight="1" s="1">
      <c r="N1648">
        <f>IF(L1648="","",IF(2026-E1648&gt;0,L1648/(2026-E1648),L1648))</f>
        <v/>
      </c>
    </row>
    <row r="1649" ht="15" customHeight="1" s="1">
      <c r="N1649">
        <f>IF(L1649="","",IF(2026-E1649&gt;0,L1649/(2026-E1649),L1649))</f>
        <v/>
      </c>
    </row>
    <row r="1650" ht="15" customHeight="1" s="1">
      <c r="N1650">
        <f>IF(L1650="","",IF(2026-E1650&gt;0,L1650/(2026-E1650),L1650))</f>
        <v/>
      </c>
    </row>
    <row r="1651" ht="15" customHeight="1" s="1">
      <c r="N1651">
        <f>IF(L1651="","",IF(2026-E1651&gt;0,L1651/(2026-E1651),L1651))</f>
        <v/>
      </c>
    </row>
    <row r="1652" ht="15" customHeight="1" s="1">
      <c r="N1652">
        <f>IF(L1652="","",IF(2026-E1652&gt;0,L1652/(2026-E1652),L1652))</f>
        <v/>
      </c>
    </row>
    <row r="1653" ht="15" customHeight="1" s="1">
      <c r="N1653">
        <f>IF(L1653="","",IF(2026-E1653&gt;0,L1653/(2026-E1653),L1653))</f>
        <v/>
      </c>
    </row>
    <row r="1654" ht="15" customHeight="1" s="1">
      <c r="N1654">
        <f>IF(L1654="","",IF(2026-E1654&gt;0,L1654/(2026-E1654),L1654))</f>
        <v/>
      </c>
    </row>
    <row r="1655" ht="15" customHeight="1" s="1">
      <c r="N1655">
        <f>IF(L1655="","",IF(2026-E1655&gt;0,L1655/(2026-E1655),L1655))</f>
        <v/>
      </c>
    </row>
    <row r="1656" ht="15" customHeight="1" s="1">
      <c r="N1656">
        <f>IF(L1656="","",IF(2026-E1656&gt;0,L1656/(2026-E1656),L1656))</f>
        <v/>
      </c>
    </row>
    <row r="1657" ht="15" customHeight="1" s="1">
      <c r="N1657">
        <f>IF(L1657="","",IF(2026-E1657&gt;0,L1657/(2026-E1657),L1657))</f>
        <v/>
      </c>
    </row>
    <row r="1658" ht="15" customHeight="1" s="1">
      <c r="N1658">
        <f>IF(L1658="","",IF(2026-E1658&gt;0,L1658/(2026-E1658),L1658))</f>
        <v/>
      </c>
    </row>
    <row r="1659" ht="15" customHeight="1" s="1">
      <c r="N1659">
        <f>IF(L1659="","",IF(2026-E1659&gt;0,L1659/(2026-E1659),L1659))</f>
        <v/>
      </c>
    </row>
    <row r="1660" ht="15" customHeight="1" s="1">
      <c r="N1660">
        <f>IF(L1660="","",IF(2026-E1660&gt;0,L1660/(2026-E1660),L1660))</f>
        <v/>
      </c>
    </row>
    <row r="1661" ht="15" customHeight="1" s="1">
      <c r="N1661">
        <f>IF(L1661="","",IF(2026-E1661&gt;0,L1661/(2026-E1661),L1661))</f>
        <v/>
      </c>
    </row>
    <row r="1662" ht="15" customHeight="1" s="1">
      <c r="N1662">
        <f>IF(L1662="","",IF(2026-E1662&gt;0,L1662/(2026-E1662),L1662))</f>
        <v/>
      </c>
    </row>
    <row r="1663" ht="15" customHeight="1" s="1">
      <c r="N1663">
        <f>IF(L1663="","",IF(2026-E1663&gt;0,L1663/(2026-E1663),L1663))</f>
        <v/>
      </c>
    </row>
    <row r="1664" ht="15" customHeight="1" s="1">
      <c r="N1664">
        <f>IF(L1664="","",IF(2026-E1664&gt;0,L1664/(2026-E1664),L1664))</f>
        <v/>
      </c>
    </row>
    <row r="1665" ht="15" customHeight="1" s="1">
      <c r="N1665">
        <f>IF(L1665="","",IF(2026-E1665&gt;0,L1665/(2026-E1665),L1665))</f>
        <v/>
      </c>
    </row>
    <row r="1666" ht="15" customHeight="1" s="1">
      <c r="N1666">
        <f>IF(L1666="","",IF(2026-E1666&gt;0,L1666/(2026-E1666),L1666))</f>
        <v/>
      </c>
    </row>
    <row r="1667" ht="15" customHeight="1" s="1">
      <c r="N1667">
        <f>IF(L1667="","",IF(2026-E1667&gt;0,L1667/(2026-E1667),L1667))</f>
        <v/>
      </c>
    </row>
    <row r="1668" ht="15" customHeight="1" s="1">
      <c r="N1668">
        <f>IF(L1668="","",IF(2026-E1668&gt;0,L1668/(2026-E1668),L1668))</f>
        <v/>
      </c>
    </row>
    <row r="1669" ht="15" customHeight="1" s="1">
      <c r="N1669">
        <f>IF(L1669="","",IF(2026-E1669&gt;0,L1669/(2026-E1669),L1669))</f>
        <v/>
      </c>
    </row>
    <row r="1670" ht="15" customHeight="1" s="1">
      <c r="N1670">
        <f>IF(L1670="","",IF(2026-E1670&gt;0,L1670/(2026-E1670),L1670))</f>
        <v/>
      </c>
    </row>
    <row r="1671" ht="15" customHeight="1" s="1">
      <c r="N1671">
        <f>IF(L1671="","",IF(2026-E1671&gt;0,L1671/(2026-E1671),L1671))</f>
        <v/>
      </c>
    </row>
    <row r="1672" ht="15" customHeight="1" s="1">
      <c r="N1672">
        <f>IF(L1672="","",IF(2026-E1672&gt;0,L1672/(2026-E1672),L1672))</f>
        <v/>
      </c>
    </row>
    <row r="1673" ht="15" customHeight="1" s="1">
      <c r="N1673">
        <f>IF(L1673="","",IF(2026-E1673&gt;0,L1673/(2026-E1673),L1673))</f>
        <v/>
      </c>
    </row>
    <row r="1674" ht="15" customHeight="1" s="1">
      <c r="N1674">
        <f>IF(L1674="","",IF(2026-E1674&gt;0,L1674/(2026-E1674),L1674))</f>
        <v/>
      </c>
    </row>
    <row r="1675" ht="15" customHeight="1" s="1">
      <c r="N1675">
        <f>IF(L1675="","",IF(2026-E1675&gt;0,L1675/(2026-E1675),L1675))</f>
        <v/>
      </c>
    </row>
    <row r="1676" ht="15" customHeight="1" s="1">
      <c r="N1676">
        <f>IF(L1676="","",IF(2026-E1676&gt;0,L1676/(2026-E1676),L1676))</f>
        <v/>
      </c>
    </row>
    <row r="1677" ht="15" customHeight="1" s="1">
      <c r="N1677">
        <f>IF(L1677="","",IF(2026-E1677&gt;0,L1677/(2026-E1677),L1677))</f>
        <v/>
      </c>
    </row>
    <row r="1678" ht="15" customHeight="1" s="1">
      <c r="N1678">
        <f>IF(L1678="","",IF(2026-E1678&gt;0,L1678/(2026-E1678),L1678))</f>
        <v/>
      </c>
    </row>
    <row r="1679" ht="15" customHeight="1" s="1">
      <c r="N1679">
        <f>IF(L1679="","",IF(2026-E1679&gt;0,L1679/(2026-E1679),L1679))</f>
        <v/>
      </c>
    </row>
    <row r="1680" ht="15" customHeight="1" s="1">
      <c r="N1680">
        <f>IF(L1680="","",IF(2026-E1680&gt;0,L1680/(2026-E1680),L1680))</f>
        <v/>
      </c>
    </row>
    <row r="1681" ht="15" customHeight="1" s="1">
      <c r="N1681">
        <f>IF(L1681="","",IF(2026-E1681&gt;0,L1681/(2026-E1681),L1681))</f>
        <v/>
      </c>
    </row>
    <row r="1682" ht="15" customHeight="1" s="1">
      <c r="N1682">
        <f>IF(L1682="","",IF(2026-E1682&gt;0,L1682/(2026-E1682),L1682))</f>
        <v/>
      </c>
    </row>
    <row r="1683" ht="15" customHeight="1" s="1">
      <c r="N1683">
        <f>IF(L1683="","",IF(2026-E1683&gt;0,L1683/(2026-E1683),L1683))</f>
        <v/>
      </c>
    </row>
    <row r="1684" ht="15" customHeight="1" s="1">
      <c r="N1684">
        <f>IF(L1684="","",IF(2026-E1684&gt;0,L1684/(2026-E1684),L1684))</f>
        <v/>
      </c>
    </row>
    <row r="1685" ht="15" customHeight="1" s="1">
      <c r="N1685">
        <f>IF(L1685="","",IF(2026-E1685&gt;0,L1685/(2026-E1685),L1685))</f>
        <v/>
      </c>
    </row>
    <row r="1686" ht="15" customHeight="1" s="1">
      <c r="N1686">
        <f>IF(L1686="","",IF(2026-E1686&gt;0,L1686/(2026-E1686),L1686))</f>
        <v/>
      </c>
    </row>
    <row r="1687" ht="15" customHeight="1" s="1">
      <c r="N1687">
        <f>IF(L1687="","",IF(2026-E1687&gt;0,L1687/(2026-E1687),L1687))</f>
        <v/>
      </c>
    </row>
    <row r="1688" ht="15" customHeight="1" s="1">
      <c r="N1688">
        <f>IF(L1688="","",IF(2026-E1688&gt;0,L1688/(2026-E1688),L1688))</f>
        <v/>
      </c>
    </row>
    <row r="1689" ht="15" customHeight="1" s="1">
      <c r="N1689">
        <f>IF(L1689="","",IF(2026-E1689&gt;0,L1689/(2026-E1689),L1689))</f>
        <v/>
      </c>
    </row>
    <row r="1690" ht="15" customHeight="1" s="1">
      <c r="N1690">
        <f>IF(L1690="","",IF(2026-E1690&gt;0,L1690/(2026-E1690),L1690))</f>
        <v/>
      </c>
    </row>
    <row r="1691" ht="15" customHeight="1" s="1">
      <c r="N1691">
        <f>IF(L1691="","",IF(2026-E1691&gt;0,L1691/(2026-E1691),L1691))</f>
        <v/>
      </c>
    </row>
    <row r="1692" ht="15" customHeight="1" s="1">
      <c r="N1692">
        <f>IF(L1692="","",IF(2026-E1692&gt;0,L1692/(2026-E1692),L1692))</f>
        <v/>
      </c>
    </row>
    <row r="1693" ht="15" customHeight="1" s="1">
      <c r="N1693">
        <f>IF(L1693="","",IF(2026-E1693&gt;0,L1693/(2026-E1693),L1693))</f>
        <v/>
      </c>
    </row>
    <row r="1694" ht="15" customHeight="1" s="1">
      <c r="N1694">
        <f>IF(L1694="","",IF(2026-E1694&gt;0,L1694/(2026-E1694),L1694))</f>
        <v/>
      </c>
    </row>
    <row r="1695" ht="15" customHeight="1" s="1">
      <c r="N1695">
        <f>IF(L1695="","",IF(2026-E1695&gt;0,L1695/(2026-E1695),L1695))</f>
        <v/>
      </c>
    </row>
    <row r="1696" ht="15" customHeight="1" s="1">
      <c r="N1696">
        <f>IF(L1696="","",IF(2026-E1696&gt;0,L1696/(2026-E1696),L1696))</f>
        <v/>
      </c>
    </row>
    <row r="1697" ht="15" customHeight="1" s="1">
      <c r="N1697">
        <f>IF(L1697="","",IF(2026-E1697&gt;0,L1697/(2026-E1697),L1697))</f>
        <v/>
      </c>
    </row>
    <row r="1698" ht="15" customHeight="1" s="1">
      <c r="N1698">
        <f>IF(L1698="","",IF(2026-E1698&gt;0,L1698/(2026-E1698),L1698))</f>
        <v/>
      </c>
    </row>
    <row r="1699" ht="15" customHeight="1" s="1">
      <c r="N1699">
        <f>IF(L1699="","",IF(2026-E1699&gt;0,L1699/(2026-E1699),L1699))</f>
        <v/>
      </c>
    </row>
    <row r="1700" ht="15" customHeight="1" s="1">
      <c r="N1700">
        <f>IF(L1700="","",IF(2026-E1700&gt;0,L1700/(2026-E1700),L1700))</f>
        <v/>
      </c>
    </row>
    <row r="1701" ht="15" customHeight="1" s="1">
      <c r="N1701">
        <f>IF(L1701="","",IF(2026-E1701&gt;0,L1701/(2026-E1701),L1701))</f>
        <v/>
      </c>
    </row>
    <row r="1702" ht="15" customHeight="1" s="1">
      <c r="N1702">
        <f>IF(L1702="","",IF(2026-E1702&gt;0,L1702/(2026-E1702),L1702))</f>
        <v/>
      </c>
    </row>
    <row r="1703" ht="15" customHeight="1" s="1">
      <c r="N1703">
        <f>IF(L1703="","",IF(2026-E1703&gt;0,L1703/(2026-E1703),L1703))</f>
        <v/>
      </c>
    </row>
    <row r="1704" ht="15" customHeight="1" s="1">
      <c r="N1704">
        <f>IF(L1704="","",IF(2026-E1704&gt;0,L1704/(2026-E1704),L1704))</f>
        <v/>
      </c>
    </row>
    <row r="1705" ht="15" customHeight="1" s="1">
      <c r="N1705">
        <f>IF(L1705="","",IF(2026-E1705&gt;0,L1705/(2026-E1705),L1705))</f>
        <v/>
      </c>
    </row>
    <row r="1706" ht="15" customHeight="1" s="1">
      <c r="N1706">
        <f>IF(L1706="","",IF(2026-E1706&gt;0,L1706/(2026-E1706),L1706))</f>
        <v/>
      </c>
    </row>
    <row r="1707" ht="15" customHeight="1" s="1">
      <c r="N1707">
        <f>IF(L1707="","",IF(2026-E1707&gt;0,L1707/(2026-E1707),L1707))</f>
        <v/>
      </c>
    </row>
    <row r="1708" ht="15" customHeight="1" s="1">
      <c r="N1708">
        <f>IF(L1708="","",IF(2026-E1708&gt;0,L1708/(2026-E1708),L1708))</f>
        <v/>
      </c>
    </row>
    <row r="1709" ht="15" customHeight="1" s="1">
      <c r="N1709">
        <f>IF(L1709="","",IF(2026-E1709&gt;0,L1709/(2026-E1709),L1709))</f>
        <v/>
      </c>
    </row>
    <row r="1710" ht="15" customHeight="1" s="1">
      <c r="N1710">
        <f>IF(L1710="","",IF(2026-E1710&gt;0,L1710/(2026-E1710),L1710))</f>
        <v/>
      </c>
    </row>
    <row r="1711" ht="15" customHeight="1" s="1">
      <c r="N1711">
        <f>IF(L1711="","",IF(2026-E1711&gt;0,L1711/(2026-E1711),L1711))</f>
        <v/>
      </c>
    </row>
    <row r="1712" ht="15" customHeight="1" s="1">
      <c r="N1712">
        <f>IF(L1712="","",IF(2026-E1712&gt;0,L1712/(2026-E1712),L1712))</f>
        <v/>
      </c>
    </row>
    <row r="1713" ht="15" customHeight="1" s="1">
      <c r="N1713">
        <f>IF(L1713="","",IF(2026-E1713&gt;0,L1713/(2026-E1713),L1713))</f>
        <v/>
      </c>
    </row>
    <row r="1714" ht="15" customHeight="1" s="1">
      <c r="N1714">
        <f>IF(L1714="","",IF(2026-E1714&gt;0,L1714/(2026-E1714),L1714))</f>
        <v/>
      </c>
    </row>
    <row r="1715" ht="15" customHeight="1" s="1">
      <c r="N1715">
        <f>IF(L1715="","",IF(2026-E1715&gt;0,L1715/(2026-E1715),L1715))</f>
        <v/>
      </c>
    </row>
    <row r="1716" ht="15" customHeight="1" s="1">
      <c r="N1716">
        <f>IF(L1716="","",IF(2026-E1716&gt;0,L1716/(2026-E1716),L1716))</f>
        <v/>
      </c>
    </row>
    <row r="1717" ht="15" customHeight="1" s="1">
      <c r="N1717">
        <f>IF(L1717="","",IF(2026-E1717&gt;0,L1717/(2026-E1717),L1717))</f>
        <v/>
      </c>
    </row>
    <row r="1718" ht="15" customHeight="1" s="1">
      <c r="N1718">
        <f>IF(L1718="","",IF(2026-E1718&gt;0,L1718/(2026-E1718),L1718))</f>
        <v/>
      </c>
    </row>
    <row r="1719" ht="15" customHeight="1" s="1">
      <c r="N1719">
        <f>IF(L1719="","",IF(2026-E1719&gt;0,L1719/(2026-E1719),L1719))</f>
        <v/>
      </c>
    </row>
    <row r="1720" ht="15" customHeight="1" s="1">
      <c r="N1720">
        <f>IF(L1720="","",IF(2026-E1720&gt;0,L1720/(2026-E1720),L1720))</f>
        <v/>
      </c>
    </row>
    <row r="1721" ht="15" customHeight="1" s="1">
      <c r="N1721">
        <f>IF(L1721="","",IF(2026-E1721&gt;0,L1721/(2026-E1721),L1721))</f>
        <v/>
      </c>
    </row>
    <row r="1722" ht="15" customHeight="1" s="1">
      <c r="N1722">
        <f>IF(L1722="","",IF(2026-E1722&gt;0,L1722/(2026-E1722),L1722))</f>
        <v/>
      </c>
    </row>
    <row r="1723" ht="15" customHeight="1" s="1">
      <c r="N1723">
        <f>IF(L1723="","",IF(2026-E1723&gt;0,L1723/(2026-E1723),L1723))</f>
        <v/>
      </c>
    </row>
    <row r="1724" ht="15" customHeight="1" s="1">
      <c r="N1724">
        <f>IF(L1724="","",IF(2026-E1724&gt;0,L1724/(2026-E1724),L1724))</f>
        <v/>
      </c>
    </row>
    <row r="1725" ht="15" customHeight="1" s="1">
      <c r="N1725">
        <f>IF(L1725="","",IF(2026-E1725&gt;0,L1725/(2026-E1725),L1725))</f>
        <v/>
      </c>
    </row>
    <row r="1726" ht="15" customHeight="1" s="1">
      <c r="N1726">
        <f>IF(L1726="","",IF(2026-E1726&gt;0,L1726/(2026-E1726),L1726))</f>
        <v/>
      </c>
    </row>
    <row r="1727" ht="15" customHeight="1" s="1">
      <c r="N1727">
        <f>IF(L1727="","",IF(2026-E1727&gt;0,L1727/(2026-E1727),L1727))</f>
        <v/>
      </c>
    </row>
    <row r="1728" ht="15" customHeight="1" s="1">
      <c r="N1728">
        <f>IF(L1728="","",IF(2026-E1728&gt;0,L1728/(2026-E1728),L1728))</f>
        <v/>
      </c>
    </row>
    <row r="1729" ht="15" customHeight="1" s="1">
      <c r="N1729">
        <f>IF(L1729="","",IF(2026-E1729&gt;0,L1729/(2026-E1729),L1729))</f>
        <v/>
      </c>
    </row>
    <row r="1730" ht="15" customHeight="1" s="1">
      <c r="N1730">
        <f>IF(L1730="","",IF(2026-E1730&gt;0,L1730/(2026-E1730),L1730))</f>
        <v/>
      </c>
    </row>
    <row r="1731" ht="15" customHeight="1" s="1">
      <c r="N1731">
        <f>IF(L1731="","",IF(2026-E1731&gt;0,L1731/(2026-E1731),L1731))</f>
        <v/>
      </c>
    </row>
    <row r="1732" ht="15" customHeight="1" s="1">
      <c r="N1732">
        <f>IF(L1732="","",IF(2026-E1732&gt;0,L1732/(2026-E1732),L1732))</f>
        <v/>
      </c>
    </row>
    <row r="1733" ht="15" customHeight="1" s="1">
      <c r="N1733">
        <f>IF(L1733="","",IF(2026-E1733&gt;0,L1733/(2026-E1733),L1733))</f>
        <v/>
      </c>
    </row>
    <row r="1734" ht="15" customHeight="1" s="1">
      <c r="N1734">
        <f>IF(L1734="","",IF(2026-E1734&gt;0,L1734/(2026-E1734),L1734))</f>
        <v/>
      </c>
    </row>
    <row r="1735" ht="15" customHeight="1" s="1">
      <c r="N1735">
        <f>IF(L1735="","",IF(2026-E1735&gt;0,L1735/(2026-E1735),L1735))</f>
        <v/>
      </c>
    </row>
    <row r="1736" ht="15" customHeight="1" s="1">
      <c r="N1736">
        <f>IF(L1736="","",IF(2026-E1736&gt;0,L1736/(2026-E1736),L1736))</f>
        <v/>
      </c>
    </row>
    <row r="1737" ht="15" customHeight="1" s="1">
      <c r="N1737">
        <f>IF(L1737="","",IF(2026-E1737&gt;0,L1737/(2026-E1737),L1737))</f>
        <v/>
      </c>
    </row>
    <row r="1738" ht="15" customHeight="1" s="1">
      <c r="N1738">
        <f>IF(L1738="","",IF(2026-E1738&gt;0,L1738/(2026-E1738),L1738))</f>
        <v/>
      </c>
    </row>
    <row r="1739" ht="15" customHeight="1" s="1">
      <c r="N1739">
        <f>IF(L1739="","",IF(2026-E1739&gt;0,L1739/(2026-E1739),L1739))</f>
        <v/>
      </c>
    </row>
    <row r="1740" ht="15" customHeight="1" s="1">
      <c r="N1740">
        <f>IF(L1740="","",IF(2026-E1740&gt;0,L1740/(2026-E1740),L1740))</f>
        <v/>
      </c>
    </row>
    <row r="1741" ht="15" customHeight="1" s="1">
      <c r="N1741">
        <f>IF(L1741="","",IF(2026-E1741&gt;0,L1741/(2026-E1741),L1741))</f>
        <v/>
      </c>
    </row>
    <row r="1742" ht="15" customHeight="1" s="1">
      <c r="N1742">
        <f>IF(L1742="","",IF(2026-E1742&gt;0,L1742/(2026-E1742),L1742))</f>
        <v/>
      </c>
    </row>
    <row r="1743" ht="15" customHeight="1" s="1">
      <c r="N1743">
        <f>IF(L1743="","",IF(2026-E1743&gt;0,L1743/(2026-E1743),L1743))</f>
        <v/>
      </c>
    </row>
    <row r="1744" ht="15" customHeight="1" s="1">
      <c r="N1744">
        <f>IF(L1744="","",IF(2026-E1744&gt;0,L1744/(2026-E1744),L1744))</f>
        <v/>
      </c>
    </row>
    <row r="1745" ht="15" customHeight="1" s="1">
      <c r="N1745">
        <f>IF(L1745="","",IF(2026-E1745&gt;0,L1745/(2026-E1745),L1745))</f>
        <v/>
      </c>
    </row>
    <row r="1746" ht="15" customHeight="1" s="1">
      <c r="N1746">
        <f>IF(L1746="","",IF(2026-E1746&gt;0,L1746/(2026-E1746),L1746))</f>
        <v/>
      </c>
    </row>
    <row r="1747" ht="15" customHeight="1" s="1">
      <c r="N1747">
        <f>IF(L1747="","",IF(2026-E1747&gt;0,L1747/(2026-E1747),L1747))</f>
        <v/>
      </c>
    </row>
    <row r="1748" ht="15" customHeight="1" s="1">
      <c r="N1748">
        <f>IF(L1748="","",IF(2026-E1748&gt;0,L1748/(2026-E1748),L1748))</f>
        <v/>
      </c>
    </row>
    <row r="1749" ht="15" customHeight="1" s="1">
      <c r="N1749">
        <f>IF(L1749="","",IF(2026-E1749&gt;0,L1749/(2026-E1749),L1749))</f>
        <v/>
      </c>
    </row>
    <row r="1750" ht="15" customHeight="1" s="1">
      <c r="N1750">
        <f>IF(L1750="","",IF(2026-E1750&gt;0,L1750/(2026-E1750),L1750))</f>
        <v/>
      </c>
    </row>
    <row r="1751" ht="15" customHeight="1" s="1">
      <c r="N1751">
        <f>IF(L1751="","",IF(2026-E1751&gt;0,L1751/(2026-E1751),L1751))</f>
        <v/>
      </c>
    </row>
    <row r="1752" ht="15" customHeight="1" s="1">
      <c r="N1752">
        <f>IF(L1752="","",IF(2026-E1752&gt;0,L1752/(2026-E1752),L1752))</f>
        <v/>
      </c>
    </row>
    <row r="1753" ht="15" customHeight="1" s="1">
      <c r="N1753">
        <f>IF(L1753="","",IF(2026-E1753&gt;0,L1753/(2026-E1753),L1753))</f>
        <v/>
      </c>
    </row>
    <row r="1754" ht="15" customHeight="1" s="1">
      <c r="N1754">
        <f>IF(L1754="","",IF(2026-E1754&gt;0,L1754/(2026-E1754),L1754))</f>
        <v/>
      </c>
    </row>
    <row r="1755" ht="15" customHeight="1" s="1">
      <c r="N1755">
        <f>IF(L1755="","",IF(2026-E1755&gt;0,L1755/(2026-E1755),L1755))</f>
        <v/>
      </c>
    </row>
    <row r="1756" ht="15" customHeight="1" s="1">
      <c r="N1756">
        <f>IF(L1756="","",IF(2026-E1756&gt;0,L1756/(2026-E1756),L1756))</f>
        <v/>
      </c>
    </row>
    <row r="1757" ht="15" customHeight="1" s="1">
      <c r="N1757">
        <f>IF(L1757="","",IF(2026-E1757&gt;0,L1757/(2026-E1757),L1757))</f>
        <v/>
      </c>
    </row>
    <row r="1758" ht="15" customHeight="1" s="1">
      <c r="N1758">
        <f>IF(L1758="","",IF(2026-E1758&gt;0,L1758/(2026-E1758),L1758))</f>
        <v/>
      </c>
    </row>
    <row r="1759" ht="15" customHeight="1" s="1">
      <c r="N1759">
        <f>IF(L1759="","",IF(2026-E1759&gt;0,L1759/(2026-E1759),L1759))</f>
        <v/>
      </c>
    </row>
    <row r="1760" ht="15" customHeight="1" s="1">
      <c r="N1760">
        <f>IF(L1760="","",IF(2026-E1760&gt;0,L1760/(2026-E1760),L1760))</f>
        <v/>
      </c>
    </row>
    <row r="1761" ht="15" customHeight="1" s="1">
      <c r="N1761">
        <f>IF(L1761="","",IF(2026-E1761&gt;0,L1761/(2026-E1761),L1761))</f>
        <v/>
      </c>
    </row>
    <row r="1762" ht="15" customHeight="1" s="1">
      <c r="N1762">
        <f>IF(L1762="","",IF(2026-E1762&gt;0,L1762/(2026-E1762),L1762))</f>
        <v/>
      </c>
    </row>
    <row r="1763" ht="15" customHeight="1" s="1">
      <c r="N1763">
        <f>IF(L1763="","",IF(2026-E1763&gt;0,L1763/(2026-E1763),L1763))</f>
        <v/>
      </c>
    </row>
    <row r="1764" ht="15" customHeight="1" s="1">
      <c r="N1764">
        <f>IF(L1764="","",IF(2026-E1764&gt;0,L1764/(2026-E1764),L1764))</f>
        <v/>
      </c>
    </row>
    <row r="1765" ht="15" customHeight="1" s="1">
      <c r="N1765">
        <f>IF(L1765="","",IF(2026-E1765&gt;0,L1765/(2026-E1765),L1765))</f>
        <v/>
      </c>
    </row>
    <row r="1766" ht="15" customHeight="1" s="1">
      <c r="N1766">
        <f>IF(L1766="","",IF(2026-E1766&gt;0,L1766/(2026-E1766),L1766))</f>
        <v/>
      </c>
    </row>
    <row r="1767" ht="15" customHeight="1" s="1">
      <c r="N1767">
        <f>IF(L1767="","",IF(2026-E1767&gt;0,L1767/(2026-E1767),L1767))</f>
        <v/>
      </c>
    </row>
    <row r="1768" ht="15" customHeight="1" s="1">
      <c r="N1768">
        <f>IF(L1768="","",IF(2026-E1768&gt;0,L1768/(2026-E1768),L1768))</f>
        <v/>
      </c>
    </row>
    <row r="1769" ht="15" customHeight="1" s="1">
      <c r="N1769">
        <f>IF(L1769="","",IF(2026-E1769&gt;0,L1769/(2026-E1769),L1769))</f>
        <v/>
      </c>
    </row>
    <row r="1770" ht="15" customHeight="1" s="1">
      <c r="N1770">
        <f>IF(L1770="","",IF(2026-E1770&gt;0,L1770/(2026-E1770),L1770))</f>
        <v/>
      </c>
    </row>
    <row r="1771" ht="15" customHeight="1" s="1">
      <c r="N1771">
        <f>IF(L1771="","",IF(2026-E1771&gt;0,L1771/(2026-E1771),L1771))</f>
        <v/>
      </c>
    </row>
    <row r="1772" ht="15" customHeight="1" s="1">
      <c r="N1772">
        <f>IF(L1772="","",IF(2026-E1772&gt;0,L1772/(2026-E1772),L1772))</f>
        <v/>
      </c>
    </row>
    <row r="1773" ht="15" customHeight="1" s="1">
      <c r="N1773">
        <f>IF(L1773="","",IF(2026-E1773&gt;0,L1773/(2026-E1773),L1773))</f>
        <v/>
      </c>
    </row>
    <row r="1774" ht="15" customHeight="1" s="1">
      <c r="N1774">
        <f>IF(L1774="","",IF(2026-E1774&gt;0,L1774/(2026-E1774),L1774))</f>
        <v/>
      </c>
    </row>
    <row r="1775" ht="15" customHeight="1" s="1">
      <c r="N1775">
        <f>IF(L1775="","",IF(2026-E1775&gt;0,L1775/(2026-E1775),L1775))</f>
        <v/>
      </c>
    </row>
    <row r="1776" ht="15" customHeight="1" s="1">
      <c r="N1776">
        <f>IF(L1776="","",IF(2026-E1776&gt;0,L1776/(2026-E1776),L1776))</f>
        <v/>
      </c>
    </row>
    <row r="1777" ht="15" customHeight="1" s="1">
      <c r="N1777">
        <f>IF(L1777="","",IF(2026-E1777&gt;0,L1777/(2026-E1777),L1777))</f>
        <v/>
      </c>
    </row>
    <row r="1778" ht="15" customHeight="1" s="1">
      <c r="N1778">
        <f>IF(L1778="","",IF(2026-E1778&gt;0,L1778/(2026-E1778),L1778))</f>
        <v/>
      </c>
    </row>
    <row r="1779" ht="15" customHeight="1" s="1">
      <c r="N1779">
        <f>IF(L1779="","",IF(2026-E1779&gt;0,L1779/(2026-E1779),L1779))</f>
        <v/>
      </c>
    </row>
    <row r="1780" ht="15" customHeight="1" s="1">
      <c r="N1780">
        <f>IF(L1780="","",IF(2026-E1780&gt;0,L1780/(2026-E1780),L1780))</f>
        <v/>
      </c>
    </row>
    <row r="1781" ht="15" customHeight="1" s="1">
      <c r="N1781">
        <f>IF(L1781="","",IF(2026-E1781&gt;0,L1781/(2026-E1781),L1781))</f>
        <v/>
      </c>
    </row>
    <row r="1782" ht="15" customHeight="1" s="1">
      <c r="N1782">
        <f>IF(L1782="","",IF(2026-E1782&gt;0,L1782/(2026-E1782),L1782))</f>
        <v/>
      </c>
    </row>
    <row r="1783" ht="15" customHeight="1" s="1">
      <c r="N1783">
        <f>IF(L1783="","",IF(2026-E1783&gt;0,L1783/(2026-E1783),L1783))</f>
        <v/>
      </c>
    </row>
    <row r="1784" ht="15" customHeight="1" s="1">
      <c r="N1784">
        <f>IF(L1784="","",IF(2026-E1784&gt;0,L1784/(2026-E1784),L1784))</f>
        <v/>
      </c>
    </row>
    <row r="1785" ht="15" customHeight="1" s="1">
      <c r="N1785">
        <f>IF(L1785="","",IF(2026-E1785&gt;0,L1785/(2026-E1785),L1785))</f>
        <v/>
      </c>
    </row>
    <row r="1786" ht="15" customHeight="1" s="1">
      <c r="N1786">
        <f>IF(L1786="","",IF(2026-E1786&gt;0,L1786/(2026-E1786),L1786))</f>
        <v/>
      </c>
    </row>
    <row r="1787" ht="15" customHeight="1" s="1">
      <c r="N1787">
        <f>IF(L1787="","",IF(2026-E1787&gt;0,L1787/(2026-E1787),L1787))</f>
        <v/>
      </c>
    </row>
    <row r="1788" ht="15" customHeight="1" s="1">
      <c r="N1788">
        <f>IF(L1788="","",IF(2026-E1788&gt;0,L1788/(2026-E1788),L1788))</f>
        <v/>
      </c>
    </row>
    <row r="1789" ht="15" customHeight="1" s="1">
      <c r="N1789">
        <f>IF(L1789="","",IF(2026-E1789&gt;0,L1789/(2026-E1789),L1789))</f>
        <v/>
      </c>
    </row>
    <row r="1790" ht="15" customHeight="1" s="1">
      <c r="N1790">
        <f>IF(L1790="","",IF(2026-E1790&gt;0,L1790/(2026-E1790),L1790))</f>
        <v/>
      </c>
    </row>
    <row r="1791" ht="15" customHeight="1" s="1">
      <c r="N1791">
        <f>IF(L1791="","",IF(2026-E1791&gt;0,L1791/(2026-E1791),L1791))</f>
        <v/>
      </c>
    </row>
    <row r="1792" ht="15" customHeight="1" s="1">
      <c r="N1792">
        <f>IF(L1792="","",IF(2026-E1792&gt;0,L1792/(2026-E1792),L1792))</f>
        <v/>
      </c>
    </row>
    <row r="1793" ht="15" customHeight="1" s="1">
      <c r="N1793">
        <f>IF(L1793="","",IF(2026-E1793&gt;0,L1793/(2026-E1793),L1793))</f>
        <v/>
      </c>
    </row>
    <row r="1794" ht="15" customHeight="1" s="1">
      <c r="N1794">
        <f>IF(L1794="","",IF(2026-E1794&gt;0,L1794/(2026-E1794),L1794))</f>
        <v/>
      </c>
    </row>
    <row r="1795" ht="15" customHeight="1" s="1">
      <c r="N1795">
        <f>IF(L1795="","",IF(2026-E1795&gt;0,L1795/(2026-E1795),L1795))</f>
        <v/>
      </c>
    </row>
    <row r="1796" ht="15" customHeight="1" s="1">
      <c r="N1796">
        <f>IF(L1796="","",IF(2026-E1796&gt;0,L1796/(2026-E1796),L1796))</f>
        <v/>
      </c>
    </row>
    <row r="1797" ht="15" customHeight="1" s="1">
      <c r="N1797">
        <f>IF(L1797="","",IF(2026-E1797&gt;0,L1797/(2026-E1797),L1797))</f>
        <v/>
      </c>
    </row>
    <row r="1798" ht="15" customHeight="1" s="1">
      <c r="N1798">
        <f>IF(L1798="","",IF(2026-E1798&gt;0,L1798/(2026-E1798),L1798))</f>
        <v/>
      </c>
    </row>
    <row r="1799" ht="15" customHeight="1" s="1">
      <c r="N1799">
        <f>IF(L1799="","",IF(2026-E1799&gt;0,L1799/(2026-E1799),L1799))</f>
        <v/>
      </c>
    </row>
    <row r="1800" ht="15" customHeight="1" s="1">
      <c r="N1800">
        <f>IF(L1800="","",IF(2026-E1800&gt;0,L1800/(2026-E1800),L1800))</f>
        <v/>
      </c>
    </row>
    <row r="1801" ht="15" customHeight="1" s="1">
      <c r="N1801">
        <f>IF(L1801="","",IF(2026-E1801&gt;0,L1801/(2026-E1801),L1801))</f>
        <v/>
      </c>
    </row>
    <row r="1802" ht="15" customHeight="1" s="1">
      <c r="N1802">
        <f>IF(L1802="","",IF(2026-E1802&gt;0,L1802/(2026-E1802),L1802))</f>
        <v/>
      </c>
    </row>
    <row r="1803" ht="15" customHeight="1" s="1">
      <c r="N1803">
        <f>IF(L1803="","",IF(2026-E1803&gt;0,L1803/(2026-E1803),L1803))</f>
        <v/>
      </c>
    </row>
    <row r="1804" ht="15" customHeight="1" s="1">
      <c r="N1804">
        <f>IF(L1804="","",IF(2026-E1804&gt;0,L1804/(2026-E1804),L1804))</f>
        <v/>
      </c>
    </row>
    <row r="1805" ht="15" customHeight="1" s="1">
      <c r="N1805">
        <f>IF(L1805="","",IF(2026-E1805&gt;0,L1805/(2026-E1805),L1805))</f>
        <v/>
      </c>
    </row>
    <row r="1806" ht="15" customHeight="1" s="1">
      <c r="N1806">
        <f>IF(L1806="","",IF(2026-E1806&gt;0,L1806/(2026-E1806),L1806))</f>
        <v/>
      </c>
    </row>
    <row r="1807" ht="15" customHeight="1" s="1">
      <c r="N1807">
        <f>IF(L1807="","",IF(2026-E1807&gt;0,L1807/(2026-E1807),L1807))</f>
        <v/>
      </c>
    </row>
    <row r="1808" ht="15" customHeight="1" s="1">
      <c r="N1808">
        <f>IF(L1808="","",IF(2026-E1808&gt;0,L1808/(2026-E1808),L1808))</f>
        <v/>
      </c>
    </row>
    <row r="1809" ht="15" customHeight="1" s="1">
      <c r="N1809">
        <f>IF(L1809="","",IF(2026-E1809&gt;0,L1809/(2026-E1809),L1809))</f>
        <v/>
      </c>
    </row>
    <row r="1810" ht="15" customHeight="1" s="1">
      <c r="N1810">
        <f>IF(L1810="","",IF(2026-E1810&gt;0,L1810/(2026-E1810),L1810))</f>
        <v/>
      </c>
    </row>
    <row r="1811" ht="15" customHeight="1" s="1">
      <c r="N1811">
        <f>IF(L1811="","",IF(2026-E1811&gt;0,L1811/(2026-E1811),L1811))</f>
        <v/>
      </c>
    </row>
    <row r="1812" ht="15" customHeight="1" s="1">
      <c r="N1812">
        <f>IF(L1812="","",IF(2026-E1812&gt;0,L1812/(2026-E1812),L1812))</f>
        <v/>
      </c>
    </row>
    <row r="1813" ht="15" customHeight="1" s="1">
      <c r="N1813">
        <f>IF(L1813="","",IF(2026-E1813&gt;0,L1813/(2026-E1813),L1813))</f>
        <v/>
      </c>
    </row>
    <row r="1814" ht="15" customHeight="1" s="1">
      <c r="N1814">
        <f>IF(L1814="","",IF(2026-E1814&gt;0,L1814/(2026-E1814),L1814))</f>
        <v/>
      </c>
    </row>
    <row r="1815" ht="15" customHeight="1" s="1">
      <c r="N1815">
        <f>IF(L1815="","",IF(2026-E1815&gt;0,L1815/(2026-E1815),L1815))</f>
        <v/>
      </c>
    </row>
    <row r="1816" ht="15" customHeight="1" s="1">
      <c r="N1816">
        <f>IF(L1816="","",IF(2026-E1816&gt;0,L1816/(2026-E1816),L1816))</f>
        <v/>
      </c>
    </row>
    <row r="1817" ht="15" customHeight="1" s="1">
      <c r="N1817">
        <f>IF(L1817="","",IF(2026-E1817&gt;0,L1817/(2026-E1817),L1817))</f>
        <v/>
      </c>
    </row>
    <row r="1818" ht="15" customHeight="1" s="1">
      <c r="N1818">
        <f>IF(L1818="","",IF(2026-E1818&gt;0,L1818/(2026-E1818),L1818))</f>
        <v/>
      </c>
    </row>
    <row r="1819" ht="15" customHeight="1" s="1">
      <c r="N1819">
        <f>IF(L1819="","",IF(2026-E1819&gt;0,L1819/(2026-E1819),L1819))</f>
        <v/>
      </c>
    </row>
    <row r="1820" ht="15" customHeight="1" s="1">
      <c r="N1820">
        <f>IF(L1820="","",IF(2026-E1820&gt;0,L1820/(2026-E1820),L1820))</f>
        <v/>
      </c>
    </row>
    <row r="1821" ht="15" customHeight="1" s="1">
      <c r="N1821">
        <f>IF(L1821="","",IF(2026-E1821&gt;0,L1821/(2026-E1821),L1821))</f>
        <v/>
      </c>
    </row>
    <row r="1822" ht="15" customHeight="1" s="1">
      <c r="N1822">
        <f>IF(L1822="","",IF(2026-E1822&gt;0,L1822/(2026-E1822),L1822))</f>
        <v/>
      </c>
    </row>
    <row r="1823" ht="15" customHeight="1" s="1">
      <c r="N1823">
        <f>IF(L1823="","",IF(2026-E1823&gt;0,L1823/(2026-E1823),L1823))</f>
        <v/>
      </c>
    </row>
    <row r="1824" ht="15" customHeight="1" s="1">
      <c r="N1824">
        <f>IF(L1824="","",IF(2026-E1824&gt;0,L1824/(2026-E1824),L1824))</f>
        <v/>
      </c>
    </row>
    <row r="1825" ht="15" customHeight="1" s="1">
      <c r="N1825">
        <f>IF(L1825="","",IF(2026-E1825&gt;0,L1825/(2026-E1825),L1825))</f>
        <v/>
      </c>
    </row>
    <row r="1826" ht="15" customHeight="1" s="1">
      <c r="N1826">
        <f>IF(L1826="","",IF(2026-E1826&gt;0,L1826/(2026-E1826),L1826))</f>
        <v/>
      </c>
    </row>
    <row r="1827" ht="15" customHeight="1" s="1">
      <c r="N1827">
        <f>IF(L1827="","",IF(2026-E1827&gt;0,L1827/(2026-E1827),L1827))</f>
        <v/>
      </c>
    </row>
    <row r="1828" ht="15" customHeight="1" s="1">
      <c r="N1828">
        <f>IF(L1828="","",IF(2026-E1828&gt;0,L1828/(2026-E1828),L1828))</f>
        <v/>
      </c>
    </row>
    <row r="1829" ht="15" customHeight="1" s="1">
      <c r="N1829">
        <f>IF(L1829="","",IF(2026-E1829&gt;0,L1829/(2026-E1829),L1829))</f>
        <v/>
      </c>
    </row>
    <row r="1830" ht="15" customHeight="1" s="1">
      <c r="N1830">
        <f>IF(L1830="","",IF(2026-E1830&gt;0,L1830/(2026-E1830),L1830))</f>
        <v/>
      </c>
    </row>
    <row r="1831" ht="15" customHeight="1" s="1">
      <c r="N1831">
        <f>IF(L1831="","",IF(2026-E1831&gt;0,L1831/(2026-E1831),L1831))</f>
        <v/>
      </c>
    </row>
    <row r="1832" ht="15" customHeight="1" s="1">
      <c r="N1832">
        <f>IF(L1832="","",IF(2026-E1832&gt;0,L1832/(2026-E1832),L1832))</f>
        <v/>
      </c>
    </row>
    <row r="1833" ht="15" customHeight="1" s="1">
      <c r="N1833">
        <f>IF(L1833="","",IF(2026-E1833&gt;0,L1833/(2026-E1833),L1833))</f>
        <v/>
      </c>
    </row>
    <row r="1834" ht="15" customHeight="1" s="1">
      <c r="N1834">
        <f>IF(L1834="","",IF(2026-E1834&gt;0,L1834/(2026-E1834),L1834))</f>
        <v/>
      </c>
    </row>
    <row r="1835" ht="15" customHeight="1" s="1">
      <c r="N1835">
        <f>IF(L1835="","",IF(2026-E1835&gt;0,L1835/(2026-E1835),L1835))</f>
        <v/>
      </c>
    </row>
    <row r="1836" ht="15" customHeight="1" s="1">
      <c r="N1836">
        <f>IF(L1836="","",IF(2026-E1836&gt;0,L1836/(2026-E1836),L1836))</f>
        <v/>
      </c>
    </row>
    <row r="1837" ht="15" customHeight="1" s="1">
      <c r="N1837">
        <f>IF(L1837="","",IF(2026-E1837&gt;0,L1837/(2026-E1837),L1837))</f>
        <v/>
      </c>
    </row>
    <row r="1838" ht="15" customHeight="1" s="1">
      <c r="N1838">
        <f>IF(L1838="","",IF(2026-E1838&gt;0,L1838/(2026-E1838),L1838))</f>
        <v/>
      </c>
    </row>
    <row r="1839" ht="15" customHeight="1" s="1">
      <c r="N1839">
        <f>IF(L1839="","",IF(2026-E1839&gt;0,L1839/(2026-E1839),L1839))</f>
        <v/>
      </c>
    </row>
    <row r="1840" ht="15" customHeight="1" s="1">
      <c r="N1840">
        <f>IF(L1840="","",IF(2026-E1840&gt;0,L1840/(2026-E1840),L1840))</f>
        <v/>
      </c>
    </row>
    <row r="1841" ht="15" customHeight="1" s="1">
      <c r="N1841">
        <f>IF(L1841="","",IF(2026-E1841&gt;0,L1841/(2026-E1841),L1841))</f>
        <v/>
      </c>
    </row>
    <row r="1842" ht="15" customHeight="1" s="1">
      <c r="N1842">
        <f>IF(L1842="","",IF(2026-E1842&gt;0,L1842/(2026-E1842),L1842))</f>
        <v/>
      </c>
    </row>
    <row r="1843" ht="15" customHeight="1" s="1">
      <c r="N1843">
        <f>IF(L1843="","",IF(2026-E1843&gt;0,L1843/(2026-E1843),L1843))</f>
        <v/>
      </c>
    </row>
    <row r="1844" ht="15" customHeight="1" s="1">
      <c r="N1844">
        <f>IF(L1844="","",IF(2026-E1844&gt;0,L1844/(2026-E1844),L1844))</f>
        <v/>
      </c>
    </row>
    <row r="1845" ht="15" customHeight="1" s="1">
      <c r="N1845">
        <f>IF(L1845="","",IF(2026-E1845&gt;0,L1845/(2026-E1845),L1845))</f>
        <v/>
      </c>
    </row>
    <row r="1846" ht="15" customHeight="1" s="1">
      <c r="N1846">
        <f>IF(L1846="","",IF(2026-E1846&gt;0,L1846/(2026-E1846),L1846))</f>
        <v/>
      </c>
    </row>
    <row r="1847" ht="15" customHeight="1" s="1">
      <c r="N1847">
        <f>IF(L1847="","",IF(2026-E1847&gt;0,L1847/(2026-E1847),L1847))</f>
        <v/>
      </c>
    </row>
    <row r="1848" ht="15" customHeight="1" s="1">
      <c r="N1848">
        <f>IF(L1848="","",IF(2026-E1848&gt;0,L1848/(2026-E1848),L1848))</f>
        <v/>
      </c>
    </row>
    <row r="1849" ht="15" customHeight="1" s="1">
      <c r="N1849">
        <f>IF(L1849="","",IF(2026-E1849&gt;0,L1849/(2026-E1849),L1849))</f>
        <v/>
      </c>
    </row>
    <row r="1850" ht="15" customHeight="1" s="1">
      <c r="N1850">
        <f>IF(L1850="","",IF(2026-E1850&gt;0,L1850/(2026-E1850),L1850))</f>
        <v/>
      </c>
    </row>
    <row r="1851" ht="15" customHeight="1" s="1">
      <c r="N1851">
        <f>IF(L1851="","",IF(2026-E1851&gt;0,L1851/(2026-E1851),L1851))</f>
        <v/>
      </c>
    </row>
    <row r="1852" ht="15" customHeight="1" s="1">
      <c r="N1852">
        <f>IF(L1852="","",IF(2026-E1852&gt;0,L1852/(2026-E1852),L1852))</f>
        <v/>
      </c>
    </row>
    <row r="1853" ht="15" customHeight="1" s="1">
      <c r="N1853">
        <f>IF(L1853="","",IF(2026-E1853&gt;0,L1853/(2026-E1853),L1853))</f>
        <v/>
      </c>
    </row>
    <row r="1854" ht="15" customHeight="1" s="1">
      <c r="N1854">
        <f>IF(L1854="","",IF(2026-E1854&gt;0,L1854/(2026-E1854),L1854))</f>
        <v/>
      </c>
    </row>
    <row r="1855" ht="15" customHeight="1" s="1">
      <c r="N1855">
        <f>IF(L1855="","",IF(2026-E1855&gt;0,L1855/(2026-E1855),L1855))</f>
        <v/>
      </c>
    </row>
    <row r="1856" ht="15" customHeight="1" s="1">
      <c r="N1856">
        <f>IF(L1856="","",IF(2026-E1856&gt;0,L1856/(2026-E1856),L1856))</f>
        <v/>
      </c>
    </row>
    <row r="1857" ht="15" customHeight="1" s="1">
      <c r="N1857">
        <f>IF(L1857="","",IF(2026-E1857&gt;0,L1857/(2026-E1857),L1857))</f>
        <v/>
      </c>
    </row>
    <row r="1858" ht="15" customHeight="1" s="1">
      <c r="N1858">
        <f>IF(L1858="","",IF(2026-E1858&gt;0,L1858/(2026-E1858),L1858))</f>
        <v/>
      </c>
    </row>
    <row r="1859" ht="15" customHeight="1" s="1">
      <c r="N1859">
        <f>IF(L1859="","",IF(2026-E1859&gt;0,L1859/(2026-E1859),L1859))</f>
        <v/>
      </c>
    </row>
    <row r="1860" ht="15" customHeight="1" s="1">
      <c r="N1860">
        <f>IF(L1860="","",IF(2026-E1860&gt;0,L1860/(2026-E1860),L1860))</f>
        <v/>
      </c>
    </row>
    <row r="1861" ht="15" customHeight="1" s="1">
      <c r="N1861">
        <f>IF(L1861="","",IF(2026-E1861&gt;0,L1861/(2026-E1861),L1861))</f>
        <v/>
      </c>
    </row>
    <row r="1862" ht="15" customHeight="1" s="1">
      <c r="N1862">
        <f>IF(L1862="","",IF(2026-E1862&gt;0,L1862/(2026-E1862),L1862))</f>
        <v/>
      </c>
    </row>
    <row r="1863" ht="15" customHeight="1" s="1">
      <c r="N1863">
        <f>IF(L1863="","",IF(2026-E1863&gt;0,L1863/(2026-E1863),L1863))</f>
        <v/>
      </c>
    </row>
    <row r="1864" ht="15" customHeight="1" s="1">
      <c r="N1864">
        <f>IF(L1864="","",IF(2026-E1864&gt;0,L1864/(2026-E1864),L1864))</f>
        <v/>
      </c>
    </row>
    <row r="1865" ht="15" customHeight="1" s="1">
      <c r="N1865">
        <f>IF(L1865="","",IF(2026-E1865&gt;0,L1865/(2026-E1865),L1865))</f>
        <v/>
      </c>
    </row>
    <row r="1866" ht="15" customHeight="1" s="1">
      <c r="N1866">
        <f>IF(L1866="","",IF(2026-E1866&gt;0,L1866/(2026-E1866),L1866))</f>
        <v/>
      </c>
    </row>
    <row r="1867" ht="15" customHeight="1" s="1">
      <c r="N1867">
        <f>IF(L1867="","",IF(2026-E1867&gt;0,L1867/(2026-E1867),L1867))</f>
        <v/>
      </c>
    </row>
    <row r="1868" ht="15" customHeight="1" s="1">
      <c r="N1868">
        <f>IF(L1868="","",IF(2026-E1868&gt;0,L1868/(2026-E1868),L1868))</f>
        <v/>
      </c>
    </row>
    <row r="1869" ht="15" customHeight="1" s="1">
      <c r="N1869">
        <f>IF(L1869="","",IF(2026-E1869&gt;0,L1869/(2026-E1869),L1869))</f>
        <v/>
      </c>
    </row>
    <row r="1870" ht="15" customHeight="1" s="1">
      <c r="N1870">
        <f>IF(L1870="","",IF(2026-E1870&gt;0,L1870/(2026-E1870),L1870))</f>
        <v/>
      </c>
    </row>
    <row r="1871" ht="15" customHeight="1" s="1">
      <c r="N1871">
        <f>IF(L1871="","",IF(2026-E1871&gt;0,L1871/(2026-E1871),L1871))</f>
        <v/>
      </c>
    </row>
    <row r="1872" ht="15" customHeight="1" s="1">
      <c r="N1872">
        <f>IF(L1872="","",IF(2026-E1872&gt;0,L1872/(2026-E1872),L1872))</f>
        <v/>
      </c>
    </row>
    <row r="1873" ht="15" customHeight="1" s="1">
      <c r="N1873">
        <f>IF(L1873="","",IF(2026-E1873&gt;0,L1873/(2026-E1873),L1873))</f>
        <v/>
      </c>
    </row>
    <row r="1874" ht="15" customHeight="1" s="1">
      <c r="N1874">
        <f>IF(L1874="","",IF(2026-E1874&gt;0,L1874/(2026-E1874),L1874))</f>
        <v/>
      </c>
    </row>
    <row r="1875" ht="15" customHeight="1" s="1">
      <c r="N1875">
        <f>IF(L1875="","",IF(2026-E1875&gt;0,L1875/(2026-E1875),L1875))</f>
        <v/>
      </c>
    </row>
    <row r="1876" ht="15" customHeight="1" s="1">
      <c r="N1876">
        <f>IF(L1876="","",IF(2026-E1876&gt;0,L1876/(2026-E1876),L1876))</f>
        <v/>
      </c>
    </row>
    <row r="1877" ht="15" customHeight="1" s="1">
      <c r="N1877">
        <f>IF(L1877="","",IF(2026-E1877&gt;0,L1877/(2026-E1877),L1877))</f>
        <v/>
      </c>
    </row>
    <row r="1878" ht="15" customHeight="1" s="1">
      <c r="N1878">
        <f>IF(L1878="","",IF(2026-E1878&gt;0,L1878/(2026-E1878),L1878))</f>
        <v/>
      </c>
    </row>
    <row r="1879" ht="15" customHeight="1" s="1">
      <c r="N1879">
        <f>IF(L1879="","",IF(2026-E1879&gt;0,L1879/(2026-E1879),L1879))</f>
        <v/>
      </c>
    </row>
    <row r="1880" ht="15" customHeight="1" s="1">
      <c r="N1880">
        <f>IF(L1880="","",IF(2026-E1880&gt;0,L1880/(2026-E1880),L1880))</f>
        <v/>
      </c>
    </row>
    <row r="1881" ht="15" customHeight="1" s="1">
      <c r="N1881">
        <f>IF(L1881="","",IF(2026-E1881&gt;0,L1881/(2026-E1881),L1881))</f>
        <v/>
      </c>
    </row>
    <row r="1882" ht="15" customHeight="1" s="1">
      <c r="N1882">
        <f>IF(L1882="","",IF(2026-E1882&gt;0,L1882/(2026-E1882),L1882))</f>
        <v/>
      </c>
    </row>
    <row r="1883" ht="15" customHeight="1" s="1">
      <c r="N1883">
        <f>IF(L1883="","",IF(2026-E1883&gt;0,L1883/(2026-E1883),L1883))</f>
        <v/>
      </c>
    </row>
    <row r="1884" ht="15" customHeight="1" s="1">
      <c r="N1884">
        <f>IF(L1884="","",IF(2026-E1884&gt;0,L1884/(2026-E1884),L1884))</f>
        <v/>
      </c>
    </row>
    <row r="1885" ht="15" customHeight="1" s="1">
      <c r="N1885">
        <f>IF(L1885="","",IF(2026-E1885&gt;0,L1885/(2026-E1885),L1885))</f>
        <v/>
      </c>
    </row>
    <row r="1886" ht="15" customHeight="1" s="1">
      <c r="N1886">
        <f>IF(L1886="","",IF(2026-E1886&gt;0,L1886/(2026-E1886),L1886))</f>
        <v/>
      </c>
    </row>
    <row r="1887" ht="15" customHeight="1" s="1">
      <c r="N1887">
        <f>IF(L1887="","",IF(2026-E1887&gt;0,L1887/(2026-E1887),L1887))</f>
        <v/>
      </c>
    </row>
    <row r="1888" ht="15" customHeight="1" s="1">
      <c r="N1888">
        <f>IF(L1888="","",IF(2026-E1888&gt;0,L1888/(2026-E1888),L1888))</f>
        <v/>
      </c>
    </row>
    <row r="1889" ht="15" customHeight="1" s="1">
      <c r="N1889">
        <f>IF(L1889="","",IF(2026-E1889&gt;0,L1889/(2026-E1889),L1889))</f>
        <v/>
      </c>
    </row>
    <row r="1890" ht="15" customHeight="1" s="1">
      <c r="N1890">
        <f>IF(L1890="","",IF(2026-E1890&gt;0,L1890/(2026-E1890),L1890))</f>
        <v/>
      </c>
    </row>
    <row r="1891" ht="15" customHeight="1" s="1">
      <c r="N1891">
        <f>IF(L1891="","",IF(2026-E1891&gt;0,L1891/(2026-E1891),L1891))</f>
        <v/>
      </c>
    </row>
    <row r="1892" ht="15" customHeight="1" s="1">
      <c r="N1892">
        <f>IF(L1892="","",IF(2026-E1892&gt;0,L1892/(2026-E1892),L1892))</f>
        <v/>
      </c>
    </row>
    <row r="1893" ht="15" customHeight="1" s="1">
      <c r="N1893">
        <f>IF(L1893="","",IF(2026-E1893&gt;0,L1893/(2026-E1893),L1893))</f>
        <v/>
      </c>
    </row>
    <row r="1894" ht="15" customHeight="1" s="1">
      <c r="N1894">
        <f>IF(L1894="","",IF(2026-E1894&gt;0,L1894/(2026-E1894),L1894))</f>
        <v/>
      </c>
    </row>
    <row r="1895" ht="15" customHeight="1" s="1">
      <c r="N1895">
        <f>IF(L1895="","",IF(2026-E1895&gt;0,L1895/(2026-E1895),L1895))</f>
        <v/>
      </c>
    </row>
    <row r="1896" ht="15" customHeight="1" s="1">
      <c r="N1896">
        <f>IF(L1896="","",IF(2026-E1896&gt;0,L1896/(2026-E1896),L1896))</f>
        <v/>
      </c>
    </row>
    <row r="1897" ht="15" customHeight="1" s="1">
      <c r="N1897">
        <f>IF(L1897="","",IF(2026-E1897&gt;0,L1897/(2026-E1897),L1897))</f>
        <v/>
      </c>
    </row>
    <row r="1898" ht="15" customHeight="1" s="1">
      <c r="N1898">
        <f>IF(L1898="","",IF(2026-E1898&gt;0,L1898/(2026-E1898),L1898))</f>
        <v/>
      </c>
    </row>
    <row r="1899" ht="15" customHeight="1" s="1">
      <c r="N1899">
        <f>IF(L1899="","",IF(2026-E1899&gt;0,L1899/(2026-E1899),L1899))</f>
        <v/>
      </c>
    </row>
    <row r="1900" ht="15" customHeight="1" s="1">
      <c r="N1900">
        <f>IF(L1900="","",IF(2026-E1900&gt;0,L1900/(2026-E1900),L1900))</f>
        <v/>
      </c>
    </row>
    <row r="1901" ht="15" customHeight="1" s="1">
      <c r="N1901">
        <f>IF(L1901="","",IF(2026-E1901&gt;0,L1901/(2026-E1901),L1901))</f>
        <v/>
      </c>
    </row>
    <row r="1902" ht="15" customHeight="1" s="1">
      <c r="N1902">
        <f>IF(L1902="","",IF(2026-E1902&gt;0,L1902/(2026-E1902),L1902))</f>
        <v/>
      </c>
    </row>
    <row r="1903" ht="15" customHeight="1" s="1">
      <c r="N1903">
        <f>IF(L1903="","",IF(2026-E1903&gt;0,L1903/(2026-E1903),L1903))</f>
        <v/>
      </c>
    </row>
    <row r="1904" ht="15" customHeight="1" s="1">
      <c r="N1904">
        <f>IF(L1904="","",IF(2026-E1904&gt;0,L1904/(2026-E1904),L1904))</f>
        <v/>
      </c>
    </row>
    <row r="1905" ht="15" customHeight="1" s="1">
      <c r="N1905">
        <f>IF(L1905="","",IF(2026-E1905&gt;0,L1905/(2026-E1905),L1905))</f>
        <v/>
      </c>
    </row>
    <row r="1906" ht="15" customHeight="1" s="1">
      <c r="N1906">
        <f>IF(L1906="","",IF(2026-E1906&gt;0,L1906/(2026-E1906),L1906))</f>
        <v/>
      </c>
    </row>
    <row r="1907" ht="15" customHeight="1" s="1">
      <c r="N1907">
        <f>IF(L1907="","",IF(2026-E1907&gt;0,L1907/(2026-E1907),L1907))</f>
        <v/>
      </c>
    </row>
    <row r="1908" ht="15" customHeight="1" s="1">
      <c r="N1908">
        <f>IF(L1908="","",IF(2026-E1908&gt;0,L1908/(2026-E1908),L1908))</f>
        <v/>
      </c>
    </row>
    <row r="1909" ht="15" customHeight="1" s="1">
      <c r="N1909">
        <f>IF(L1909="","",IF(2026-E1909&gt;0,L1909/(2026-E1909),L1909))</f>
        <v/>
      </c>
    </row>
    <row r="1910" ht="15" customHeight="1" s="1">
      <c r="N1910">
        <f>IF(L1910="","",IF(2026-E1910&gt;0,L1910/(2026-E1910),L1910))</f>
        <v/>
      </c>
    </row>
    <row r="1911" ht="15" customHeight="1" s="1">
      <c r="N1911">
        <f>IF(L1911="","",IF(2026-E1911&gt;0,L1911/(2026-E1911),L1911))</f>
        <v/>
      </c>
    </row>
    <row r="1912" ht="15" customHeight="1" s="1">
      <c r="N1912">
        <f>IF(L1912="","",IF(2026-E1912&gt;0,L1912/(2026-E1912),L1912))</f>
        <v/>
      </c>
    </row>
    <row r="1913" ht="15" customHeight="1" s="1">
      <c r="N1913">
        <f>IF(L1913="","",IF(2026-E1913&gt;0,L1913/(2026-E1913),L1913))</f>
        <v/>
      </c>
    </row>
    <row r="1914" ht="15" customHeight="1" s="1">
      <c r="N1914">
        <f>IF(L1914="","",IF(2026-E1914&gt;0,L1914/(2026-E1914),L1914))</f>
        <v/>
      </c>
    </row>
    <row r="1915" ht="15" customHeight="1" s="1">
      <c r="N1915">
        <f>IF(L1915="","",IF(2026-E1915&gt;0,L1915/(2026-E1915),L1915))</f>
        <v/>
      </c>
    </row>
    <row r="1916" ht="15" customHeight="1" s="1">
      <c r="N1916">
        <f>IF(L1916="","",IF(2026-E1916&gt;0,L1916/(2026-E1916),L1916))</f>
        <v/>
      </c>
    </row>
    <row r="1917" ht="15" customHeight="1" s="1">
      <c r="N1917">
        <f>IF(L1917="","",IF(2026-E1917&gt;0,L1917/(2026-E1917),L1917))</f>
        <v/>
      </c>
    </row>
    <row r="1918" ht="15" customHeight="1" s="1">
      <c r="N1918">
        <f>IF(L1918="","",IF(2026-E1918&gt;0,L1918/(2026-E1918),L1918))</f>
        <v/>
      </c>
    </row>
    <row r="1919" ht="15" customHeight="1" s="1">
      <c r="N1919">
        <f>IF(L1919="","",IF(2026-E1919&gt;0,L1919/(2026-E1919),L1919))</f>
        <v/>
      </c>
    </row>
    <row r="1920" ht="15" customHeight="1" s="1">
      <c r="N1920">
        <f>IF(L1920="","",IF(2026-E1920&gt;0,L1920/(2026-E1920),L1920))</f>
        <v/>
      </c>
    </row>
    <row r="1921" ht="15" customHeight="1" s="1">
      <c r="N1921">
        <f>IF(L1921="","",IF(2026-E1921&gt;0,L1921/(2026-E1921),L1921))</f>
        <v/>
      </c>
    </row>
    <row r="1922" ht="15" customHeight="1" s="1">
      <c r="N1922">
        <f>IF(L1922="","",IF(2026-E1922&gt;0,L1922/(2026-E1922),L1922))</f>
        <v/>
      </c>
    </row>
    <row r="1923" ht="15" customHeight="1" s="1">
      <c r="N1923">
        <f>IF(L1923="","",IF(2026-E1923&gt;0,L1923/(2026-E1923),L1923))</f>
        <v/>
      </c>
    </row>
    <row r="1924" ht="15" customHeight="1" s="1">
      <c r="N1924">
        <f>IF(L1924="","",IF(2026-E1924&gt;0,L1924/(2026-E1924),L1924))</f>
        <v/>
      </c>
    </row>
    <row r="1925" ht="15" customHeight="1" s="1">
      <c r="N1925">
        <f>IF(L1925="","",IF(2026-E1925&gt;0,L1925/(2026-E1925),L1925))</f>
        <v/>
      </c>
    </row>
    <row r="1926" ht="15" customHeight="1" s="1">
      <c r="N1926">
        <f>IF(L1926="","",IF(2026-E1926&gt;0,L1926/(2026-E1926),L1926))</f>
        <v/>
      </c>
    </row>
    <row r="1927" ht="15" customHeight="1" s="1">
      <c r="N1927">
        <f>IF(L1927="","",IF(2026-E1927&gt;0,L1927/(2026-E1927),L1927))</f>
        <v/>
      </c>
    </row>
    <row r="1928" ht="15" customHeight="1" s="1">
      <c r="N1928">
        <f>IF(L1928="","",IF(2026-E1928&gt;0,L1928/(2026-E1928),L1928))</f>
        <v/>
      </c>
    </row>
    <row r="1929" ht="15" customHeight="1" s="1">
      <c r="N1929">
        <f>IF(L1929="","",IF(2026-E1929&gt;0,L1929/(2026-E1929),L1929))</f>
        <v/>
      </c>
    </row>
    <row r="1930" ht="15" customHeight="1" s="1">
      <c r="N1930">
        <f>IF(L1930="","",IF(2026-E1930&gt;0,L1930/(2026-E1930),L1930))</f>
        <v/>
      </c>
    </row>
    <row r="1931" ht="15" customHeight="1" s="1">
      <c r="N1931">
        <f>IF(L1931="","",IF(2026-E1931&gt;0,L1931/(2026-E1931),L1931))</f>
        <v/>
      </c>
    </row>
    <row r="1932" ht="15" customHeight="1" s="1">
      <c r="N1932">
        <f>IF(L1932="","",IF(2026-E1932&gt;0,L1932/(2026-E1932),L1932))</f>
        <v/>
      </c>
    </row>
    <row r="1933" ht="15" customHeight="1" s="1">
      <c r="N1933">
        <f>IF(L1933="","",IF(2026-E1933&gt;0,L1933/(2026-E1933),L1933))</f>
        <v/>
      </c>
    </row>
    <row r="1934" ht="15" customHeight="1" s="1">
      <c r="N1934">
        <f>IF(L1934="","",IF(2026-E1934&gt;0,L1934/(2026-E1934),L1934))</f>
        <v/>
      </c>
    </row>
    <row r="1935" ht="15" customHeight="1" s="1">
      <c r="N1935">
        <f>IF(L1935="","",IF(2026-E1935&gt;0,L1935/(2026-E1935),L1935))</f>
        <v/>
      </c>
    </row>
    <row r="1936" ht="15" customHeight="1" s="1">
      <c r="N1936">
        <f>IF(L1936="","",IF(2026-E1936&gt;0,L1936/(2026-E1936),L1936))</f>
        <v/>
      </c>
    </row>
    <row r="1937" ht="15" customHeight="1" s="1">
      <c r="N1937">
        <f>IF(L1937="","",IF(2026-E1937&gt;0,L1937/(2026-E1937),L1937))</f>
        <v/>
      </c>
    </row>
    <row r="1938" ht="15" customHeight="1" s="1">
      <c r="N1938">
        <f>IF(L1938="","",IF(2026-E1938&gt;0,L1938/(2026-E1938),L1938))</f>
        <v/>
      </c>
    </row>
    <row r="1939" ht="15" customHeight="1" s="1">
      <c r="N1939">
        <f>IF(L1939="","",IF(2026-E1939&gt;0,L1939/(2026-E1939),L1939))</f>
        <v/>
      </c>
    </row>
    <row r="1940" ht="15" customHeight="1" s="1">
      <c r="N1940">
        <f>IF(L1940="","",IF(2026-E1940&gt;0,L1940/(2026-E1940),L1940))</f>
        <v/>
      </c>
    </row>
    <row r="1941" ht="15" customHeight="1" s="1">
      <c r="N1941">
        <f>IF(L1941="","",IF(2026-E1941&gt;0,L1941/(2026-E1941),L1941))</f>
        <v/>
      </c>
    </row>
    <row r="1942" ht="15" customHeight="1" s="1">
      <c r="N1942">
        <f>IF(L1942="","",IF(2026-E1942&gt;0,L1942/(2026-E1942),L1942))</f>
        <v/>
      </c>
    </row>
    <row r="1943" ht="15" customHeight="1" s="1">
      <c r="N1943">
        <f>IF(L1943="","",IF(2026-E1943&gt;0,L1943/(2026-E1943),L1943))</f>
        <v/>
      </c>
    </row>
    <row r="1944" ht="15" customHeight="1" s="1">
      <c r="N1944">
        <f>IF(L1944="","",IF(2026-E1944&gt;0,L1944/(2026-E1944),L1944))</f>
        <v/>
      </c>
    </row>
    <row r="1945" ht="15" customHeight="1" s="1">
      <c r="N1945">
        <f>IF(L1945="","",IF(2026-E1945&gt;0,L1945/(2026-E1945),L1945))</f>
        <v/>
      </c>
    </row>
    <row r="1946" ht="15" customHeight="1" s="1">
      <c r="N1946">
        <f>IF(L1946="","",IF(2026-E1946&gt;0,L1946/(2026-E1946),L1946))</f>
        <v/>
      </c>
    </row>
    <row r="1947" ht="15" customHeight="1" s="1">
      <c r="N1947">
        <f>IF(L1947="","",IF(2026-E1947&gt;0,L1947/(2026-E1947),L1947))</f>
        <v/>
      </c>
    </row>
    <row r="1948" ht="15" customHeight="1" s="1">
      <c r="N1948">
        <f>IF(L1948="","",IF(2026-E1948&gt;0,L1948/(2026-E1948),L1948))</f>
        <v/>
      </c>
    </row>
    <row r="1949" ht="15" customHeight="1" s="1">
      <c r="N1949">
        <f>IF(L1949="","",IF(2026-E1949&gt;0,L1949/(2026-E1949),L1949))</f>
        <v/>
      </c>
    </row>
    <row r="1950" ht="15" customHeight="1" s="1">
      <c r="N1950">
        <f>IF(L1950="","",IF(2026-E1950&gt;0,L1950/(2026-E1950),L1950))</f>
        <v/>
      </c>
    </row>
    <row r="1951" ht="15" customHeight="1" s="1">
      <c r="N1951">
        <f>IF(L1951="","",IF(2026-E1951&gt;0,L1951/(2026-E1951),L1951))</f>
        <v/>
      </c>
    </row>
    <row r="1952" ht="15" customHeight="1" s="1">
      <c r="N1952">
        <f>IF(L1952="","",IF(2026-E1952&gt;0,L1952/(2026-E1952),L1952))</f>
        <v/>
      </c>
    </row>
    <row r="1953" ht="15" customHeight="1" s="1">
      <c r="N1953">
        <f>IF(L1953="","",IF(2026-E1953&gt;0,L1953/(2026-E1953),L1953))</f>
        <v/>
      </c>
    </row>
    <row r="1954" ht="15" customHeight="1" s="1">
      <c r="N1954">
        <f>IF(L1954="","",IF(2026-E1954&gt;0,L1954/(2026-E1954),L1954))</f>
        <v/>
      </c>
    </row>
    <row r="1955" ht="15" customHeight="1" s="1">
      <c r="N1955">
        <f>IF(L1955="","",IF(2026-E1955&gt;0,L1955/(2026-E1955),L1955))</f>
        <v/>
      </c>
    </row>
    <row r="1956" ht="15" customHeight="1" s="1">
      <c r="N1956">
        <f>IF(L1956="","",IF(2026-E1956&gt;0,L1956/(2026-E1956),L1956))</f>
        <v/>
      </c>
    </row>
    <row r="1957" ht="15" customHeight="1" s="1">
      <c r="N1957">
        <f>IF(L1957="","",IF(2026-E1957&gt;0,L1957/(2026-E1957),L1957))</f>
        <v/>
      </c>
    </row>
    <row r="1958" ht="15" customHeight="1" s="1">
      <c r="N1958">
        <f>IF(L1958="","",IF(2026-E1958&gt;0,L1958/(2026-E1958),L1958))</f>
        <v/>
      </c>
    </row>
    <row r="1959" ht="15" customHeight="1" s="1">
      <c r="N1959">
        <f>IF(L1959="","",IF(2026-E1959&gt;0,L1959/(2026-E1959),L1959))</f>
        <v/>
      </c>
    </row>
    <row r="1960" ht="15" customHeight="1" s="1">
      <c r="N1960">
        <f>IF(L1960="","",IF(2026-E1960&gt;0,L1960/(2026-E1960),L1960))</f>
        <v/>
      </c>
    </row>
    <row r="1961" ht="15" customHeight="1" s="1">
      <c r="N1961">
        <f>IF(L1961="","",IF(2026-E1961&gt;0,L1961/(2026-E1961),L1961))</f>
        <v/>
      </c>
    </row>
    <row r="1962" ht="15" customHeight="1" s="1">
      <c r="N1962">
        <f>IF(L1962="","",IF(2026-E1962&gt;0,L1962/(2026-E1962),L1962))</f>
        <v/>
      </c>
    </row>
    <row r="1963" ht="15" customHeight="1" s="1">
      <c r="N1963">
        <f>IF(L1963="","",IF(2026-E1963&gt;0,L1963/(2026-E1963),L1963))</f>
        <v/>
      </c>
    </row>
    <row r="1964" ht="15" customHeight="1" s="1">
      <c r="N1964">
        <f>IF(L1964="","",IF(2026-E1964&gt;0,L1964/(2026-E1964),L1964))</f>
        <v/>
      </c>
    </row>
    <row r="1965" ht="15" customHeight="1" s="1">
      <c r="N1965">
        <f>IF(L1965="","",IF(2026-E1965&gt;0,L1965/(2026-E1965),L1965))</f>
        <v/>
      </c>
    </row>
    <row r="1966" ht="15" customHeight="1" s="1">
      <c r="N1966">
        <f>IF(L1966="","",IF(2026-E1966&gt;0,L1966/(2026-E1966),L1966))</f>
        <v/>
      </c>
    </row>
    <row r="1967" ht="15" customHeight="1" s="1">
      <c r="N1967">
        <f>IF(L1967="","",IF(2026-E1967&gt;0,L1967/(2026-E1967),L1967))</f>
        <v/>
      </c>
    </row>
    <row r="1968" ht="15" customHeight="1" s="1">
      <c r="N1968">
        <f>IF(L1968="","",IF(2026-E1968&gt;0,L1968/(2026-E1968),L1968))</f>
        <v/>
      </c>
    </row>
    <row r="1969" ht="15" customHeight="1" s="1">
      <c r="N1969">
        <f>IF(L1969="","",IF(2026-E1969&gt;0,L1969/(2026-E1969),L1969))</f>
        <v/>
      </c>
    </row>
    <row r="1970" ht="15" customHeight="1" s="1">
      <c r="N1970">
        <f>IF(L1970="","",IF(2026-E1970&gt;0,L1970/(2026-E1970),L1970))</f>
        <v/>
      </c>
    </row>
    <row r="1971" ht="15" customHeight="1" s="1">
      <c r="N1971">
        <f>IF(L1971="","",IF(2026-E1971&gt;0,L1971/(2026-E1971),L1971))</f>
        <v/>
      </c>
    </row>
    <row r="1972" ht="15" customHeight="1" s="1">
      <c r="N1972">
        <f>IF(L1972="","",IF(2026-E1972&gt;0,L1972/(2026-E1972),L1972))</f>
        <v/>
      </c>
    </row>
    <row r="1973" ht="15" customHeight="1" s="1">
      <c r="N1973">
        <f>IF(L1973="","",IF(2026-E1973&gt;0,L1973/(2026-E1973),L1973))</f>
        <v/>
      </c>
    </row>
    <row r="1974" ht="15" customHeight="1" s="1">
      <c r="N1974">
        <f>IF(L1974="","",IF(2026-E1974&gt;0,L1974/(2026-E1974),L1974))</f>
        <v/>
      </c>
    </row>
    <row r="1975" ht="15" customHeight="1" s="1">
      <c r="N1975">
        <f>IF(L1975="","",IF(2026-E1975&gt;0,L1975/(2026-E1975),L1975))</f>
        <v/>
      </c>
    </row>
    <row r="1976" ht="15" customHeight="1" s="1">
      <c r="N1976">
        <f>IF(L1976="","",IF(2026-E1976&gt;0,L1976/(2026-E1976),L1976))</f>
        <v/>
      </c>
    </row>
    <row r="1977" ht="15" customHeight="1" s="1">
      <c r="N1977">
        <f>IF(L1977="","",IF(2026-E1977&gt;0,L1977/(2026-E1977),L1977))</f>
        <v/>
      </c>
    </row>
    <row r="1978" ht="15" customHeight="1" s="1">
      <c r="N1978">
        <f>IF(L1978="","",IF(2026-E1978&gt;0,L1978/(2026-E1978),L1978))</f>
        <v/>
      </c>
    </row>
    <row r="1979" ht="15" customHeight="1" s="1">
      <c r="N1979">
        <f>IF(L1979="","",IF(2026-E1979&gt;0,L1979/(2026-E1979),L1979))</f>
        <v/>
      </c>
    </row>
    <row r="1980" ht="15" customHeight="1" s="1">
      <c r="N1980">
        <f>IF(L1980="","",IF(2026-E1980&gt;0,L1980/(2026-E1980),L1980))</f>
        <v/>
      </c>
    </row>
    <row r="1981" ht="15" customHeight="1" s="1">
      <c r="N1981">
        <f>IF(L1981="","",IF(2026-E1981&gt;0,L1981/(2026-E1981),L1981))</f>
        <v/>
      </c>
    </row>
    <row r="1982" ht="15" customHeight="1" s="1">
      <c r="N1982">
        <f>IF(L1982="","",IF(2026-E1982&gt;0,L1982/(2026-E1982),L1982))</f>
        <v/>
      </c>
    </row>
    <row r="1983" ht="15" customHeight="1" s="1">
      <c r="N1983">
        <f>IF(L1983="","",IF(2026-E1983&gt;0,L1983/(2026-E1983),L1983))</f>
        <v/>
      </c>
    </row>
    <row r="1984" ht="15" customHeight="1" s="1">
      <c r="N1984">
        <f>IF(L1984="","",IF(2026-E1984&gt;0,L1984/(2026-E1984),L1984))</f>
        <v/>
      </c>
    </row>
    <row r="1985" ht="15" customHeight="1" s="1">
      <c r="N1985">
        <f>IF(L1985="","",IF(2026-E1985&gt;0,L1985/(2026-E1985),L1985))</f>
        <v/>
      </c>
    </row>
    <row r="1986" ht="15" customHeight="1" s="1">
      <c r="N1986">
        <f>IF(L1986="","",IF(2026-E1986&gt;0,L1986/(2026-E1986),L1986))</f>
        <v/>
      </c>
    </row>
    <row r="1987" ht="15" customHeight="1" s="1">
      <c r="N1987">
        <f>IF(L1987="","",IF(2026-E1987&gt;0,L1987/(2026-E1987),L1987))</f>
        <v/>
      </c>
    </row>
    <row r="1988" ht="15" customHeight="1" s="1">
      <c r="N1988">
        <f>IF(L1988="","",IF(2026-E1988&gt;0,L1988/(2026-E1988),L1988))</f>
        <v/>
      </c>
    </row>
    <row r="1989" ht="15" customHeight="1" s="1">
      <c r="N1989">
        <f>IF(L1989="","",IF(2026-E1989&gt;0,L1989/(2026-E1989),L1989))</f>
        <v/>
      </c>
    </row>
    <row r="1990" ht="15" customHeight="1" s="1">
      <c r="N1990">
        <f>IF(L1990="","",IF(2026-E1990&gt;0,L1990/(2026-E1990),L1990))</f>
        <v/>
      </c>
    </row>
    <row r="1991" ht="15" customHeight="1" s="1">
      <c r="N1991">
        <f>IF(L1991="","",IF(2026-E1991&gt;0,L1991/(2026-E1991),L1991))</f>
        <v/>
      </c>
    </row>
    <row r="1992" ht="15" customHeight="1" s="1">
      <c r="N1992">
        <f>IF(L1992="","",IF(2026-E1992&gt;0,L1992/(2026-E1992),L1992))</f>
        <v/>
      </c>
    </row>
    <row r="1993" ht="15" customHeight="1" s="1">
      <c r="N1993">
        <f>IF(L1993="","",IF(2026-E1993&gt;0,L1993/(2026-E1993),L1993))</f>
        <v/>
      </c>
    </row>
    <row r="1994" ht="15" customHeight="1" s="1">
      <c r="N1994">
        <f>IF(L1994="","",IF(2026-E1994&gt;0,L1994/(2026-E1994),L1994))</f>
        <v/>
      </c>
    </row>
    <row r="1995" ht="15" customHeight="1" s="1">
      <c r="N1995">
        <f>IF(L1995="","",IF(2026-E1995&gt;0,L1995/(2026-E1995),L1995))</f>
        <v/>
      </c>
    </row>
    <row r="1996" ht="15" customHeight="1" s="1">
      <c r="N1996">
        <f>IF(L1996="","",IF(2026-E1996&gt;0,L1996/(2026-E1996),L1996))</f>
        <v/>
      </c>
    </row>
    <row r="1997" ht="15" customHeight="1" s="1">
      <c r="N1997">
        <f>IF(L1997="","",IF(2026-E1997&gt;0,L1997/(2026-E1997),L1997))</f>
        <v/>
      </c>
    </row>
    <row r="1998" ht="15" customHeight="1" s="1">
      <c r="N1998">
        <f>IF(L1998="","",IF(2026-E1998&gt;0,L1998/(2026-E1998),L1998))</f>
        <v/>
      </c>
    </row>
    <row r="1999" ht="15" customHeight="1" s="1">
      <c r="N1999">
        <f>IF(L1999="","",IF(2026-E1999&gt;0,L1999/(2026-E1999),L1999))</f>
        <v/>
      </c>
    </row>
    <row r="2000" ht="15" customHeight="1" s="1">
      <c r="N2000">
        <f>IF(L2000="","",IF(2026-E2000&gt;0,L2000/(2026-E2000),L2000))</f>
        <v/>
      </c>
    </row>
  </sheetData>
  <dataValidations count="3">
    <dataValidation sqref="G2:H2000" showDropDown="0" showInputMessage="0" showErrorMessage="0" allowBlank="1" type="list">
      <formula1>"include,exclude,unsure"</formula1>
      <formula2>0</formula2>
    </dataValidation>
    <dataValidation sqref="J2:J2000" showDropDown="0" showInputMessage="0" showErrorMessage="0" allowBlank="1" type="list">
      <formula1>"P1,P2,P3,P4"</formula1>
      <formula2>0</formula2>
    </dataValidation>
    <dataValidation sqref="K2:K2000 O2:O2000" showDropDown="0" showInputMessage="0" showErrorMessage="0" allowBlank="1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500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0" customWidth="1" style="1" min="1" max="2"/>
    <col width="8" customWidth="1" style="1" min="3" max="3"/>
    <col width="14" customWidth="1" style="1" min="4" max="4"/>
    <col width="60" customWidth="1" style="1" min="5" max="5"/>
    <col width="12" customWidth="1" style="1" min="6" max="6"/>
    <col width="16" customWidth="1" style="1" min="7" max="7"/>
    <col width="12" customWidth="1" style="1" min="8" max="9"/>
    <col width="10" customWidth="1" style="1" min="10" max="13"/>
    <col width="12" customWidth="1" style="1" min="14" max="15"/>
    <col width="26" customWidth="1" style="1" min="16" max="16"/>
    <col width="12" customWidth="1" style="1" min="17" max="18"/>
    <col width="30" customWidth="1" style="1" min="19" max="20"/>
    <col width="14" customWidth="1" style="1" min="21" max="21"/>
    <col width="20" customWidth="1" style="1" min="22" max="22"/>
    <col width="22" customWidth="1" style="1" min="23" max="23"/>
    <col width="16" customWidth="1" style="1" min="24" max="24"/>
    <col width="22" customWidth="1" style="1" min="25" max="25"/>
    <col width="20" customWidth="1" style="1" min="26" max="26"/>
    <col width="14" customWidth="1" style="1" min="27" max="27"/>
  </cols>
  <sheetData>
    <row r="1" ht="15" customHeight="1" s="1">
      <c r="A1" s="7" t="inlineStr">
        <is>
          <t>claim_id</t>
        </is>
      </c>
      <c r="B1" s="7" t="inlineStr">
        <is>
          <t>article_id</t>
        </is>
      </c>
      <c r="C1" s="7" t="inlineStr">
        <is>
          <t>coder</t>
        </is>
      </c>
      <c r="D1" s="7" t="inlineStr">
        <is>
          <t>location</t>
        </is>
      </c>
      <c r="E1" s="7" t="inlineStr">
        <is>
          <t>claim_text</t>
        </is>
      </c>
      <c r="F1" s="7" t="inlineStr">
        <is>
          <t>claim_type</t>
        </is>
      </c>
      <c r="G1" s="7" t="inlineStr">
        <is>
          <t>warrants_present</t>
        </is>
      </c>
      <c r="H1" s="7" t="inlineStr">
        <is>
          <t>primary_warrant</t>
        </is>
      </c>
      <c r="I1" s="7" t="inlineStr">
        <is>
          <t>w3_subcode</t>
        </is>
      </c>
      <c r="J1" s="7" t="inlineStr">
        <is>
          <t>positioning</t>
        </is>
      </c>
      <c r="K1" s="7" t="inlineStr">
        <is>
          <t>scope_conditions</t>
        </is>
      </c>
      <c r="L1" s="7" t="inlineStr">
        <is>
          <t>conjectural_status</t>
        </is>
      </c>
      <c r="M1" s="7" t="inlineStr">
        <is>
          <t>falsifier</t>
        </is>
      </c>
      <c r="N1" s="7" t="inlineStr">
        <is>
          <t>canonical_claim_id</t>
        </is>
      </c>
      <c r="O1" s="7" t="inlineStr">
        <is>
          <t>citation_valence</t>
        </is>
      </c>
      <c r="P1" s="7" t="inlineStr">
        <is>
          <t>fit_key</t>
        </is>
      </c>
      <c r="Q1" s="7" t="inlineStr">
        <is>
          <t>fit_computed</t>
        </is>
      </c>
      <c r="R1" s="7" t="inlineStr">
        <is>
          <t>fit_final</t>
        </is>
      </c>
      <c r="S1" s="7" t="inlineStr">
        <is>
          <t>override_reason</t>
        </is>
      </c>
      <c r="T1" s="7" t="inlineStr">
        <is>
          <t>notes</t>
        </is>
      </c>
      <c r="U1" s="9" t="inlineStr">
        <is>
          <t>w4_developed</t>
        </is>
      </c>
      <c r="V1" s="9" t="inlineStr">
        <is>
          <t>orig_scope_conditions</t>
        </is>
      </c>
      <c r="W1" s="9" t="inlineStr">
        <is>
          <t>orig_conjectural_status</t>
        </is>
      </c>
      <c r="X1" s="9" t="inlineStr">
        <is>
          <t>orig_falsifier</t>
        </is>
      </c>
      <c r="Y1" s="9" t="inlineStr">
        <is>
          <t>w3_source_peer_reviewed</t>
        </is>
      </c>
      <c r="Z1" s="9" t="inlineStr">
        <is>
          <t>secondary_claim_type</t>
        </is>
      </c>
      <c r="AA1" s="9" t="inlineStr">
        <is>
          <t>p4_causal_flag</t>
        </is>
      </c>
    </row>
    <row r="2" ht="15" customHeight="1" s="1">
      <c r="A2" s="8" t="inlineStr">
        <is>
          <t>K0001</t>
        </is>
      </c>
      <c r="B2" s="8" t="inlineStr">
        <is>
          <t>A002</t>
        </is>
      </c>
      <c r="C2" s="8" t="inlineStr">
        <is>
          <t>CL</t>
        </is>
      </c>
      <c r="D2" s="8" t="inlineStr">
        <is>
          <t>abstract</t>
        </is>
      </c>
      <c r="E2" s="8" t="inlineStr">
        <is>
          <t>AI more closely resembles enabling technologies such as the combustion engine or electricity than a specific weapon</t>
        </is>
      </c>
      <c r="F2" s="8" t="inlineStr">
        <is>
          <t>conceptual</t>
        </is>
      </c>
      <c r="G2" s="8" t="inlineStr">
        <is>
          <t>W4;W5</t>
        </is>
      </c>
      <c r="H2" s="8" t="inlineStr">
        <is>
          <t>W4</t>
        </is>
      </c>
      <c r="I2" s="8" t="n"/>
      <c r="J2" s="8" t="inlineStr">
        <is>
          <t>P4</t>
        </is>
      </c>
      <c r="K2" s="8" t="inlineStr">
        <is>
          <t>NA</t>
        </is>
      </c>
      <c r="L2" s="8" t="inlineStr">
        <is>
          <t>NA</t>
        </is>
      </c>
      <c r="M2" s="8" t="inlineStr">
        <is>
          <t>NA</t>
        </is>
      </c>
      <c r="N2" s="8" t="n"/>
      <c r="O2" s="8" t="n"/>
      <c r="P2">
        <f>IF(OR(F2="",H2="",J2=""),"",J2&amp;"|"&amp;F2&amp;"|"&amp;IF(H2="W3","W3_"&amp;IF(I2="","unknown",I2),H2))</f>
        <v/>
      </c>
      <c r="Q2">
        <f>IF(P2="","",IFERROR(IF(AND(H2="W7",OR(F2="causal",F2="predictive")),IF(AND(OR(K2=1,K2="1"),OR(L2=1,L2="1"),OR(M2=1,M2="1")),"adequate","partial"),IF(AND(H2="W4",F2="predictive",OR(J2="P2",J2="P3",J2="P4")),IF(OR(U2=1,U2="1"),"adequate","partial"),INDEX(Fit_Matrix!$B:$B,MATCH(P2,Fit_Matrix!$A:$A,0)))),"CHECK KEY"))</f>
        <v/>
      </c>
      <c r="R2" s="8" t="inlineStr">
        <is>
          <t>adequate</t>
        </is>
      </c>
      <c r="S2" s="8" t="n"/>
      <c r="T2" s="8" t="inlineStr">
        <is>
          <t>developed analogy (full subsection 'AI Is an Enabler')</t>
        </is>
      </c>
      <c r="U2" s="10" t="inlineStr">
        <is>
          <t>NA</t>
        </is>
      </c>
      <c r="V2" s="10" t="inlineStr">
        <is>
          <t>NA</t>
        </is>
      </c>
      <c r="W2" s="10" t="inlineStr">
        <is>
          <t>NA</t>
        </is>
      </c>
      <c r="X2" s="10" t="inlineStr">
        <is>
          <t>NA</t>
        </is>
      </c>
      <c r="Y2" s="10" t="inlineStr">
        <is>
          <t>NA</t>
        </is>
      </c>
      <c r="Z2" s="10" t="inlineStr">
        <is>
          <t>NA</t>
        </is>
      </c>
      <c r="AA2" s="11">
        <f>IF(A2="","",IF(AND(J2="P4",F2="causal"),"P4-CAUSAL",""))</f>
        <v/>
      </c>
    </row>
    <row r="3" ht="15" customHeight="1" s="1">
      <c r="A3" s="8" t="inlineStr">
        <is>
          <t>K0002</t>
        </is>
      </c>
      <c r="B3" s="8" t="inlineStr">
        <is>
          <t>A002</t>
        </is>
      </c>
      <c r="C3" s="8" t="inlineStr">
        <is>
          <t>CL</t>
        </is>
      </c>
      <c r="D3" s="8" t="inlineStr">
        <is>
          <t>introduction</t>
        </is>
      </c>
      <c r="E3" s="8" t="inlineStr">
        <is>
          <t>If commercially driven AI fuels innovation and military algorithms are close to civilian ones, AI will diffuse rapidly to militaries, limiting first-mover advantages</t>
        </is>
      </c>
      <c r="F3" s="8" t="inlineStr">
        <is>
          <t>predictive</t>
        </is>
      </c>
      <c r="G3" s="8" t="inlineStr">
        <is>
          <t>W5;W4;W7</t>
        </is>
      </c>
      <c r="H3" s="8" t="inlineStr">
        <is>
          <t>W7</t>
        </is>
      </c>
      <c r="I3" s="8" t="n"/>
      <c r="J3" s="8" t="inlineStr">
        <is>
          <t>P4</t>
        </is>
      </c>
      <c r="K3" s="8" t="n">
        <v>1</v>
      </c>
      <c r="L3" s="8" t="n">
        <v>1</v>
      </c>
      <c r="M3" s="8" t="n">
        <v>0</v>
      </c>
      <c r="N3" s="8" t="inlineStr">
        <is>
          <t>C007</t>
        </is>
      </c>
      <c r="O3" s="8" t="n"/>
      <c r="P3">
        <f>IF(OR(F3="",H3="",J3=""),"",J3&amp;"|"&amp;F3&amp;"|"&amp;IF(H3="W3","W3_"&amp;IF(I3="","unknown",I3),H3))</f>
        <v/>
      </c>
      <c r="Q3">
        <f>IF(P3="","",IFERROR(IF(AND(H3="W7",OR(F3="causal",F3="predictive")),IF(AND(OR(K3=1,K3="1"),OR(L3=1,L3="1"),OR(M3=1,M3="1")),"adequate","partial"),IF(AND(H3="W4",F3="predictive",OR(J3="P2",J3="P3",J3="P4")),IF(OR(U3=1,U3="1"),"adequate","partial"),INDEX(Fit_Matrix!$B:$B,MATCH(P3,Fit_Matrix!$A:$A,0)))),"CHECK KEY"))</f>
        <v/>
      </c>
      <c r="R3" s="8" t="inlineStr">
        <is>
          <t>partial</t>
        </is>
      </c>
      <c r="S3" s="8" t="n"/>
      <c r="T3" s="8" t="inlineStr">
        <is>
          <t>explicit scenario framing ('explores the possibility'); scope stated; no falsifier named. Codebook note: scenario-conditional claims land at partial under current rule</t>
        </is>
      </c>
      <c r="U3" s="10" t="inlineStr">
        <is>
          <t>NA</t>
        </is>
      </c>
      <c r="V3" s="10" t="inlineStr">
        <is>
          <t>NA</t>
        </is>
      </c>
      <c r="W3" s="10" t="inlineStr">
        <is>
          <t>NA</t>
        </is>
      </c>
      <c r="X3" s="10" t="inlineStr">
        <is>
          <t>NA</t>
        </is>
      </c>
      <c r="Y3" s="10" t="inlineStr">
        <is>
          <t>NA</t>
        </is>
      </c>
      <c r="Z3" s="10" t="inlineStr">
        <is>
          <t>NA</t>
        </is>
      </c>
      <c r="AA3" s="11">
        <f>IF(A3="","",IF(AND(J3="P4",F3="causal"),"P4-CAUSAL",""))</f>
        <v/>
      </c>
    </row>
    <row r="4" ht="15" customHeight="1" s="1">
      <c r="A4" s="8" t="inlineStr">
        <is>
          <t>K0003</t>
        </is>
      </c>
      <c r="B4" s="8" t="inlineStr">
        <is>
          <t>A002</t>
        </is>
      </c>
      <c r="C4" s="8" t="inlineStr">
        <is>
          <t>CL</t>
        </is>
      </c>
      <c r="D4" s="8" t="inlineStr">
        <is>
          <t>introduction</t>
        </is>
      </c>
      <c r="E4" s="8" t="inlineStr">
        <is>
          <t>Military AI based more exclusively in defence research will generate larger first-mover advantages for early adopters</t>
        </is>
      </c>
      <c r="F4" s="8" t="inlineStr">
        <is>
          <t>predictive</t>
        </is>
      </c>
      <c r="G4" s="8" t="inlineStr">
        <is>
          <t>W5;W4;W7</t>
        </is>
      </c>
      <c r="H4" s="8" t="inlineStr">
        <is>
          <t>W7</t>
        </is>
      </c>
      <c r="I4" s="8" t="n"/>
      <c r="J4" s="8" t="inlineStr">
        <is>
          <t>P4</t>
        </is>
      </c>
      <c r="K4" s="8" t="n">
        <v>1</v>
      </c>
      <c r="L4" s="8" t="n">
        <v>1</v>
      </c>
      <c r="M4" s="8" t="n">
        <v>0</v>
      </c>
      <c r="N4" s="8" t="inlineStr">
        <is>
          <t>C007</t>
        </is>
      </c>
      <c r="O4" s="8" t="n"/>
      <c r="P4">
        <f>IF(OR(F4="",H4="",J4=""),"",J4&amp;"|"&amp;F4&amp;"|"&amp;IF(H4="W3","W3_"&amp;IF(I4="","unknown",I4),H4))</f>
        <v/>
      </c>
      <c r="Q4">
        <f>IF(P4="","",IFERROR(IF(AND(H4="W7",OR(F4="causal",F4="predictive")),IF(AND(OR(K4=1,K4="1"),OR(L4=1,L4="1"),OR(M4=1,M4="1")),"adequate","partial"),IF(AND(H4="W4",F4="predictive",OR(J4="P2",J4="P3",J4="P4")),IF(OR(U4=1,U4="1"),"adequate","partial"),INDEX(Fit_Matrix!$B:$B,MATCH(P4,Fit_Matrix!$A:$A,0)))),"CHECK KEY"))</f>
        <v/>
      </c>
      <c r="R4" s="8" t="inlineStr">
        <is>
          <t>partial</t>
        </is>
      </c>
      <c r="S4" s="8" t="n"/>
      <c r="T4" s="8" t="inlineStr">
        <is>
          <t>second scenario; 'it is plausible that'</t>
        </is>
      </c>
      <c r="U4" s="10" t="inlineStr">
        <is>
          <t>NA</t>
        </is>
      </c>
      <c r="V4" s="10" t="inlineStr">
        <is>
          <t>NA</t>
        </is>
      </c>
      <c r="W4" s="10" t="inlineStr">
        <is>
          <t>NA</t>
        </is>
      </c>
      <c r="X4" s="10" t="inlineStr">
        <is>
          <t>NA</t>
        </is>
      </c>
      <c r="Y4" s="10" t="inlineStr">
        <is>
          <t>NA</t>
        </is>
      </c>
      <c r="Z4" s="10" t="inlineStr">
        <is>
          <t>NA</t>
        </is>
      </c>
      <c r="AA4" s="11">
        <f>IF(A4="","",IF(AND(J4="P4",F4="causal"),"P4-CAUSAL",""))</f>
        <v/>
      </c>
    </row>
    <row r="5" ht="15" customHeight="1" s="1">
      <c r="A5" s="8" t="inlineStr">
        <is>
          <t>K0004</t>
        </is>
      </c>
      <c r="B5" s="8" t="inlineStr">
        <is>
          <t>A002</t>
        </is>
      </c>
      <c r="C5" s="8" t="inlineStr">
        <is>
          <t>CL</t>
        </is>
      </c>
      <c r="D5" s="8" t="inlineStr">
        <is>
          <t>body (Technology and BoP)</t>
        </is>
      </c>
      <c r="E5" s="8" t="inlineStr">
        <is>
          <t>The impact of technological change on global politics depends more on how organisations adopt and use capabilities than on the technology itself</t>
        </is>
      </c>
      <c r="F5" s="8" t="inlineStr">
        <is>
          <t>causal</t>
        </is>
      </c>
      <c r="G5" s="8" t="inlineStr">
        <is>
          <t>W3;W4</t>
        </is>
      </c>
      <c r="H5" s="8" t="inlineStr">
        <is>
          <t>W3</t>
        </is>
      </c>
      <c r="I5" s="8" t="inlineStr">
        <is>
          <t>to_W1W2</t>
        </is>
      </c>
      <c r="J5" s="8" t="inlineStr">
        <is>
          <t>P4</t>
        </is>
      </c>
      <c r="K5" s="8" t="inlineStr">
        <is>
          <t>NA</t>
        </is>
      </c>
      <c r="L5" s="8" t="inlineStr">
        <is>
          <t>NA</t>
        </is>
      </c>
      <c r="M5" s="8" t="inlineStr">
        <is>
          <t>NA</t>
        </is>
      </c>
      <c r="N5" s="8" t="inlineStr">
        <is>
          <t>C001</t>
        </is>
      </c>
      <c r="O5" s="8" t="inlineStr">
        <is>
          <t>supporting</t>
        </is>
      </c>
      <c r="P5">
        <f>IF(OR(F5="",H5="",J5=""),"",J5&amp;"|"&amp;F5&amp;"|"&amp;IF(H5="W3","W3_"&amp;IF(I5="","unknown",I5),H5))</f>
        <v/>
      </c>
      <c r="Q5">
        <f>IF(P5="","",IFERROR(IF(AND(H5="W7",OR(F5="causal",F5="predictive")),IF(AND(OR(K5=1,K5="1"),OR(L5=1,L5="1"),OR(M5=1,M5="1")),"adequate","partial"),IF(AND(H5="W4",F5="predictive",OR(J5="P2",J5="P3",J5="P4")),IF(OR(U5=1,U5="1"),"adequate","partial"),INDEX(Fit_Matrix!$B:$B,MATCH(P5,Fit_Matrix!$A:$A,0)))),"CHECK KEY"))</f>
        <v/>
      </c>
      <c r="R5" s="8" t="inlineStr">
        <is>
          <t>adequate</t>
        </is>
      </c>
      <c r="S5" s="8" t="n"/>
      <c r="T5" s="8" t="inlineStr">
        <is>
          <t>cites Posen, Rosen, Horowitz 2010 (case-based W2); P4 causal flagged</t>
        </is>
      </c>
      <c r="U5" s="10" t="inlineStr">
        <is>
          <t>NA</t>
        </is>
      </c>
      <c r="V5" s="10" t="inlineStr">
        <is>
          <t>NA</t>
        </is>
      </c>
      <c r="W5" s="10" t="inlineStr">
        <is>
          <t>NA</t>
        </is>
      </c>
      <c r="X5" s="10" t="inlineStr">
        <is>
          <t>NA</t>
        </is>
      </c>
      <c r="Y5" s="10" t="n">
        <v>1</v>
      </c>
      <c r="Z5" s="10" t="inlineStr">
        <is>
          <t>NA</t>
        </is>
      </c>
      <c r="AA5" s="11">
        <f>IF(A5="","",IF(AND(J5="P4",F5="causal"),"P4-CAUSAL",""))</f>
        <v/>
      </c>
    </row>
    <row r="6" ht="15" customHeight="1" s="1">
      <c r="A6" s="8" t="inlineStr">
        <is>
          <t>K0005</t>
        </is>
      </c>
      <c r="B6" s="8" t="inlineStr">
        <is>
          <t>A002</t>
        </is>
      </c>
      <c r="C6" s="8" t="inlineStr">
        <is>
          <t>CL</t>
        </is>
      </c>
      <c r="D6" s="8" t="inlineStr">
        <is>
          <t>body</t>
        </is>
      </c>
      <c r="E6" s="8" t="inlineStr">
        <is>
          <t>No applications of AI have yet been used in ways that would count as a military innovation</t>
        </is>
      </c>
      <c r="F6" s="8" t="inlineStr">
        <is>
          <t>descriptive</t>
        </is>
      </c>
      <c r="G6" s="8" t="inlineStr">
        <is>
          <t>W6</t>
        </is>
      </c>
      <c r="H6" s="8" t="inlineStr">
        <is>
          <t>W6</t>
        </is>
      </c>
      <c r="I6" s="8" t="n"/>
      <c r="J6" s="8" t="inlineStr">
        <is>
          <t>P4</t>
        </is>
      </c>
      <c r="K6" s="8" t="inlineStr">
        <is>
          <t>NA</t>
        </is>
      </c>
      <c r="L6" s="8" t="inlineStr">
        <is>
          <t>NA</t>
        </is>
      </c>
      <c r="M6" s="8" t="inlineStr">
        <is>
          <t>NA</t>
        </is>
      </c>
      <c r="N6" s="8" t="n"/>
      <c r="O6" s="8" t="n"/>
      <c r="P6">
        <f>IF(OR(F6="",H6="",J6=""),"",J6&amp;"|"&amp;F6&amp;"|"&amp;IF(H6="W3","W3_"&amp;IF(I6="","unknown",I6),H6))</f>
        <v/>
      </c>
      <c r="Q6">
        <f>IF(P6="","",IFERROR(IF(AND(H6="W7",OR(F6="causal",F6="predictive")),IF(AND(OR(K6=1,K6="1"),OR(L6=1,L6="1"),OR(M6=1,M6="1")),"adequate","partial"),IF(AND(H6="W4",F6="predictive",OR(J6="P2",J6="P3",J6="P4")),IF(OR(U6=1,U6="1"),"adequate","partial"),INDEX(Fit_Matrix!$B:$B,MATCH(P6,Fit_Matrix!$A:$A,0)))),"CHECK KEY"))</f>
        <v/>
      </c>
      <c r="R6" s="8" t="inlineStr">
        <is>
          <t>partial</t>
        </is>
      </c>
      <c r="S6" s="8" t="n"/>
      <c r="T6" s="8" t="inlineStr">
        <is>
          <t>warrant is Cummings (Chatham House report), expert judgment</t>
        </is>
      </c>
      <c r="U6" s="10" t="inlineStr">
        <is>
          <t>NA</t>
        </is>
      </c>
      <c r="V6" s="10" t="inlineStr">
        <is>
          <t>NA</t>
        </is>
      </c>
      <c r="W6" s="10" t="inlineStr">
        <is>
          <t>NA</t>
        </is>
      </c>
      <c r="X6" s="10" t="inlineStr">
        <is>
          <t>NA</t>
        </is>
      </c>
      <c r="Y6" s="10" t="inlineStr">
        <is>
          <t>NA</t>
        </is>
      </c>
      <c r="Z6" s="10" t="inlineStr">
        <is>
          <t>NA</t>
        </is>
      </c>
      <c r="AA6" s="11">
        <f>IF(A6="","",IF(AND(J6="P4",F6="causal"),"P4-CAUSAL",""))</f>
        <v/>
      </c>
    </row>
    <row r="7" ht="15" customHeight="1" s="1">
      <c r="A7" s="8" t="inlineStr">
        <is>
          <t>K0006</t>
        </is>
      </c>
      <c r="B7" s="8" t="inlineStr">
        <is>
          <t>A002</t>
        </is>
      </c>
      <c r="C7" s="8" t="inlineStr">
        <is>
          <t>CL</t>
        </is>
      </c>
      <c r="D7" s="8" t="inlineStr">
        <is>
          <t>body</t>
        </is>
      </c>
      <c r="E7" s="8" t="inlineStr">
        <is>
          <t>Leading militaries often struggle to adopt organisationally disruptive innovations</t>
        </is>
      </c>
      <c r="F7" s="8" t="inlineStr">
        <is>
          <t>causal</t>
        </is>
      </c>
      <c r="G7" s="8" t="inlineStr">
        <is>
          <t>W3;W4</t>
        </is>
      </c>
      <c r="H7" s="8" t="inlineStr">
        <is>
          <t>W3</t>
        </is>
      </c>
      <c r="I7" s="8" t="inlineStr">
        <is>
          <t>to_W1W2</t>
        </is>
      </c>
      <c r="J7" s="8" t="inlineStr">
        <is>
          <t>P4</t>
        </is>
      </c>
      <c r="K7" s="8" t="inlineStr">
        <is>
          <t>NA</t>
        </is>
      </c>
      <c r="L7" s="8" t="inlineStr">
        <is>
          <t>NA</t>
        </is>
      </c>
      <c r="M7" s="8" t="inlineStr">
        <is>
          <t>NA</t>
        </is>
      </c>
      <c r="N7" s="8" t="inlineStr">
        <is>
          <t>C001</t>
        </is>
      </c>
      <c r="O7" s="8" t="inlineStr">
        <is>
          <t>supporting</t>
        </is>
      </c>
      <c r="P7">
        <f>IF(OR(F7="",H7="",J7=""),"",J7&amp;"|"&amp;F7&amp;"|"&amp;IF(H7="W3","W3_"&amp;IF(I7="","unknown",I7),H7))</f>
        <v/>
      </c>
      <c r="Q7">
        <f>IF(P7="","",IFERROR(IF(AND(H7="W7",OR(F7="causal",F7="predictive")),IF(AND(OR(K7=1,K7="1"),OR(L7=1,L7="1"),OR(M7=1,M7="1")),"adequate","partial"),IF(AND(H7="W4",F7="predictive",OR(J7="P2",J7="P3",J7="P4")),IF(OR(U7=1,U7="1"),"adequate","partial"),INDEX(Fit_Matrix!$B:$B,MATCH(P7,Fit_Matrix!$A:$A,0)))),"CHECK KEY"))</f>
        <v/>
      </c>
      <c r="R7" s="8" t="inlineStr">
        <is>
          <t>adequate</t>
        </is>
      </c>
      <c r="S7" s="8" t="n"/>
      <c r="T7" s="8" t="inlineStr">
        <is>
          <t>Royal Navy carrier case via Horowitz 2010</t>
        </is>
      </c>
      <c r="U7" s="10" t="inlineStr">
        <is>
          <t>NA</t>
        </is>
      </c>
      <c r="V7" s="10" t="inlineStr">
        <is>
          <t>NA</t>
        </is>
      </c>
      <c r="W7" s="10" t="inlineStr">
        <is>
          <t>NA</t>
        </is>
      </c>
      <c r="X7" s="10" t="inlineStr">
        <is>
          <t>NA</t>
        </is>
      </c>
      <c r="Y7" s="10" t="n">
        <v>1</v>
      </c>
      <c r="Z7" s="10" t="inlineStr">
        <is>
          <t>NA</t>
        </is>
      </c>
      <c r="AA7" s="11">
        <f>IF(A7="","",IF(AND(J7="P4",F7="causal"),"P4-CAUSAL",""))</f>
        <v/>
      </c>
    </row>
    <row r="8" ht="15" customHeight="1" s="1">
      <c r="A8" s="8" t="inlineStr">
        <is>
          <t>K0007</t>
        </is>
      </c>
      <c r="B8" s="8" t="inlineStr">
        <is>
          <t>A002</t>
        </is>
      </c>
      <c r="C8" s="8" t="inlineStr">
        <is>
          <t>CL</t>
        </is>
      </c>
      <c r="D8" s="8" t="inlineStr">
        <is>
          <t>body (character of war)</t>
        </is>
      </c>
      <c r="E8" s="8" t="inlineStr">
        <is>
          <t>Narrow AI systems have the potential to increase the speed with which countries can fight</t>
        </is>
      </c>
      <c r="F8" s="8" t="inlineStr">
        <is>
          <t>predictive</t>
        </is>
      </c>
      <c r="G8" s="8" t="inlineStr">
        <is>
          <t>W6;W4</t>
        </is>
      </c>
      <c r="H8" s="8" t="inlineStr">
        <is>
          <t>W6</t>
        </is>
      </c>
      <c r="I8" s="8" t="n"/>
      <c r="J8" s="8" t="inlineStr">
        <is>
          <t>P4</t>
        </is>
      </c>
      <c r="K8" s="8" t="n">
        <v>0</v>
      </c>
      <c r="L8" s="8" t="n">
        <v>1</v>
      </c>
      <c r="M8" s="8" t="n">
        <v>0</v>
      </c>
      <c r="N8" s="8" t="inlineStr">
        <is>
          <t>C002</t>
        </is>
      </c>
      <c r="O8" s="8" t="n"/>
      <c r="P8">
        <f>IF(OR(F8="",H8="",J8=""),"",J8&amp;"|"&amp;F8&amp;"|"&amp;IF(H8="W3","W3_"&amp;IF(I8="","unknown",I8),H8))</f>
        <v/>
      </c>
      <c r="Q8">
        <f>IF(P8="","",IFERROR(IF(AND(H8="W7",OR(F8="causal",F8="predictive")),IF(AND(OR(K8=1,K8="1"),OR(L8=1,L8="1"),OR(M8=1,M8="1")),"adequate","partial"),IF(AND(H8="W4",F8="predictive",OR(J8="P2",J8="P3",J8="P4")),IF(OR(U8=1,U8="1"),"adequate","partial"),INDEX(Fit_Matrix!$B:$B,MATCH(P8,Fit_Matrix!$A:$A,0)))),"CHECK KEY"))</f>
        <v/>
      </c>
      <c r="R8" s="8" t="inlineStr">
        <is>
          <t>partial</t>
        </is>
      </c>
      <c r="S8" s="8" t="n"/>
      <c r="T8" s="8" t="inlineStr">
        <is>
          <t>warrant: Work speech, Allen &amp; Husain; 'potential'</t>
        </is>
      </c>
      <c r="U8" s="10" t="inlineStr">
        <is>
          <t>NA</t>
        </is>
      </c>
      <c r="V8" s="10" t="inlineStr">
        <is>
          <t>NA</t>
        </is>
      </c>
      <c r="W8" s="10" t="inlineStr">
        <is>
          <t>NA</t>
        </is>
      </c>
      <c r="X8" s="10" t="inlineStr">
        <is>
          <t>NA</t>
        </is>
      </c>
      <c r="Y8" s="10" t="inlineStr">
        <is>
          <t>NA</t>
        </is>
      </c>
      <c r="Z8" s="10" t="inlineStr">
        <is>
          <t>NA</t>
        </is>
      </c>
      <c r="AA8" s="11">
        <f>IF(A8="","",IF(AND(J8="P4",F8="causal"),"P4-CAUSAL",""))</f>
        <v/>
      </c>
    </row>
    <row r="9" ht="15" customHeight="1" s="1">
      <c r="A9" s="8" t="inlineStr">
        <is>
          <t>K0008</t>
        </is>
      </c>
      <c r="B9" s="8" t="inlineStr">
        <is>
          <t>A002</t>
        </is>
      </c>
      <c r="C9" s="8" t="inlineStr">
        <is>
          <t>CL</t>
        </is>
      </c>
      <c r="D9" s="8" t="inlineStr">
        <is>
          <t>conclusion</t>
        </is>
      </c>
      <c r="E9" s="8" t="inlineStr">
        <is>
          <t>Major military powers will likely face security dilemmas over AI development regardless of diffusion speed</t>
        </is>
      </c>
      <c r="F9" s="8" t="inlineStr">
        <is>
          <t>predictive</t>
        </is>
      </c>
      <c r="G9" s="8" t="inlineStr">
        <is>
          <t>W5</t>
        </is>
      </c>
      <c r="H9" s="8" t="inlineStr">
        <is>
          <t>W5</t>
        </is>
      </c>
      <c r="I9" s="8" t="n"/>
      <c r="J9" s="8" t="inlineStr">
        <is>
          <t>P4</t>
        </is>
      </c>
      <c r="K9" s="8" t="n">
        <v>1</v>
      </c>
      <c r="L9" s="8" t="n">
        <v>1</v>
      </c>
      <c r="M9" s="8" t="n">
        <v>0</v>
      </c>
      <c r="N9" s="8" t="n"/>
      <c r="O9" s="8" t="n"/>
      <c r="P9">
        <f>IF(OR(F9="",H9="",J9=""),"",J9&amp;"|"&amp;F9&amp;"|"&amp;IF(H9="W3","W3_"&amp;IF(I9="","unknown",I9),H9))</f>
        <v/>
      </c>
      <c r="Q9">
        <f>IF(P9="","",IFERROR(IF(AND(H9="W7",OR(F9="causal",F9="predictive")),IF(AND(OR(K9=1,K9="1"),OR(L9=1,L9="1"),OR(M9=1,M9="1")),"adequate","partial"),IF(AND(H9="W4",F9="predictive",OR(J9="P2",J9="P3",J9="P4")),IF(OR(U9=1,U9="1"),"adequate","partial"),INDEX(Fit_Matrix!$B:$B,MATCH(P9,Fit_Matrix!$A:$A,0)))),"CHECK KEY"))</f>
        <v/>
      </c>
      <c r="R9" s="8" t="inlineStr">
        <is>
          <t>partial</t>
        </is>
      </c>
      <c r="S9" s="8" t="n"/>
      <c r="T9" s="8" t="inlineStr">
        <is>
          <t>deduction from Jervis; both scenarios covered</t>
        </is>
      </c>
      <c r="U9" s="10" t="inlineStr">
        <is>
          <t>NA</t>
        </is>
      </c>
      <c r="V9" s="10" t="inlineStr">
        <is>
          <t>NA</t>
        </is>
      </c>
      <c r="W9" s="10" t="inlineStr">
        <is>
          <t>NA</t>
        </is>
      </c>
      <c r="X9" s="10" t="inlineStr">
        <is>
          <t>NA</t>
        </is>
      </c>
      <c r="Y9" s="10" t="inlineStr">
        <is>
          <t>NA</t>
        </is>
      </c>
      <c r="Z9" s="10" t="inlineStr">
        <is>
          <t>NA</t>
        </is>
      </c>
      <c r="AA9" s="11">
        <f>IF(A9="","",IF(AND(J9="P4",F9="causal"),"P4-CAUSAL",""))</f>
        <v/>
      </c>
    </row>
    <row r="10" ht="15" customHeight="1" s="1">
      <c r="A10" s="8" t="inlineStr">
        <is>
          <t>K0009</t>
        </is>
      </c>
      <c r="B10" s="8" t="inlineStr">
        <is>
          <t>A002</t>
        </is>
      </c>
      <c r="C10" s="8" t="inlineStr">
        <is>
          <t>CL</t>
        </is>
      </c>
      <c r="D10" s="8" t="inlineStr">
        <is>
          <t>conclusion</t>
        </is>
      </c>
      <c r="E10" s="8" t="inlineStr">
        <is>
          <t>US military rhetoric on AI has not caught up to reality in spending</t>
        </is>
      </c>
      <c r="F10" s="8" t="inlineStr">
        <is>
          <t>descriptive</t>
        </is>
      </c>
      <c r="G10" s="8" t="inlineStr">
        <is>
          <t>W3;W2</t>
        </is>
      </c>
      <c r="H10" s="8" t="inlineStr">
        <is>
          <t>W3</t>
        </is>
      </c>
      <c r="I10" s="8" t="inlineStr">
        <is>
          <t>to_W4W8</t>
        </is>
      </c>
      <c r="J10" s="8" t="inlineStr">
        <is>
          <t>P4</t>
        </is>
      </c>
      <c r="K10" s="8" t="inlineStr">
        <is>
          <t>NA</t>
        </is>
      </c>
      <c r="L10" s="8" t="inlineStr">
        <is>
          <t>NA</t>
        </is>
      </c>
      <c r="M10" s="8" t="inlineStr">
        <is>
          <t>NA</t>
        </is>
      </c>
      <c r="N10" s="8" t="n"/>
      <c r="O10" s="8" t="n"/>
      <c r="P10">
        <f>IF(OR(F10="",H10="",J10=""),"",J10&amp;"|"&amp;F10&amp;"|"&amp;IF(H10="W3","W3_"&amp;IF(I10="","unknown",I10),H10))</f>
        <v/>
      </c>
      <c r="Q10">
        <f>IF(P10="","",IFERROR(IF(AND(H10="W7",OR(F10="causal",F10="predictive")),IF(AND(OR(K10=1,K10="1"),OR(L10=1,L10="1"),OR(M10=1,M10="1")),"adequate","partial"),IF(AND(H10="W4",F10="predictive",OR(J10="P2",J10="P3",J10="P4")),IF(OR(U10=1,U10="1"),"adequate","partial"),INDEX(Fit_Matrix!$B:$B,MATCH(P10,Fit_Matrix!$A:$A,0)))),"CHECK KEY"))</f>
        <v/>
      </c>
      <c r="R10" s="8" t="inlineStr">
        <is>
          <t>partial</t>
        </is>
      </c>
      <c r="S10" s="8" t="n"/>
      <c r="T10" s="8" t="inlineStr">
        <is>
          <t>single programme decision (MQ-25) via news source</t>
        </is>
      </c>
      <c r="U10" s="10" t="inlineStr">
        <is>
          <t>NA</t>
        </is>
      </c>
      <c r="V10" s="10" t="inlineStr">
        <is>
          <t>NA</t>
        </is>
      </c>
      <c r="W10" s="10" t="inlineStr">
        <is>
          <t>NA</t>
        </is>
      </c>
      <c r="X10" s="10" t="inlineStr">
        <is>
          <t>NA</t>
        </is>
      </c>
      <c r="Y10" s="10" t="n">
        <v>0</v>
      </c>
      <c r="Z10" s="10" t="inlineStr">
        <is>
          <t>NA</t>
        </is>
      </c>
      <c r="AA10" s="11">
        <f>IF(A10="","",IF(AND(J10="P4",F10="causal"),"P4-CAUSAL",""))</f>
        <v/>
      </c>
    </row>
    <row r="11" ht="15" customHeight="1" s="1">
      <c r="A11" s="8" t="inlineStr">
        <is>
          <t>K0010</t>
        </is>
      </c>
      <c r="B11" s="8" t="inlineStr">
        <is>
          <t>A002</t>
        </is>
      </c>
      <c r="C11" s="8" t="inlineStr">
        <is>
          <t>CL</t>
        </is>
      </c>
      <c r="D11" s="8" t="inlineStr">
        <is>
          <t>conclusion</t>
        </is>
      </c>
      <c r="E11" s="8" t="inlineStr">
        <is>
          <t>China is spending much more than the US on AI research and producing more deep-learning papers</t>
        </is>
      </c>
      <c r="F11" s="8" t="inlineStr">
        <is>
          <t>descriptive</t>
        </is>
      </c>
      <c r="G11" s="8" t="inlineStr">
        <is>
          <t>W3</t>
        </is>
      </c>
      <c r="H11" s="8" t="inlineStr">
        <is>
          <t>W3</t>
        </is>
      </c>
      <c r="I11" s="8" t="inlineStr">
        <is>
          <t>to_W4W8</t>
        </is>
      </c>
      <c r="J11" s="8" t="inlineStr">
        <is>
          <t>P4</t>
        </is>
      </c>
      <c r="K11" s="8" t="inlineStr">
        <is>
          <t>NA</t>
        </is>
      </c>
      <c r="L11" s="8" t="inlineStr">
        <is>
          <t>NA</t>
        </is>
      </c>
      <c r="M11" s="8" t="inlineStr">
        <is>
          <t>NA</t>
        </is>
      </c>
      <c r="N11" s="8" t="n"/>
      <c r="O11" s="8" t="n"/>
      <c r="P11">
        <f>IF(OR(F11="",H11="",J11=""),"",J11&amp;"|"&amp;F11&amp;"|"&amp;IF(H11="W3","W3_"&amp;IF(I11="","unknown",I11),H11))</f>
        <v/>
      </c>
      <c r="Q11">
        <f>IF(P11="","",IFERROR(IF(AND(H11="W7",OR(F11="causal",F11="predictive")),IF(AND(OR(K11=1,K11="1"),OR(L11=1,L11="1"),OR(M11=1,M11="1")),"adequate","partial"),IF(AND(H11="W4",F11="predictive",OR(J11="P2",J11="P3",J11="P4")),IF(OR(U11=1,U11="1"),"adequate","partial"),INDEX(Fit_Matrix!$B:$B,MATCH(P11,Fit_Matrix!$A:$A,0)))),"CHECK KEY"))</f>
        <v/>
      </c>
      <c r="R11" s="8" t="inlineStr">
        <is>
          <t>partial</t>
        </is>
      </c>
      <c r="S11" s="8" t="n"/>
      <c r="T11" s="8" t="inlineStr">
        <is>
          <t>news source (NYT), no underlying dataset cited</t>
        </is>
      </c>
      <c r="U11" s="10" t="inlineStr">
        <is>
          <t>NA</t>
        </is>
      </c>
      <c r="V11" s="10" t="inlineStr">
        <is>
          <t>NA</t>
        </is>
      </c>
      <c r="W11" s="10" t="inlineStr">
        <is>
          <t>NA</t>
        </is>
      </c>
      <c r="X11" s="10" t="inlineStr">
        <is>
          <t>NA</t>
        </is>
      </c>
      <c r="Y11" s="10" t="n">
        <v>0</v>
      </c>
      <c r="Z11" s="10" t="inlineStr">
        <is>
          <t>NA</t>
        </is>
      </c>
      <c r="AA11" s="11">
        <f>IF(A11="","",IF(AND(J11="P4",F11="causal"),"P4-CAUSAL",""))</f>
        <v/>
      </c>
    </row>
    <row r="12" ht="15" customHeight="1" s="1">
      <c r="A12" s="8" t="inlineStr">
        <is>
          <t>K0011</t>
        </is>
      </c>
      <c r="B12" s="8" t="inlineStr">
        <is>
          <t>A002</t>
        </is>
      </c>
      <c r="C12" s="8" t="inlineStr">
        <is>
          <t>CL</t>
        </is>
      </c>
      <c r="D12" s="8" t="inlineStr">
        <is>
          <t>abstract</t>
        </is>
      </c>
      <c r="E12" s="8" t="inlineStr">
        <is>
          <t>AI's still-emerging development makes it harder to assess than many technological changes because adoption decisions are in their infancy</t>
        </is>
      </c>
      <c r="F12" s="8" t="inlineStr">
        <is>
          <t>conceptual</t>
        </is>
      </c>
      <c r="G12" s="8" t="inlineStr">
        <is>
          <t>W5</t>
        </is>
      </c>
      <c r="H12" s="8" t="inlineStr">
        <is>
          <t>W5</t>
        </is>
      </c>
      <c r="I12" s="8" t="n"/>
      <c r="J12" s="8" t="inlineStr">
        <is>
          <t>P4</t>
        </is>
      </c>
      <c r="K12" s="8" t="inlineStr">
        <is>
          <t>NA</t>
        </is>
      </c>
      <c r="L12" s="8" t="inlineStr">
        <is>
          <t>NA</t>
        </is>
      </c>
      <c r="M12" s="8" t="inlineStr">
        <is>
          <t>NA</t>
        </is>
      </c>
      <c r="N12" s="8" t="n"/>
      <c r="O12" s="8" t="n"/>
      <c r="P12">
        <f>IF(OR(F12="",H12="",J12=""),"",J12&amp;"|"&amp;F12&amp;"|"&amp;IF(H12="W3","W3_"&amp;IF(I12="","unknown",I12),H12))</f>
        <v/>
      </c>
      <c r="Q12">
        <f>IF(P12="","",IFERROR(IF(AND(H12="W7",OR(F12="causal",F12="predictive")),IF(AND(OR(K12=1,K12="1"),OR(L12=1,L12="1"),OR(M12=1,M12="1")),"adequate","partial"),IF(AND(H12="W4",F12="predictive",OR(J12="P2",J12="P3",J12="P4")),IF(OR(U12=1,U12="1"),"adequate","partial"),INDEX(Fit_Matrix!$B:$B,MATCH(P12,Fit_Matrix!$A:$A,0)))),"CHECK KEY"))</f>
        <v/>
      </c>
      <c r="R12" s="8" t="inlineStr">
        <is>
          <t>adequate</t>
        </is>
      </c>
      <c r="S12" s="8" t="n"/>
      <c r="T12" s="8" t="n"/>
      <c r="U12" s="10" t="inlineStr">
        <is>
          <t>NA</t>
        </is>
      </c>
      <c r="V12" s="10" t="inlineStr">
        <is>
          <t>NA</t>
        </is>
      </c>
      <c r="W12" s="10" t="inlineStr">
        <is>
          <t>NA</t>
        </is>
      </c>
      <c r="X12" s="10" t="inlineStr">
        <is>
          <t>NA</t>
        </is>
      </c>
      <c r="Y12" s="10" t="inlineStr">
        <is>
          <t>NA</t>
        </is>
      </c>
      <c r="Z12" s="10" t="inlineStr">
        <is>
          <t>NA</t>
        </is>
      </c>
      <c r="AA12" s="11">
        <f>IF(A12="","",IF(AND(J12="P4",F12="causal"),"P4-CAUSAL",""))</f>
        <v/>
      </c>
    </row>
    <row r="13" ht="15" customHeight="1" s="1">
      <c r="A13" s="8" t="inlineStr">
        <is>
          <t>K0012</t>
        </is>
      </c>
      <c r="B13" s="8" t="inlineStr">
        <is>
          <t>A003</t>
        </is>
      </c>
      <c r="C13" s="8" t="inlineStr">
        <is>
          <t>CL</t>
        </is>
      </c>
      <c r="D13" s="8" t="inlineStr">
        <is>
          <t>abstract</t>
        </is>
      </c>
      <c r="E13" s="8" t="inlineStr">
        <is>
          <t>The data- and resource-intensive nature of AI creates barriers to burden-sharing and interoperability that can hamper multinational operations</t>
        </is>
      </c>
      <c r="F13" s="8" t="inlineStr">
        <is>
          <t>causal</t>
        </is>
      </c>
      <c r="G13" s="8" t="inlineStr">
        <is>
          <t>W5;W4;W6</t>
        </is>
      </c>
      <c r="H13" s="8" t="inlineStr">
        <is>
          <t>W5</t>
        </is>
      </c>
      <c r="I13" s="8" t="n"/>
      <c r="J13" s="8" t="inlineStr">
        <is>
          <t>P4</t>
        </is>
      </c>
      <c r="K13" s="8" t="n">
        <v>1</v>
      </c>
      <c r="L13" s="8" t="n">
        <v>1</v>
      </c>
      <c r="M13" s="8" t="n">
        <v>0</v>
      </c>
      <c r="N13" s="8" t="inlineStr">
        <is>
          <t>C006</t>
        </is>
      </c>
      <c r="O13" s="8" t="n"/>
      <c r="P13">
        <f>IF(OR(F13="",H13="",J13=""),"",J13&amp;"|"&amp;F13&amp;"|"&amp;IF(H13="W3","W3_"&amp;IF(I13="","unknown",I13),H13))</f>
        <v/>
      </c>
      <c r="Q13">
        <f>IF(P13="","",IFERROR(IF(AND(H13="W7",OR(F13="causal",F13="predictive")),IF(AND(OR(K13=1,K13="1"),OR(L13=1,L13="1"),OR(M13=1,M13="1")),"adequate","partial"),IF(AND(H13="W4",F13="predictive",OR(J13="P2",J13="P3",J13="P4")),IF(OR(U13=1,U13="1"),"adequate","partial"),INDEX(Fit_Matrix!$B:$B,MATCH(P13,Fit_Matrix!$A:$A,0)))),"CHECK KEY"))</f>
        <v/>
      </c>
      <c r="R13" s="8" t="inlineStr">
        <is>
          <t>partial</t>
        </is>
      </c>
      <c r="S13" s="8" t="n"/>
      <c r="T13" s="8" t="inlineStr">
        <is>
          <t>causal-future; scope: 'more vexing for coalitions lacking formalization'; Kosovo PGM analogy; Shanahan quote. P4 causal flagged</t>
        </is>
      </c>
      <c r="U13" s="10" t="inlineStr">
        <is>
          <t>NA</t>
        </is>
      </c>
      <c r="V13" s="10" t="inlineStr">
        <is>
          <t>NA</t>
        </is>
      </c>
      <c r="W13" s="10" t="inlineStr">
        <is>
          <t>NA</t>
        </is>
      </c>
      <c r="X13" s="10" t="inlineStr">
        <is>
          <t>NA</t>
        </is>
      </c>
      <c r="Y13" s="10" t="inlineStr">
        <is>
          <t>NA</t>
        </is>
      </c>
      <c r="Z13" s="10" t="inlineStr">
        <is>
          <t>NA</t>
        </is>
      </c>
      <c r="AA13" s="11">
        <f>IF(A13="","",IF(AND(J13="P4",F13="causal"),"P4-CAUSAL",""))</f>
        <v/>
      </c>
    </row>
    <row r="14" ht="15" customHeight="1" s="1">
      <c r="A14" s="8" t="inlineStr">
        <is>
          <t>K0013</t>
        </is>
      </c>
      <c r="B14" s="8" t="inlineStr">
        <is>
          <t>A003</t>
        </is>
      </c>
      <c r="C14" s="8" t="inlineStr">
        <is>
          <t>CL</t>
        </is>
      </c>
      <c r="D14" s="8" t="inlineStr">
        <is>
          <t>abstract</t>
        </is>
      </c>
      <c r="E14" s="8" t="inlineStr">
        <is>
          <t>By accelerating the speed of combat, AI can strain the processes allies use to make decisions</t>
        </is>
      </c>
      <c r="F14" s="8" t="inlineStr">
        <is>
          <t>predictive</t>
        </is>
      </c>
      <c r="G14" s="8" t="inlineStr">
        <is>
          <t>W4;W6</t>
        </is>
      </c>
      <c r="H14" s="8" t="inlineStr">
        <is>
          <t>W4</t>
        </is>
      </c>
      <c r="I14" s="8" t="n"/>
      <c r="J14" s="8" t="inlineStr">
        <is>
          <t>P4</t>
        </is>
      </c>
      <c r="K14" s="8" t="n">
        <v>0</v>
      </c>
      <c r="L14" s="8" t="n">
        <v>1</v>
      </c>
      <c r="M14" s="8" t="n">
        <v>0</v>
      </c>
      <c r="N14" s="8" t="inlineStr">
        <is>
          <t>C002</t>
        </is>
      </c>
      <c r="O14" s="8" t="n"/>
      <c r="P14">
        <f>IF(OR(F14="",H14="",J14=""),"",J14&amp;"|"&amp;F14&amp;"|"&amp;IF(H14="W3","W3_"&amp;IF(I14="","unknown",I14),H14))</f>
        <v/>
      </c>
      <c r="Q14">
        <f>IF(P14="","",IFERROR(IF(AND(H14="W7",OR(F14="causal",F14="predictive")),IF(AND(OR(K14=1,K14="1"),OR(L14=1,L14="1"),OR(M14=1,M14="1")),"adequate","partial"),IF(AND(H14="W4",F14="predictive",OR(J14="P2",J14="P3",J14="P4")),IF(OR(U14=1,U14="1"),"adequate","partial"),INDEX(Fit_Matrix!$B:$B,MATCH(P14,Fit_Matrix!$A:$A,0)))),"CHECK KEY"))</f>
        <v/>
      </c>
      <c r="R14" s="8" t="inlineStr">
        <is>
          <t>adequate</t>
        </is>
      </c>
      <c r="S14" s="8" t="n"/>
      <c r="T14" s="8" t="inlineStr">
        <is>
          <t>developed analogy: NATO 1978 warning time, BMD pre-delegation (full subsection)</t>
        </is>
      </c>
      <c r="U14" s="10" t="n">
        <v>1</v>
      </c>
      <c r="V14" s="10" t="inlineStr">
        <is>
          <t>NA</t>
        </is>
      </c>
      <c r="W14" s="10" t="inlineStr">
        <is>
          <t>NA</t>
        </is>
      </c>
      <c r="X14" s="10" t="inlineStr">
        <is>
          <t>NA</t>
        </is>
      </c>
      <c r="Y14" s="10" t="inlineStr">
        <is>
          <t>NA</t>
        </is>
      </c>
      <c r="Z14" s="10" t="inlineStr">
        <is>
          <t>NA</t>
        </is>
      </c>
      <c r="AA14" s="11">
        <f>IF(A14="","",IF(AND(J14="P4",F14="causal"),"P4-CAUSAL",""))</f>
        <v/>
      </c>
    </row>
    <row r="15" ht="15" customHeight="1" s="1">
      <c r="A15" s="8" t="inlineStr">
        <is>
          <t>K0014</t>
        </is>
      </c>
      <c r="B15" s="8" t="inlineStr">
        <is>
          <t>A003</t>
        </is>
      </c>
      <c r="C15" s="8" t="inlineStr">
        <is>
          <t>CL</t>
        </is>
      </c>
      <c r="D15" s="8" t="inlineStr">
        <is>
          <t>introduction</t>
        </is>
      </c>
      <c r="E15" s="8" t="inlineStr">
        <is>
          <t>Adversaries can use AI-enabled deception (deepfakes, data poisoning) to interfere with alliance command and control and heighten mistrust</t>
        </is>
      </c>
      <c r="F15" s="8" t="inlineStr">
        <is>
          <t>predictive</t>
        </is>
      </c>
      <c r="G15" s="8" t="inlineStr">
        <is>
          <t>W4;W3</t>
        </is>
      </c>
      <c r="H15" s="8" t="inlineStr">
        <is>
          <t>W4</t>
        </is>
      </c>
      <c r="I15" s="8" t="n"/>
      <c r="J15" s="8" t="inlineStr">
        <is>
          <t>P4</t>
        </is>
      </c>
      <c r="K15" s="8" t="n">
        <v>0</v>
      </c>
      <c r="L15" s="8" t="n">
        <v>1</v>
      </c>
      <c r="M15" s="8" t="n">
        <v>0</v>
      </c>
      <c r="N15" s="8" t="inlineStr">
        <is>
          <t>C008</t>
        </is>
      </c>
      <c r="O15" s="8" t="n"/>
      <c r="P15">
        <f>IF(OR(F15="",H15="",J15=""),"",J15&amp;"|"&amp;F15&amp;"|"&amp;IF(H15="W3","W3_"&amp;IF(I15="","unknown",I15),H15))</f>
        <v/>
      </c>
      <c r="Q15">
        <f>IF(P15="","",IFERROR(IF(AND(H15="W7",OR(F15="causal",F15="predictive")),IF(AND(OR(K15=1,K15="1"),OR(L15=1,L15="1"),OR(M15=1,M15="1")),"adequate","partial"),IF(AND(H15="W4",F15="predictive",OR(J15="P2",J15="P3",J15="P4")),IF(OR(U15=1,U15="1"),"adequate","partial"),INDEX(Fit_Matrix!$B:$B,MATCH(P15,Fit_Matrix!$A:$A,0)))),"CHECK KEY"))</f>
        <v/>
      </c>
      <c r="R15" s="8" t="inlineStr">
        <is>
          <t>adequate</t>
        </is>
      </c>
      <c r="S15" s="8" t="n"/>
      <c r="T15" s="8" t="inlineStr">
        <is>
          <t>analogy to WWII deception; 2019 voice-clone fraud as illustration; full subsection</t>
        </is>
      </c>
      <c r="U15" s="10" t="n">
        <v>1</v>
      </c>
      <c r="V15" s="10" t="inlineStr">
        <is>
          <t>NA</t>
        </is>
      </c>
      <c r="W15" s="10" t="inlineStr">
        <is>
          <t>NA</t>
        </is>
      </c>
      <c r="X15" s="10" t="inlineStr">
        <is>
          <t>NA</t>
        </is>
      </c>
      <c r="Y15" s="10" t="inlineStr">
        <is>
          <t>NA</t>
        </is>
      </c>
      <c r="Z15" s="10" t="inlineStr">
        <is>
          <t>NA</t>
        </is>
      </c>
      <c r="AA15" s="11">
        <f>IF(A15="","",IF(AND(J15="P4",F15="causal"),"P4-CAUSAL",""))</f>
        <v/>
      </c>
    </row>
    <row r="16" ht="15" customHeight="1" s="1">
      <c r="A16" s="8" t="inlineStr">
        <is>
          <t>K0015</t>
        </is>
      </c>
      <c r="B16" s="8" t="inlineStr">
        <is>
          <t>A003</t>
        </is>
      </c>
      <c r="C16" s="8" t="inlineStr">
        <is>
          <t>CL</t>
        </is>
      </c>
      <c r="D16" s="8" t="inlineStr">
        <is>
          <t>body</t>
        </is>
      </c>
      <c r="E16" s="8" t="inlineStr">
        <is>
          <t>Not all states will develop military AI at the same rate; uneven distribution creates AI haves and have-nots within alliances</t>
        </is>
      </c>
      <c r="F16" s="8" t="inlineStr">
        <is>
          <t>predictive</t>
        </is>
      </c>
      <c r="G16" s="8" t="inlineStr">
        <is>
          <t>W3;W5</t>
        </is>
      </c>
      <c r="H16" s="8" t="inlineStr">
        <is>
          <t>W3</t>
        </is>
      </c>
      <c r="I16" s="8" t="inlineStr">
        <is>
          <t>to_W1W2</t>
        </is>
      </c>
      <c r="J16" s="8" t="inlineStr">
        <is>
          <t>P4</t>
        </is>
      </c>
      <c r="K16" s="8" t="n">
        <v>0</v>
      </c>
      <c r="L16" s="8" t="n">
        <v>0</v>
      </c>
      <c r="M16" s="8" t="n">
        <v>0</v>
      </c>
      <c r="N16" s="8" t="inlineStr">
        <is>
          <t>C006</t>
        </is>
      </c>
      <c r="O16" s="8" t="n"/>
      <c r="P16">
        <f>IF(OR(F16="",H16="",J16=""),"",J16&amp;"|"&amp;F16&amp;"|"&amp;IF(H16="W3","W3_"&amp;IF(I16="","unknown",I16),H16))</f>
        <v/>
      </c>
      <c r="Q16">
        <f>IF(P16="","",IFERROR(IF(AND(H16="W7",OR(F16="causal",F16="predictive")),IF(AND(OR(K16=1,K16="1"),OR(L16=1,L16="1"),OR(M16=1,M16="1")),"adequate","partial"),IF(AND(H16="W4",F16="predictive",OR(J16="P2",J16="P3",J16="P4")),IF(OR(U16=1,U16="1"),"adequate","partial"),INDEX(Fit_Matrix!$B:$B,MATCH(P16,Fit_Matrix!$A:$A,0)))),"CHECK KEY"))</f>
        <v/>
      </c>
      <c r="R16" s="8" t="inlineStr">
        <is>
          <t>adequate</t>
        </is>
      </c>
      <c r="S16" s="8" t="n"/>
      <c r="T16" s="8" t="inlineStr">
        <is>
          <t>Oxford Insights readiness index (grey but data-based); asserted without hedge ('will')</t>
        </is>
      </c>
      <c r="U16" s="10" t="inlineStr">
        <is>
          <t>NA</t>
        </is>
      </c>
      <c r="V16" s="10" t="inlineStr">
        <is>
          <t>unknown</t>
        </is>
      </c>
      <c r="W16" s="10" t="inlineStr">
        <is>
          <t>unknown</t>
        </is>
      </c>
      <c r="X16" s="10" t="inlineStr">
        <is>
          <t>unknown</t>
        </is>
      </c>
      <c r="Y16" s="10" t="n">
        <v>0</v>
      </c>
      <c r="Z16" s="10" t="inlineStr">
        <is>
          <t>NA</t>
        </is>
      </c>
      <c r="AA16" s="11">
        <f>IF(A16="","",IF(AND(J16="P4",F16="causal"),"P4-CAUSAL",""))</f>
        <v/>
      </c>
    </row>
    <row r="17" ht="15" customHeight="1" s="1">
      <c r="A17" s="8" t="inlineStr">
        <is>
          <t>K0016</t>
        </is>
      </c>
      <c r="B17" s="8" t="inlineStr">
        <is>
          <t>A003</t>
        </is>
      </c>
      <c r="C17" s="8" t="inlineStr">
        <is>
          <t>CL</t>
        </is>
      </c>
      <c r="D17" s="8" t="inlineStr">
        <is>
          <t>body</t>
        </is>
      </c>
      <c r="E17" s="8" t="inlineStr">
        <is>
          <t>Public opposition among allied populations may lead governments to restrict use of AI-enabled military systems</t>
        </is>
      </c>
      <c r="F17" s="8" t="inlineStr">
        <is>
          <t>predictive</t>
        </is>
      </c>
      <c r="G17" s="8" t="inlineStr">
        <is>
          <t>W3;W5</t>
        </is>
      </c>
      <c r="H17" s="8" t="inlineStr">
        <is>
          <t>W3</t>
        </is>
      </c>
      <c r="I17" s="8" t="inlineStr">
        <is>
          <t>to_W1W2</t>
        </is>
      </c>
      <c r="J17" s="8" t="inlineStr">
        <is>
          <t>P4</t>
        </is>
      </c>
      <c r="K17" s="8" t="n">
        <v>1</v>
      </c>
      <c r="L17" s="8" t="n">
        <v>1</v>
      </c>
      <c r="M17" s="8" t="n">
        <v>0</v>
      </c>
      <c r="N17" s="8" t="n"/>
      <c r="O17" s="8" t="n"/>
      <c r="P17">
        <f>IF(OR(F17="",H17="",J17=""),"",J17&amp;"|"&amp;F17&amp;"|"&amp;IF(H17="W3","W3_"&amp;IF(I17="","unknown",I17),H17))</f>
        <v/>
      </c>
      <c r="Q17">
        <f>IF(P17="","",IFERROR(IF(AND(H17="W7",OR(F17="causal",F17="predictive")),IF(AND(OR(K17=1,K17="1"),OR(L17=1,L17="1"),OR(M17=1,M17="1")),"adequate","partial"),IF(AND(H17="W4",F17="predictive",OR(J17="P2",J17="P3",J17="P4")),IF(OR(U17=1,U17="1"),"adequate","partial"),INDEX(Fit_Matrix!$B:$B,MATCH(P17,Fit_Matrix!$A:$A,0)))),"CHECK KEY"))</f>
        <v/>
      </c>
      <c r="R17" s="8" t="inlineStr">
        <is>
          <t>adequate</t>
        </is>
      </c>
      <c r="S17" s="8" t="n"/>
      <c r="T17" s="8" t="inlineStr">
        <is>
          <t>Ipsos 2019 survey; scope: South Korea, Germany</t>
        </is>
      </c>
      <c r="U17" s="10" t="inlineStr">
        <is>
          <t>NA</t>
        </is>
      </c>
      <c r="V17" s="10" t="inlineStr">
        <is>
          <t>unknown</t>
        </is>
      </c>
      <c r="W17" s="10" t="inlineStr">
        <is>
          <t>unknown</t>
        </is>
      </c>
      <c r="X17" s="10" t="inlineStr">
        <is>
          <t>unknown</t>
        </is>
      </c>
      <c r="Y17" s="10" t="n">
        <v>0</v>
      </c>
      <c r="Z17" s="10" t="inlineStr">
        <is>
          <t>NA</t>
        </is>
      </c>
      <c r="AA17" s="11">
        <f>IF(A17="","",IF(AND(J17="P4",F17="causal"),"P4-CAUSAL",""))</f>
        <v/>
      </c>
    </row>
    <row r="18" ht="15" customHeight="1" s="1">
      <c r="A18" s="8" t="inlineStr">
        <is>
          <t>K0017</t>
        </is>
      </c>
      <c r="B18" s="8" t="inlineStr">
        <is>
          <t>A003</t>
        </is>
      </c>
      <c r="C18" s="8" t="inlineStr">
        <is>
          <t>CL</t>
        </is>
      </c>
      <c r="D18" s="8" t="inlineStr">
        <is>
          <t>body</t>
        </is>
      </c>
      <c r="E18" s="8" t="inlineStr">
        <is>
          <t>Cross-national variation in trust in AI will make decision-makers from some states more reluctant to rely on AI-enabled systems</t>
        </is>
      </c>
      <c r="F18" s="8" t="inlineStr">
        <is>
          <t>predictive</t>
        </is>
      </c>
      <c r="G18" s="8" t="inlineStr">
        <is>
          <t>W3;W5</t>
        </is>
      </c>
      <c r="H18" s="8" t="inlineStr">
        <is>
          <t>W3</t>
        </is>
      </c>
      <c r="I18" s="8" t="inlineStr">
        <is>
          <t>to_W1W2</t>
        </is>
      </c>
      <c r="J18" s="8" t="inlineStr">
        <is>
          <t>P4</t>
        </is>
      </c>
      <c r="K18" s="8" t="n">
        <v>0</v>
      </c>
      <c r="L18" s="8" t="n">
        <v>1</v>
      </c>
      <c r="M18" s="8" t="n">
        <v>0</v>
      </c>
      <c r="N18" s="8" t="n"/>
      <c r="O18" s="8" t="n"/>
      <c r="P18">
        <f>IF(OR(F18="",H18="",J18=""),"",J18&amp;"|"&amp;F18&amp;"|"&amp;IF(H18="W3","W3_"&amp;IF(I18="","unknown",I18),H18))</f>
        <v/>
      </c>
      <c r="Q18">
        <f>IF(P18="","",IFERROR(IF(AND(H18="W7",OR(F18="causal",F18="predictive")),IF(AND(OR(K18=1,K18="1"),OR(L18=1,L18="1"),OR(M18=1,M18="1")),"adequate","partial"),IF(AND(H18="W4",F18="predictive",OR(J18="P2",J18="P3",J18="P4")),IF(OR(U18=1,U18="1"),"adequate","partial"),INDEX(Fit_Matrix!$B:$B,MATCH(P18,Fit_Matrix!$A:$A,0)))),"CHECK KEY"))</f>
        <v/>
      </c>
      <c r="R18" s="8" t="inlineStr">
        <is>
          <t>adequate</t>
        </is>
      </c>
      <c r="S18" s="8" t="n"/>
      <c r="T18" s="8" t="inlineStr">
        <is>
          <t>Ipsos 2018 survey</t>
        </is>
      </c>
      <c r="U18" s="10" t="inlineStr">
        <is>
          <t>NA</t>
        </is>
      </c>
      <c r="V18" s="10" t="inlineStr">
        <is>
          <t>unknown</t>
        </is>
      </c>
      <c r="W18" s="10" t="inlineStr">
        <is>
          <t>unknown</t>
        </is>
      </c>
      <c r="X18" s="10" t="inlineStr">
        <is>
          <t>unknown</t>
        </is>
      </c>
      <c r="Y18" s="10" t="n">
        <v>0</v>
      </c>
      <c r="Z18" s="10" t="inlineStr">
        <is>
          <t>NA</t>
        </is>
      </c>
      <c r="AA18" s="11">
        <f>IF(A18="","",IF(AND(J18="P4",F18="causal"),"P4-CAUSAL",""))</f>
        <v/>
      </c>
    </row>
    <row r="19" ht="15" customHeight="1" s="1">
      <c r="A19" s="8" t="inlineStr">
        <is>
          <t>K0018</t>
        </is>
      </c>
      <c r="B19" s="8" t="inlineStr">
        <is>
          <t>A003</t>
        </is>
      </c>
      <c r="C19" s="8" t="inlineStr">
        <is>
          <t>CL</t>
        </is>
      </c>
      <c r="D19" s="8" t="inlineStr">
        <is>
          <t>body (way forward)</t>
        </is>
      </c>
      <c r="E19" s="8" t="inlineStr">
        <is>
          <t>Pre-delegation of authority to lower-level commanders can help alliances respond to machine-speed operations</t>
        </is>
      </c>
      <c r="F19" s="8" t="inlineStr">
        <is>
          <t>normative</t>
        </is>
      </c>
      <c r="G19" s="8" t="inlineStr">
        <is>
          <t>W4</t>
        </is>
      </c>
      <c r="H19" s="8" t="inlineStr">
        <is>
          <t>W4</t>
        </is>
      </c>
      <c r="I19" s="8" t="n"/>
      <c r="J19" s="8" t="inlineStr">
        <is>
          <t>P4</t>
        </is>
      </c>
      <c r="K19" s="8" t="inlineStr">
        <is>
          <t>NA</t>
        </is>
      </c>
      <c r="L19" s="8" t="inlineStr">
        <is>
          <t>NA</t>
        </is>
      </c>
      <c r="M19" s="8" t="inlineStr">
        <is>
          <t>NA</t>
        </is>
      </c>
      <c r="N19" s="8" t="n"/>
      <c r="O19" s="8" t="n"/>
      <c r="P19">
        <f>IF(OR(F19="",H19="",J19=""),"",J19&amp;"|"&amp;F19&amp;"|"&amp;IF(H19="W3","W3_"&amp;IF(I19="","unknown",I19),H19))</f>
        <v/>
      </c>
      <c r="Q19">
        <f>IF(P19="","",IFERROR(IF(AND(H19="W7",OR(F19="causal",F19="predictive")),IF(AND(OR(K19=1,K19="1"),OR(L19=1,L19="1"),OR(M19=1,M19="1")),"adequate","partial"),IF(AND(H19="W4",F19="predictive",OR(J19="P2",J19="P3",J19="P4")),IF(OR(U19=1,U19="1"),"adequate","partial"),INDEX(Fit_Matrix!$B:$B,MATCH(P19,Fit_Matrix!$A:$A,0)))),"CHECK KEY"))</f>
        <v/>
      </c>
      <c r="R19" s="8" t="inlineStr">
        <is>
          <t>partial</t>
        </is>
      </c>
      <c r="S19" s="8" t="n"/>
      <c r="T19" s="8" t="inlineStr">
        <is>
          <t>empirical premise warranted by NATO 1978 and BMD analogies; normative inference not coded</t>
        </is>
      </c>
      <c r="U19" s="10" t="inlineStr">
        <is>
          <t>NA</t>
        </is>
      </c>
      <c r="V19" s="10" t="inlineStr">
        <is>
          <t>NA</t>
        </is>
      </c>
      <c r="W19" s="10" t="inlineStr">
        <is>
          <t>NA</t>
        </is>
      </c>
      <c r="X19" s="10" t="inlineStr">
        <is>
          <t>NA</t>
        </is>
      </c>
      <c r="Y19" s="10" t="inlineStr">
        <is>
          <t>NA</t>
        </is>
      </c>
      <c r="Z19" s="10" t="inlineStr">
        <is>
          <t>NA</t>
        </is>
      </c>
      <c r="AA19" s="11">
        <f>IF(A19="","",IF(AND(J19="P4",F19="causal"),"P4-CAUSAL",""))</f>
        <v/>
      </c>
    </row>
    <row r="20" ht="15" customHeight="1" s="1">
      <c r="A20" s="8" t="inlineStr">
        <is>
          <t>K0019</t>
        </is>
      </c>
      <c r="B20" s="8" t="inlineStr">
        <is>
          <t>A003</t>
        </is>
      </c>
      <c r="C20" s="8" t="inlineStr">
        <is>
          <t>CL</t>
        </is>
      </c>
      <c r="D20" s="8" t="inlineStr">
        <is>
          <t>conclusion</t>
        </is>
      </c>
      <c r="E20" s="8" t="inlineStr">
        <is>
          <t>States that master AI integration may gain influence within alliances even if conventionally weaker</t>
        </is>
      </c>
      <c r="F20" s="8" t="inlineStr">
        <is>
          <t>predictive</t>
        </is>
      </c>
      <c r="G20" s="8" t="inlineStr">
        <is>
          <t>W4</t>
        </is>
      </c>
      <c r="H20" s="8" t="inlineStr">
        <is>
          <t>W4</t>
        </is>
      </c>
      <c r="I20" s="8" t="n"/>
      <c r="J20" s="8" t="inlineStr">
        <is>
          <t>P4</t>
        </is>
      </c>
      <c r="K20" s="8" t="n">
        <v>0</v>
      </c>
      <c r="L20" s="8" t="n">
        <v>1</v>
      </c>
      <c r="M20" s="8" t="n">
        <v>0</v>
      </c>
      <c r="N20" s="8" t="n"/>
      <c r="O20" s="8" t="n"/>
      <c r="P20">
        <f>IF(OR(F20="",H20="",J20=""),"",J20&amp;"|"&amp;F20&amp;"|"&amp;IF(H20="W3","W3_"&amp;IF(I20="","unknown",I20),H20))</f>
        <v/>
      </c>
      <c r="Q20">
        <f>IF(P20="","",IFERROR(IF(AND(H20="W7",OR(F20="causal",F20="predictive")),IF(AND(OR(K20=1,K20="1"),OR(L20=1,L20="1"),OR(M20=1,M20="1")),"adequate","partial"),IF(AND(H20="W4",F20="predictive",OR(J20="P2",J20="P3",J20="P4")),IF(OR(U20=1,U20="1"),"adequate","partial"),INDEX(Fit_Matrix!$B:$B,MATCH(P20,Fit_Matrix!$A:$A,0)))),"CHECK KEY"))</f>
        <v/>
      </c>
      <c r="R20" s="8" t="inlineStr">
        <is>
          <t>partial</t>
        </is>
      </c>
      <c r="S20" s="8" t="n"/>
      <c r="T20" s="8" t="inlineStr">
        <is>
          <t>single-paragraph analogy (Estonia, cyber); w4_developed=0 so the P2-P4 full-section rule returns partial without an override</t>
        </is>
      </c>
      <c r="U20" s="10" t="n">
        <v>0</v>
      </c>
      <c r="V20" s="10" t="inlineStr">
        <is>
          <t>NA</t>
        </is>
      </c>
      <c r="W20" s="10" t="inlineStr">
        <is>
          <t>NA</t>
        </is>
      </c>
      <c r="X20" s="10" t="inlineStr">
        <is>
          <t>NA</t>
        </is>
      </c>
      <c r="Y20" s="10" t="inlineStr">
        <is>
          <t>NA</t>
        </is>
      </c>
      <c r="Z20" s="10" t="inlineStr">
        <is>
          <t>NA</t>
        </is>
      </c>
      <c r="AA20" s="11">
        <f>IF(A20="","",IF(AND(J20="P4",F20="causal"),"P4-CAUSAL",""))</f>
        <v/>
      </c>
    </row>
    <row r="21" ht="15" customHeight="1" s="1">
      <c r="A21" s="8" t="inlineStr">
        <is>
          <t>K0020</t>
        </is>
      </c>
      <c r="B21" s="8" t="inlineStr">
        <is>
          <t>A003</t>
        </is>
      </c>
      <c r="C21" s="8" t="inlineStr">
        <is>
          <t>CL</t>
        </is>
      </c>
      <c r="D21" s="8" t="inlineStr">
        <is>
          <t>introduction</t>
        </is>
      </c>
      <c r="E21" s="8" t="inlineStr">
        <is>
          <t>Most scholarly work on alliances has overlooked the effects of specific technologies, with the exception of nuclear weapons</t>
        </is>
      </c>
      <c r="F21" s="8" t="inlineStr">
        <is>
          <t>descriptive</t>
        </is>
      </c>
      <c r="G21" s="8" t="inlineStr">
        <is>
          <t>W2</t>
        </is>
      </c>
      <c r="H21" s="8" t="inlineStr">
        <is>
          <t>W2</t>
        </is>
      </c>
      <c r="I21" s="8" t="n"/>
      <c r="J21" s="8" t="inlineStr">
        <is>
          <t>P4</t>
        </is>
      </c>
      <c r="K21" s="8" t="inlineStr">
        <is>
          <t>NA</t>
        </is>
      </c>
      <c r="L21" s="8" t="inlineStr">
        <is>
          <t>NA</t>
        </is>
      </c>
      <c r="M21" s="8" t="inlineStr">
        <is>
          <t>NA</t>
        </is>
      </c>
      <c r="N21" s="8" t="n"/>
      <c r="O21" s="8" t="n"/>
      <c r="P21">
        <f>IF(OR(F21="",H21="",J21=""),"",J21&amp;"|"&amp;F21&amp;"|"&amp;IF(H21="W3","W3_"&amp;IF(I21="","unknown",I21),H21))</f>
        <v/>
      </c>
      <c r="Q21">
        <f>IF(P21="","",IFERROR(IF(AND(H21="W7",OR(F21="causal",F21="predictive")),IF(AND(OR(K21=1,K21="1"),OR(L21=1,L21="1"),OR(M21=1,M21="1")),"adequate","partial"),IF(AND(H21="W4",F21="predictive",OR(J21="P2",J21="P3",J21="P4")),IF(OR(U21=1,U21="1"),"adequate","partial"),INDEX(Fit_Matrix!$B:$B,MATCH(P21,Fit_Matrix!$A:$A,0)))),"CHECK KEY"))</f>
        <v/>
      </c>
      <c r="R21" s="8" t="inlineStr">
        <is>
          <t>adequate</t>
        </is>
      </c>
      <c r="S21" s="8" t="n"/>
      <c r="T21" s="8" t="inlineStr">
        <is>
          <t>author's own literature review (footnotes 12-15)</t>
        </is>
      </c>
      <c r="U21" s="10" t="inlineStr">
        <is>
          <t>NA</t>
        </is>
      </c>
      <c r="V21" s="10" t="inlineStr">
        <is>
          <t>NA</t>
        </is>
      </c>
      <c r="W21" s="10" t="inlineStr">
        <is>
          <t>NA</t>
        </is>
      </c>
      <c r="X21" s="10" t="inlineStr">
        <is>
          <t>NA</t>
        </is>
      </c>
      <c r="Y21" s="10" t="inlineStr">
        <is>
          <t>NA</t>
        </is>
      </c>
      <c r="Z21" s="10" t="inlineStr">
        <is>
          <t>NA</t>
        </is>
      </c>
      <c r="AA21" s="11">
        <f>IF(A21="","",IF(AND(J21="P4",F21="causal"),"P4-CAUSAL",""))</f>
        <v/>
      </c>
    </row>
    <row r="22" ht="15" customHeight="1" s="1">
      <c r="A22" s="8" t="inlineStr">
        <is>
          <t>K0021</t>
        </is>
      </c>
      <c r="B22" s="8" t="inlineStr">
        <is>
          <t>A003</t>
        </is>
      </c>
      <c r="C22" s="8" t="inlineStr">
        <is>
          <t>CL</t>
        </is>
      </c>
      <c r="D22" s="8" t="inlineStr">
        <is>
          <t>conclusion</t>
        </is>
      </c>
      <c r="E22" s="8" t="inlineStr">
        <is>
          <t>This article offers a framework for future hypothesis testing</t>
        </is>
      </c>
      <c r="F22" s="8" t="inlineStr">
        <is>
          <t>conceptual</t>
        </is>
      </c>
      <c r="G22" s="8" t="inlineStr">
        <is>
          <t>W5;W7</t>
        </is>
      </c>
      <c r="H22" s="8" t="inlineStr">
        <is>
          <t>W7</t>
        </is>
      </c>
      <c r="I22" s="8" t="n"/>
      <c r="J22" s="8" t="inlineStr">
        <is>
          <t>P4</t>
        </is>
      </c>
      <c r="K22" s="8" t="inlineStr">
        <is>
          <t>NA</t>
        </is>
      </c>
      <c r="L22" s="8" t="inlineStr">
        <is>
          <t>NA</t>
        </is>
      </c>
      <c r="M22" s="8" t="inlineStr">
        <is>
          <t>NA</t>
        </is>
      </c>
      <c r="N22" s="8" t="n"/>
      <c r="O22" s="8" t="n"/>
      <c r="P22">
        <f>IF(OR(F22="",H22="",J22=""),"",J22&amp;"|"&amp;F22&amp;"|"&amp;IF(H22="W3","W3_"&amp;IF(I22="","unknown",I22),H22))</f>
        <v/>
      </c>
      <c r="Q22">
        <f>IF(P22="","",IFERROR(IF(AND(H22="W7",OR(F22="causal",F22="predictive")),IF(AND(OR(K22=1,K22="1"),OR(L22=1,L22="1"),OR(M22=1,M22="1")),"adequate","partial"),IF(AND(H22="W4",F22="predictive",OR(J22="P2",J22="P3",J22="P4")),IF(OR(U22=1,U22="1"),"adequate","partial"),INDEX(Fit_Matrix!$B:$B,MATCH(P22,Fit_Matrix!$A:$A,0)))),"CHECK KEY"))</f>
        <v/>
      </c>
      <c r="R22" s="8" t="inlineStr">
        <is>
          <t>adequate</t>
        </is>
      </c>
      <c r="S22" s="8" t="n"/>
      <c r="T22" s="8" t="inlineStr">
        <is>
          <t>explicit self-declaration of status; positive example for Section 4.6</t>
        </is>
      </c>
      <c r="U22" s="10" t="inlineStr">
        <is>
          <t>NA</t>
        </is>
      </c>
      <c r="V22" s="10" t="inlineStr">
        <is>
          <t>NA</t>
        </is>
      </c>
      <c r="W22" s="10" t="inlineStr">
        <is>
          <t>NA</t>
        </is>
      </c>
      <c r="X22" s="10" t="inlineStr">
        <is>
          <t>NA</t>
        </is>
      </c>
      <c r="Y22" s="10" t="inlineStr">
        <is>
          <t>NA</t>
        </is>
      </c>
      <c r="Z22" s="10" t="inlineStr">
        <is>
          <t>NA</t>
        </is>
      </c>
      <c r="AA22" s="11">
        <f>IF(A22="","",IF(AND(J22="P4",F22="causal"),"P4-CAUSAL",""))</f>
        <v/>
      </c>
    </row>
    <row r="23" ht="15" customHeight="1" s="1">
      <c r="P23">
        <f>IF(OR(F23="",H23="",J23=""),"",J23&amp;"|"&amp;F23&amp;"|"&amp;IF(H23="W3","W3_"&amp;IF(I23="","unknown",I23),H23))</f>
        <v/>
      </c>
      <c r="Q23">
        <f>IF(P23="","",IFERROR(IF(AND(H23="W7",OR(F23="causal",F23="predictive")),IF(AND(OR(K23=1,K23="1"),OR(L23=1,L23="1"),OR(M23=1,M23="1")),"adequate","partial"),IF(AND(H23="W4",F23="predictive",OR(J23="P2",J23="P3",J23="P4")),IF(OR(U23=1,U23="1"),"adequate","partial"),INDEX(Fit_Matrix!$B:$B,MATCH(P23,Fit_Matrix!$A:$A,0)))),"CHECK KEY"))</f>
        <v/>
      </c>
      <c r="U23" s="10" t="n"/>
      <c r="V23" s="10" t="n"/>
      <c r="W23" s="10" t="n"/>
      <c r="X23" s="10" t="n"/>
      <c r="Y23" s="10" t="n"/>
      <c r="Z23" s="10" t="n"/>
      <c r="AA23" s="11">
        <f>IF(A23="","",IF(AND(J23="P4",F23="causal"),"P4-CAUSAL",""))</f>
        <v/>
      </c>
    </row>
    <row r="24" ht="15" customHeight="1" s="1">
      <c r="P24">
        <f>IF(OR(F24="",H24="",J24=""),"",J24&amp;"|"&amp;F24&amp;"|"&amp;IF(H24="W3","W3_"&amp;IF(I24="","unknown",I24),H24))</f>
        <v/>
      </c>
      <c r="Q24">
        <f>IF(P24="","",IFERROR(IF(AND(H24="W7",OR(F24="causal",F24="predictive")),IF(AND(OR(K24=1,K24="1"),OR(L24=1,L24="1"),OR(M24=1,M24="1")),"adequate","partial"),IF(AND(H24="W4",F24="predictive",OR(J24="P2",J24="P3",J24="P4")),IF(OR(U24=1,U24="1"),"adequate","partial"),INDEX(Fit_Matrix!$B:$B,MATCH(P24,Fit_Matrix!$A:$A,0)))),"CHECK KEY"))</f>
        <v/>
      </c>
      <c r="U24" s="10" t="n"/>
      <c r="V24" s="10" t="n"/>
      <c r="W24" s="10" t="n"/>
      <c r="X24" s="10" t="n"/>
      <c r="Y24" s="10" t="n"/>
      <c r="Z24" s="10" t="n"/>
      <c r="AA24" s="11">
        <f>IF(A24="","",IF(AND(J24="P4",F24="causal"),"P4-CAUSAL",""))</f>
        <v/>
      </c>
    </row>
    <row r="25" ht="15" customHeight="1" s="1">
      <c r="P25">
        <f>IF(OR(F25="",H25="",J25=""),"",J25&amp;"|"&amp;F25&amp;"|"&amp;IF(H25="W3","W3_"&amp;IF(I25="","unknown",I25),H25))</f>
        <v/>
      </c>
      <c r="Q25">
        <f>IF(P25="","",IFERROR(IF(AND(H25="W7",OR(F25="causal",F25="predictive")),IF(AND(OR(K25=1,K25="1"),OR(L25=1,L25="1"),OR(M25=1,M25="1")),"adequate","partial"),IF(AND(H25="W4",F25="predictive",OR(J25="P2",J25="P3",J25="P4")),IF(OR(U25=1,U25="1"),"adequate","partial"),INDEX(Fit_Matrix!$B:$B,MATCH(P25,Fit_Matrix!$A:$A,0)))),"CHECK KEY"))</f>
        <v/>
      </c>
      <c r="U25" s="10" t="n"/>
      <c r="V25" s="10" t="n"/>
      <c r="W25" s="10" t="n"/>
      <c r="X25" s="10" t="n"/>
      <c r="Y25" s="10" t="n"/>
      <c r="Z25" s="10" t="n"/>
      <c r="AA25" s="11">
        <f>IF(A25="","",IF(AND(J25="P4",F25="causal"),"P4-CAUSAL",""))</f>
        <v/>
      </c>
    </row>
    <row r="26" ht="15" customHeight="1" s="1">
      <c r="P26">
        <f>IF(OR(F26="",H26="",J26=""),"",J26&amp;"|"&amp;F26&amp;"|"&amp;IF(H26="W3","W3_"&amp;IF(I26="","unknown",I26),H26))</f>
        <v/>
      </c>
      <c r="Q26">
        <f>IF(P26="","",IFERROR(IF(AND(H26="W7",OR(F26="causal",F26="predictive")),IF(AND(OR(K26=1,K26="1"),OR(L26=1,L26="1"),OR(M26=1,M26="1")),"adequate","partial"),IF(AND(H26="W4",F26="predictive",OR(J26="P2",J26="P3",J26="P4")),IF(OR(U26=1,U26="1"),"adequate","partial"),INDEX(Fit_Matrix!$B:$B,MATCH(P26,Fit_Matrix!$A:$A,0)))),"CHECK KEY"))</f>
        <v/>
      </c>
      <c r="U26" s="10" t="n"/>
      <c r="V26" s="10" t="n"/>
      <c r="W26" s="10" t="n"/>
      <c r="X26" s="10" t="n"/>
      <c r="Y26" s="10" t="n"/>
      <c r="Z26" s="10" t="n"/>
      <c r="AA26" s="11">
        <f>IF(A26="","",IF(AND(J26="P4",F26="causal"),"P4-CAUSAL",""))</f>
        <v/>
      </c>
    </row>
    <row r="27" ht="15" customHeight="1" s="1">
      <c r="P27">
        <f>IF(OR(F27="",H27="",J27=""),"",J27&amp;"|"&amp;F27&amp;"|"&amp;IF(H27="W3","W3_"&amp;IF(I27="","unknown",I27),H27))</f>
        <v/>
      </c>
      <c r="Q27">
        <f>IF(P27="","",IFERROR(IF(AND(H27="W7",OR(F27="causal",F27="predictive")),IF(AND(OR(K27=1,K27="1"),OR(L27=1,L27="1"),OR(M27=1,M27="1")),"adequate","partial"),IF(AND(H27="W4",F27="predictive",OR(J27="P2",J27="P3",J27="P4")),IF(OR(U27=1,U27="1"),"adequate","partial"),INDEX(Fit_Matrix!$B:$B,MATCH(P27,Fit_Matrix!$A:$A,0)))),"CHECK KEY"))</f>
        <v/>
      </c>
      <c r="U27" s="10" t="n"/>
      <c r="V27" s="10" t="n"/>
      <c r="W27" s="10" t="n"/>
      <c r="X27" s="10" t="n"/>
      <c r="Y27" s="10" t="n"/>
      <c r="Z27" s="10" t="n"/>
      <c r="AA27" s="11">
        <f>IF(A27="","",IF(AND(J27="P4",F27="causal"),"P4-CAUSAL",""))</f>
        <v/>
      </c>
    </row>
    <row r="28" ht="15" customHeight="1" s="1">
      <c r="P28">
        <f>IF(OR(F28="",H28="",J28=""),"",J28&amp;"|"&amp;F28&amp;"|"&amp;IF(H28="W3","W3_"&amp;IF(I28="","unknown",I28),H28))</f>
        <v/>
      </c>
      <c r="Q28">
        <f>IF(P28="","",IFERROR(IF(AND(H28="W7",OR(F28="causal",F28="predictive")),IF(AND(OR(K28=1,K28="1"),OR(L28=1,L28="1"),OR(M28=1,M28="1")),"adequate","partial"),IF(AND(H28="W4",F28="predictive",OR(J28="P2",J28="P3",J28="P4")),IF(OR(U28=1,U28="1"),"adequate","partial"),INDEX(Fit_Matrix!$B:$B,MATCH(P28,Fit_Matrix!$A:$A,0)))),"CHECK KEY"))</f>
        <v/>
      </c>
      <c r="U28" s="10" t="n"/>
      <c r="V28" s="10" t="n"/>
      <c r="W28" s="10" t="n"/>
      <c r="X28" s="10" t="n"/>
      <c r="Y28" s="10" t="n"/>
      <c r="Z28" s="10" t="n"/>
      <c r="AA28" s="11">
        <f>IF(A28="","",IF(AND(J28="P4",F28="causal"),"P4-CAUSAL",""))</f>
        <v/>
      </c>
    </row>
    <row r="29" ht="15" customHeight="1" s="1">
      <c r="P29">
        <f>IF(OR(F29="",H29="",J29=""),"",J29&amp;"|"&amp;F29&amp;"|"&amp;IF(H29="W3","W3_"&amp;IF(I29="","unknown",I29),H29))</f>
        <v/>
      </c>
      <c r="Q29">
        <f>IF(P29="","",IFERROR(IF(AND(H29="W7",OR(F29="causal",F29="predictive")),IF(AND(OR(K29=1,K29="1"),OR(L29=1,L29="1"),OR(M29=1,M29="1")),"adequate","partial"),IF(AND(H29="W4",F29="predictive",OR(J29="P2",J29="P3",J29="P4")),IF(OR(U29=1,U29="1"),"adequate","partial"),INDEX(Fit_Matrix!$B:$B,MATCH(P29,Fit_Matrix!$A:$A,0)))),"CHECK KEY"))</f>
        <v/>
      </c>
      <c r="U29" s="10" t="n"/>
      <c r="V29" s="10" t="n"/>
      <c r="W29" s="10" t="n"/>
      <c r="X29" s="10" t="n"/>
      <c r="Y29" s="10" t="n"/>
      <c r="Z29" s="10" t="n"/>
      <c r="AA29" s="11">
        <f>IF(A29="","",IF(AND(J29="P4",F29="causal"),"P4-CAUSAL",""))</f>
        <v/>
      </c>
    </row>
    <row r="30" ht="15" customHeight="1" s="1">
      <c r="P30">
        <f>IF(OR(F30="",H30="",J30=""),"",J30&amp;"|"&amp;F30&amp;"|"&amp;IF(H30="W3","W3_"&amp;IF(I30="","unknown",I30),H30))</f>
        <v/>
      </c>
      <c r="Q30">
        <f>IF(P30="","",IFERROR(IF(AND(H30="W7",OR(F30="causal",F30="predictive")),IF(AND(OR(K30=1,K30="1"),OR(L30=1,L30="1"),OR(M30=1,M30="1")),"adequate","partial"),IF(AND(H30="W4",F30="predictive",OR(J30="P2",J30="P3",J30="P4")),IF(OR(U30=1,U30="1"),"adequate","partial"),INDEX(Fit_Matrix!$B:$B,MATCH(P30,Fit_Matrix!$A:$A,0)))),"CHECK KEY"))</f>
        <v/>
      </c>
      <c r="U30" s="10" t="n"/>
      <c r="V30" s="10" t="n"/>
      <c r="W30" s="10" t="n"/>
      <c r="X30" s="10" t="n"/>
      <c r="Y30" s="10" t="n"/>
      <c r="Z30" s="10" t="n"/>
      <c r="AA30" s="11">
        <f>IF(A30="","",IF(AND(J30="P4",F30="causal"),"P4-CAUSAL",""))</f>
        <v/>
      </c>
    </row>
    <row r="31" ht="15" customHeight="1" s="1">
      <c r="P31">
        <f>IF(OR(F31="",H31="",J31=""),"",J31&amp;"|"&amp;F31&amp;"|"&amp;IF(H31="W3","W3_"&amp;IF(I31="","unknown",I31),H31))</f>
        <v/>
      </c>
      <c r="Q31">
        <f>IF(P31="","",IFERROR(IF(AND(H31="W7",OR(F31="causal",F31="predictive")),IF(AND(OR(K31=1,K31="1"),OR(L31=1,L31="1"),OR(M31=1,M31="1")),"adequate","partial"),IF(AND(H31="W4",F31="predictive",OR(J31="P2",J31="P3",J31="P4")),IF(OR(U31=1,U31="1"),"adequate","partial"),INDEX(Fit_Matrix!$B:$B,MATCH(P31,Fit_Matrix!$A:$A,0)))),"CHECK KEY"))</f>
        <v/>
      </c>
      <c r="U31" s="10" t="n"/>
      <c r="V31" s="10" t="n"/>
      <c r="W31" s="10" t="n"/>
      <c r="X31" s="10" t="n"/>
      <c r="Y31" s="10" t="n"/>
      <c r="Z31" s="10" t="n"/>
      <c r="AA31" s="11">
        <f>IF(A31="","",IF(AND(J31="P4",F31="causal"),"P4-CAUSAL",""))</f>
        <v/>
      </c>
    </row>
    <row r="32" ht="15" customHeight="1" s="1">
      <c r="P32">
        <f>IF(OR(F32="",H32="",J32=""),"",J32&amp;"|"&amp;F32&amp;"|"&amp;IF(H32="W3","W3_"&amp;IF(I32="","unknown",I32),H32))</f>
        <v/>
      </c>
      <c r="Q32">
        <f>IF(P32="","",IFERROR(IF(AND(H32="W7",OR(F32="causal",F32="predictive")),IF(AND(OR(K32=1,K32="1"),OR(L32=1,L32="1"),OR(M32=1,M32="1")),"adequate","partial"),IF(AND(H32="W4",F32="predictive",OR(J32="P2",J32="P3",J32="P4")),IF(OR(U32=1,U32="1"),"adequate","partial"),INDEX(Fit_Matrix!$B:$B,MATCH(P32,Fit_Matrix!$A:$A,0)))),"CHECK KEY"))</f>
        <v/>
      </c>
      <c r="U32" s="10" t="n"/>
      <c r="V32" s="10" t="n"/>
      <c r="W32" s="10" t="n"/>
      <c r="X32" s="10" t="n"/>
      <c r="Y32" s="10" t="n"/>
      <c r="Z32" s="10" t="n"/>
      <c r="AA32" s="11">
        <f>IF(A32="","",IF(AND(J32="P4",F32="causal"),"P4-CAUSAL",""))</f>
        <v/>
      </c>
    </row>
    <row r="33" ht="15" customHeight="1" s="1">
      <c r="P33">
        <f>IF(OR(F33="",H33="",J33=""),"",J33&amp;"|"&amp;F33&amp;"|"&amp;IF(H33="W3","W3_"&amp;IF(I33="","unknown",I33),H33))</f>
        <v/>
      </c>
      <c r="Q33">
        <f>IF(P33="","",IFERROR(IF(AND(H33="W7",OR(F33="causal",F33="predictive")),IF(AND(OR(K33=1,K33="1"),OR(L33=1,L33="1"),OR(M33=1,M33="1")),"adequate","partial"),IF(AND(H33="W4",F33="predictive",OR(J33="P2",J33="P3",J33="P4")),IF(OR(U33=1,U33="1"),"adequate","partial"),INDEX(Fit_Matrix!$B:$B,MATCH(P33,Fit_Matrix!$A:$A,0)))),"CHECK KEY"))</f>
        <v/>
      </c>
      <c r="U33" s="10" t="n"/>
      <c r="V33" s="10" t="n"/>
      <c r="W33" s="10" t="n"/>
      <c r="X33" s="10" t="n"/>
      <c r="Y33" s="10" t="n"/>
      <c r="Z33" s="10" t="n"/>
      <c r="AA33" s="11">
        <f>IF(A33="","",IF(AND(J33="P4",F33="causal"),"P4-CAUSAL",""))</f>
        <v/>
      </c>
    </row>
    <row r="34" ht="15" customHeight="1" s="1">
      <c r="P34">
        <f>IF(OR(F34="",H34="",J34=""),"",J34&amp;"|"&amp;F34&amp;"|"&amp;IF(H34="W3","W3_"&amp;IF(I34="","unknown",I34),H34))</f>
        <v/>
      </c>
      <c r="Q34">
        <f>IF(P34="","",IFERROR(IF(AND(H34="W7",OR(F34="causal",F34="predictive")),IF(AND(OR(K34=1,K34="1"),OR(L34=1,L34="1"),OR(M34=1,M34="1")),"adequate","partial"),IF(AND(H34="W4",F34="predictive",OR(J34="P2",J34="P3",J34="P4")),IF(OR(U34=1,U34="1"),"adequate","partial"),INDEX(Fit_Matrix!$B:$B,MATCH(P34,Fit_Matrix!$A:$A,0)))),"CHECK KEY"))</f>
        <v/>
      </c>
      <c r="U34" s="10" t="n"/>
      <c r="V34" s="10" t="n"/>
      <c r="W34" s="10" t="n"/>
      <c r="X34" s="10" t="n"/>
      <c r="Y34" s="10" t="n"/>
      <c r="Z34" s="10" t="n"/>
      <c r="AA34" s="11">
        <f>IF(A34="","",IF(AND(J34="P4",F34="causal"),"P4-CAUSAL",""))</f>
        <v/>
      </c>
    </row>
    <row r="35" ht="15" customHeight="1" s="1">
      <c r="P35">
        <f>IF(OR(F35="",H35="",J35=""),"",J35&amp;"|"&amp;F35&amp;"|"&amp;IF(H35="W3","W3_"&amp;IF(I35="","unknown",I35),H35))</f>
        <v/>
      </c>
      <c r="Q35">
        <f>IF(P35="","",IFERROR(IF(AND(H35="W7",OR(F35="causal",F35="predictive")),IF(AND(OR(K35=1,K35="1"),OR(L35=1,L35="1"),OR(M35=1,M35="1")),"adequate","partial"),IF(AND(H35="W4",F35="predictive",OR(J35="P2",J35="P3",J35="P4")),IF(OR(U35=1,U35="1"),"adequate","partial"),INDEX(Fit_Matrix!$B:$B,MATCH(P35,Fit_Matrix!$A:$A,0)))),"CHECK KEY"))</f>
        <v/>
      </c>
      <c r="U35" s="10" t="n"/>
      <c r="V35" s="10" t="n"/>
      <c r="W35" s="10" t="n"/>
      <c r="X35" s="10" t="n"/>
      <c r="Y35" s="10" t="n"/>
      <c r="Z35" s="10" t="n"/>
      <c r="AA35" s="11">
        <f>IF(A35="","",IF(AND(J35="P4",F35="causal"),"P4-CAUSAL",""))</f>
        <v/>
      </c>
    </row>
    <row r="36" ht="15" customHeight="1" s="1">
      <c r="P36">
        <f>IF(OR(F36="",H36="",J36=""),"",J36&amp;"|"&amp;F36&amp;"|"&amp;IF(H36="W3","W3_"&amp;IF(I36="","unknown",I36),H36))</f>
        <v/>
      </c>
      <c r="Q36">
        <f>IF(P36="","",IFERROR(IF(AND(H36="W7",OR(F36="causal",F36="predictive")),IF(AND(OR(K36=1,K36="1"),OR(L36=1,L36="1"),OR(M36=1,M36="1")),"adequate","partial"),IF(AND(H36="W4",F36="predictive",OR(J36="P2",J36="P3",J36="P4")),IF(OR(U36=1,U36="1"),"adequate","partial"),INDEX(Fit_Matrix!$B:$B,MATCH(P36,Fit_Matrix!$A:$A,0)))),"CHECK KEY"))</f>
        <v/>
      </c>
      <c r="U36" s="10" t="n"/>
      <c r="V36" s="10" t="n"/>
      <c r="W36" s="10" t="n"/>
      <c r="X36" s="10" t="n"/>
      <c r="Y36" s="10" t="n"/>
      <c r="Z36" s="10" t="n"/>
      <c r="AA36" s="11">
        <f>IF(A36="","",IF(AND(J36="P4",F36="causal"),"P4-CAUSAL",""))</f>
        <v/>
      </c>
    </row>
    <row r="37" ht="15" customHeight="1" s="1">
      <c r="P37">
        <f>IF(OR(F37="",H37="",J37=""),"",J37&amp;"|"&amp;F37&amp;"|"&amp;IF(H37="W3","W3_"&amp;IF(I37="","unknown",I37),H37))</f>
        <v/>
      </c>
      <c r="Q37">
        <f>IF(P37="","",IFERROR(IF(AND(H37="W7",OR(F37="causal",F37="predictive")),IF(AND(OR(K37=1,K37="1"),OR(L37=1,L37="1"),OR(M37=1,M37="1")),"adequate","partial"),IF(AND(H37="W4",F37="predictive",OR(J37="P2",J37="P3",J37="P4")),IF(OR(U37=1,U37="1"),"adequate","partial"),INDEX(Fit_Matrix!$B:$B,MATCH(P37,Fit_Matrix!$A:$A,0)))),"CHECK KEY"))</f>
        <v/>
      </c>
      <c r="U37" s="10" t="n"/>
      <c r="V37" s="10" t="n"/>
      <c r="W37" s="10" t="n"/>
      <c r="X37" s="10" t="n"/>
      <c r="Y37" s="10" t="n"/>
      <c r="Z37" s="10" t="n"/>
      <c r="AA37" s="11">
        <f>IF(A37="","",IF(AND(J37="P4",F37="causal"),"P4-CAUSAL",""))</f>
        <v/>
      </c>
    </row>
    <row r="38" ht="15" customHeight="1" s="1">
      <c r="P38">
        <f>IF(OR(F38="",H38="",J38=""),"",J38&amp;"|"&amp;F38&amp;"|"&amp;IF(H38="W3","W3_"&amp;IF(I38="","unknown",I38),H38))</f>
        <v/>
      </c>
      <c r="Q38">
        <f>IF(P38="","",IFERROR(IF(AND(H38="W7",OR(F38="causal",F38="predictive")),IF(AND(OR(K38=1,K38="1"),OR(L38=1,L38="1"),OR(M38=1,M38="1")),"adequate","partial"),IF(AND(H38="W4",F38="predictive",OR(J38="P2",J38="P3",J38="P4")),IF(OR(U38=1,U38="1"),"adequate","partial"),INDEX(Fit_Matrix!$B:$B,MATCH(P38,Fit_Matrix!$A:$A,0)))),"CHECK KEY"))</f>
        <v/>
      </c>
      <c r="U38" s="10" t="n"/>
      <c r="V38" s="10" t="n"/>
      <c r="W38" s="10" t="n"/>
      <c r="X38" s="10" t="n"/>
      <c r="Y38" s="10" t="n"/>
      <c r="Z38" s="10" t="n"/>
      <c r="AA38" s="11">
        <f>IF(A38="","",IF(AND(J38="P4",F38="causal"),"P4-CAUSAL",""))</f>
        <v/>
      </c>
    </row>
    <row r="39" ht="15" customHeight="1" s="1">
      <c r="P39">
        <f>IF(OR(F39="",H39="",J39=""),"",J39&amp;"|"&amp;F39&amp;"|"&amp;IF(H39="W3","W3_"&amp;IF(I39="","unknown",I39),H39))</f>
        <v/>
      </c>
      <c r="Q39">
        <f>IF(P39="","",IFERROR(IF(AND(H39="W7",OR(F39="causal",F39="predictive")),IF(AND(OR(K39=1,K39="1"),OR(L39=1,L39="1"),OR(M39=1,M39="1")),"adequate","partial"),IF(AND(H39="W4",F39="predictive",OR(J39="P2",J39="P3",J39="P4")),IF(OR(U39=1,U39="1"),"adequate","partial"),INDEX(Fit_Matrix!$B:$B,MATCH(P39,Fit_Matrix!$A:$A,0)))),"CHECK KEY"))</f>
        <v/>
      </c>
      <c r="U39" s="10" t="n"/>
      <c r="V39" s="10" t="n"/>
      <c r="W39" s="10" t="n"/>
      <c r="X39" s="10" t="n"/>
      <c r="Y39" s="10" t="n"/>
      <c r="Z39" s="10" t="n"/>
      <c r="AA39" s="11">
        <f>IF(A39="","",IF(AND(J39="P4",F39="causal"),"P4-CAUSAL",""))</f>
        <v/>
      </c>
    </row>
    <row r="40" ht="15" customHeight="1" s="1">
      <c r="P40">
        <f>IF(OR(F40="",H40="",J40=""),"",J40&amp;"|"&amp;F40&amp;"|"&amp;IF(H40="W3","W3_"&amp;IF(I40="","unknown",I40),H40))</f>
        <v/>
      </c>
      <c r="Q40">
        <f>IF(P40="","",IFERROR(IF(AND(H40="W7",OR(F40="causal",F40="predictive")),IF(AND(OR(K40=1,K40="1"),OR(L40=1,L40="1"),OR(M40=1,M40="1")),"adequate","partial"),IF(AND(H40="W4",F40="predictive",OR(J40="P2",J40="P3",J40="P4")),IF(OR(U40=1,U40="1"),"adequate","partial"),INDEX(Fit_Matrix!$B:$B,MATCH(P40,Fit_Matrix!$A:$A,0)))),"CHECK KEY"))</f>
        <v/>
      </c>
      <c r="U40" s="10" t="n"/>
      <c r="V40" s="10" t="n"/>
      <c r="W40" s="10" t="n"/>
      <c r="X40" s="10" t="n"/>
      <c r="Y40" s="10" t="n"/>
      <c r="Z40" s="10" t="n"/>
      <c r="AA40" s="11">
        <f>IF(A40="","",IF(AND(J40="P4",F40="causal"),"P4-CAUSAL",""))</f>
        <v/>
      </c>
    </row>
    <row r="41" ht="15" customHeight="1" s="1">
      <c r="P41">
        <f>IF(OR(F41="",H41="",J41=""),"",J41&amp;"|"&amp;F41&amp;"|"&amp;IF(H41="W3","W3_"&amp;IF(I41="","unknown",I41),H41))</f>
        <v/>
      </c>
      <c r="Q41">
        <f>IF(P41="","",IFERROR(IF(AND(H41="W7",OR(F41="causal",F41="predictive")),IF(AND(OR(K41=1,K41="1"),OR(L41=1,L41="1"),OR(M41=1,M41="1")),"adequate","partial"),IF(AND(H41="W4",F41="predictive",OR(J41="P2",J41="P3",J41="P4")),IF(OR(U41=1,U41="1"),"adequate","partial"),INDEX(Fit_Matrix!$B:$B,MATCH(P41,Fit_Matrix!$A:$A,0)))),"CHECK KEY"))</f>
        <v/>
      </c>
      <c r="U41" s="10" t="n"/>
      <c r="V41" s="10" t="n"/>
      <c r="W41" s="10" t="n"/>
      <c r="X41" s="10" t="n"/>
      <c r="Y41" s="10" t="n"/>
      <c r="Z41" s="10" t="n"/>
      <c r="AA41" s="11">
        <f>IF(A41="","",IF(AND(J41="P4",F41="causal"),"P4-CAUSAL",""))</f>
        <v/>
      </c>
    </row>
    <row r="42" ht="15" customHeight="1" s="1">
      <c r="P42">
        <f>IF(OR(F42="",H42="",J42=""),"",J42&amp;"|"&amp;F42&amp;"|"&amp;IF(H42="W3","W3_"&amp;IF(I42="","unknown",I42),H42))</f>
        <v/>
      </c>
      <c r="Q42">
        <f>IF(P42="","",IFERROR(IF(AND(H42="W7",OR(F42="causal",F42="predictive")),IF(AND(OR(K42=1,K42="1"),OR(L42=1,L42="1"),OR(M42=1,M42="1")),"adequate","partial"),IF(AND(H42="W4",F42="predictive",OR(J42="P2",J42="P3",J42="P4")),IF(OR(U42=1,U42="1"),"adequate","partial"),INDEX(Fit_Matrix!$B:$B,MATCH(P42,Fit_Matrix!$A:$A,0)))),"CHECK KEY"))</f>
        <v/>
      </c>
      <c r="U42" s="10" t="n"/>
      <c r="V42" s="10" t="n"/>
      <c r="W42" s="10" t="n"/>
      <c r="X42" s="10" t="n"/>
      <c r="Y42" s="10" t="n"/>
      <c r="Z42" s="10" t="n"/>
      <c r="AA42" s="11">
        <f>IF(A42="","",IF(AND(J42="P4",F42="causal"),"P4-CAUSAL",""))</f>
        <v/>
      </c>
    </row>
    <row r="43" ht="15" customHeight="1" s="1">
      <c r="P43">
        <f>IF(OR(F43="",H43="",J43=""),"",J43&amp;"|"&amp;F43&amp;"|"&amp;IF(H43="W3","W3_"&amp;IF(I43="","unknown",I43),H43))</f>
        <v/>
      </c>
      <c r="Q43">
        <f>IF(P43="","",IFERROR(IF(AND(H43="W7",OR(F43="causal",F43="predictive")),IF(AND(OR(K43=1,K43="1"),OR(L43=1,L43="1"),OR(M43=1,M43="1")),"adequate","partial"),IF(AND(H43="W4",F43="predictive",OR(J43="P2",J43="P3",J43="P4")),IF(OR(U43=1,U43="1"),"adequate","partial"),INDEX(Fit_Matrix!$B:$B,MATCH(P43,Fit_Matrix!$A:$A,0)))),"CHECK KEY"))</f>
        <v/>
      </c>
      <c r="U43" s="10" t="n"/>
      <c r="V43" s="10" t="n"/>
      <c r="W43" s="10" t="n"/>
      <c r="X43" s="10" t="n"/>
      <c r="Y43" s="10" t="n"/>
      <c r="Z43" s="10" t="n"/>
      <c r="AA43" s="11">
        <f>IF(A43="","",IF(AND(J43="P4",F43="causal"),"P4-CAUSAL",""))</f>
        <v/>
      </c>
    </row>
    <row r="44" ht="15" customHeight="1" s="1">
      <c r="P44">
        <f>IF(OR(F44="",H44="",J44=""),"",J44&amp;"|"&amp;F44&amp;"|"&amp;IF(H44="W3","W3_"&amp;IF(I44="","unknown",I44),H44))</f>
        <v/>
      </c>
      <c r="Q44">
        <f>IF(P44="","",IFERROR(IF(AND(H44="W7",OR(F44="causal",F44="predictive")),IF(AND(OR(K44=1,K44="1"),OR(L44=1,L44="1"),OR(M44=1,M44="1")),"adequate","partial"),IF(AND(H44="W4",F44="predictive",OR(J44="P2",J44="P3",J44="P4")),IF(OR(U44=1,U44="1"),"adequate","partial"),INDEX(Fit_Matrix!$B:$B,MATCH(P44,Fit_Matrix!$A:$A,0)))),"CHECK KEY"))</f>
        <v/>
      </c>
      <c r="U44" s="10" t="n"/>
      <c r="V44" s="10" t="n"/>
      <c r="W44" s="10" t="n"/>
      <c r="X44" s="10" t="n"/>
      <c r="Y44" s="10" t="n"/>
      <c r="Z44" s="10" t="n"/>
      <c r="AA44" s="11">
        <f>IF(A44="","",IF(AND(J44="P4",F44="causal"),"P4-CAUSAL",""))</f>
        <v/>
      </c>
    </row>
    <row r="45" ht="15" customHeight="1" s="1">
      <c r="P45">
        <f>IF(OR(F45="",H45="",J45=""),"",J45&amp;"|"&amp;F45&amp;"|"&amp;IF(H45="W3","W3_"&amp;IF(I45="","unknown",I45),H45))</f>
        <v/>
      </c>
      <c r="Q45">
        <f>IF(P45="","",IFERROR(IF(AND(H45="W7",OR(F45="causal",F45="predictive")),IF(AND(OR(K45=1,K45="1"),OR(L45=1,L45="1"),OR(M45=1,M45="1")),"adequate","partial"),IF(AND(H45="W4",F45="predictive",OR(J45="P2",J45="P3",J45="P4")),IF(OR(U45=1,U45="1"),"adequate","partial"),INDEX(Fit_Matrix!$B:$B,MATCH(P45,Fit_Matrix!$A:$A,0)))),"CHECK KEY"))</f>
        <v/>
      </c>
      <c r="U45" s="10" t="n"/>
      <c r="V45" s="10" t="n"/>
      <c r="W45" s="10" t="n"/>
      <c r="X45" s="10" t="n"/>
      <c r="Y45" s="10" t="n"/>
      <c r="Z45" s="10" t="n"/>
      <c r="AA45" s="11">
        <f>IF(A45="","",IF(AND(J45="P4",F45="causal"),"P4-CAUSAL",""))</f>
        <v/>
      </c>
    </row>
    <row r="46" ht="15" customHeight="1" s="1">
      <c r="P46">
        <f>IF(OR(F46="",H46="",J46=""),"",J46&amp;"|"&amp;F46&amp;"|"&amp;IF(H46="W3","W3_"&amp;IF(I46="","unknown",I46),H46))</f>
        <v/>
      </c>
      <c r="Q46">
        <f>IF(P46="","",IFERROR(IF(AND(H46="W7",OR(F46="causal",F46="predictive")),IF(AND(OR(K46=1,K46="1"),OR(L46=1,L46="1"),OR(M46=1,M46="1")),"adequate","partial"),IF(AND(H46="W4",F46="predictive",OR(J46="P2",J46="P3",J46="P4")),IF(OR(U46=1,U46="1"),"adequate","partial"),INDEX(Fit_Matrix!$B:$B,MATCH(P46,Fit_Matrix!$A:$A,0)))),"CHECK KEY"))</f>
        <v/>
      </c>
      <c r="U46" s="10" t="n"/>
      <c r="V46" s="10" t="n"/>
      <c r="W46" s="10" t="n"/>
      <c r="X46" s="10" t="n"/>
      <c r="Y46" s="10" t="n"/>
      <c r="Z46" s="10" t="n"/>
      <c r="AA46" s="11">
        <f>IF(A46="","",IF(AND(J46="P4",F46="causal"),"P4-CAUSAL",""))</f>
        <v/>
      </c>
    </row>
    <row r="47" ht="15" customHeight="1" s="1">
      <c r="P47">
        <f>IF(OR(F47="",H47="",J47=""),"",J47&amp;"|"&amp;F47&amp;"|"&amp;IF(H47="W3","W3_"&amp;IF(I47="","unknown",I47),H47))</f>
        <v/>
      </c>
      <c r="Q47">
        <f>IF(P47="","",IFERROR(IF(AND(H47="W7",OR(F47="causal",F47="predictive")),IF(AND(OR(K47=1,K47="1"),OR(L47=1,L47="1"),OR(M47=1,M47="1")),"adequate","partial"),IF(AND(H47="W4",F47="predictive",OR(J47="P2",J47="P3",J47="P4")),IF(OR(U47=1,U47="1"),"adequate","partial"),INDEX(Fit_Matrix!$B:$B,MATCH(P47,Fit_Matrix!$A:$A,0)))),"CHECK KEY"))</f>
        <v/>
      </c>
      <c r="U47" s="10" t="n"/>
      <c r="V47" s="10" t="n"/>
      <c r="W47" s="10" t="n"/>
      <c r="X47" s="10" t="n"/>
      <c r="Y47" s="10" t="n"/>
      <c r="Z47" s="10" t="n"/>
      <c r="AA47" s="11">
        <f>IF(A47="","",IF(AND(J47="P4",F47="causal"),"P4-CAUSAL",""))</f>
        <v/>
      </c>
    </row>
    <row r="48" ht="15" customHeight="1" s="1">
      <c r="P48">
        <f>IF(OR(F48="",H48="",J48=""),"",J48&amp;"|"&amp;F48&amp;"|"&amp;IF(H48="W3","W3_"&amp;IF(I48="","unknown",I48),H48))</f>
        <v/>
      </c>
      <c r="Q48">
        <f>IF(P48="","",IFERROR(IF(AND(H48="W7",OR(F48="causal",F48="predictive")),IF(AND(OR(K48=1,K48="1"),OR(L48=1,L48="1"),OR(M48=1,M48="1")),"adequate","partial"),IF(AND(H48="W4",F48="predictive",OR(J48="P2",J48="P3",J48="P4")),IF(OR(U48=1,U48="1"),"adequate","partial"),INDEX(Fit_Matrix!$B:$B,MATCH(P48,Fit_Matrix!$A:$A,0)))),"CHECK KEY"))</f>
        <v/>
      </c>
      <c r="U48" s="10" t="n"/>
      <c r="V48" s="10" t="n"/>
      <c r="W48" s="10" t="n"/>
      <c r="X48" s="10" t="n"/>
      <c r="Y48" s="10" t="n"/>
      <c r="Z48" s="10" t="n"/>
      <c r="AA48" s="11">
        <f>IF(A48="","",IF(AND(J48="P4",F48="causal"),"P4-CAUSAL",""))</f>
        <v/>
      </c>
    </row>
    <row r="49" ht="15" customHeight="1" s="1">
      <c r="P49">
        <f>IF(OR(F49="",H49="",J49=""),"",J49&amp;"|"&amp;F49&amp;"|"&amp;IF(H49="W3","W3_"&amp;IF(I49="","unknown",I49),H49))</f>
        <v/>
      </c>
      <c r="Q49">
        <f>IF(P49="","",IFERROR(IF(AND(H49="W7",OR(F49="causal",F49="predictive")),IF(AND(OR(K49=1,K49="1"),OR(L49=1,L49="1"),OR(M49=1,M49="1")),"adequate","partial"),IF(AND(H49="W4",F49="predictive",OR(J49="P2",J49="P3",J49="P4")),IF(OR(U49=1,U49="1"),"adequate","partial"),INDEX(Fit_Matrix!$B:$B,MATCH(P49,Fit_Matrix!$A:$A,0)))),"CHECK KEY"))</f>
        <v/>
      </c>
      <c r="U49" s="10" t="n"/>
      <c r="V49" s="10" t="n"/>
      <c r="W49" s="10" t="n"/>
      <c r="X49" s="10" t="n"/>
      <c r="Y49" s="10" t="n"/>
      <c r="Z49" s="10" t="n"/>
      <c r="AA49" s="11">
        <f>IF(A49="","",IF(AND(J49="P4",F49="causal"),"P4-CAUSAL",""))</f>
        <v/>
      </c>
    </row>
    <row r="50" ht="15" customHeight="1" s="1">
      <c r="P50">
        <f>IF(OR(F50="",H50="",J50=""),"",J50&amp;"|"&amp;F50&amp;"|"&amp;IF(H50="W3","W3_"&amp;IF(I50="","unknown",I50),H50))</f>
        <v/>
      </c>
      <c r="Q50">
        <f>IF(P50="","",IFERROR(IF(AND(H50="W7",OR(F50="causal",F50="predictive")),IF(AND(OR(K50=1,K50="1"),OR(L50=1,L50="1"),OR(M50=1,M50="1")),"adequate","partial"),IF(AND(H50="W4",F50="predictive",OR(J50="P2",J50="P3",J50="P4")),IF(OR(U50=1,U50="1"),"adequate","partial"),INDEX(Fit_Matrix!$B:$B,MATCH(P50,Fit_Matrix!$A:$A,0)))),"CHECK KEY"))</f>
        <v/>
      </c>
      <c r="U50" s="10" t="n"/>
      <c r="V50" s="10" t="n"/>
      <c r="W50" s="10" t="n"/>
      <c r="X50" s="10" t="n"/>
      <c r="Y50" s="10" t="n"/>
      <c r="Z50" s="10" t="n"/>
      <c r="AA50" s="11">
        <f>IF(A50="","",IF(AND(J50="P4",F50="causal"),"P4-CAUSAL",""))</f>
        <v/>
      </c>
    </row>
    <row r="51" ht="15" customHeight="1" s="1">
      <c r="P51">
        <f>IF(OR(F51="",H51="",J51=""),"",J51&amp;"|"&amp;F51&amp;"|"&amp;IF(H51="W3","W3_"&amp;IF(I51="","unknown",I51),H51))</f>
        <v/>
      </c>
      <c r="Q51">
        <f>IF(P51="","",IFERROR(IF(AND(H51="W7",OR(F51="causal",F51="predictive")),IF(AND(OR(K51=1,K51="1"),OR(L51=1,L51="1"),OR(M51=1,M51="1")),"adequate","partial"),IF(AND(H51="W4",F51="predictive",OR(J51="P2",J51="P3",J51="P4")),IF(OR(U51=1,U51="1"),"adequate","partial"),INDEX(Fit_Matrix!$B:$B,MATCH(P51,Fit_Matrix!$A:$A,0)))),"CHECK KEY"))</f>
        <v/>
      </c>
      <c r="U51" s="10" t="n"/>
      <c r="V51" s="10" t="n"/>
      <c r="W51" s="10" t="n"/>
      <c r="X51" s="10" t="n"/>
      <c r="Y51" s="10" t="n"/>
      <c r="Z51" s="10" t="n"/>
      <c r="AA51" s="11">
        <f>IF(A51="","",IF(AND(J51="P4",F51="causal"),"P4-CAUSAL",""))</f>
        <v/>
      </c>
    </row>
    <row r="52" ht="15" customHeight="1" s="1">
      <c r="P52">
        <f>IF(OR(F52="",H52="",J52=""),"",J52&amp;"|"&amp;F52&amp;"|"&amp;IF(H52="W3","W3_"&amp;IF(I52="","unknown",I52),H52))</f>
        <v/>
      </c>
      <c r="Q52">
        <f>IF(P52="","",IFERROR(IF(AND(H52="W7",OR(F52="causal",F52="predictive")),IF(AND(OR(K52=1,K52="1"),OR(L52=1,L52="1"),OR(M52=1,M52="1")),"adequate","partial"),IF(AND(H52="W4",F52="predictive",OR(J52="P2",J52="P3",J52="P4")),IF(OR(U52=1,U52="1"),"adequate","partial"),INDEX(Fit_Matrix!$B:$B,MATCH(P52,Fit_Matrix!$A:$A,0)))),"CHECK KEY"))</f>
        <v/>
      </c>
      <c r="U52" s="10" t="n"/>
      <c r="V52" s="10" t="n"/>
      <c r="W52" s="10" t="n"/>
      <c r="X52" s="10" t="n"/>
      <c r="Y52" s="10" t="n"/>
      <c r="Z52" s="10" t="n"/>
      <c r="AA52" s="11">
        <f>IF(A52="","",IF(AND(J52="P4",F52="causal"),"P4-CAUSAL",""))</f>
        <v/>
      </c>
    </row>
    <row r="53" ht="15" customHeight="1" s="1">
      <c r="P53">
        <f>IF(OR(F53="",H53="",J53=""),"",J53&amp;"|"&amp;F53&amp;"|"&amp;IF(H53="W3","W3_"&amp;IF(I53="","unknown",I53),H53))</f>
        <v/>
      </c>
      <c r="Q53">
        <f>IF(P53="","",IFERROR(IF(AND(H53="W7",OR(F53="causal",F53="predictive")),IF(AND(OR(K53=1,K53="1"),OR(L53=1,L53="1"),OR(M53=1,M53="1")),"adequate","partial"),IF(AND(H53="W4",F53="predictive",OR(J53="P2",J53="P3",J53="P4")),IF(OR(U53=1,U53="1"),"adequate","partial"),INDEX(Fit_Matrix!$B:$B,MATCH(P53,Fit_Matrix!$A:$A,0)))),"CHECK KEY"))</f>
        <v/>
      </c>
      <c r="U53" s="10" t="n"/>
      <c r="V53" s="10" t="n"/>
      <c r="W53" s="10" t="n"/>
      <c r="X53" s="10" t="n"/>
      <c r="Y53" s="10" t="n"/>
      <c r="Z53" s="10" t="n"/>
      <c r="AA53" s="11">
        <f>IF(A53="","",IF(AND(J53="P4",F53="causal"),"P4-CAUSAL",""))</f>
        <v/>
      </c>
    </row>
    <row r="54" ht="15" customHeight="1" s="1">
      <c r="P54">
        <f>IF(OR(F54="",H54="",J54=""),"",J54&amp;"|"&amp;F54&amp;"|"&amp;IF(H54="W3","W3_"&amp;IF(I54="","unknown",I54),H54))</f>
        <v/>
      </c>
      <c r="Q54">
        <f>IF(P54="","",IFERROR(IF(AND(H54="W7",OR(F54="causal",F54="predictive")),IF(AND(OR(K54=1,K54="1"),OR(L54=1,L54="1"),OR(M54=1,M54="1")),"adequate","partial"),IF(AND(H54="W4",F54="predictive",OR(J54="P2",J54="P3",J54="P4")),IF(OR(U54=1,U54="1"),"adequate","partial"),INDEX(Fit_Matrix!$B:$B,MATCH(P54,Fit_Matrix!$A:$A,0)))),"CHECK KEY"))</f>
        <v/>
      </c>
      <c r="U54" s="10" t="n"/>
      <c r="V54" s="10" t="n"/>
      <c r="W54" s="10" t="n"/>
      <c r="X54" s="10" t="n"/>
      <c r="Y54" s="10" t="n"/>
      <c r="Z54" s="10" t="n"/>
      <c r="AA54" s="11">
        <f>IF(A54="","",IF(AND(J54="P4",F54="causal"),"P4-CAUSAL",""))</f>
        <v/>
      </c>
    </row>
    <row r="55" ht="15" customHeight="1" s="1">
      <c r="P55">
        <f>IF(OR(F55="",H55="",J55=""),"",J55&amp;"|"&amp;F55&amp;"|"&amp;IF(H55="W3","W3_"&amp;IF(I55="","unknown",I55),H55))</f>
        <v/>
      </c>
      <c r="Q55">
        <f>IF(P55="","",IFERROR(IF(AND(H55="W7",OR(F55="causal",F55="predictive")),IF(AND(OR(K55=1,K55="1"),OR(L55=1,L55="1"),OR(M55=1,M55="1")),"adequate","partial"),IF(AND(H55="W4",F55="predictive",OR(J55="P2",J55="P3",J55="P4")),IF(OR(U55=1,U55="1"),"adequate","partial"),INDEX(Fit_Matrix!$B:$B,MATCH(P55,Fit_Matrix!$A:$A,0)))),"CHECK KEY"))</f>
        <v/>
      </c>
      <c r="U55" s="10" t="n"/>
      <c r="V55" s="10" t="n"/>
      <c r="W55" s="10" t="n"/>
      <c r="X55" s="10" t="n"/>
      <c r="Y55" s="10" t="n"/>
      <c r="Z55" s="10" t="n"/>
      <c r="AA55" s="11">
        <f>IF(A55="","",IF(AND(J55="P4",F55="causal"),"P4-CAUSAL",""))</f>
        <v/>
      </c>
    </row>
    <row r="56" ht="15" customHeight="1" s="1">
      <c r="P56">
        <f>IF(OR(F56="",H56="",J56=""),"",J56&amp;"|"&amp;F56&amp;"|"&amp;IF(H56="W3","W3_"&amp;IF(I56="","unknown",I56),H56))</f>
        <v/>
      </c>
      <c r="Q56">
        <f>IF(P56="","",IFERROR(IF(AND(H56="W7",OR(F56="causal",F56="predictive")),IF(AND(OR(K56=1,K56="1"),OR(L56=1,L56="1"),OR(M56=1,M56="1")),"adequate","partial"),IF(AND(H56="W4",F56="predictive",OR(J56="P2",J56="P3",J56="P4")),IF(OR(U56=1,U56="1"),"adequate","partial"),INDEX(Fit_Matrix!$B:$B,MATCH(P56,Fit_Matrix!$A:$A,0)))),"CHECK KEY"))</f>
        <v/>
      </c>
      <c r="U56" s="10" t="n"/>
      <c r="V56" s="10" t="n"/>
      <c r="W56" s="10" t="n"/>
      <c r="X56" s="10" t="n"/>
      <c r="Y56" s="10" t="n"/>
      <c r="Z56" s="10" t="n"/>
      <c r="AA56" s="11">
        <f>IF(A56="","",IF(AND(J56="P4",F56="causal"),"P4-CAUSAL",""))</f>
        <v/>
      </c>
    </row>
    <row r="57" ht="15" customHeight="1" s="1">
      <c r="P57">
        <f>IF(OR(F57="",H57="",J57=""),"",J57&amp;"|"&amp;F57&amp;"|"&amp;IF(H57="W3","W3_"&amp;IF(I57="","unknown",I57),H57))</f>
        <v/>
      </c>
      <c r="Q57">
        <f>IF(P57="","",IFERROR(IF(AND(H57="W7",OR(F57="causal",F57="predictive")),IF(AND(OR(K57=1,K57="1"),OR(L57=1,L57="1"),OR(M57=1,M57="1")),"adequate","partial"),IF(AND(H57="W4",F57="predictive",OR(J57="P2",J57="P3",J57="P4")),IF(OR(U57=1,U57="1"),"adequate","partial"),INDEX(Fit_Matrix!$B:$B,MATCH(P57,Fit_Matrix!$A:$A,0)))),"CHECK KEY"))</f>
        <v/>
      </c>
      <c r="U57" s="10" t="n"/>
      <c r="V57" s="10" t="n"/>
      <c r="W57" s="10" t="n"/>
      <c r="X57" s="10" t="n"/>
      <c r="Y57" s="10" t="n"/>
      <c r="Z57" s="10" t="n"/>
      <c r="AA57" s="11">
        <f>IF(A57="","",IF(AND(J57="P4",F57="causal"),"P4-CAUSAL",""))</f>
        <v/>
      </c>
    </row>
    <row r="58" ht="15" customHeight="1" s="1">
      <c r="P58">
        <f>IF(OR(F58="",H58="",J58=""),"",J58&amp;"|"&amp;F58&amp;"|"&amp;IF(H58="W3","W3_"&amp;IF(I58="","unknown",I58),H58))</f>
        <v/>
      </c>
      <c r="Q58">
        <f>IF(P58="","",IFERROR(IF(AND(H58="W7",OR(F58="causal",F58="predictive")),IF(AND(OR(K58=1,K58="1"),OR(L58=1,L58="1"),OR(M58=1,M58="1")),"adequate","partial"),IF(AND(H58="W4",F58="predictive",OR(J58="P2",J58="P3",J58="P4")),IF(OR(U58=1,U58="1"),"adequate","partial"),INDEX(Fit_Matrix!$B:$B,MATCH(P58,Fit_Matrix!$A:$A,0)))),"CHECK KEY"))</f>
        <v/>
      </c>
      <c r="U58" s="10" t="n"/>
      <c r="V58" s="10" t="n"/>
      <c r="W58" s="10" t="n"/>
      <c r="X58" s="10" t="n"/>
      <c r="Y58" s="10" t="n"/>
      <c r="Z58" s="10" t="n"/>
      <c r="AA58" s="11">
        <f>IF(A58="","",IF(AND(J58="P4",F58="causal"),"P4-CAUSAL",""))</f>
        <v/>
      </c>
    </row>
    <row r="59" ht="15" customHeight="1" s="1">
      <c r="P59">
        <f>IF(OR(F59="",H59="",J59=""),"",J59&amp;"|"&amp;F59&amp;"|"&amp;IF(H59="W3","W3_"&amp;IF(I59="","unknown",I59),H59))</f>
        <v/>
      </c>
      <c r="Q59">
        <f>IF(P59="","",IFERROR(IF(AND(H59="W7",OR(F59="causal",F59="predictive")),IF(AND(OR(K59=1,K59="1"),OR(L59=1,L59="1"),OR(M59=1,M59="1")),"adequate","partial"),IF(AND(H59="W4",F59="predictive",OR(J59="P2",J59="P3",J59="P4")),IF(OR(U59=1,U59="1"),"adequate","partial"),INDEX(Fit_Matrix!$B:$B,MATCH(P59,Fit_Matrix!$A:$A,0)))),"CHECK KEY"))</f>
        <v/>
      </c>
      <c r="U59" s="10" t="n"/>
      <c r="V59" s="10" t="n"/>
      <c r="W59" s="10" t="n"/>
      <c r="X59" s="10" t="n"/>
      <c r="Y59" s="10" t="n"/>
      <c r="Z59" s="10" t="n"/>
      <c r="AA59" s="11">
        <f>IF(A59="","",IF(AND(J59="P4",F59="causal"),"P4-CAUSAL",""))</f>
        <v/>
      </c>
    </row>
    <row r="60" ht="15" customHeight="1" s="1">
      <c r="P60">
        <f>IF(OR(F60="",H60="",J60=""),"",J60&amp;"|"&amp;F60&amp;"|"&amp;IF(H60="W3","W3_"&amp;IF(I60="","unknown",I60),H60))</f>
        <v/>
      </c>
      <c r="Q60">
        <f>IF(P60="","",IFERROR(IF(AND(H60="W7",OR(F60="causal",F60="predictive")),IF(AND(OR(K60=1,K60="1"),OR(L60=1,L60="1"),OR(M60=1,M60="1")),"adequate","partial"),IF(AND(H60="W4",F60="predictive",OR(J60="P2",J60="P3",J60="P4")),IF(OR(U60=1,U60="1"),"adequate","partial"),INDEX(Fit_Matrix!$B:$B,MATCH(P60,Fit_Matrix!$A:$A,0)))),"CHECK KEY"))</f>
        <v/>
      </c>
      <c r="U60" s="10" t="n"/>
      <c r="V60" s="10" t="n"/>
      <c r="W60" s="10" t="n"/>
      <c r="X60" s="10" t="n"/>
      <c r="Y60" s="10" t="n"/>
      <c r="Z60" s="10" t="n"/>
      <c r="AA60" s="11">
        <f>IF(A60="","",IF(AND(J60="P4",F60="causal"),"P4-CAUSAL",""))</f>
        <v/>
      </c>
    </row>
    <row r="61" ht="15" customHeight="1" s="1">
      <c r="P61">
        <f>IF(OR(F61="",H61="",J61=""),"",J61&amp;"|"&amp;F61&amp;"|"&amp;IF(H61="W3","W3_"&amp;IF(I61="","unknown",I61),H61))</f>
        <v/>
      </c>
      <c r="Q61">
        <f>IF(P61="","",IFERROR(IF(AND(H61="W7",OR(F61="causal",F61="predictive")),IF(AND(OR(K61=1,K61="1"),OR(L61=1,L61="1"),OR(M61=1,M61="1")),"adequate","partial"),IF(AND(H61="W4",F61="predictive",OR(J61="P2",J61="P3",J61="P4")),IF(OR(U61=1,U61="1"),"adequate","partial"),INDEX(Fit_Matrix!$B:$B,MATCH(P61,Fit_Matrix!$A:$A,0)))),"CHECK KEY"))</f>
        <v/>
      </c>
      <c r="U61" s="10" t="n"/>
      <c r="V61" s="10" t="n"/>
      <c r="W61" s="10" t="n"/>
      <c r="X61" s="10" t="n"/>
      <c r="Y61" s="10" t="n"/>
      <c r="Z61" s="10" t="n"/>
      <c r="AA61" s="11">
        <f>IF(A61="","",IF(AND(J61="P4",F61="causal"),"P4-CAUSAL",""))</f>
        <v/>
      </c>
    </row>
    <row r="62" ht="15" customHeight="1" s="1">
      <c r="P62">
        <f>IF(OR(F62="",H62="",J62=""),"",J62&amp;"|"&amp;F62&amp;"|"&amp;IF(H62="W3","W3_"&amp;IF(I62="","unknown",I62),H62))</f>
        <v/>
      </c>
      <c r="Q62">
        <f>IF(P62="","",IFERROR(IF(AND(H62="W7",OR(F62="causal",F62="predictive")),IF(AND(OR(K62=1,K62="1"),OR(L62=1,L62="1"),OR(M62=1,M62="1")),"adequate","partial"),IF(AND(H62="W4",F62="predictive",OR(J62="P2",J62="P3",J62="P4")),IF(OR(U62=1,U62="1"),"adequate","partial"),INDEX(Fit_Matrix!$B:$B,MATCH(P62,Fit_Matrix!$A:$A,0)))),"CHECK KEY"))</f>
        <v/>
      </c>
      <c r="U62" s="10" t="n"/>
      <c r="V62" s="10" t="n"/>
      <c r="W62" s="10" t="n"/>
      <c r="X62" s="10" t="n"/>
      <c r="Y62" s="10" t="n"/>
      <c r="Z62" s="10" t="n"/>
      <c r="AA62" s="11">
        <f>IF(A62="","",IF(AND(J62="P4",F62="causal"),"P4-CAUSAL",""))</f>
        <v/>
      </c>
    </row>
    <row r="63" ht="15" customHeight="1" s="1">
      <c r="P63">
        <f>IF(OR(F63="",H63="",J63=""),"",J63&amp;"|"&amp;F63&amp;"|"&amp;IF(H63="W3","W3_"&amp;IF(I63="","unknown",I63),H63))</f>
        <v/>
      </c>
      <c r="Q63">
        <f>IF(P63="","",IFERROR(IF(AND(H63="W7",OR(F63="causal",F63="predictive")),IF(AND(OR(K63=1,K63="1"),OR(L63=1,L63="1"),OR(M63=1,M63="1")),"adequate","partial"),IF(AND(H63="W4",F63="predictive",OR(J63="P2",J63="P3",J63="P4")),IF(OR(U63=1,U63="1"),"adequate","partial"),INDEX(Fit_Matrix!$B:$B,MATCH(P63,Fit_Matrix!$A:$A,0)))),"CHECK KEY"))</f>
        <v/>
      </c>
      <c r="U63" s="10" t="n"/>
      <c r="V63" s="10" t="n"/>
      <c r="W63" s="10" t="n"/>
      <c r="X63" s="10" t="n"/>
      <c r="Y63" s="10" t="n"/>
      <c r="Z63" s="10" t="n"/>
      <c r="AA63" s="11">
        <f>IF(A63="","",IF(AND(J63="P4",F63="causal"),"P4-CAUSAL",""))</f>
        <v/>
      </c>
    </row>
    <row r="64" ht="15" customHeight="1" s="1">
      <c r="P64">
        <f>IF(OR(F64="",H64="",J64=""),"",J64&amp;"|"&amp;F64&amp;"|"&amp;IF(H64="W3","W3_"&amp;IF(I64="","unknown",I64),H64))</f>
        <v/>
      </c>
      <c r="Q64">
        <f>IF(P64="","",IFERROR(IF(AND(H64="W7",OR(F64="causal",F64="predictive")),IF(AND(OR(K64=1,K64="1"),OR(L64=1,L64="1"),OR(M64=1,M64="1")),"adequate","partial"),IF(AND(H64="W4",F64="predictive",OR(J64="P2",J64="P3",J64="P4")),IF(OR(U64=1,U64="1"),"adequate","partial"),INDEX(Fit_Matrix!$B:$B,MATCH(P64,Fit_Matrix!$A:$A,0)))),"CHECK KEY"))</f>
        <v/>
      </c>
      <c r="U64" s="10" t="n"/>
      <c r="V64" s="10" t="n"/>
      <c r="W64" s="10" t="n"/>
      <c r="X64" s="10" t="n"/>
      <c r="Y64" s="10" t="n"/>
      <c r="Z64" s="10" t="n"/>
      <c r="AA64" s="11">
        <f>IF(A64="","",IF(AND(J64="P4",F64="causal"),"P4-CAUSAL",""))</f>
        <v/>
      </c>
    </row>
    <row r="65" ht="15" customHeight="1" s="1">
      <c r="P65">
        <f>IF(OR(F65="",H65="",J65=""),"",J65&amp;"|"&amp;F65&amp;"|"&amp;IF(H65="W3","W3_"&amp;IF(I65="","unknown",I65),H65))</f>
        <v/>
      </c>
      <c r="Q65">
        <f>IF(P65="","",IFERROR(IF(AND(H65="W7",OR(F65="causal",F65="predictive")),IF(AND(OR(K65=1,K65="1"),OR(L65=1,L65="1"),OR(M65=1,M65="1")),"adequate","partial"),IF(AND(H65="W4",F65="predictive",OR(J65="P2",J65="P3",J65="P4")),IF(OR(U65=1,U65="1"),"adequate","partial"),INDEX(Fit_Matrix!$B:$B,MATCH(P65,Fit_Matrix!$A:$A,0)))),"CHECK KEY"))</f>
        <v/>
      </c>
      <c r="U65" s="10" t="n"/>
      <c r="V65" s="10" t="n"/>
      <c r="W65" s="10" t="n"/>
      <c r="X65" s="10" t="n"/>
      <c r="Y65" s="10" t="n"/>
      <c r="Z65" s="10" t="n"/>
      <c r="AA65" s="11">
        <f>IF(A65="","",IF(AND(J65="P4",F65="causal"),"P4-CAUSAL",""))</f>
        <v/>
      </c>
    </row>
    <row r="66" ht="15" customHeight="1" s="1">
      <c r="P66">
        <f>IF(OR(F66="",H66="",J66=""),"",J66&amp;"|"&amp;F66&amp;"|"&amp;IF(H66="W3","W3_"&amp;IF(I66="","unknown",I66),H66))</f>
        <v/>
      </c>
      <c r="Q66">
        <f>IF(P66="","",IFERROR(IF(AND(H66="W7",OR(F66="causal",F66="predictive")),IF(AND(OR(K66=1,K66="1"),OR(L66=1,L66="1"),OR(M66=1,M66="1")),"adequate","partial"),IF(AND(H66="W4",F66="predictive",OR(J66="P2",J66="P3",J66="P4")),IF(OR(U66=1,U66="1"),"adequate","partial"),INDEX(Fit_Matrix!$B:$B,MATCH(P66,Fit_Matrix!$A:$A,0)))),"CHECK KEY"))</f>
        <v/>
      </c>
      <c r="U66" s="10" t="n"/>
      <c r="V66" s="10" t="n"/>
      <c r="W66" s="10" t="n"/>
      <c r="X66" s="10" t="n"/>
      <c r="Y66" s="10" t="n"/>
      <c r="Z66" s="10" t="n"/>
      <c r="AA66" s="11">
        <f>IF(A66="","",IF(AND(J66="P4",F66="causal"),"P4-CAUSAL",""))</f>
        <v/>
      </c>
    </row>
    <row r="67" ht="15" customHeight="1" s="1">
      <c r="P67">
        <f>IF(OR(F67="",H67="",J67=""),"",J67&amp;"|"&amp;F67&amp;"|"&amp;IF(H67="W3","W3_"&amp;IF(I67="","unknown",I67),H67))</f>
        <v/>
      </c>
      <c r="Q67">
        <f>IF(P67="","",IFERROR(IF(AND(H67="W7",OR(F67="causal",F67="predictive")),IF(AND(OR(K67=1,K67="1"),OR(L67=1,L67="1"),OR(M67=1,M67="1")),"adequate","partial"),IF(AND(H67="W4",F67="predictive",OR(J67="P2",J67="P3",J67="P4")),IF(OR(U67=1,U67="1"),"adequate","partial"),INDEX(Fit_Matrix!$B:$B,MATCH(P67,Fit_Matrix!$A:$A,0)))),"CHECK KEY"))</f>
        <v/>
      </c>
      <c r="U67" s="10" t="n"/>
      <c r="V67" s="10" t="n"/>
      <c r="W67" s="10" t="n"/>
      <c r="X67" s="10" t="n"/>
      <c r="Y67" s="10" t="n"/>
      <c r="Z67" s="10" t="n"/>
      <c r="AA67" s="11">
        <f>IF(A67="","",IF(AND(J67="P4",F67="causal"),"P4-CAUSAL",""))</f>
        <v/>
      </c>
    </row>
    <row r="68" ht="15" customHeight="1" s="1">
      <c r="P68">
        <f>IF(OR(F68="",H68="",J68=""),"",J68&amp;"|"&amp;F68&amp;"|"&amp;IF(H68="W3","W3_"&amp;IF(I68="","unknown",I68),H68))</f>
        <v/>
      </c>
      <c r="Q68">
        <f>IF(P68="","",IFERROR(IF(AND(H68="W7",OR(F68="causal",F68="predictive")),IF(AND(OR(K68=1,K68="1"),OR(L68=1,L68="1"),OR(M68=1,M68="1")),"adequate","partial"),IF(AND(H68="W4",F68="predictive",OR(J68="P2",J68="P3",J68="P4")),IF(OR(U68=1,U68="1"),"adequate","partial"),INDEX(Fit_Matrix!$B:$B,MATCH(P68,Fit_Matrix!$A:$A,0)))),"CHECK KEY"))</f>
        <v/>
      </c>
      <c r="U68" s="10" t="n"/>
      <c r="V68" s="10" t="n"/>
      <c r="W68" s="10" t="n"/>
      <c r="X68" s="10" t="n"/>
      <c r="Y68" s="10" t="n"/>
      <c r="Z68" s="10" t="n"/>
      <c r="AA68" s="11">
        <f>IF(A68="","",IF(AND(J68="P4",F68="causal"),"P4-CAUSAL",""))</f>
        <v/>
      </c>
    </row>
    <row r="69" ht="15" customHeight="1" s="1">
      <c r="P69">
        <f>IF(OR(F69="",H69="",J69=""),"",J69&amp;"|"&amp;F69&amp;"|"&amp;IF(H69="W3","W3_"&amp;IF(I69="","unknown",I69),H69))</f>
        <v/>
      </c>
      <c r="Q69">
        <f>IF(P69="","",IFERROR(IF(AND(H69="W7",OR(F69="causal",F69="predictive")),IF(AND(OR(K69=1,K69="1"),OR(L69=1,L69="1"),OR(M69=1,M69="1")),"adequate","partial"),IF(AND(H69="W4",F69="predictive",OR(J69="P2",J69="P3",J69="P4")),IF(OR(U69=1,U69="1"),"adequate","partial"),INDEX(Fit_Matrix!$B:$B,MATCH(P69,Fit_Matrix!$A:$A,0)))),"CHECK KEY"))</f>
        <v/>
      </c>
      <c r="U69" s="10" t="n"/>
      <c r="V69" s="10" t="n"/>
      <c r="W69" s="10" t="n"/>
      <c r="X69" s="10" t="n"/>
      <c r="Y69" s="10" t="n"/>
      <c r="Z69" s="10" t="n"/>
      <c r="AA69" s="11">
        <f>IF(A69="","",IF(AND(J69="P4",F69="causal"),"P4-CAUSAL",""))</f>
        <v/>
      </c>
    </row>
    <row r="70" ht="15" customHeight="1" s="1">
      <c r="P70">
        <f>IF(OR(F70="",H70="",J70=""),"",J70&amp;"|"&amp;F70&amp;"|"&amp;IF(H70="W3","W3_"&amp;IF(I70="","unknown",I70),H70))</f>
        <v/>
      </c>
      <c r="Q70">
        <f>IF(P70="","",IFERROR(IF(AND(H70="W7",OR(F70="causal",F70="predictive")),IF(AND(OR(K70=1,K70="1"),OR(L70=1,L70="1"),OR(M70=1,M70="1")),"adequate","partial"),IF(AND(H70="W4",F70="predictive",OR(J70="P2",J70="P3",J70="P4")),IF(OR(U70=1,U70="1"),"adequate","partial"),INDEX(Fit_Matrix!$B:$B,MATCH(P70,Fit_Matrix!$A:$A,0)))),"CHECK KEY"))</f>
        <v/>
      </c>
      <c r="U70" s="10" t="n"/>
      <c r="V70" s="10" t="n"/>
      <c r="W70" s="10" t="n"/>
      <c r="X70" s="10" t="n"/>
      <c r="Y70" s="10" t="n"/>
      <c r="Z70" s="10" t="n"/>
      <c r="AA70" s="11">
        <f>IF(A70="","",IF(AND(J70="P4",F70="causal"),"P4-CAUSAL",""))</f>
        <v/>
      </c>
    </row>
    <row r="71" ht="15" customHeight="1" s="1">
      <c r="P71">
        <f>IF(OR(F71="",H71="",J71=""),"",J71&amp;"|"&amp;F71&amp;"|"&amp;IF(H71="W3","W3_"&amp;IF(I71="","unknown",I71),H71))</f>
        <v/>
      </c>
      <c r="Q71">
        <f>IF(P71="","",IFERROR(IF(AND(H71="W7",OR(F71="causal",F71="predictive")),IF(AND(OR(K71=1,K71="1"),OR(L71=1,L71="1"),OR(M71=1,M71="1")),"adequate","partial"),IF(AND(H71="W4",F71="predictive",OR(J71="P2",J71="P3",J71="P4")),IF(OR(U71=1,U71="1"),"adequate","partial"),INDEX(Fit_Matrix!$B:$B,MATCH(P71,Fit_Matrix!$A:$A,0)))),"CHECK KEY"))</f>
        <v/>
      </c>
      <c r="U71" s="10" t="n"/>
      <c r="V71" s="10" t="n"/>
      <c r="W71" s="10" t="n"/>
      <c r="X71" s="10" t="n"/>
      <c r="Y71" s="10" t="n"/>
      <c r="Z71" s="10" t="n"/>
      <c r="AA71" s="11">
        <f>IF(A71="","",IF(AND(J71="P4",F71="causal"),"P4-CAUSAL",""))</f>
        <v/>
      </c>
    </row>
    <row r="72" ht="15" customHeight="1" s="1">
      <c r="P72">
        <f>IF(OR(F72="",H72="",J72=""),"",J72&amp;"|"&amp;F72&amp;"|"&amp;IF(H72="W3","W3_"&amp;IF(I72="","unknown",I72),H72))</f>
        <v/>
      </c>
      <c r="Q72">
        <f>IF(P72="","",IFERROR(IF(AND(H72="W7",OR(F72="causal",F72="predictive")),IF(AND(OR(K72=1,K72="1"),OR(L72=1,L72="1"),OR(M72=1,M72="1")),"adequate","partial"),IF(AND(H72="W4",F72="predictive",OR(J72="P2",J72="P3",J72="P4")),IF(OR(U72=1,U72="1"),"adequate","partial"),INDEX(Fit_Matrix!$B:$B,MATCH(P72,Fit_Matrix!$A:$A,0)))),"CHECK KEY"))</f>
        <v/>
      </c>
      <c r="U72" s="10" t="n"/>
      <c r="V72" s="10" t="n"/>
      <c r="W72" s="10" t="n"/>
      <c r="X72" s="10" t="n"/>
      <c r="Y72" s="10" t="n"/>
      <c r="Z72" s="10" t="n"/>
      <c r="AA72" s="11">
        <f>IF(A72="","",IF(AND(J72="P4",F72="causal"),"P4-CAUSAL",""))</f>
        <v/>
      </c>
    </row>
    <row r="73" ht="15" customHeight="1" s="1">
      <c r="P73">
        <f>IF(OR(F73="",H73="",J73=""),"",J73&amp;"|"&amp;F73&amp;"|"&amp;IF(H73="W3","W3_"&amp;IF(I73="","unknown",I73),H73))</f>
        <v/>
      </c>
      <c r="Q73">
        <f>IF(P73="","",IFERROR(IF(AND(H73="W7",OR(F73="causal",F73="predictive")),IF(AND(OR(K73=1,K73="1"),OR(L73=1,L73="1"),OR(M73=1,M73="1")),"adequate","partial"),IF(AND(H73="W4",F73="predictive",OR(J73="P2",J73="P3",J73="P4")),IF(OR(U73=1,U73="1"),"adequate","partial"),INDEX(Fit_Matrix!$B:$B,MATCH(P73,Fit_Matrix!$A:$A,0)))),"CHECK KEY"))</f>
        <v/>
      </c>
      <c r="U73" s="10" t="n"/>
      <c r="V73" s="10" t="n"/>
      <c r="W73" s="10" t="n"/>
      <c r="X73" s="10" t="n"/>
      <c r="Y73" s="10" t="n"/>
      <c r="Z73" s="10" t="n"/>
      <c r="AA73" s="11">
        <f>IF(A73="","",IF(AND(J73="P4",F73="causal"),"P4-CAUSAL",""))</f>
        <v/>
      </c>
    </row>
    <row r="74" ht="15" customHeight="1" s="1">
      <c r="P74">
        <f>IF(OR(F74="",H74="",J74=""),"",J74&amp;"|"&amp;F74&amp;"|"&amp;IF(H74="W3","W3_"&amp;IF(I74="","unknown",I74),H74))</f>
        <v/>
      </c>
      <c r="Q74">
        <f>IF(P74="","",IFERROR(IF(AND(H74="W7",OR(F74="causal",F74="predictive")),IF(AND(OR(K74=1,K74="1"),OR(L74=1,L74="1"),OR(M74=1,M74="1")),"adequate","partial"),IF(AND(H74="W4",F74="predictive",OR(J74="P2",J74="P3",J74="P4")),IF(OR(U74=1,U74="1"),"adequate","partial"),INDEX(Fit_Matrix!$B:$B,MATCH(P74,Fit_Matrix!$A:$A,0)))),"CHECK KEY"))</f>
        <v/>
      </c>
      <c r="U74" s="10" t="n"/>
      <c r="V74" s="10" t="n"/>
      <c r="W74" s="10" t="n"/>
      <c r="X74" s="10" t="n"/>
      <c r="Y74" s="10" t="n"/>
      <c r="Z74" s="10" t="n"/>
      <c r="AA74" s="11">
        <f>IF(A74="","",IF(AND(J74="P4",F74="causal"),"P4-CAUSAL",""))</f>
        <v/>
      </c>
    </row>
    <row r="75" ht="15" customHeight="1" s="1">
      <c r="P75">
        <f>IF(OR(F75="",H75="",J75=""),"",J75&amp;"|"&amp;F75&amp;"|"&amp;IF(H75="W3","W3_"&amp;IF(I75="","unknown",I75),H75))</f>
        <v/>
      </c>
      <c r="Q75">
        <f>IF(P75="","",IFERROR(IF(AND(H75="W7",OR(F75="causal",F75="predictive")),IF(AND(OR(K75=1,K75="1"),OR(L75=1,L75="1"),OR(M75=1,M75="1")),"adequate","partial"),IF(AND(H75="W4",F75="predictive",OR(J75="P2",J75="P3",J75="P4")),IF(OR(U75=1,U75="1"),"adequate","partial"),INDEX(Fit_Matrix!$B:$B,MATCH(P75,Fit_Matrix!$A:$A,0)))),"CHECK KEY"))</f>
        <v/>
      </c>
      <c r="U75" s="10" t="n"/>
      <c r="V75" s="10" t="n"/>
      <c r="W75" s="10" t="n"/>
      <c r="X75" s="10" t="n"/>
      <c r="Y75" s="10" t="n"/>
      <c r="Z75" s="10" t="n"/>
      <c r="AA75" s="11">
        <f>IF(A75="","",IF(AND(J75="P4",F75="causal"),"P4-CAUSAL",""))</f>
        <v/>
      </c>
    </row>
    <row r="76" ht="15" customHeight="1" s="1">
      <c r="P76">
        <f>IF(OR(F76="",H76="",J76=""),"",J76&amp;"|"&amp;F76&amp;"|"&amp;IF(H76="W3","W3_"&amp;IF(I76="","unknown",I76),H76))</f>
        <v/>
      </c>
      <c r="Q76">
        <f>IF(P76="","",IFERROR(IF(AND(H76="W7",OR(F76="causal",F76="predictive")),IF(AND(OR(K76=1,K76="1"),OR(L76=1,L76="1"),OR(M76=1,M76="1")),"adequate","partial"),IF(AND(H76="W4",F76="predictive",OR(J76="P2",J76="P3",J76="P4")),IF(OR(U76=1,U76="1"),"adequate","partial"),INDEX(Fit_Matrix!$B:$B,MATCH(P76,Fit_Matrix!$A:$A,0)))),"CHECK KEY"))</f>
        <v/>
      </c>
      <c r="U76" s="10" t="n"/>
      <c r="V76" s="10" t="n"/>
      <c r="W76" s="10" t="n"/>
      <c r="X76" s="10" t="n"/>
      <c r="Y76" s="10" t="n"/>
      <c r="Z76" s="10" t="n"/>
      <c r="AA76" s="11">
        <f>IF(A76="","",IF(AND(J76="P4",F76="causal"),"P4-CAUSAL",""))</f>
        <v/>
      </c>
    </row>
    <row r="77" ht="15" customHeight="1" s="1">
      <c r="P77">
        <f>IF(OR(F77="",H77="",J77=""),"",J77&amp;"|"&amp;F77&amp;"|"&amp;IF(H77="W3","W3_"&amp;IF(I77="","unknown",I77),H77))</f>
        <v/>
      </c>
      <c r="Q77">
        <f>IF(P77="","",IFERROR(IF(AND(H77="W7",OR(F77="causal",F77="predictive")),IF(AND(OR(K77=1,K77="1"),OR(L77=1,L77="1"),OR(M77=1,M77="1")),"adequate","partial"),IF(AND(H77="W4",F77="predictive",OR(J77="P2",J77="P3",J77="P4")),IF(OR(U77=1,U77="1"),"adequate","partial"),INDEX(Fit_Matrix!$B:$B,MATCH(P77,Fit_Matrix!$A:$A,0)))),"CHECK KEY"))</f>
        <v/>
      </c>
      <c r="U77" s="10" t="n"/>
      <c r="V77" s="10" t="n"/>
      <c r="W77" s="10" t="n"/>
      <c r="X77" s="10" t="n"/>
      <c r="Y77" s="10" t="n"/>
      <c r="Z77" s="10" t="n"/>
      <c r="AA77" s="11">
        <f>IF(A77="","",IF(AND(J77="P4",F77="causal"),"P4-CAUSAL",""))</f>
        <v/>
      </c>
    </row>
    <row r="78" ht="15" customHeight="1" s="1">
      <c r="P78">
        <f>IF(OR(F78="",H78="",J78=""),"",J78&amp;"|"&amp;F78&amp;"|"&amp;IF(H78="W3","W3_"&amp;IF(I78="","unknown",I78),H78))</f>
        <v/>
      </c>
      <c r="Q78">
        <f>IF(P78="","",IFERROR(IF(AND(H78="W7",OR(F78="causal",F78="predictive")),IF(AND(OR(K78=1,K78="1"),OR(L78=1,L78="1"),OR(M78=1,M78="1")),"adequate","partial"),IF(AND(H78="W4",F78="predictive",OR(J78="P2",J78="P3",J78="P4")),IF(OR(U78=1,U78="1"),"adequate","partial"),INDEX(Fit_Matrix!$B:$B,MATCH(P78,Fit_Matrix!$A:$A,0)))),"CHECK KEY"))</f>
        <v/>
      </c>
      <c r="U78" s="10" t="n"/>
      <c r="V78" s="10" t="n"/>
      <c r="W78" s="10" t="n"/>
      <c r="X78" s="10" t="n"/>
      <c r="Y78" s="10" t="n"/>
      <c r="Z78" s="10" t="n"/>
      <c r="AA78" s="11">
        <f>IF(A78="","",IF(AND(J78="P4",F78="causal"),"P4-CAUSAL",""))</f>
        <v/>
      </c>
    </row>
    <row r="79" ht="15" customHeight="1" s="1">
      <c r="P79">
        <f>IF(OR(F79="",H79="",J79=""),"",J79&amp;"|"&amp;F79&amp;"|"&amp;IF(H79="W3","W3_"&amp;IF(I79="","unknown",I79),H79))</f>
        <v/>
      </c>
      <c r="Q79">
        <f>IF(P79="","",IFERROR(IF(AND(H79="W7",OR(F79="causal",F79="predictive")),IF(AND(OR(K79=1,K79="1"),OR(L79=1,L79="1"),OR(M79=1,M79="1")),"adequate","partial"),IF(AND(H79="W4",F79="predictive",OR(J79="P2",J79="P3",J79="P4")),IF(OR(U79=1,U79="1"),"adequate","partial"),INDEX(Fit_Matrix!$B:$B,MATCH(P79,Fit_Matrix!$A:$A,0)))),"CHECK KEY"))</f>
        <v/>
      </c>
      <c r="U79" s="10" t="n"/>
      <c r="V79" s="10" t="n"/>
      <c r="W79" s="10" t="n"/>
      <c r="X79" s="10" t="n"/>
      <c r="Y79" s="10" t="n"/>
      <c r="Z79" s="10" t="n"/>
      <c r="AA79" s="11">
        <f>IF(A79="","",IF(AND(J79="P4",F79="causal"),"P4-CAUSAL",""))</f>
        <v/>
      </c>
    </row>
    <row r="80" ht="15" customHeight="1" s="1">
      <c r="P80">
        <f>IF(OR(F80="",H80="",J80=""),"",J80&amp;"|"&amp;F80&amp;"|"&amp;IF(H80="W3","W3_"&amp;IF(I80="","unknown",I80),H80))</f>
        <v/>
      </c>
      <c r="Q80">
        <f>IF(P80="","",IFERROR(IF(AND(H80="W7",OR(F80="causal",F80="predictive")),IF(AND(OR(K80=1,K80="1"),OR(L80=1,L80="1"),OR(M80=1,M80="1")),"adequate","partial"),IF(AND(H80="W4",F80="predictive",OR(J80="P2",J80="P3",J80="P4")),IF(OR(U80=1,U80="1"),"adequate","partial"),INDEX(Fit_Matrix!$B:$B,MATCH(P80,Fit_Matrix!$A:$A,0)))),"CHECK KEY"))</f>
        <v/>
      </c>
      <c r="U80" s="10" t="n"/>
      <c r="V80" s="10" t="n"/>
      <c r="W80" s="10" t="n"/>
      <c r="X80" s="10" t="n"/>
      <c r="Y80" s="10" t="n"/>
      <c r="Z80" s="10" t="n"/>
      <c r="AA80" s="11">
        <f>IF(A80="","",IF(AND(J80="P4",F80="causal"),"P4-CAUSAL",""))</f>
        <v/>
      </c>
    </row>
    <row r="81" ht="15" customHeight="1" s="1">
      <c r="P81">
        <f>IF(OR(F81="",H81="",J81=""),"",J81&amp;"|"&amp;F81&amp;"|"&amp;IF(H81="W3","W3_"&amp;IF(I81="","unknown",I81),H81))</f>
        <v/>
      </c>
      <c r="Q81">
        <f>IF(P81="","",IFERROR(IF(AND(H81="W7",OR(F81="causal",F81="predictive")),IF(AND(OR(K81=1,K81="1"),OR(L81=1,L81="1"),OR(M81=1,M81="1")),"adequate","partial"),IF(AND(H81="W4",F81="predictive",OR(J81="P2",J81="P3",J81="P4")),IF(OR(U81=1,U81="1"),"adequate","partial"),INDEX(Fit_Matrix!$B:$B,MATCH(P81,Fit_Matrix!$A:$A,0)))),"CHECK KEY"))</f>
        <v/>
      </c>
      <c r="U81" s="10" t="n"/>
      <c r="V81" s="10" t="n"/>
      <c r="W81" s="10" t="n"/>
      <c r="X81" s="10" t="n"/>
      <c r="Y81" s="10" t="n"/>
      <c r="Z81" s="10" t="n"/>
      <c r="AA81" s="11">
        <f>IF(A81="","",IF(AND(J81="P4",F81="causal"),"P4-CAUSAL",""))</f>
        <v/>
      </c>
    </row>
    <row r="82" ht="15" customHeight="1" s="1">
      <c r="P82">
        <f>IF(OR(F82="",H82="",J82=""),"",J82&amp;"|"&amp;F82&amp;"|"&amp;IF(H82="W3","W3_"&amp;IF(I82="","unknown",I82),H82))</f>
        <v/>
      </c>
      <c r="Q82">
        <f>IF(P82="","",IFERROR(IF(AND(H82="W7",OR(F82="causal",F82="predictive")),IF(AND(OR(K82=1,K82="1"),OR(L82=1,L82="1"),OR(M82=1,M82="1")),"adequate","partial"),IF(AND(H82="W4",F82="predictive",OR(J82="P2",J82="P3",J82="P4")),IF(OR(U82=1,U82="1"),"adequate","partial"),INDEX(Fit_Matrix!$B:$B,MATCH(P82,Fit_Matrix!$A:$A,0)))),"CHECK KEY"))</f>
        <v/>
      </c>
      <c r="U82" s="10" t="n"/>
      <c r="V82" s="10" t="n"/>
      <c r="W82" s="10" t="n"/>
      <c r="X82" s="10" t="n"/>
      <c r="Y82" s="10" t="n"/>
      <c r="Z82" s="10" t="n"/>
      <c r="AA82" s="11">
        <f>IF(A82="","",IF(AND(J82="P4",F82="causal"),"P4-CAUSAL",""))</f>
        <v/>
      </c>
    </row>
    <row r="83" ht="15" customHeight="1" s="1">
      <c r="P83">
        <f>IF(OR(F83="",H83="",J83=""),"",J83&amp;"|"&amp;F83&amp;"|"&amp;IF(H83="W3","W3_"&amp;IF(I83="","unknown",I83),H83))</f>
        <v/>
      </c>
      <c r="Q83">
        <f>IF(P83="","",IFERROR(IF(AND(H83="W7",OR(F83="causal",F83="predictive")),IF(AND(OR(K83=1,K83="1"),OR(L83=1,L83="1"),OR(M83=1,M83="1")),"adequate","partial"),IF(AND(H83="W4",F83="predictive",OR(J83="P2",J83="P3",J83="P4")),IF(OR(U83=1,U83="1"),"adequate","partial"),INDEX(Fit_Matrix!$B:$B,MATCH(P83,Fit_Matrix!$A:$A,0)))),"CHECK KEY"))</f>
        <v/>
      </c>
      <c r="U83" s="10" t="n"/>
      <c r="V83" s="10" t="n"/>
      <c r="W83" s="10" t="n"/>
      <c r="X83" s="10" t="n"/>
      <c r="Y83" s="10" t="n"/>
      <c r="Z83" s="10" t="n"/>
      <c r="AA83" s="11">
        <f>IF(A83="","",IF(AND(J83="P4",F83="causal"),"P4-CAUSAL",""))</f>
        <v/>
      </c>
    </row>
    <row r="84" ht="15" customHeight="1" s="1">
      <c r="P84">
        <f>IF(OR(F84="",H84="",J84=""),"",J84&amp;"|"&amp;F84&amp;"|"&amp;IF(H84="W3","W3_"&amp;IF(I84="","unknown",I84),H84))</f>
        <v/>
      </c>
      <c r="Q84">
        <f>IF(P84="","",IFERROR(IF(AND(H84="W7",OR(F84="causal",F84="predictive")),IF(AND(OR(K84=1,K84="1"),OR(L84=1,L84="1"),OR(M84=1,M84="1")),"adequate","partial"),IF(AND(H84="W4",F84="predictive",OR(J84="P2",J84="P3",J84="P4")),IF(OR(U84=1,U84="1"),"adequate","partial"),INDEX(Fit_Matrix!$B:$B,MATCH(P84,Fit_Matrix!$A:$A,0)))),"CHECK KEY"))</f>
        <v/>
      </c>
      <c r="U84" s="10" t="n"/>
      <c r="V84" s="10" t="n"/>
      <c r="W84" s="10" t="n"/>
      <c r="X84" s="10" t="n"/>
      <c r="Y84" s="10" t="n"/>
      <c r="Z84" s="10" t="n"/>
      <c r="AA84" s="11">
        <f>IF(A84="","",IF(AND(J84="P4",F84="causal"),"P4-CAUSAL",""))</f>
        <v/>
      </c>
    </row>
    <row r="85" ht="15" customHeight="1" s="1">
      <c r="P85">
        <f>IF(OR(F85="",H85="",J85=""),"",J85&amp;"|"&amp;F85&amp;"|"&amp;IF(H85="W3","W3_"&amp;IF(I85="","unknown",I85),H85))</f>
        <v/>
      </c>
      <c r="Q85">
        <f>IF(P85="","",IFERROR(IF(AND(H85="W7",OR(F85="causal",F85="predictive")),IF(AND(OR(K85=1,K85="1"),OR(L85=1,L85="1"),OR(M85=1,M85="1")),"adequate","partial"),IF(AND(H85="W4",F85="predictive",OR(J85="P2",J85="P3",J85="P4")),IF(OR(U85=1,U85="1"),"adequate","partial"),INDEX(Fit_Matrix!$B:$B,MATCH(P85,Fit_Matrix!$A:$A,0)))),"CHECK KEY"))</f>
        <v/>
      </c>
      <c r="U85" s="10" t="n"/>
      <c r="V85" s="10" t="n"/>
      <c r="W85" s="10" t="n"/>
      <c r="X85" s="10" t="n"/>
      <c r="Y85" s="10" t="n"/>
      <c r="Z85" s="10" t="n"/>
      <c r="AA85" s="11">
        <f>IF(A85="","",IF(AND(J85="P4",F85="causal"),"P4-CAUSAL",""))</f>
        <v/>
      </c>
    </row>
    <row r="86" ht="15" customHeight="1" s="1">
      <c r="P86">
        <f>IF(OR(F86="",H86="",J86=""),"",J86&amp;"|"&amp;F86&amp;"|"&amp;IF(H86="W3","W3_"&amp;IF(I86="","unknown",I86),H86))</f>
        <v/>
      </c>
      <c r="Q86">
        <f>IF(P86="","",IFERROR(IF(AND(H86="W7",OR(F86="causal",F86="predictive")),IF(AND(OR(K86=1,K86="1"),OR(L86=1,L86="1"),OR(M86=1,M86="1")),"adequate","partial"),IF(AND(H86="W4",F86="predictive",OR(J86="P2",J86="P3",J86="P4")),IF(OR(U86=1,U86="1"),"adequate","partial"),INDEX(Fit_Matrix!$B:$B,MATCH(P86,Fit_Matrix!$A:$A,0)))),"CHECK KEY"))</f>
        <v/>
      </c>
      <c r="U86" s="10" t="n"/>
      <c r="V86" s="10" t="n"/>
      <c r="W86" s="10" t="n"/>
      <c r="X86" s="10" t="n"/>
      <c r="Y86" s="10" t="n"/>
      <c r="Z86" s="10" t="n"/>
      <c r="AA86" s="11">
        <f>IF(A86="","",IF(AND(J86="P4",F86="causal"),"P4-CAUSAL",""))</f>
        <v/>
      </c>
    </row>
    <row r="87" ht="15" customHeight="1" s="1">
      <c r="P87">
        <f>IF(OR(F87="",H87="",J87=""),"",J87&amp;"|"&amp;F87&amp;"|"&amp;IF(H87="W3","W3_"&amp;IF(I87="","unknown",I87),H87))</f>
        <v/>
      </c>
      <c r="Q87">
        <f>IF(P87="","",IFERROR(IF(AND(H87="W7",OR(F87="causal",F87="predictive")),IF(AND(OR(K87=1,K87="1"),OR(L87=1,L87="1"),OR(M87=1,M87="1")),"adequate","partial"),IF(AND(H87="W4",F87="predictive",OR(J87="P2",J87="P3",J87="P4")),IF(OR(U87=1,U87="1"),"adequate","partial"),INDEX(Fit_Matrix!$B:$B,MATCH(P87,Fit_Matrix!$A:$A,0)))),"CHECK KEY"))</f>
        <v/>
      </c>
      <c r="U87" s="10" t="n"/>
      <c r="V87" s="10" t="n"/>
      <c r="W87" s="10" t="n"/>
      <c r="X87" s="10" t="n"/>
      <c r="Y87" s="10" t="n"/>
      <c r="Z87" s="10" t="n"/>
      <c r="AA87" s="11">
        <f>IF(A87="","",IF(AND(J87="P4",F87="causal"),"P4-CAUSAL",""))</f>
        <v/>
      </c>
    </row>
    <row r="88" ht="15" customHeight="1" s="1">
      <c r="P88">
        <f>IF(OR(F88="",H88="",J88=""),"",J88&amp;"|"&amp;F88&amp;"|"&amp;IF(H88="W3","W3_"&amp;IF(I88="","unknown",I88),H88))</f>
        <v/>
      </c>
      <c r="Q88">
        <f>IF(P88="","",IFERROR(IF(AND(H88="W7",OR(F88="causal",F88="predictive")),IF(AND(OR(K88=1,K88="1"),OR(L88=1,L88="1"),OR(M88=1,M88="1")),"adequate","partial"),IF(AND(H88="W4",F88="predictive",OR(J88="P2",J88="P3",J88="P4")),IF(OR(U88=1,U88="1"),"adequate","partial"),INDEX(Fit_Matrix!$B:$B,MATCH(P88,Fit_Matrix!$A:$A,0)))),"CHECK KEY"))</f>
        <v/>
      </c>
      <c r="U88" s="10" t="n"/>
      <c r="V88" s="10" t="n"/>
      <c r="W88" s="10" t="n"/>
      <c r="X88" s="10" t="n"/>
      <c r="Y88" s="10" t="n"/>
      <c r="Z88" s="10" t="n"/>
      <c r="AA88" s="11">
        <f>IF(A88="","",IF(AND(J88="P4",F88="causal"),"P4-CAUSAL",""))</f>
        <v/>
      </c>
    </row>
    <row r="89" ht="15" customHeight="1" s="1">
      <c r="P89">
        <f>IF(OR(F89="",H89="",J89=""),"",J89&amp;"|"&amp;F89&amp;"|"&amp;IF(H89="W3","W3_"&amp;IF(I89="","unknown",I89),H89))</f>
        <v/>
      </c>
      <c r="Q89">
        <f>IF(P89="","",IFERROR(IF(AND(H89="W7",OR(F89="causal",F89="predictive")),IF(AND(OR(K89=1,K89="1"),OR(L89=1,L89="1"),OR(M89=1,M89="1")),"adequate","partial"),IF(AND(H89="W4",F89="predictive",OR(J89="P2",J89="P3",J89="P4")),IF(OR(U89=1,U89="1"),"adequate","partial"),INDEX(Fit_Matrix!$B:$B,MATCH(P89,Fit_Matrix!$A:$A,0)))),"CHECK KEY"))</f>
        <v/>
      </c>
      <c r="U89" s="10" t="n"/>
      <c r="V89" s="10" t="n"/>
      <c r="W89" s="10" t="n"/>
      <c r="X89" s="10" t="n"/>
      <c r="Y89" s="10" t="n"/>
      <c r="Z89" s="10" t="n"/>
      <c r="AA89" s="11">
        <f>IF(A89="","",IF(AND(J89="P4",F89="causal"),"P4-CAUSAL",""))</f>
        <v/>
      </c>
    </row>
    <row r="90" ht="15" customHeight="1" s="1">
      <c r="P90">
        <f>IF(OR(F90="",H90="",J90=""),"",J90&amp;"|"&amp;F90&amp;"|"&amp;IF(H90="W3","W3_"&amp;IF(I90="","unknown",I90),H90))</f>
        <v/>
      </c>
      <c r="Q90">
        <f>IF(P90="","",IFERROR(IF(AND(H90="W7",OR(F90="causal",F90="predictive")),IF(AND(OR(K90=1,K90="1"),OR(L90=1,L90="1"),OR(M90=1,M90="1")),"adequate","partial"),IF(AND(H90="W4",F90="predictive",OR(J90="P2",J90="P3",J90="P4")),IF(OR(U90=1,U90="1"),"adequate","partial"),INDEX(Fit_Matrix!$B:$B,MATCH(P90,Fit_Matrix!$A:$A,0)))),"CHECK KEY"))</f>
        <v/>
      </c>
      <c r="U90" s="10" t="n"/>
      <c r="V90" s="10" t="n"/>
      <c r="W90" s="10" t="n"/>
      <c r="X90" s="10" t="n"/>
      <c r="Y90" s="10" t="n"/>
      <c r="Z90" s="10" t="n"/>
      <c r="AA90" s="11">
        <f>IF(A90="","",IF(AND(J90="P4",F90="causal"),"P4-CAUSAL",""))</f>
        <v/>
      </c>
    </row>
    <row r="91" ht="15" customHeight="1" s="1">
      <c r="P91">
        <f>IF(OR(F91="",H91="",J91=""),"",J91&amp;"|"&amp;F91&amp;"|"&amp;IF(H91="W3","W3_"&amp;IF(I91="","unknown",I91),H91))</f>
        <v/>
      </c>
      <c r="Q91">
        <f>IF(P91="","",IFERROR(IF(AND(H91="W7",OR(F91="causal",F91="predictive")),IF(AND(OR(K91=1,K91="1"),OR(L91=1,L91="1"),OR(M91=1,M91="1")),"adequate","partial"),IF(AND(H91="W4",F91="predictive",OR(J91="P2",J91="P3",J91="P4")),IF(OR(U91=1,U91="1"),"adequate","partial"),INDEX(Fit_Matrix!$B:$B,MATCH(P91,Fit_Matrix!$A:$A,0)))),"CHECK KEY"))</f>
        <v/>
      </c>
      <c r="U91" s="10" t="n"/>
      <c r="V91" s="10" t="n"/>
      <c r="W91" s="10" t="n"/>
      <c r="X91" s="10" t="n"/>
      <c r="Y91" s="10" t="n"/>
      <c r="Z91" s="10" t="n"/>
      <c r="AA91" s="11">
        <f>IF(A91="","",IF(AND(J91="P4",F91="causal"),"P4-CAUSAL",""))</f>
        <v/>
      </c>
    </row>
    <row r="92" ht="15" customHeight="1" s="1">
      <c r="P92">
        <f>IF(OR(F92="",H92="",J92=""),"",J92&amp;"|"&amp;F92&amp;"|"&amp;IF(H92="W3","W3_"&amp;IF(I92="","unknown",I92),H92))</f>
        <v/>
      </c>
      <c r="Q92">
        <f>IF(P92="","",IFERROR(IF(AND(H92="W7",OR(F92="causal",F92="predictive")),IF(AND(OR(K92=1,K92="1"),OR(L92=1,L92="1"),OR(M92=1,M92="1")),"adequate","partial"),IF(AND(H92="W4",F92="predictive",OR(J92="P2",J92="P3",J92="P4")),IF(OR(U92=1,U92="1"),"adequate","partial"),INDEX(Fit_Matrix!$B:$B,MATCH(P92,Fit_Matrix!$A:$A,0)))),"CHECK KEY"))</f>
        <v/>
      </c>
      <c r="U92" s="10" t="n"/>
      <c r="V92" s="10" t="n"/>
      <c r="W92" s="10" t="n"/>
      <c r="X92" s="10" t="n"/>
      <c r="Y92" s="10" t="n"/>
      <c r="Z92" s="10" t="n"/>
      <c r="AA92" s="11">
        <f>IF(A92="","",IF(AND(J92="P4",F92="causal"),"P4-CAUSAL",""))</f>
        <v/>
      </c>
    </row>
    <row r="93" ht="15" customHeight="1" s="1">
      <c r="P93">
        <f>IF(OR(F93="",H93="",J93=""),"",J93&amp;"|"&amp;F93&amp;"|"&amp;IF(H93="W3","W3_"&amp;IF(I93="","unknown",I93),H93))</f>
        <v/>
      </c>
      <c r="Q93">
        <f>IF(P93="","",IFERROR(IF(AND(H93="W7",OR(F93="causal",F93="predictive")),IF(AND(OR(K93=1,K93="1"),OR(L93=1,L93="1"),OR(M93=1,M93="1")),"adequate","partial"),IF(AND(H93="W4",F93="predictive",OR(J93="P2",J93="P3",J93="P4")),IF(OR(U93=1,U93="1"),"adequate","partial"),INDEX(Fit_Matrix!$B:$B,MATCH(P93,Fit_Matrix!$A:$A,0)))),"CHECK KEY"))</f>
        <v/>
      </c>
      <c r="U93" s="10" t="n"/>
      <c r="V93" s="10" t="n"/>
      <c r="W93" s="10" t="n"/>
      <c r="X93" s="10" t="n"/>
      <c r="Y93" s="10" t="n"/>
      <c r="Z93" s="10" t="n"/>
      <c r="AA93" s="11">
        <f>IF(A93="","",IF(AND(J93="P4",F93="causal"),"P4-CAUSAL",""))</f>
        <v/>
      </c>
    </row>
    <row r="94" ht="15" customHeight="1" s="1">
      <c r="P94">
        <f>IF(OR(F94="",H94="",J94=""),"",J94&amp;"|"&amp;F94&amp;"|"&amp;IF(H94="W3","W3_"&amp;IF(I94="","unknown",I94),H94))</f>
        <v/>
      </c>
      <c r="Q94">
        <f>IF(P94="","",IFERROR(IF(AND(H94="W7",OR(F94="causal",F94="predictive")),IF(AND(OR(K94=1,K94="1"),OR(L94=1,L94="1"),OR(M94=1,M94="1")),"adequate","partial"),IF(AND(H94="W4",F94="predictive",OR(J94="P2",J94="P3",J94="P4")),IF(OR(U94=1,U94="1"),"adequate","partial"),INDEX(Fit_Matrix!$B:$B,MATCH(P94,Fit_Matrix!$A:$A,0)))),"CHECK KEY"))</f>
        <v/>
      </c>
      <c r="U94" s="10" t="n"/>
      <c r="V94" s="10" t="n"/>
      <c r="W94" s="10" t="n"/>
      <c r="X94" s="10" t="n"/>
      <c r="Y94" s="10" t="n"/>
      <c r="Z94" s="10" t="n"/>
      <c r="AA94" s="11">
        <f>IF(A94="","",IF(AND(J94="P4",F94="causal"),"P4-CAUSAL",""))</f>
        <v/>
      </c>
    </row>
    <row r="95" ht="15" customHeight="1" s="1">
      <c r="P95">
        <f>IF(OR(F95="",H95="",J95=""),"",J95&amp;"|"&amp;F95&amp;"|"&amp;IF(H95="W3","W3_"&amp;IF(I95="","unknown",I95),H95))</f>
        <v/>
      </c>
      <c r="Q95">
        <f>IF(P95="","",IFERROR(IF(AND(H95="W7",OR(F95="causal",F95="predictive")),IF(AND(OR(K95=1,K95="1"),OR(L95=1,L95="1"),OR(M95=1,M95="1")),"adequate","partial"),IF(AND(H95="W4",F95="predictive",OR(J95="P2",J95="P3",J95="P4")),IF(OR(U95=1,U95="1"),"adequate","partial"),INDEX(Fit_Matrix!$B:$B,MATCH(P95,Fit_Matrix!$A:$A,0)))),"CHECK KEY"))</f>
        <v/>
      </c>
      <c r="U95" s="10" t="n"/>
      <c r="V95" s="10" t="n"/>
      <c r="W95" s="10" t="n"/>
      <c r="X95" s="10" t="n"/>
      <c r="Y95" s="10" t="n"/>
      <c r="Z95" s="10" t="n"/>
      <c r="AA95" s="11">
        <f>IF(A95="","",IF(AND(J95="P4",F95="causal"),"P4-CAUSAL",""))</f>
        <v/>
      </c>
    </row>
    <row r="96" ht="15" customHeight="1" s="1">
      <c r="P96">
        <f>IF(OR(F96="",H96="",J96=""),"",J96&amp;"|"&amp;F96&amp;"|"&amp;IF(H96="W3","W3_"&amp;IF(I96="","unknown",I96),H96))</f>
        <v/>
      </c>
      <c r="Q96">
        <f>IF(P96="","",IFERROR(IF(AND(H96="W7",OR(F96="causal",F96="predictive")),IF(AND(OR(K96=1,K96="1"),OR(L96=1,L96="1"),OR(M96=1,M96="1")),"adequate","partial"),IF(AND(H96="W4",F96="predictive",OR(J96="P2",J96="P3",J96="P4")),IF(OR(U96=1,U96="1"),"adequate","partial"),INDEX(Fit_Matrix!$B:$B,MATCH(P96,Fit_Matrix!$A:$A,0)))),"CHECK KEY"))</f>
        <v/>
      </c>
      <c r="U96" s="10" t="n"/>
      <c r="V96" s="10" t="n"/>
      <c r="W96" s="10" t="n"/>
      <c r="X96" s="10" t="n"/>
      <c r="Y96" s="10" t="n"/>
      <c r="Z96" s="10" t="n"/>
      <c r="AA96" s="11">
        <f>IF(A96="","",IF(AND(J96="P4",F96="causal"),"P4-CAUSAL",""))</f>
        <v/>
      </c>
    </row>
    <row r="97" ht="15" customHeight="1" s="1">
      <c r="P97">
        <f>IF(OR(F97="",H97="",J97=""),"",J97&amp;"|"&amp;F97&amp;"|"&amp;IF(H97="W3","W3_"&amp;IF(I97="","unknown",I97),H97))</f>
        <v/>
      </c>
      <c r="Q97">
        <f>IF(P97="","",IFERROR(IF(AND(H97="W7",OR(F97="causal",F97="predictive")),IF(AND(OR(K97=1,K97="1"),OR(L97=1,L97="1"),OR(M97=1,M97="1")),"adequate","partial"),IF(AND(H97="W4",F97="predictive",OR(J97="P2",J97="P3",J97="P4")),IF(OR(U97=1,U97="1"),"adequate","partial"),INDEX(Fit_Matrix!$B:$B,MATCH(P97,Fit_Matrix!$A:$A,0)))),"CHECK KEY"))</f>
        <v/>
      </c>
      <c r="U97" s="10" t="n"/>
      <c r="V97" s="10" t="n"/>
      <c r="W97" s="10" t="n"/>
      <c r="X97" s="10" t="n"/>
      <c r="Y97" s="10" t="n"/>
      <c r="Z97" s="10" t="n"/>
      <c r="AA97" s="11">
        <f>IF(A97="","",IF(AND(J97="P4",F97="causal"),"P4-CAUSAL",""))</f>
        <v/>
      </c>
    </row>
    <row r="98" ht="15" customHeight="1" s="1">
      <c r="P98">
        <f>IF(OR(F98="",H98="",J98=""),"",J98&amp;"|"&amp;F98&amp;"|"&amp;IF(H98="W3","W3_"&amp;IF(I98="","unknown",I98),H98))</f>
        <v/>
      </c>
      <c r="Q98">
        <f>IF(P98="","",IFERROR(IF(AND(H98="W7",OR(F98="causal",F98="predictive")),IF(AND(OR(K98=1,K98="1"),OR(L98=1,L98="1"),OR(M98=1,M98="1")),"adequate","partial"),IF(AND(H98="W4",F98="predictive",OR(J98="P2",J98="P3",J98="P4")),IF(OR(U98=1,U98="1"),"adequate","partial"),INDEX(Fit_Matrix!$B:$B,MATCH(P98,Fit_Matrix!$A:$A,0)))),"CHECK KEY"))</f>
        <v/>
      </c>
      <c r="U98" s="10" t="n"/>
      <c r="V98" s="10" t="n"/>
      <c r="W98" s="10" t="n"/>
      <c r="X98" s="10" t="n"/>
      <c r="Y98" s="10" t="n"/>
      <c r="Z98" s="10" t="n"/>
      <c r="AA98" s="11">
        <f>IF(A98="","",IF(AND(J98="P4",F98="causal"),"P4-CAUSAL",""))</f>
        <v/>
      </c>
    </row>
    <row r="99" ht="15" customHeight="1" s="1">
      <c r="P99">
        <f>IF(OR(F99="",H99="",J99=""),"",J99&amp;"|"&amp;F99&amp;"|"&amp;IF(H99="W3","W3_"&amp;IF(I99="","unknown",I99),H99))</f>
        <v/>
      </c>
      <c r="Q99">
        <f>IF(P99="","",IFERROR(IF(AND(H99="W7",OR(F99="causal",F99="predictive")),IF(AND(OR(K99=1,K99="1"),OR(L99=1,L99="1"),OR(M99=1,M99="1")),"adequate","partial"),IF(AND(H99="W4",F99="predictive",OR(J99="P2",J99="P3",J99="P4")),IF(OR(U99=1,U99="1"),"adequate","partial"),INDEX(Fit_Matrix!$B:$B,MATCH(P99,Fit_Matrix!$A:$A,0)))),"CHECK KEY"))</f>
        <v/>
      </c>
      <c r="U99" s="10" t="n"/>
      <c r="V99" s="10" t="n"/>
      <c r="W99" s="10" t="n"/>
      <c r="X99" s="10" t="n"/>
      <c r="Y99" s="10" t="n"/>
      <c r="Z99" s="10" t="n"/>
      <c r="AA99" s="11">
        <f>IF(A99="","",IF(AND(J99="P4",F99="causal"),"P4-CAUSAL",""))</f>
        <v/>
      </c>
    </row>
    <row r="100" ht="15" customHeight="1" s="1">
      <c r="P100">
        <f>IF(OR(F100="",H100="",J100=""),"",J100&amp;"|"&amp;F100&amp;"|"&amp;IF(H100="W3","W3_"&amp;IF(I100="","unknown",I100),H100))</f>
        <v/>
      </c>
      <c r="Q100">
        <f>IF(P100="","",IFERROR(IF(AND(H100="W7",OR(F100="causal",F100="predictive")),IF(AND(OR(K100=1,K100="1"),OR(L100=1,L100="1"),OR(M100=1,M100="1")),"adequate","partial"),IF(AND(H100="W4",F100="predictive",OR(J100="P2",J100="P3",J100="P4")),IF(OR(U100=1,U100="1"),"adequate","partial"),INDEX(Fit_Matrix!$B:$B,MATCH(P100,Fit_Matrix!$A:$A,0)))),"CHECK KEY"))</f>
        <v/>
      </c>
      <c r="U100" s="10" t="n"/>
      <c r="V100" s="10" t="n"/>
      <c r="W100" s="10" t="n"/>
      <c r="X100" s="10" t="n"/>
      <c r="Y100" s="10" t="n"/>
      <c r="Z100" s="10" t="n"/>
      <c r="AA100" s="11">
        <f>IF(A100="","",IF(AND(J100="P4",F100="causal"),"P4-CAUSAL",""))</f>
        <v/>
      </c>
    </row>
    <row r="101" ht="15" customHeight="1" s="1">
      <c r="P101">
        <f>IF(OR(F101="",H101="",J101=""),"",J101&amp;"|"&amp;F101&amp;"|"&amp;IF(H101="W3","W3_"&amp;IF(I101="","unknown",I101),H101))</f>
        <v/>
      </c>
      <c r="Q101">
        <f>IF(P101="","",IFERROR(IF(AND(H101="W7",OR(F101="causal",F101="predictive")),IF(AND(OR(K101=1,K101="1"),OR(L101=1,L101="1"),OR(M101=1,M101="1")),"adequate","partial"),IF(AND(H101="W4",F101="predictive",OR(J101="P2",J101="P3",J101="P4")),IF(OR(U101=1,U101="1"),"adequate","partial"),INDEX(Fit_Matrix!$B:$B,MATCH(P101,Fit_Matrix!$A:$A,0)))),"CHECK KEY"))</f>
        <v/>
      </c>
      <c r="U101" s="10" t="n"/>
      <c r="V101" s="10" t="n"/>
      <c r="W101" s="10" t="n"/>
      <c r="X101" s="10" t="n"/>
      <c r="Y101" s="10" t="n"/>
      <c r="Z101" s="10" t="n"/>
      <c r="AA101" s="11">
        <f>IF(A101="","",IF(AND(J101="P4",F101="causal"),"P4-CAUSAL",""))</f>
        <v/>
      </c>
    </row>
    <row r="102" ht="15" customHeight="1" s="1">
      <c r="P102">
        <f>IF(OR(F102="",H102="",J102=""),"",J102&amp;"|"&amp;F102&amp;"|"&amp;IF(H102="W3","W3_"&amp;IF(I102="","unknown",I102),H102))</f>
        <v/>
      </c>
      <c r="Q102">
        <f>IF(P102="","",IFERROR(IF(AND(H102="W7",OR(F102="causal",F102="predictive")),IF(AND(OR(K102=1,K102="1"),OR(L102=1,L102="1"),OR(M102=1,M102="1")),"adequate","partial"),IF(AND(H102="W4",F102="predictive",OR(J102="P2",J102="P3",J102="P4")),IF(OR(U102=1,U102="1"),"adequate","partial"),INDEX(Fit_Matrix!$B:$B,MATCH(P102,Fit_Matrix!$A:$A,0)))),"CHECK KEY"))</f>
        <v/>
      </c>
      <c r="U102" s="10" t="n"/>
      <c r="V102" s="10" t="n"/>
      <c r="W102" s="10" t="n"/>
      <c r="X102" s="10" t="n"/>
      <c r="Y102" s="10" t="n"/>
      <c r="Z102" s="10" t="n"/>
      <c r="AA102" s="11">
        <f>IF(A102="","",IF(AND(J102="P4",F102="causal"),"P4-CAUSAL",""))</f>
        <v/>
      </c>
    </row>
    <row r="103" ht="15" customHeight="1" s="1">
      <c r="P103">
        <f>IF(OR(F103="",H103="",J103=""),"",J103&amp;"|"&amp;F103&amp;"|"&amp;IF(H103="W3","W3_"&amp;IF(I103="","unknown",I103),H103))</f>
        <v/>
      </c>
      <c r="Q103">
        <f>IF(P103="","",IFERROR(IF(AND(H103="W7",OR(F103="causal",F103="predictive")),IF(AND(OR(K103=1,K103="1"),OR(L103=1,L103="1"),OR(M103=1,M103="1")),"adequate","partial"),IF(AND(H103="W4",F103="predictive",OR(J103="P2",J103="P3",J103="P4")),IF(OR(U103=1,U103="1"),"adequate","partial"),INDEX(Fit_Matrix!$B:$B,MATCH(P103,Fit_Matrix!$A:$A,0)))),"CHECK KEY"))</f>
        <v/>
      </c>
      <c r="U103" s="10" t="n"/>
      <c r="V103" s="10" t="n"/>
      <c r="W103" s="10" t="n"/>
      <c r="X103" s="10" t="n"/>
      <c r="Y103" s="10" t="n"/>
      <c r="Z103" s="10" t="n"/>
      <c r="AA103" s="11">
        <f>IF(A103="","",IF(AND(J103="P4",F103="causal"),"P4-CAUSAL",""))</f>
        <v/>
      </c>
    </row>
    <row r="104" ht="15" customHeight="1" s="1">
      <c r="P104">
        <f>IF(OR(F104="",H104="",J104=""),"",J104&amp;"|"&amp;F104&amp;"|"&amp;IF(H104="W3","W3_"&amp;IF(I104="","unknown",I104),H104))</f>
        <v/>
      </c>
      <c r="Q104">
        <f>IF(P104="","",IFERROR(IF(AND(H104="W7",OR(F104="causal",F104="predictive")),IF(AND(OR(K104=1,K104="1"),OR(L104=1,L104="1"),OR(M104=1,M104="1")),"adequate","partial"),IF(AND(H104="W4",F104="predictive",OR(J104="P2",J104="P3",J104="P4")),IF(OR(U104=1,U104="1"),"adequate","partial"),INDEX(Fit_Matrix!$B:$B,MATCH(P104,Fit_Matrix!$A:$A,0)))),"CHECK KEY"))</f>
        <v/>
      </c>
      <c r="U104" s="10" t="n"/>
      <c r="V104" s="10" t="n"/>
      <c r="W104" s="10" t="n"/>
      <c r="X104" s="10" t="n"/>
      <c r="Y104" s="10" t="n"/>
      <c r="Z104" s="10" t="n"/>
      <c r="AA104" s="11">
        <f>IF(A104="","",IF(AND(J104="P4",F104="causal"),"P4-CAUSAL",""))</f>
        <v/>
      </c>
    </row>
    <row r="105" ht="15" customHeight="1" s="1">
      <c r="P105">
        <f>IF(OR(F105="",H105="",J105=""),"",J105&amp;"|"&amp;F105&amp;"|"&amp;IF(H105="W3","W3_"&amp;IF(I105="","unknown",I105),H105))</f>
        <v/>
      </c>
      <c r="Q105">
        <f>IF(P105="","",IFERROR(IF(AND(H105="W7",OR(F105="causal",F105="predictive")),IF(AND(OR(K105=1,K105="1"),OR(L105=1,L105="1"),OR(M105=1,M105="1")),"adequate","partial"),IF(AND(H105="W4",F105="predictive",OR(J105="P2",J105="P3",J105="P4")),IF(OR(U105=1,U105="1"),"adequate","partial"),INDEX(Fit_Matrix!$B:$B,MATCH(P105,Fit_Matrix!$A:$A,0)))),"CHECK KEY"))</f>
        <v/>
      </c>
      <c r="U105" s="10" t="n"/>
      <c r="V105" s="10" t="n"/>
      <c r="W105" s="10" t="n"/>
      <c r="X105" s="10" t="n"/>
      <c r="Y105" s="10" t="n"/>
      <c r="Z105" s="10" t="n"/>
      <c r="AA105" s="11">
        <f>IF(A105="","",IF(AND(J105="P4",F105="causal"),"P4-CAUSAL",""))</f>
        <v/>
      </c>
    </row>
    <row r="106" ht="15" customHeight="1" s="1">
      <c r="P106">
        <f>IF(OR(F106="",H106="",J106=""),"",J106&amp;"|"&amp;F106&amp;"|"&amp;IF(H106="W3","W3_"&amp;IF(I106="","unknown",I106),H106))</f>
        <v/>
      </c>
      <c r="Q106">
        <f>IF(P106="","",IFERROR(IF(AND(H106="W7",OR(F106="causal",F106="predictive")),IF(AND(OR(K106=1,K106="1"),OR(L106=1,L106="1"),OR(M106=1,M106="1")),"adequate","partial"),IF(AND(H106="W4",F106="predictive",OR(J106="P2",J106="P3",J106="P4")),IF(OR(U106=1,U106="1"),"adequate","partial"),INDEX(Fit_Matrix!$B:$B,MATCH(P106,Fit_Matrix!$A:$A,0)))),"CHECK KEY"))</f>
        <v/>
      </c>
      <c r="U106" s="10" t="n"/>
      <c r="V106" s="10" t="n"/>
      <c r="W106" s="10" t="n"/>
      <c r="X106" s="10" t="n"/>
      <c r="Y106" s="10" t="n"/>
      <c r="Z106" s="10" t="n"/>
      <c r="AA106" s="11">
        <f>IF(A106="","",IF(AND(J106="P4",F106="causal"),"P4-CAUSAL",""))</f>
        <v/>
      </c>
    </row>
    <row r="107" ht="15" customHeight="1" s="1">
      <c r="P107">
        <f>IF(OR(F107="",H107="",J107=""),"",J107&amp;"|"&amp;F107&amp;"|"&amp;IF(H107="W3","W3_"&amp;IF(I107="","unknown",I107),H107))</f>
        <v/>
      </c>
      <c r="Q107">
        <f>IF(P107="","",IFERROR(IF(AND(H107="W7",OR(F107="causal",F107="predictive")),IF(AND(OR(K107=1,K107="1"),OR(L107=1,L107="1"),OR(M107=1,M107="1")),"adequate","partial"),IF(AND(H107="W4",F107="predictive",OR(J107="P2",J107="P3",J107="P4")),IF(OR(U107=1,U107="1"),"adequate","partial"),INDEX(Fit_Matrix!$B:$B,MATCH(P107,Fit_Matrix!$A:$A,0)))),"CHECK KEY"))</f>
        <v/>
      </c>
      <c r="U107" s="10" t="n"/>
      <c r="V107" s="10" t="n"/>
      <c r="W107" s="10" t="n"/>
      <c r="X107" s="10" t="n"/>
      <c r="Y107" s="10" t="n"/>
      <c r="Z107" s="10" t="n"/>
      <c r="AA107" s="11">
        <f>IF(A107="","",IF(AND(J107="P4",F107="causal"),"P4-CAUSAL",""))</f>
        <v/>
      </c>
    </row>
    <row r="108" ht="15" customHeight="1" s="1">
      <c r="P108">
        <f>IF(OR(F108="",H108="",J108=""),"",J108&amp;"|"&amp;F108&amp;"|"&amp;IF(H108="W3","W3_"&amp;IF(I108="","unknown",I108),H108))</f>
        <v/>
      </c>
      <c r="Q108">
        <f>IF(P108="","",IFERROR(IF(AND(H108="W7",OR(F108="causal",F108="predictive")),IF(AND(OR(K108=1,K108="1"),OR(L108=1,L108="1"),OR(M108=1,M108="1")),"adequate","partial"),IF(AND(H108="W4",F108="predictive",OR(J108="P2",J108="P3",J108="P4")),IF(OR(U108=1,U108="1"),"adequate","partial"),INDEX(Fit_Matrix!$B:$B,MATCH(P108,Fit_Matrix!$A:$A,0)))),"CHECK KEY"))</f>
        <v/>
      </c>
      <c r="U108" s="10" t="n"/>
      <c r="V108" s="10" t="n"/>
      <c r="W108" s="10" t="n"/>
      <c r="X108" s="10" t="n"/>
      <c r="Y108" s="10" t="n"/>
      <c r="Z108" s="10" t="n"/>
      <c r="AA108" s="11">
        <f>IF(A108="","",IF(AND(J108="P4",F108="causal"),"P4-CAUSAL",""))</f>
        <v/>
      </c>
    </row>
    <row r="109" ht="15" customHeight="1" s="1">
      <c r="P109">
        <f>IF(OR(F109="",H109="",J109=""),"",J109&amp;"|"&amp;F109&amp;"|"&amp;IF(H109="W3","W3_"&amp;IF(I109="","unknown",I109),H109))</f>
        <v/>
      </c>
      <c r="Q109">
        <f>IF(P109="","",IFERROR(IF(AND(H109="W7",OR(F109="causal",F109="predictive")),IF(AND(OR(K109=1,K109="1"),OR(L109=1,L109="1"),OR(M109=1,M109="1")),"adequate","partial"),IF(AND(H109="W4",F109="predictive",OR(J109="P2",J109="P3",J109="P4")),IF(OR(U109=1,U109="1"),"adequate","partial"),INDEX(Fit_Matrix!$B:$B,MATCH(P109,Fit_Matrix!$A:$A,0)))),"CHECK KEY"))</f>
        <v/>
      </c>
      <c r="U109" s="10" t="n"/>
      <c r="V109" s="10" t="n"/>
      <c r="W109" s="10" t="n"/>
      <c r="X109" s="10" t="n"/>
      <c r="Y109" s="10" t="n"/>
      <c r="Z109" s="10" t="n"/>
      <c r="AA109" s="11">
        <f>IF(A109="","",IF(AND(J109="P4",F109="causal"),"P4-CAUSAL",""))</f>
        <v/>
      </c>
    </row>
    <row r="110" ht="15" customHeight="1" s="1">
      <c r="P110">
        <f>IF(OR(F110="",H110="",J110=""),"",J110&amp;"|"&amp;F110&amp;"|"&amp;IF(H110="W3","W3_"&amp;IF(I110="","unknown",I110),H110))</f>
        <v/>
      </c>
      <c r="Q110">
        <f>IF(P110="","",IFERROR(IF(AND(H110="W7",OR(F110="causal",F110="predictive")),IF(AND(OR(K110=1,K110="1"),OR(L110=1,L110="1"),OR(M110=1,M110="1")),"adequate","partial"),IF(AND(H110="W4",F110="predictive",OR(J110="P2",J110="P3",J110="P4")),IF(OR(U110=1,U110="1"),"adequate","partial"),INDEX(Fit_Matrix!$B:$B,MATCH(P110,Fit_Matrix!$A:$A,0)))),"CHECK KEY"))</f>
        <v/>
      </c>
      <c r="U110" s="10" t="n"/>
      <c r="V110" s="10" t="n"/>
      <c r="W110" s="10" t="n"/>
      <c r="X110" s="10" t="n"/>
      <c r="Y110" s="10" t="n"/>
      <c r="Z110" s="10" t="n"/>
      <c r="AA110" s="11">
        <f>IF(A110="","",IF(AND(J110="P4",F110="causal"),"P4-CAUSAL",""))</f>
        <v/>
      </c>
    </row>
    <row r="111" ht="15" customHeight="1" s="1">
      <c r="P111">
        <f>IF(OR(F111="",H111="",J111=""),"",J111&amp;"|"&amp;F111&amp;"|"&amp;IF(H111="W3","W3_"&amp;IF(I111="","unknown",I111),H111))</f>
        <v/>
      </c>
      <c r="Q111">
        <f>IF(P111="","",IFERROR(IF(AND(H111="W7",OR(F111="causal",F111="predictive")),IF(AND(OR(K111=1,K111="1"),OR(L111=1,L111="1"),OR(M111=1,M111="1")),"adequate","partial"),IF(AND(H111="W4",F111="predictive",OR(J111="P2",J111="P3",J111="P4")),IF(OR(U111=1,U111="1"),"adequate","partial"),INDEX(Fit_Matrix!$B:$B,MATCH(P111,Fit_Matrix!$A:$A,0)))),"CHECK KEY"))</f>
        <v/>
      </c>
      <c r="U111" s="10" t="n"/>
      <c r="V111" s="10" t="n"/>
      <c r="W111" s="10" t="n"/>
      <c r="X111" s="10" t="n"/>
      <c r="Y111" s="10" t="n"/>
      <c r="Z111" s="10" t="n"/>
      <c r="AA111" s="11">
        <f>IF(A111="","",IF(AND(J111="P4",F111="causal"),"P4-CAUSAL",""))</f>
        <v/>
      </c>
    </row>
    <row r="112" ht="15" customHeight="1" s="1">
      <c r="P112">
        <f>IF(OR(F112="",H112="",J112=""),"",J112&amp;"|"&amp;F112&amp;"|"&amp;IF(H112="W3","W3_"&amp;IF(I112="","unknown",I112),H112))</f>
        <v/>
      </c>
      <c r="Q112">
        <f>IF(P112="","",IFERROR(IF(AND(H112="W7",OR(F112="causal",F112="predictive")),IF(AND(OR(K112=1,K112="1"),OR(L112=1,L112="1"),OR(M112=1,M112="1")),"adequate","partial"),IF(AND(H112="W4",F112="predictive",OR(J112="P2",J112="P3",J112="P4")),IF(OR(U112=1,U112="1"),"adequate","partial"),INDEX(Fit_Matrix!$B:$B,MATCH(P112,Fit_Matrix!$A:$A,0)))),"CHECK KEY"))</f>
        <v/>
      </c>
      <c r="U112" s="10" t="n"/>
      <c r="V112" s="10" t="n"/>
      <c r="W112" s="10" t="n"/>
      <c r="X112" s="10" t="n"/>
      <c r="Y112" s="10" t="n"/>
      <c r="Z112" s="10" t="n"/>
      <c r="AA112" s="11">
        <f>IF(A112="","",IF(AND(J112="P4",F112="causal"),"P4-CAUSAL",""))</f>
        <v/>
      </c>
    </row>
    <row r="113" ht="15" customHeight="1" s="1">
      <c r="P113">
        <f>IF(OR(F113="",H113="",J113=""),"",J113&amp;"|"&amp;F113&amp;"|"&amp;IF(H113="W3","W3_"&amp;IF(I113="","unknown",I113),H113))</f>
        <v/>
      </c>
      <c r="Q113">
        <f>IF(P113="","",IFERROR(IF(AND(H113="W7",OR(F113="causal",F113="predictive")),IF(AND(OR(K113=1,K113="1"),OR(L113=1,L113="1"),OR(M113=1,M113="1")),"adequate","partial"),IF(AND(H113="W4",F113="predictive",OR(J113="P2",J113="P3",J113="P4")),IF(OR(U113=1,U113="1"),"adequate","partial"),INDEX(Fit_Matrix!$B:$B,MATCH(P113,Fit_Matrix!$A:$A,0)))),"CHECK KEY"))</f>
        <v/>
      </c>
      <c r="U113" s="10" t="n"/>
      <c r="V113" s="10" t="n"/>
      <c r="W113" s="10" t="n"/>
      <c r="X113" s="10" t="n"/>
      <c r="Y113" s="10" t="n"/>
      <c r="Z113" s="10" t="n"/>
      <c r="AA113" s="11">
        <f>IF(A113="","",IF(AND(J113="P4",F113="causal"),"P4-CAUSAL",""))</f>
        <v/>
      </c>
    </row>
    <row r="114" ht="15" customHeight="1" s="1">
      <c r="P114">
        <f>IF(OR(F114="",H114="",J114=""),"",J114&amp;"|"&amp;F114&amp;"|"&amp;IF(H114="W3","W3_"&amp;IF(I114="","unknown",I114),H114))</f>
        <v/>
      </c>
      <c r="Q114">
        <f>IF(P114="","",IFERROR(IF(AND(H114="W7",OR(F114="causal",F114="predictive")),IF(AND(OR(K114=1,K114="1"),OR(L114=1,L114="1"),OR(M114=1,M114="1")),"adequate","partial"),IF(AND(H114="W4",F114="predictive",OR(J114="P2",J114="P3",J114="P4")),IF(OR(U114=1,U114="1"),"adequate","partial"),INDEX(Fit_Matrix!$B:$B,MATCH(P114,Fit_Matrix!$A:$A,0)))),"CHECK KEY"))</f>
        <v/>
      </c>
      <c r="U114" s="10" t="n"/>
      <c r="V114" s="10" t="n"/>
      <c r="W114" s="10" t="n"/>
      <c r="X114" s="10" t="n"/>
      <c r="Y114" s="10" t="n"/>
      <c r="Z114" s="10" t="n"/>
      <c r="AA114" s="11">
        <f>IF(A114="","",IF(AND(J114="P4",F114="causal"),"P4-CAUSAL",""))</f>
        <v/>
      </c>
    </row>
    <row r="115" ht="15" customHeight="1" s="1">
      <c r="P115">
        <f>IF(OR(F115="",H115="",J115=""),"",J115&amp;"|"&amp;F115&amp;"|"&amp;IF(H115="W3","W3_"&amp;IF(I115="","unknown",I115),H115))</f>
        <v/>
      </c>
      <c r="Q115">
        <f>IF(P115="","",IFERROR(IF(AND(H115="W7",OR(F115="causal",F115="predictive")),IF(AND(OR(K115=1,K115="1"),OR(L115=1,L115="1"),OR(M115=1,M115="1")),"adequate","partial"),IF(AND(H115="W4",F115="predictive",OR(J115="P2",J115="P3",J115="P4")),IF(OR(U115=1,U115="1"),"adequate","partial"),INDEX(Fit_Matrix!$B:$B,MATCH(P115,Fit_Matrix!$A:$A,0)))),"CHECK KEY"))</f>
        <v/>
      </c>
      <c r="U115" s="10" t="n"/>
      <c r="V115" s="10" t="n"/>
      <c r="W115" s="10" t="n"/>
      <c r="X115" s="10" t="n"/>
      <c r="Y115" s="10" t="n"/>
      <c r="Z115" s="10" t="n"/>
      <c r="AA115" s="11">
        <f>IF(A115="","",IF(AND(J115="P4",F115="causal"),"P4-CAUSAL",""))</f>
        <v/>
      </c>
    </row>
    <row r="116" ht="15" customHeight="1" s="1">
      <c r="P116">
        <f>IF(OR(F116="",H116="",J116=""),"",J116&amp;"|"&amp;F116&amp;"|"&amp;IF(H116="W3","W3_"&amp;IF(I116="","unknown",I116),H116))</f>
        <v/>
      </c>
      <c r="Q116">
        <f>IF(P116="","",IFERROR(IF(AND(H116="W7",OR(F116="causal",F116="predictive")),IF(AND(OR(K116=1,K116="1"),OR(L116=1,L116="1"),OR(M116=1,M116="1")),"adequate","partial"),IF(AND(H116="W4",F116="predictive",OR(J116="P2",J116="P3",J116="P4")),IF(OR(U116=1,U116="1"),"adequate","partial"),INDEX(Fit_Matrix!$B:$B,MATCH(P116,Fit_Matrix!$A:$A,0)))),"CHECK KEY"))</f>
        <v/>
      </c>
      <c r="U116" s="10" t="n"/>
      <c r="V116" s="10" t="n"/>
      <c r="W116" s="10" t="n"/>
      <c r="X116" s="10" t="n"/>
      <c r="Y116" s="10" t="n"/>
      <c r="Z116" s="10" t="n"/>
      <c r="AA116" s="11">
        <f>IF(A116="","",IF(AND(J116="P4",F116="causal"),"P4-CAUSAL",""))</f>
        <v/>
      </c>
    </row>
    <row r="117" ht="15" customHeight="1" s="1">
      <c r="P117">
        <f>IF(OR(F117="",H117="",J117=""),"",J117&amp;"|"&amp;F117&amp;"|"&amp;IF(H117="W3","W3_"&amp;IF(I117="","unknown",I117),H117))</f>
        <v/>
      </c>
      <c r="Q117">
        <f>IF(P117="","",IFERROR(IF(AND(H117="W7",OR(F117="causal",F117="predictive")),IF(AND(OR(K117=1,K117="1"),OR(L117=1,L117="1"),OR(M117=1,M117="1")),"adequate","partial"),IF(AND(H117="W4",F117="predictive",OR(J117="P2",J117="P3",J117="P4")),IF(OR(U117=1,U117="1"),"adequate","partial"),INDEX(Fit_Matrix!$B:$B,MATCH(P117,Fit_Matrix!$A:$A,0)))),"CHECK KEY"))</f>
        <v/>
      </c>
      <c r="U117" s="10" t="n"/>
      <c r="V117" s="10" t="n"/>
      <c r="W117" s="10" t="n"/>
      <c r="X117" s="10" t="n"/>
      <c r="Y117" s="10" t="n"/>
      <c r="Z117" s="10" t="n"/>
      <c r="AA117" s="11">
        <f>IF(A117="","",IF(AND(J117="P4",F117="causal"),"P4-CAUSAL",""))</f>
        <v/>
      </c>
    </row>
    <row r="118" ht="15" customHeight="1" s="1">
      <c r="P118">
        <f>IF(OR(F118="",H118="",J118=""),"",J118&amp;"|"&amp;F118&amp;"|"&amp;IF(H118="W3","W3_"&amp;IF(I118="","unknown",I118),H118))</f>
        <v/>
      </c>
      <c r="Q118">
        <f>IF(P118="","",IFERROR(IF(AND(H118="W7",OR(F118="causal",F118="predictive")),IF(AND(OR(K118=1,K118="1"),OR(L118=1,L118="1"),OR(M118=1,M118="1")),"adequate","partial"),IF(AND(H118="W4",F118="predictive",OR(J118="P2",J118="P3",J118="P4")),IF(OR(U118=1,U118="1"),"adequate","partial"),INDEX(Fit_Matrix!$B:$B,MATCH(P118,Fit_Matrix!$A:$A,0)))),"CHECK KEY"))</f>
        <v/>
      </c>
      <c r="U118" s="10" t="n"/>
      <c r="V118" s="10" t="n"/>
      <c r="W118" s="10" t="n"/>
      <c r="X118" s="10" t="n"/>
      <c r="Y118" s="10" t="n"/>
      <c r="Z118" s="10" t="n"/>
      <c r="AA118" s="11">
        <f>IF(A118="","",IF(AND(J118="P4",F118="causal"),"P4-CAUSAL",""))</f>
        <v/>
      </c>
    </row>
    <row r="119" ht="15" customHeight="1" s="1">
      <c r="P119">
        <f>IF(OR(F119="",H119="",J119=""),"",J119&amp;"|"&amp;F119&amp;"|"&amp;IF(H119="W3","W3_"&amp;IF(I119="","unknown",I119),H119))</f>
        <v/>
      </c>
      <c r="Q119">
        <f>IF(P119="","",IFERROR(IF(AND(H119="W7",OR(F119="causal",F119="predictive")),IF(AND(OR(K119=1,K119="1"),OR(L119=1,L119="1"),OR(M119=1,M119="1")),"adequate","partial"),IF(AND(H119="W4",F119="predictive",OR(J119="P2",J119="P3",J119="P4")),IF(OR(U119=1,U119="1"),"adequate","partial"),INDEX(Fit_Matrix!$B:$B,MATCH(P119,Fit_Matrix!$A:$A,0)))),"CHECK KEY"))</f>
        <v/>
      </c>
      <c r="U119" s="10" t="n"/>
      <c r="V119" s="10" t="n"/>
      <c r="W119" s="10" t="n"/>
      <c r="X119" s="10" t="n"/>
      <c r="Y119" s="10" t="n"/>
      <c r="Z119" s="10" t="n"/>
      <c r="AA119" s="11">
        <f>IF(A119="","",IF(AND(J119="P4",F119="causal"),"P4-CAUSAL",""))</f>
        <v/>
      </c>
    </row>
    <row r="120" ht="15" customHeight="1" s="1">
      <c r="P120">
        <f>IF(OR(F120="",H120="",J120=""),"",J120&amp;"|"&amp;F120&amp;"|"&amp;IF(H120="W3","W3_"&amp;IF(I120="","unknown",I120),H120))</f>
        <v/>
      </c>
      <c r="Q120">
        <f>IF(P120="","",IFERROR(IF(AND(H120="W7",OR(F120="causal",F120="predictive")),IF(AND(OR(K120=1,K120="1"),OR(L120=1,L120="1"),OR(M120=1,M120="1")),"adequate","partial"),IF(AND(H120="W4",F120="predictive",OR(J120="P2",J120="P3",J120="P4")),IF(OR(U120=1,U120="1"),"adequate","partial"),INDEX(Fit_Matrix!$B:$B,MATCH(P120,Fit_Matrix!$A:$A,0)))),"CHECK KEY"))</f>
        <v/>
      </c>
      <c r="U120" s="10" t="n"/>
      <c r="V120" s="10" t="n"/>
      <c r="W120" s="10" t="n"/>
      <c r="X120" s="10" t="n"/>
      <c r="Y120" s="10" t="n"/>
      <c r="Z120" s="10" t="n"/>
      <c r="AA120" s="11">
        <f>IF(A120="","",IF(AND(J120="P4",F120="causal"),"P4-CAUSAL",""))</f>
        <v/>
      </c>
    </row>
    <row r="121" ht="15" customHeight="1" s="1">
      <c r="P121">
        <f>IF(OR(F121="",H121="",J121=""),"",J121&amp;"|"&amp;F121&amp;"|"&amp;IF(H121="W3","W3_"&amp;IF(I121="","unknown",I121),H121))</f>
        <v/>
      </c>
      <c r="Q121">
        <f>IF(P121="","",IFERROR(IF(AND(H121="W7",OR(F121="causal",F121="predictive")),IF(AND(OR(K121=1,K121="1"),OR(L121=1,L121="1"),OR(M121=1,M121="1")),"adequate","partial"),IF(AND(H121="W4",F121="predictive",OR(J121="P2",J121="P3",J121="P4")),IF(OR(U121=1,U121="1"),"adequate","partial"),INDEX(Fit_Matrix!$B:$B,MATCH(P121,Fit_Matrix!$A:$A,0)))),"CHECK KEY"))</f>
        <v/>
      </c>
      <c r="U121" s="10" t="n"/>
      <c r="V121" s="10" t="n"/>
      <c r="W121" s="10" t="n"/>
      <c r="X121" s="10" t="n"/>
      <c r="Y121" s="10" t="n"/>
      <c r="Z121" s="10" t="n"/>
      <c r="AA121" s="11">
        <f>IF(A121="","",IF(AND(J121="P4",F121="causal"),"P4-CAUSAL",""))</f>
        <v/>
      </c>
    </row>
    <row r="122" ht="15" customHeight="1" s="1">
      <c r="P122">
        <f>IF(OR(F122="",H122="",J122=""),"",J122&amp;"|"&amp;F122&amp;"|"&amp;IF(H122="W3","W3_"&amp;IF(I122="","unknown",I122),H122))</f>
        <v/>
      </c>
      <c r="Q122">
        <f>IF(P122="","",IFERROR(IF(AND(H122="W7",OR(F122="causal",F122="predictive")),IF(AND(OR(K122=1,K122="1"),OR(L122=1,L122="1"),OR(M122=1,M122="1")),"adequate","partial"),IF(AND(H122="W4",F122="predictive",OR(J122="P2",J122="P3",J122="P4")),IF(OR(U122=1,U122="1"),"adequate","partial"),INDEX(Fit_Matrix!$B:$B,MATCH(P122,Fit_Matrix!$A:$A,0)))),"CHECK KEY"))</f>
        <v/>
      </c>
      <c r="U122" s="10" t="n"/>
      <c r="V122" s="10" t="n"/>
      <c r="W122" s="10" t="n"/>
      <c r="X122" s="10" t="n"/>
      <c r="Y122" s="10" t="n"/>
      <c r="Z122" s="10" t="n"/>
      <c r="AA122" s="11">
        <f>IF(A122="","",IF(AND(J122="P4",F122="causal"),"P4-CAUSAL",""))</f>
        <v/>
      </c>
    </row>
    <row r="123" ht="15" customHeight="1" s="1">
      <c r="P123">
        <f>IF(OR(F123="",H123="",J123=""),"",J123&amp;"|"&amp;F123&amp;"|"&amp;IF(H123="W3","W3_"&amp;IF(I123="","unknown",I123),H123))</f>
        <v/>
      </c>
      <c r="Q123">
        <f>IF(P123="","",IFERROR(IF(AND(H123="W7",OR(F123="causal",F123="predictive")),IF(AND(OR(K123=1,K123="1"),OR(L123=1,L123="1"),OR(M123=1,M123="1")),"adequate","partial"),IF(AND(H123="W4",F123="predictive",OR(J123="P2",J123="P3",J123="P4")),IF(OR(U123=1,U123="1"),"adequate","partial"),INDEX(Fit_Matrix!$B:$B,MATCH(P123,Fit_Matrix!$A:$A,0)))),"CHECK KEY"))</f>
        <v/>
      </c>
      <c r="U123" s="10" t="n"/>
      <c r="V123" s="10" t="n"/>
      <c r="W123" s="10" t="n"/>
      <c r="X123" s="10" t="n"/>
      <c r="Y123" s="10" t="n"/>
      <c r="Z123" s="10" t="n"/>
      <c r="AA123" s="11">
        <f>IF(A123="","",IF(AND(J123="P4",F123="causal"),"P4-CAUSAL",""))</f>
        <v/>
      </c>
    </row>
    <row r="124" ht="15" customHeight="1" s="1">
      <c r="P124">
        <f>IF(OR(F124="",H124="",J124=""),"",J124&amp;"|"&amp;F124&amp;"|"&amp;IF(H124="W3","W3_"&amp;IF(I124="","unknown",I124),H124))</f>
        <v/>
      </c>
      <c r="Q124">
        <f>IF(P124="","",IFERROR(IF(AND(H124="W7",OR(F124="causal",F124="predictive")),IF(AND(OR(K124=1,K124="1"),OR(L124=1,L124="1"),OR(M124=1,M124="1")),"adequate","partial"),IF(AND(H124="W4",F124="predictive",OR(J124="P2",J124="P3",J124="P4")),IF(OR(U124=1,U124="1"),"adequate","partial"),INDEX(Fit_Matrix!$B:$B,MATCH(P124,Fit_Matrix!$A:$A,0)))),"CHECK KEY"))</f>
        <v/>
      </c>
      <c r="U124" s="10" t="n"/>
      <c r="V124" s="10" t="n"/>
      <c r="W124" s="10" t="n"/>
      <c r="X124" s="10" t="n"/>
      <c r="Y124" s="10" t="n"/>
      <c r="Z124" s="10" t="n"/>
      <c r="AA124" s="11">
        <f>IF(A124="","",IF(AND(J124="P4",F124="causal"),"P4-CAUSAL",""))</f>
        <v/>
      </c>
    </row>
    <row r="125" ht="15" customHeight="1" s="1">
      <c r="P125">
        <f>IF(OR(F125="",H125="",J125=""),"",J125&amp;"|"&amp;F125&amp;"|"&amp;IF(H125="W3","W3_"&amp;IF(I125="","unknown",I125),H125))</f>
        <v/>
      </c>
      <c r="Q125">
        <f>IF(P125="","",IFERROR(IF(AND(H125="W7",OR(F125="causal",F125="predictive")),IF(AND(OR(K125=1,K125="1"),OR(L125=1,L125="1"),OR(M125=1,M125="1")),"adequate","partial"),IF(AND(H125="W4",F125="predictive",OR(J125="P2",J125="P3",J125="P4")),IF(OR(U125=1,U125="1"),"adequate","partial"),INDEX(Fit_Matrix!$B:$B,MATCH(P125,Fit_Matrix!$A:$A,0)))),"CHECK KEY"))</f>
        <v/>
      </c>
      <c r="U125" s="10" t="n"/>
      <c r="V125" s="10" t="n"/>
      <c r="W125" s="10" t="n"/>
      <c r="X125" s="10" t="n"/>
      <c r="Y125" s="10" t="n"/>
      <c r="Z125" s="10" t="n"/>
      <c r="AA125" s="11">
        <f>IF(A125="","",IF(AND(J125="P4",F125="causal"),"P4-CAUSAL",""))</f>
        <v/>
      </c>
    </row>
    <row r="126" ht="15" customHeight="1" s="1">
      <c r="P126">
        <f>IF(OR(F126="",H126="",J126=""),"",J126&amp;"|"&amp;F126&amp;"|"&amp;IF(H126="W3","W3_"&amp;IF(I126="","unknown",I126),H126))</f>
        <v/>
      </c>
      <c r="Q126">
        <f>IF(P126="","",IFERROR(IF(AND(H126="W7",OR(F126="causal",F126="predictive")),IF(AND(OR(K126=1,K126="1"),OR(L126=1,L126="1"),OR(M126=1,M126="1")),"adequate","partial"),IF(AND(H126="W4",F126="predictive",OR(J126="P2",J126="P3",J126="P4")),IF(OR(U126=1,U126="1"),"adequate","partial"),INDEX(Fit_Matrix!$B:$B,MATCH(P126,Fit_Matrix!$A:$A,0)))),"CHECK KEY"))</f>
        <v/>
      </c>
      <c r="U126" s="10" t="n"/>
      <c r="V126" s="10" t="n"/>
      <c r="W126" s="10" t="n"/>
      <c r="X126" s="10" t="n"/>
      <c r="Y126" s="10" t="n"/>
      <c r="Z126" s="10" t="n"/>
      <c r="AA126" s="11">
        <f>IF(A126="","",IF(AND(J126="P4",F126="causal"),"P4-CAUSAL",""))</f>
        <v/>
      </c>
    </row>
    <row r="127" ht="15" customHeight="1" s="1">
      <c r="P127">
        <f>IF(OR(F127="",H127="",J127=""),"",J127&amp;"|"&amp;F127&amp;"|"&amp;IF(H127="W3","W3_"&amp;IF(I127="","unknown",I127),H127))</f>
        <v/>
      </c>
      <c r="Q127">
        <f>IF(P127="","",IFERROR(IF(AND(H127="W7",OR(F127="causal",F127="predictive")),IF(AND(OR(K127=1,K127="1"),OR(L127=1,L127="1"),OR(M127=1,M127="1")),"adequate","partial"),IF(AND(H127="W4",F127="predictive",OR(J127="P2",J127="P3",J127="P4")),IF(OR(U127=1,U127="1"),"adequate","partial"),INDEX(Fit_Matrix!$B:$B,MATCH(P127,Fit_Matrix!$A:$A,0)))),"CHECK KEY"))</f>
        <v/>
      </c>
      <c r="U127" s="10" t="n"/>
      <c r="V127" s="10" t="n"/>
      <c r="W127" s="10" t="n"/>
      <c r="X127" s="10" t="n"/>
      <c r="Y127" s="10" t="n"/>
      <c r="Z127" s="10" t="n"/>
      <c r="AA127" s="11">
        <f>IF(A127="","",IF(AND(J127="P4",F127="causal"),"P4-CAUSAL",""))</f>
        <v/>
      </c>
    </row>
    <row r="128" ht="15" customHeight="1" s="1">
      <c r="P128">
        <f>IF(OR(F128="",H128="",J128=""),"",J128&amp;"|"&amp;F128&amp;"|"&amp;IF(H128="W3","W3_"&amp;IF(I128="","unknown",I128),H128))</f>
        <v/>
      </c>
      <c r="Q128">
        <f>IF(P128="","",IFERROR(IF(AND(H128="W7",OR(F128="causal",F128="predictive")),IF(AND(OR(K128=1,K128="1"),OR(L128=1,L128="1"),OR(M128=1,M128="1")),"adequate","partial"),IF(AND(H128="W4",F128="predictive",OR(J128="P2",J128="P3",J128="P4")),IF(OR(U128=1,U128="1"),"adequate","partial"),INDEX(Fit_Matrix!$B:$B,MATCH(P128,Fit_Matrix!$A:$A,0)))),"CHECK KEY"))</f>
        <v/>
      </c>
      <c r="U128" s="10" t="n"/>
      <c r="V128" s="10" t="n"/>
      <c r="W128" s="10" t="n"/>
      <c r="X128" s="10" t="n"/>
      <c r="Y128" s="10" t="n"/>
      <c r="Z128" s="10" t="n"/>
      <c r="AA128" s="11">
        <f>IF(A128="","",IF(AND(J128="P4",F128="causal"),"P4-CAUSAL",""))</f>
        <v/>
      </c>
    </row>
    <row r="129" ht="15" customHeight="1" s="1">
      <c r="P129">
        <f>IF(OR(F129="",H129="",J129=""),"",J129&amp;"|"&amp;F129&amp;"|"&amp;IF(H129="W3","W3_"&amp;IF(I129="","unknown",I129),H129))</f>
        <v/>
      </c>
      <c r="Q129">
        <f>IF(P129="","",IFERROR(IF(AND(H129="W7",OR(F129="causal",F129="predictive")),IF(AND(OR(K129=1,K129="1"),OR(L129=1,L129="1"),OR(M129=1,M129="1")),"adequate","partial"),IF(AND(H129="W4",F129="predictive",OR(J129="P2",J129="P3",J129="P4")),IF(OR(U129=1,U129="1"),"adequate","partial"),INDEX(Fit_Matrix!$B:$B,MATCH(P129,Fit_Matrix!$A:$A,0)))),"CHECK KEY"))</f>
        <v/>
      </c>
      <c r="U129" s="10" t="n"/>
      <c r="V129" s="10" t="n"/>
      <c r="W129" s="10" t="n"/>
      <c r="X129" s="10" t="n"/>
      <c r="Y129" s="10" t="n"/>
      <c r="Z129" s="10" t="n"/>
      <c r="AA129" s="11">
        <f>IF(A129="","",IF(AND(J129="P4",F129="causal"),"P4-CAUSAL",""))</f>
        <v/>
      </c>
    </row>
    <row r="130" ht="15" customHeight="1" s="1">
      <c r="P130">
        <f>IF(OR(F130="",H130="",J130=""),"",J130&amp;"|"&amp;F130&amp;"|"&amp;IF(H130="W3","W3_"&amp;IF(I130="","unknown",I130),H130))</f>
        <v/>
      </c>
      <c r="Q130">
        <f>IF(P130="","",IFERROR(IF(AND(H130="W7",OR(F130="causal",F130="predictive")),IF(AND(OR(K130=1,K130="1"),OR(L130=1,L130="1"),OR(M130=1,M130="1")),"adequate","partial"),IF(AND(H130="W4",F130="predictive",OR(J130="P2",J130="P3",J130="P4")),IF(OR(U130=1,U130="1"),"adequate","partial"),INDEX(Fit_Matrix!$B:$B,MATCH(P130,Fit_Matrix!$A:$A,0)))),"CHECK KEY"))</f>
        <v/>
      </c>
      <c r="U130" s="10" t="n"/>
      <c r="V130" s="10" t="n"/>
      <c r="W130" s="10" t="n"/>
      <c r="X130" s="10" t="n"/>
      <c r="Y130" s="10" t="n"/>
      <c r="Z130" s="10" t="n"/>
      <c r="AA130" s="11">
        <f>IF(A130="","",IF(AND(J130="P4",F130="causal"),"P4-CAUSAL",""))</f>
        <v/>
      </c>
    </row>
    <row r="131" ht="15" customHeight="1" s="1">
      <c r="P131">
        <f>IF(OR(F131="",H131="",J131=""),"",J131&amp;"|"&amp;F131&amp;"|"&amp;IF(H131="W3","W3_"&amp;IF(I131="","unknown",I131),H131))</f>
        <v/>
      </c>
      <c r="Q131">
        <f>IF(P131="","",IFERROR(IF(AND(H131="W7",OR(F131="causal",F131="predictive")),IF(AND(OR(K131=1,K131="1"),OR(L131=1,L131="1"),OR(M131=1,M131="1")),"adequate","partial"),IF(AND(H131="W4",F131="predictive",OR(J131="P2",J131="P3",J131="P4")),IF(OR(U131=1,U131="1"),"adequate","partial"),INDEX(Fit_Matrix!$B:$B,MATCH(P131,Fit_Matrix!$A:$A,0)))),"CHECK KEY"))</f>
        <v/>
      </c>
      <c r="U131" s="10" t="n"/>
      <c r="V131" s="10" t="n"/>
      <c r="W131" s="10" t="n"/>
      <c r="X131" s="10" t="n"/>
      <c r="Y131" s="10" t="n"/>
      <c r="Z131" s="10" t="n"/>
      <c r="AA131" s="11">
        <f>IF(A131="","",IF(AND(J131="P4",F131="causal"),"P4-CAUSAL",""))</f>
        <v/>
      </c>
    </row>
    <row r="132" ht="15" customHeight="1" s="1">
      <c r="P132">
        <f>IF(OR(F132="",H132="",J132=""),"",J132&amp;"|"&amp;F132&amp;"|"&amp;IF(H132="W3","W3_"&amp;IF(I132="","unknown",I132),H132))</f>
        <v/>
      </c>
      <c r="Q132">
        <f>IF(P132="","",IFERROR(IF(AND(H132="W7",OR(F132="causal",F132="predictive")),IF(AND(OR(K132=1,K132="1"),OR(L132=1,L132="1"),OR(M132=1,M132="1")),"adequate","partial"),IF(AND(H132="W4",F132="predictive",OR(J132="P2",J132="P3",J132="P4")),IF(OR(U132=1,U132="1"),"adequate","partial"),INDEX(Fit_Matrix!$B:$B,MATCH(P132,Fit_Matrix!$A:$A,0)))),"CHECK KEY"))</f>
        <v/>
      </c>
      <c r="U132" s="10" t="n"/>
      <c r="V132" s="10" t="n"/>
      <c r="W132" s="10" t="n"/>
      <c r="X132" s="10" t="n"/>
      <c r="Y132" s="10" t="n"/>
      <c r="Z132" s="10" t="n"/>
      <c r="AA132" s="11">
        <f>IF(A132="","",IF(AND(J132="P4",F132="causal"),"P4-CAUSAL",""))</f>
        <v/>
      </c>
    </row>
    <row r="133" ht="15" customHeight="1" s="1">
      <c r="P133">
        <f>IF(OR(F133="",H133="",J133=""),"",J133&amp;"|"&amp;F133&amp;"|"&amp;IF(H133="W3","W3_"&amp;IF(I133="","unknown",I133),H133))</f>
        <v/>
      </c>
      <c r="Q133">
        <f>IF(P133="","",IFERROR(IF(AND(H133="W7",OR(F133="causal",F133="predictive")),IF(AND(OR(K133=1,K133="1"),OR(L133=1,L133="1"),OR(M133=1,M133="1")),"adequate","partial"),IF(AND(H133="W4",F133="predictive",OR(J133="P2",J133="P3",J133="P4")),IF(OR(U133=1,U133="1"),"adequate","partial"),INDEX(Fit_Matrix!$B:$B,MATCH(P133,Fit_Matrix!$A:$A,0)))),"CHECK KEY"))</f>
        <v/>
      </c>
      <c r="U133" s="10" t="n"/>
      <c r="V133" s="10" t="n"/>
      <c r="W133" s="10" t="n"/>
      <c r="X133" s="10" t="n"/>
      <c r="Y133" s="10" t="n"/>
      <c r="Z133" s="10" t="n"/>
      <c r="AA133" s="11">
        <f>IF(A133="","",IF(AND(J133="P4",F133="causal"),"P4-CAUSAL",""))</f>
        <v/>
      </c>
    </row>
    <row r="134" ht="15" customHeight="1" s="1">
      <c r="P134">
        <f>IF(OR(F134="",H134="",J134=""),"",J134&amp;"|"&amp;F134&amp;"|"&amp;IF(H134="W3","W3_"&amp;IF(I134="","unknown",I134),H134))</f>
        <v/>
      </c>
      <c r="Q134">
        <f>IF(P134="","",IFERROR(IF(AND(H134="W7",OR(F134="causal",F134="predictive")),IF(AND(OR(K134=1,K134="1"),OR(L134=1,L134="1"),OR(M134=1,M134="1")),"adequate","partial"),IF(AND(H134="W4",F134="predictive",OR(J134="P2",J134="P3",J134="P4")),IF(OR(U134=1,U134="1"),"adequate","partial"),INDEX(Fit_Matrix!$B:$B,MATCH(P134,Fit_Matrix!$A:$A,0)))),"CHECK KEY"))</f>
        <v/>
      </c>
      <c r="U134" s="10" t="n"/>
      <c r="V134" s="10" t="n"/>
      <c r="W134" s="10" t="n"/>
      <c r="X134" s="10" t="n"/>
      <c r="Y134" s="10" t="n"/>
      <c r="Z134" s="10" t="n"/>
      <c r="AA134" s="11">
        <f>IF(A134="","",IF(AND(J134="P4",F134="causal"),"P4-CAUSAL",""))</f>
        <v/>
      </c>
    </row>
    <row r="135" ht="15" customHeight="1" s="1">
      <c r="P135">
        <f>IF(OR(F135="",H135="",J135=""),"",J135&amp;"|"&amp;F135&amp;"|"&amp;IF(H135="W3","W3_"&amp;IF(I135="","unknown",I135),H135))</f>
        <v/>
      </c>
      <c r="Q135">
        <f>IF(P135="","",IFERROR(IF(AND(H135="W7",OR(F135="causal",F135="predictive")),IF(AND(OR(K135=1,K135="1"),OR(L135=1,L135="1"),OR(M135=1,M135="1")),"adequate","partial"),IF(AND(H135="W4",F135="predictive",OR(J135="P2",J135="P3",J135="P4")),IF(OR(U135=1,U135="1"),"adequate","partial"),INDEX(Fit_Matrix!$B:$B,MATCH(P135,Fit_Matrix!$A:$A,0)))),"CHECK KEY"))</f>
        <v/>
      </c>
      <c r="U135" s="10" t="n"/>
      <c r="V135" s="10" t="n"/>
      <c r="W135" s="10" t="n"/>
      <c r="X135" s="10" t="n"/>
      <c r="Y135" s="10" t="n"/>
      <c r="Z135" s="10" t="n"/>
      <c r="AA135" s="11">
        <f>IF(A135="","",IF(AND(J135="P4",F135="causal"),"P4-CAUSAL",""))</f>
        <v/>
      </c>
    </row>
    <row r="136" ht="15" customHeight="1" s="1">
      <c r="P136">
        <f>IF(OR(F136="",H136="",J136=""),"",J136&amp;"|"&amp;F136&amp;"|"&amp;IF(H136="W3","W3_"&amp;IF(I136="","unknown",I136),H136))</f>
        <v/>
      </c>
      <c r="Q136">
        <f>IF(P136="","",IFERROR(IF(AND(H136="W7",OR(F136="causal",F136="predictive")),IF(AND(OR(K136=1,K136="1"),OR(L136=1,L136="1"),OR(M136=1,M136="1")),"adequate","partial"),IF(AND(H136="W4",F136="predictive",OR(J136="P2",J136="P3",J136="P4")),IF(OR(U136=1,U136="1"),"adequate","partial"),INDEX(Fit_Matrix!$B:$B,MATCH(P136,Fit_Matrix!$A:$A,0)))),"CHECK KEY"))</f>
        <v/>
      </c>
      <c r="U136" s="10" t="n"/>
      <c r="V136" s="10" t="n"/>
      <c r="W136" s="10" t="n"/>
      <c r="X136" s="10" t="n"/>
      <c r="Y136" s="10" t="n"/>
      <c r="Z136" s="10" t="n"/>
      <c r="AA136" s="11">
        <f>IF(A136="","",IF(AND(J136="P4",F136="causal"),"P4-CAUSAL",""))</f>
        <v/>
      </c>
    </row>
    <row r="137" ht="15" customHeight="1" s="1">
      <c r="P137">
        <f>IF(OR(F137="",H137="",J137=""),"",J137&amp;"|"&amp;F137&amp;"|"&amp;IF(H137="W3","W3_"&amp;IF(I137="","unknown",I137),H137))</f>
        <v/>
      </c>
      <c r="Q137">
        <f>IF(P137="","",IFERROR(IF(AND(H137="W7",OR(F137="causal",F137="predictive")),IF(AND(OR(K137=1,K137="1"),OR(L137=1,L137="1"),OR(M137=1,M137="1")),"adequate","partial"),IF(AND(H137="W4",F137="predictive",OR(J137="P2",J137="P3",J137="P4")),IF(OR(U137=1,U137="1"),"adequate","partial"),INDEX(Fit_Matrix!$B:$B,MATCH(P137,Fit_Matrix!$A:$A,0)))),"CHECK KEY"))</f>
        <v/>
      </c>
      <c r="U137" s="10" t="n"/>
      <c r="V137" s="10" t="n"/>
      <c r="W137" s="10" t="n"/>
      <c r="X137" s="10" t="n"/>
      <c r="Y137" s="10" t="n"/>
      <c r="Z137" s="10" t="n"/>
      <c r="AA137" s="11">
        <f>IF(A137="","",IF(AND(J137="P4",F137="causal"),"P4-CAUSAL",""))</f>
        <v/>
      </c>
    </row>
    <row r="138" ht="15" customHeight="1" s="1">
      <c r="P138">
        <f>IF(OR(F138="",H138="",J138=""),"",J138&amp;"|"&amp;F138&amp;"|"&amp;IF(H138="W3","W3_"&amp;IF(I138="","unknown",I138),H138))</f>
        <v/>
      </c>
      <c r="Q138">
        <f>IF(P138="","",IFERROR(IF(AND(H138="W7",OR(F138="causal",F138="predictive")),IF(AND(OR(K138=1,K138="1"),OR(L138=1,L138="1"),OR(M138=1,M138="1")),"adequate","partial"),IF(AND(H138="W4",F138="predictive",OR(J138="P2",J138="P3",J138="P4")),IF(OR(U138=1,U138="1"),"adequate","partial"),INDEX(Fit_Matrix!$B:$B,MATCH(P138,Fit_Matrix!$A:$A,0)))),"CHECK KEY"))</f>
        <v/>
      </c>
      <c r="U138" s="10" t="n"/>
      <c r="V138" s="10" t="n"/>
      <c r="W138" s="10" t="n"/>
      <c r="X138" s="10" t="n"/>
      <c r="Y138" s="10" t="n"/>
      <c r="Z138" s="10" t="n"/>
      <c r="AA138" s="11">
        <f>IF(A138="","",IF(AND(J138="P4",F138="causal"),"P4-CAUSAL",""))</f>
        <v/>
      </c>
    </row>
    <row r="139" ht="15" customHeight="1" s="1">
      <c r="P139">
        <f>IF(OR(F139="",H139="",J139=""),"",J139&amp;"|"&amp;F139&amp;"|"&amp;IF(H139="W3","W3_"&amp;IF(I139="","unknown",I139),H139))</f>
        <v/>
      </c>
      <c r="Q139">
        <f>IF(P139="","",IFERROR(IF(AND(H139="W7",OR(F139="causal",F139="predictive")),IF(AND(OR(K139=1,K139="1"),OR(L139=1,L139="1"),OR(M139=1,M139="1")),"adequate","partial"),IF(AND(H139="W4",F139="predictive",OR(J139="P2",J139="P3",J139="P4")),IF(OR(U139=1,U139="1"),"adequate","partial"),INDEX(Fit_Matrix!$B:$B,MATCH(P139,Fit_Matrix!$A:$A,0)))),"CHECK KEY"))</f>
        <v/>
      </c>
      <c r="U139" s="10" t="n"/>
      <c r="V139" s="10" t="n"/>
      <c r="W139" s="10" t="n"/>
      <c r="X139" s="10" t="n"/>
      <c r="Y139" s="10" t="n"/>
      <c r="Z139" s="10" t="n"/>
      <c r="AA139" s="11">
        <f>IF(A139="","",IF(AND(J139="P4",F139="causal"),"P4-CAUSAL",""))</f>
        <v/>
      </c>
    </row>
    <row r="140" ht="15" customHeight="1" s="1">
      <c r="P140">
        <f>IF(OR(F140="",H140="",J140=""),"",J140&amp;"|"&amp;F140&amp;"|"&amp;IF(H140="W3","W3_"&amp;IF(I140="","unknown",I140),H140))</f>
        <v/>
      </c>
      <c r="Q140">
        <f>IF(P140="","",IFERROR(IF(AND(H140="W7",OR(F140="causal",F140="predictive")),IF(AND(OR(K140=1,K140="1"),OR(L140=1,L140="1"),OR(M140=1,M140="1")),"adequate","partial"),IF(AND(H140="W4",F140="predictive",OR(J140="P2",J140="P3",J140="P4")),IF(OR(U140=1,U140="1"),"adequate","partial"),INDEX(Fit_Matrix!$B:$B,MATCH(P140,Fit_Matrix!$A:$A,0)))),"CHECK KEY"))</f>
        <v/>
      </c>
      <c r="U140" s="10" t="n"/>
      <c r="V140" s="10" t="n"/>
      <c r="W140" s="10" t="n"/>
      <c r="X140" s="10" t="n"/>
      <c r="Y140" s="10" t="n"/>
      <c r="Z140" s="10" t="n"/>
      <c r="AA140" s="11">
        <f>IF(A140="","",IF(AND(J140="P4",F140="causal"),"P4-CAUSAL",""))</f>
        <v/>
      </c>
    </row>
    <row r="141" ht="15" customHeight="1" s="1">
      <c r="P141">
        <f>IF(OR(F141="",H141="",J141=""),"",J141&amp;"|"&amp;F141&amp;"|"&amp;IF(H141="W3","W3_"&amp;IF(I141="","unknown",I141),H141))</f>
        <v/>
      </c>
      <c r="Q141">
        <f>IF(P141="","",IFERROR(IF(AND(H141="W7",OR(F141="causal",F141="predictive")),IF(AND(OR(K141=1,K141="1"),OR(L141=1,L141="1"),OR(M141=1,M141="1")),"adequate","partial"),IF(AND(H141="W4",F141="predictive",OR(J141="P2",J141="P3",J141="P4")),IF(OR(U141=1,U141="1"),"adequate","partial"),INDEX(Fit_Matrix!$B:$B,MATCH(P141,Fit_Matrix!$A:$A,0)))),"CHECK KEY"))</f>
        <v/>
      </c>
      <c r="U141" s="10" t="n"/>
      <c r="V141" s="10" t="n"/>
      <c r="W141" s="10" t="n"/>
      <c r="X141" s="10" t="n"/>
      <c r="Y141" s="10" t="n"/>
      <c r="Z141" s="10" t="n"/>
      <c r="AA141" s="11">
        <f>IF(A141="","",IF(AND(J141="P4",F141="causal"),"P4-CAUSAL",""))</f>
        <v/>
      </c>
    </row>
    <row r="142" ht="15" customHeight="1" s="1">
      <c r="P142">
        <f>IF(OR(F142="",H142="",J142=""),"",J142&amp;"|"&amp;F142&amp;"|"&amp;IF(H142="W3","W3_"&amp;IF(I142="","unknown",I142),H142))</f>
        <v/>
      </c>
      <c r="Q142">
        <f>IF(P142="","",IFERROR(IF(AND(H142="W7",OR(F142="causal",F142="predictive")),IF(AND(OR(K142=1,K142="1"),OR(L142=1,L142="1"),OR(M142=1,M142="1")),"adequate","partial"),IF(AND(H142="W4",F142="predictive",OR(J142="P2",J142="P3",J142="P4")),IF(OR(U142=1,U142="1"),"adequate","partial"),INDEX(Fit_Matrix!$B:$B,MATCH(P142,Fit_Matrix!$A:$A,0)))),"CHECK KEY"))</f>
        <v/>
      </c>
      <c r="U142" s="10" t="n"/>
      <c r="V142" s="10" t="n"/>
      <c r="W142" s="10" t="n"/>
      <c r="X142" s="10" t="n"/>
      <c r="Y142" s="10" t="n"/>
      <c r="Z142" s="10" t="n"/>
      <c r="AA142" s="11">
        <f>IF(A142="","",IF(AND(J142="P4",F142="causal"),"P4-CAUSAL",""))</f>
        <v/>
      </c>
    </row>
    <row r="143" ht="15" customHeight="1" s="1">
      <c r="P143">
        <f>IF(OR(F143="",H143="",J143=""),"",J143&amp;"|"&amp;F143&amp;"|"&amp;IF(H143="W3","W3_"&amp;IF(I143="","unknown",I143),H143))</f>
        <v/>
      </c>
      <c r="Q143">
        <f>IF(P143="","",IFERROR(IF(AND(H143="W7",OR(F143="causal",F143="predictive")),IF(AND(OR(K143=1,K143="1"),OR(L143=1,L143="1"),OR(M143=1,M143="1")),"adequate","partial"),IF(AND(H143="W4",F143="predictive",OR(J143="P2",J143="P3",J143="P4")),IF(OR(U143=1,U143="1"),"adequate","partial"),INDEX(Fit_Matrix!$B:$B,MATCH(P143,Fit_Matrix!$A:$A,0)))),"CHECK KEY"))</f>
        <v/>
      </c>
      <c r="U143" s="10" t="n"/>
      <c r="V143" s="10" t="n"/>
      <c r="W143" s="10" t="n"/>
      <c r="X143" s="10" t="n"/>
      <c r="Y143" s="10" t="n"/>
      <c r="Z143" s="10" t="n"/>
      <c r="AA143" s="11">
        <f>IF(A143="","",IF(AND(J143="P4",F143="causal"),"P4-CAUSAL",""))</f>
        <v/>
      </c>
    </row>
    <row r="144" ht="15" customHeight="1" s="1">
      <c r="P144">
        <f>IF(OR(F144="",H144="",J144=""),"",J144&amp;"|"&amp;F144&amp;"|"&amp;IF(H144="W3","W3_"&amp;IF(I144="","unknown",I144),H144))</f>
        <v/>
      </c>
      <c r="Q144">
        <f>IF(P144="","",IFERROR(IF(AND(H144="W7",OR(F144="causal",F144="predictive")),IF(AND(OR(K144=1,K144="1"),OR(L144=1,L144="1"),OR(M144=1,M144="1")),"adequate","partial"),IF(AND(H144="W4",F144="predictive",OR(J144="P2",J144="P3",J144="P4")),IF(OR(U144=1,U144="1"),"adequate","partial"),INDEX(Fit_Matrix!$B:$B,MATCH(P144,Fit_Matrix!$A:$A,0)))),"CHECK KEY"))</f>
        <v/>
      </c>
      <c r="U144" s="10" t="n"/>
      <c r="V144" s="10" t="n"/>
      <c r="W144" s="10" t="n"/>
      <c r="X144" s="10" t="n"/>
      <c r="Y144" s="10" t="n"/>
      <c r="Z144" s="10" t="n"/>
      <c r="AA144" s="11">
        <f>IF(A144="","",IF(AND(J144="P4",F144="causal"),"P4-CAUSAL",""))</f>
        <v/>
      </c>
    </row>
    <row r="145" ht="15" customHeight="1" s="1">
      <c r="P145">
        <f>IF(OR(F145="",H145="",J145=""),"",J145&amp;"|"&amp;F145&amp;"|"&amp;IF(H145="W3","W3_"&amp;IF(I145="","unknown",I145),H145))</f>
        <v/>
      </c>
      <c r="Q145">
        <f>IF(P145="","",IFERROR(IF(AND(H145="W7",OR(F145="causal",F145="predictive")),IF(AND(OR(K145=1,K145="1"),OR(L145=1,L145="1"),OR(M145=1,M145="1")),"adequate","partial"),IF(AND(H145="W4",F145="predictive",OR(J145="P2",J145="P3",J145="P4")),IF(OR(U145=1,U145="1"),"adequate","partial"),INDEX(Fit_Matrix!$B:$B,MATCH(P145,Fit_Matrix!$A:$A,0)))),"CHECK KEY"))</f>
        <v/>
      </c>
      <c r="U145" s="10" t="n"/>
      <c r="V145" s="10" t="n"/>
      <c r="W145" s="10" t="n"/>
      <c r="X145" s="10" t="n"/>
      <c r="Y145" s="10" t="n"/>
      <c r="Z145" s="10" t="n"/>
      <c r="AA145" s="11">
        <f>IF(A145="","",IF(AND(J145="P4",F145="causal"),"P4-CAUSAL",""))</f>
        <v/>
      </c>
    </row>
    <row r="146" ht="15" customHeight="1" s="1">
      <c r="P146">
        <f>IF(OR(F146="",H146="",J146=""),"",J146&amp;"|"&amp;F146&amp;"|"&amp;IF(H146="W3","W3_"&amp;IF(I146="","unknown",I146),H146))</f>
        <v/>
      </c>
      <c r="Q146">
        <f>IF(P146="","",IFERROR(IF(AND(H146="W7",OR(F146="causal",F146="predictive")),IF(AND(OR(K146=1,K146="1"),OR(L146=1,L146="1"),OR(M146=1,M146="1")),"adequate","partial"),IF(AND(H146="W4",F146="predictive",OR(J146="P2",J146="P3",J146="P4")),IF(OR(U146=1,U146="1"),"adequate","partial"),INDEX(Fit_Matrix!$B:$B,MATCH(P146,Fit_Matrix!$A:$A,0)))),"CHECK KEY"))</f>
        <v/>
      </c>
      <c r="U146" s="10" t="n"/>
      <c r="V146" s="10" t="n"/>
      <c r="W146" s="10" t="n"/>
      <c r="X146" s="10" t="n"/>
      <c r="Y146" s="10" t="n"/>
      <c r="Z146" s="10" t="n"/>
      <c r="AA146" s="11">
        <f>IF(A146="","",IF(AND(J146="P4",F146="causal"),"P4-CAUSAL",""))</f>
        <v/>
      </c>
    </row>
    <row r="147" ht="15" customHeight="1" s="1">
      <c r="P147">
        <f>IF(OR(F147="",H147="",J147=""),"",J147&amp;"|"&amp;F147&amp;"|"&amp;IF(H147="W3","W3_"&amp;IF(I147="","unknown",I147),H147))</f>
        <v/>
      </c>
      <c r="Q147">
        <f>IF(P147="","",IFERROR(IF(AND(H147="W7",OR(F147="causal",F147="predictive")),IF(AND(OR(K147=1,K147="1"),OR(L147=1,L147="1"),OR(M147=1,M147="1")),"adequate","partial"),IF(AND(H147="W4",F147="predictive",OR(J147="P2",J147="P3",J147="P4")),IF(OR(U147=1,U147="1"),"adequate","partial"),INDEX(Fit_Matrix!$B:$B,MATCH(P147,Fit_Matrix!$A:$A,0)))),"CHECK KEY"))</f>
        <v/>
      </c>
      <c r="U147" s="10" t="n"/>
      <c r="V147" s="10" t="n"/>
      <c r="W147" s="10" t="n"/>
      <c r="X147" s="10" t="n"/>
      <c r="Y147" s="10" t="n"/>
      <c r="Z147" s="10" t="n"/>
      <c r="AA147" s="11">
        <f>IF(A147="","",IF(AND(J147="P4",F147="causal"),"P4-CAUSAL",""))</f>
        <v/>
      </c>
    </row>
    <row r="148" ht="15" customHeight="1" s="1">
      <c r="P148">
        <f>IF(OR(F148="",H148="",J148=""),"",J148&amp;"|"&amp;F148&amp;"|"&amp;IF(H148="W3","W3_"&amp;IF(I148="","unknown",I148),H148))</f>
        <v/>
      </c>
      <c r="Q148">
        <f>IF(P148="","",IFERROR(IF(AND(H148="W7",OR(F148="causal",F148="predictive")),IF(AND(OR(K148=1,K148="1"),OR(L148=1,L148="1"),OR(M148=1,M148="1")),"adequate","partial"),IF(AND(H148="W4",F148="predictive",OR(J148="P2",J148="P3",J148="P4")),IF(OR(U148=1,U148="1"),"adequate","partial"),INDEX(Fit_Matrix!$B:$B,MATCH(P148,Fit_Matrix!$A:$A,0)))),"CHECK KEY"))</f>
        <v/>
      </c>
      <c r="U148" s="10" t="n"/>
      <c r="V148" s="10" t="n"/>
      <c r="W148" s="10" t="n"/>
      <c r="X148" s="10" t="n"/>
      <c r="Y148" s="10" t="n"/>
      <c r="Z148" s="10" t="n"/>
      <c r="AA148" s="11">
        <f>IF(A148="","",IF(AND(J148="P4",F148="causal"),"P4-CAUSAL",""))</f>
        <v/>
      </c>
    </row>
    <row r="149" ht="15" customHeight="1" s="1">
      <c r="P149">
        <f>IF(OR(F149="",H149="",J149=""),"",J149&amp;"|"&amp;F149&amp;"|"&amp;IF(H149="W3","W3_"&amp;IF(I149="","unknown",I149),H149))</f>
        <v/>
      </c>
      <c r="Q149">
        <f>IF(P149="","",IFERROR(IF(AND(H149="W7",OR(F149="causal",F149="predictive")),IF(AND(OR(K149=1,K149="1"),OR(L149=1,L149="1"),OR(M149=1,M149="1")),"adequate","partial"),IF(AND(H149="W4",F149="predictive",OR(J149="P2",J149="P3",J149="P4")),IF(OR(U149=1,U149="1"),"adequate","partial"),INDEX(Fit_Matrix!$B:$B,MATCH(P149,Fit_Matrix!$A:$A,0)))),"CHECK KEY"))</f>
        <v/>
      </c>
      <c r="U149" s="10" t="n"/>
      <c r="V149" s="10" t="n"/>
      <c r="W149" s="10" t="n"/>
      <c r="X149" s="10" t="n"/>
      <c r="Y149" s="10" t="n"/>
      <c r="Z149" s="10" t="n"/>
      <c r="AA149" s="11">
        <f>IF(A149="","",IF(AND(J149="P4",F149="causal"),"P4-CAUSAL",""))</f>
        <v/>
      </c>
    </row>
    <row r="150" ht="15" customHeight="1" s="1">
      <c r="P150">
        <f>IF(OR(F150="",H150="",J150=""),"",J150&amp;"|"&amp;F150&amp;"|"&amp;IF(H150="W3","W3_"&amp;IF(I150="","unknown",I150),H150))</f>
        <v/>
      </c>
      <c r="Q150">
        <f>IF(P150="","",IFERROR(IF(AND(H150="W7",OR(F150="causal",F150="predictive")),IF(AND(OR(K150=1,K150="1"),OR(L150=1,L150="1"),OR(M150=1,M150="1")),"adequate","partial"),IF(AND(H150="W4",F150="predictive",OR(J150="P2",J150="P3",J150="P4")),IF(OR(U150=1,U150="1"),"adequate","partial"),INDEX(Fit_Matrix!$B:$B,MATCH(P150,Fit_Matrix!$A:$A,0)))),"CHECK KEY"))</f>
        <v/>
      </c>
      <c r="U150" s="10" t="n"/>
      <c r="V150" s="10" t="n"/>
      <c r="W150" s="10" t="n"/>
      <c r="X150" s="10" t="n"/>
      <c r="Y150" s="10" t="n"/>
      <c r="Z150" s="10" t="n"/>
      <c r="AA150" s="11">
        <f>IF(A150="","",IF(AND(J150="P4",F150="causal"),"P4-CAUSAL",""))</f>
        <v/>
      </c>
    </row>
    <row r="151" ht="15" customHeight="1" s="1">
      <c r="P151">
        <f>IF(OR(F151="",H151="",J151=""),"",J151&amp;"|"&amp;F151&amp;"|"&amp;IF(H151="W3","W3_"&amp;IF(I151="","unknown",I151),H151))</f>
        <v/>
      </c>
      <c r="Q151">
        <f>IF(P151="","",IFERROR(IF(AND(H151="W7",OR(F151="causal",F151="predictive")),IF(AND(OR(K151=1,K151="1"),OR(L151=1,L151="1"),OR(M151=1,M151="1")),"adequate","partial"),IF(AND(H151="W4",F151="predictive",OR(J151="P2",J151="P3",J151="P4")),IF(OR(U151=1,U151="1"),"adequate","partial"),INDEX(Fit_Matrix!$B:$B,MATCH(P151,Fit_Matrix!$A:$A,0)))),"CHECK KEY"))</f>
        <v/>
      </c>
      <c r="U151" s="10" t="n"/>
      <c r="V151" s="10" t="n"/>
      <c r="W151" s="10" t="n"/>
      <c r="X151" s="10" t="n"/>
      <c r="Y151" s="10" t="n"/>
      <c r="Z151" s="10" t="n"/>
      <c r="AA151" s="11">
        <f>IF(A151="","",IF(AND(J151="P4",F151="causal"),"P4-CAUSAL",""))</f>
        <v/>
      </c>
    </row>
    <row r="152" ht="15" customHeight="1" s="1">
      <c r="P152">
        <f>IF(OR(F152="",H152="",J152=""),"",J152&amp;"|"&amp;F152&amp;"|"&amp;IF(H152="W3","W3_"&amp;IF(I152="","unknown",I152),H152))</f>
        <v/>
      </c>
      <c r="Q152">
        <f>IF(P152="","",IFERROR(IF(AND(H152="W7",OR(F152="causal",F152="predictive")),IF(AND(OR(K152=1,K152="1"),OR(L152=1,L152="1"),OR(M152=1,M152="1")),"adequate","partial"),IF(AND(H152="W4",F152="predictive",OR(J152="P2",J152="P3",J152="P4")),IF(OR(U152=1,U152="1"),"adequate","partial"),INDEX(Fit_Matrix!$B:$B,MATCH(P152,Fit_Matrix!$A:$A,0)))),"CHECK KEY"))</f>
        <v/>
      </c>
      <c r="U152" s="10" t="n"/>
      <c r="V152" s="10" t="n"/>
      <c r="W152" s="10" t="n"/>
      <c r="X152" s="10" t="n"/>
      <c r="Y152" s="10" t="n"/>
      <c r="Z152" s="10" t="n"/>
      <c r="AA152" s="11">
        <f>IF(A152="","",IF(AND(J152="P4",F152="causal"),"P4-CAUSAL",""))</f>
        <v/>
      </c>
    </row>
    <row r="153" ht="15" customHeight="1" s="1">
      <c r="P153">
        <f>IF(OR(F153="",H153="",J153=""),"",J153&amp;"|"&amp;F153&amp;"|"&amp;IF(H153="W3","W3_"&amp;IF(I153="","unknown",I153),H153))</f>
        <v/>
      </c>
      <c r="Q153">
        <f>IF(P153="","",IFERROR(IF(AND(H153="W7",OR(F153="causal",F153="predictive")),IF(AND(OR(K153=1,K153="1"),OR(L153=1,L153="1"),OR(M153=1,M153="1")),"adequate","partial"),IF(AND(H153="W4",F153="predictive",OR(J153="P2",J153="P3",J153="P4")),IF(OR(U153=1,U153="1"),"adequate","partial"),INDEX(Fit_Matrix!$B:$B,MATCH(P153,Fit_Matrix!$A:$A,0)))),"CHECK KEY"))</f>
        <v/>
      </c>
      <c r="U153" s="10" t="n"/>
      <c r="V153" s="10" t="n"/>
      <c r="W153" s="10" t="n"/>
      <c r="X153" s="10" t="n"/>
      <c r="Y153" s="10" t="n"/>
      <c r="Z153" s="10" t="n"/>
      <c r="AA153" s="11">
        <f>IF(A153="","",IF(AND(J153="P4",F153="causal"),"P4-CAUSAL",""))</f>
        <v/>
      </c>
    </row>
    <row r="154" ht="15" customHeight="1" s="1">
      <c r="P154">
        <f>IF(OR(F154="",H154="",J154=""),"",J154&amp;"|"&amp;F154&amp;"|"&amp;IF(H154="W3","W3_"&amp;IF(I154="","unknown",I154),H154))</f>
        <v/>
      </c>
      <c r="Q154">
        <f>IF(P154="","",IFERROR(IF(AND(H154="W7",OR(F154="causal",F154="predictive")),IF(AND(OR(K154=1,K154="1"),OR(L154=1,L154="1"),OR(M154=1,M154="1")),"adequate","partial"),IF(AND(H154="W4",F154="predictive",OR(J154="P2",J154="P3",J154="P4")),IF(OR(U154=1,U154="1"),"adequate","partial"),INDEX(Fit_Matrix!$B:$B,MATCH(P154,Fit_Matrix!$A:$A,0)))),"CHECK KEY"))</f>
        <v/>
      </c>
      <c r="U154" s="10" t="n"/>
      <c r="V154" s="10" t="n"/>
      <c r="W154" s="10" t="n"/>
      <c r="X154" s="10" t="n"/>
      <c r="Y154" s="10" t="n"/>
      <c r="Z154" s="10" t="n"/>
      <c r="AA154" s="11">
        <f>IF(A154="","",IF(AND(J154="P4",F154="causal"),"P4-CAUSAL",""))</f>
        <v/>
      </c>
    </row>
    <row r="155" ht="15" customHeight="1" s="1">
      <c r="P155">
        <f>IF(OR(F155="",H155="",J155=""),"",J155&amp;"|"&amp;F155&amp;"|"&amp;IF(H155="W3","W3_"&amp;IF(I155="","unknown",I155),H155))</f>
        <v/>
      </c>
      <c r="Q155">
        <f>IF(P155="","",IFERROR(IF(AND(H155="W7",OR(F155="causal",F155="predictive")),IF(AND(OR(K155=1,K155="1"),OR(L155=1,L155="1"),OR(M155=1,M155="1")),"adequate","partial"),IF(AND(H155="W4",F155="predictive",OR(J155="P2",J155="P3",J155="P4")),IF(OR(U155=1,U155="1"),"adequate","partial"),INDEX(Fit_Matrix!$B:$B,MATCH(P155,Fit_Matrix!$A:$A,0)))),"CHECK KEY"))</f>
        <v/>
      </c>
      <c r="U155" s="10" t="n"/>
      <c r="V155" s="10" t="n"/>
      <c r="W155" s="10" t="n"/>
      <c r="X155" s="10" t="n"/>
      <c r="Y155" s="10" t="n"/>
      <c r="Z155" s="10" t="n"/>
      <c r="AA155" s="11">
        <f>IF(A155="","",IF(AND(J155="P4",F155="causal"),"P4-CAUSAL",""))</f>
        <v/>
      </c>
    </row>
    <row r="156" ht="15" customHeight="1" s="1">
      <c r="P156">
        <f>IF(OR(F156="",H156="",J156=""),"",J156&amp;"|"&amp;F156&amp;"|"&amp;IF(H156="W3","W3_"&amp;IF(I156="","unknown",I156),H156))</f>
        <v/>
      </c>
      <c r="Q156">
        <f>IF(P156="","",IFERROR(IF(AND(H156="W7",OR(F156="causal",F156="predictive")),IF(AND(OR(K156=1,K156="1"),OR(L156=1,L156="1"),OR(M156=1,M156="1")),"adequate","partial"),IF(AND(H156="W4",F156="predictive",OR(J156="P2",J156="P3",J156="P4")),IF(OR(U156=1,U156="1"),"adequate","partial"),INDEX(Fit_Matrix!$B:$B,MATCH(P156,Fit_Matrix!$A:$A,0)))),"CHECK KEY"))</f>
        <v/>
      </c>
      <c r="U156" s="10" t="n"/>
      <c r="V156" s="10" t="n"/>
      <c r="W156" s="10" t="n"/>
      <c r="X156" s="10" t="n"/>
      <c r="Y156" s="10" t="n"/>
      <c r="Z156" s="10" t="n"/>
      <c r="AA156" s="11">
        <f>IF(A156="","",IF(AND(J156="P4",F156="causal"),"P4-CAUSAL",""))</f>
        <v/>
      </c>
    </row>
    <row r="157" ht="15" customHeight="1" s="1">
      <c r="P157">
        <f>IF(OR(F157="",H157="",J157=""),"",J157&amp;"|"&amp;F157&amp;"|"&amp;IF(H157="W3","W3_"&amp;IF(I157="","unknown",I157),H157))</f>
        <v/>
      </c>
      <c r="Q157">
        <f>IF(P157="","",IFERROR(IF(AND(H157="W7",OR(F157="causal",F157="predictive")),IF(AND(OR(K157=1,K157="1"),OR(L157=1,L157="1"),OR(M157=1,M157="1")),"adequate","partial"),IF(AND(H157="W4",F157="predictive",OR(J157="P2",J157="P3",J157="P4")),IF(OR(U157=1,U157="1"),"adequate","partial"),INDEX(Fit_Matrix!$B:$B,MATCH(P157,Fit_Matrix!$A:$A,0)))),"CHECK KEY"))</f>
        <v/>
      </c>
      <c r="U157" s="10" t="n"/>
      <c r="V157" s="10" t="n"/>
      <c r="W157" s="10" t="n"/>
      <c r="X157" s="10" t="n"/>
      <c r="Y157" s="10" t="n"/>
      <c r="Z157" s="10" t="n"/>
      <c r="AA157" s="11">
        <f>IF(A157="","",IF(AND(J157="P4",F157="causal"),"P4-CAUSAL",""))</f>
        <v/>
      </c>
    </row>
    <row r="158" ht="15" customHeight="1" s="1">
      <c r="P158">
        <f>IF(OR(F158="",H158="",J158=""),"",J158&amp;"|"&amp;F158&amp;"|"&amp;IF(H158="W3","W3_"&amp;IF(I158="","unknown",I158),H158))</f>
        <v/>
      </c>
      <c r="Q158">
        <f>IF(P158="","",IFERROR(IF(AND(H158="W7",OR(F158="causal",F158="predictive")),IF(AND(OR(K158=1,K158="1"),OR(L158=1,L158="1"),OR(M158=1,M158="1")),"adequate","partial"),IF(AND(H158="W4",F158="predictive",OR(J158="P2",J158="P3",J158="P4")),IF(OR(U158=1,U158="1"),"adequate","partial"),INDEX(Fit_Matrix!$B:$B,MATCH(P158,Fit_Matrix!$A:$A,0)))),"CHECK KEY"))</f>
        <v/>
      </c>
      <c r="U158" s="10" t="n"/>
      <c r="V158" s="10" t="n"/>
      <c r="W158" s="10" t="n"/>
      <c r="X158" s="10" t="n"/>
      <c r="Y158" s="10" t="n"/>
      <c r="Z158" s="10" t="n"/>
      <c r="AA158" s="11">
        <f>IF(A158="","",IF(AND(J158="P4",F158="causal"),"P4-CAUSAL",""))</f>
        <v/>
      </c>
    </row>
    <row r="159" ht="15" customHeight="1" s="1">
      <c r="P159">
        <f>IF(OR(F159="",H159="",J159=""),"",J159&amp;"|"&amp;F159&amp;"|"&amp;IF(H159="W3","W3_"&amp;IF(I159="","unknown",I159),H159))</f>
        <v/>
      </c>
      <c r="Q159">
        <f>IF(P159="","",IFERROR(IF(AND(H159="W7",OR(F159="causal",F159="predictive")),IF(AND(OR(K159=1,K159="1"),OR(L159=1,L159="1"),OR(M159=1,M159="1")),"adequate","partial"),IF(AND(H159="W4",F159="predictive",OR(J159="P2",J159="P3",J159="P4")),IF(OR(U159=1,U159="1"),"adequate","partial"),INDEX(Fit_Matrix!$B:$B,MATCH(P159,Fit_Matrix!$A:$A,0)))),"CHECK KEY"))</f>
        <v/>
      </c>
      <c r="U159" s="10" t="n"/>
      <c r="V159" s="10" t="n"/>
      <c r="W159" s="10" t="n"/>
      <c r="X159" s="10" t="n"/>
      <c r="Y159" s="10" t="n"/>
      <c r="Z159" s="10" t="n"/>
      <c r="AA159" s="11">
        <f>IF(A159="","",IF(AND(J159="P4",F159="causal"),"P4-CAUSAL",""))</f>
        <v/>
      </c>
    </row>
    <row r="160" ht="15" customHeight="1" s="1">
      <c r="P160">
        <f>IF(OR(F160="",H160="",J160=""),"",J160&amp;"|"&amp;F160&amp;"|"&amp;IF(H160="W3","W3_"&amp;IF(I160="","unknown",I160),H160))</f>
        <v/>
      </c>
      <c r="Q160">
        <f>IF(P160="","",IFERROR(IF(AND(H160="W7",OR(F160="causal",F160="predictive")),IF(AND(OR(K160=1,K160="1"),OR(L160=1,L160="1"),OR(M160=1,M160="1")),"adequate","partial"),IF(AND(H160="W4",F160="predictive",OR(J160="P2",J160="P3",J160="P4")),IF(OR(U160=1,U160="1"),"adequate","partial"),INDEX(Fit_Matrix!$B:$B,MATCH(P160,Fit_Matrix!$A:$A,0)))),"CHECK KEY"))</f>
        <v/>
      </c>
      <c r="U160" s="10" t="n"/>
      <c r="V160" s="10" t="n"/>
      <c r="W160" s="10" t="n"/>
      <c r="X160" s="10" t="n"/>
      <c r="Y160" s="10" t="n"/>
      <c r="Z160" s="10" t="n"/>
      <c r="AA160" s="11">
        <f>IF(A160="","",IF(AND(J160="P4",F160="causal"),"P4-CAUSAL",""))</f>
        <v/>
      </c>
    </row>
    <row r="161" ht="15" customHeight="1" s="1">
      <c r="P161">
        <f>IF(OR(F161="",H161="",J161=""),"",J161&amp;"|"&amp;F161&amp;"|"&amp;IF(H161="W3","W3_"&amp;IF(I161="","unknown",I161),H161))</f>
        <v/>
      </c>
      <c r="Q161">
        <f>IF(P161="","",IFERROR(IF(AND(H161="W7",OR(F161="causal",F161="predictive")),IF(AND(OR(K161=1,K161="1"),OR(L161=1,L161="1"),OR(M161=1,M161="1")),"adequate","partial"),IF(AND(H161="W4",F161="predictive",OR(J161="P2",J161="P3",J161="P4")),IF(OR(U161=1,U161="1"),"adequate","partial"),INDEX(Fit_Matrix!$B:$B,MATCH(P161,Fit_Matrix!$A:$A,0)))),"CHECK KEY"))</f>
        <v/>
      </c>
      <c r="U161" s="10" t="n"/>
      <c r="V161" s="10" t="n"/>
      <c r="W161" s="10" t="n"/>
      <c r="X161" s="10" t="n"/>
      <c r="Y161" s="10" t="n"/>
      <c r="Z161" s="10" t="n"/>
      <c r="AA161" s="11">
        <f>IF(A161="","",IF(AND(J161="P4",F161="causal"),"P4-CAUSAL",""))</f>
        <v/>
      </c>
    </row>
    <row r="162" ht="15" customHeight="1" s="1">
      <c r="P162">
        <f>IF(OR(F162="",H162="",J162=""),"",J162&amp;"|"&amp;F162&amp;"|"&amp;IF(H162="W3","W3_"&amp;IF(I162="","unknown",I162),H162))</f>
        <v/>
      </c>
      <c r="Q162">
        <f>IF(P162="","",IFERROR(IF(AND(H162="W7",OR(F162="causal",F162="predictive")),IF(AND(OR(K162=1,K162="1"),OR(L162=1,L162="1"),OR(M162=1,M162="1")),"adequate","partial"),IF(AND(H162="W4",F162="predictive",OR(J162="P2",J162="P3",J162="P4")),IF(OR(U162=1,U162="1"),"adequate","partial"),INDEX(Fit_Matrix!$B:$B,MATCH(P162,Fit_Matrix!$A:$A,0)))),"CHECK KEY"))</f>
        <v/>
      </c>
      <c r="U162" s="10" t="n"/>
      <c r="V162" s="10" t="n"/>
      <c r="W162" s="10" t="n"/>
      <c r="X162" s="10" t="n"/>
      <c r="Y162" s="10" t="n"/>
      <c r="Z162" s="10" t="n"/>
      <c r="AA162" s="11">
        <f>IF(A162="","",IF(AND(J162="P4",F162="causal"),"P4-CAUSAL",""))</f>
        <v/>
      </c>
    </row>
    <row r="163" ht="15" customHeight="1" s="1">
      <c r="P163">
        <f>IF(OR(F163="",H163="",J163=""),"",J163&amp;"|"&amp;F163&amp;"|"&amp;IF(H163="W3","W3_"&amp;IF(I163="","unknown",I163),H163))</f>
        <v/>
      </c>
      <c r="Q163">
        <f>IF(P163="","",IFERROR(IF(AND(H163="W7",OR(F163="causal",F163="predictive")),IF(AND(OR(K163=1,K163="1"),OR(L163=1,L163="1"),OR(M163=1,M163="1")),"adequate","partial"),IF(AND(H163="W4",F163="predictive",OR(J163="P2",J163="P3",J163="P4")),IF(OR(U163=1,U163="1"),"adequate","partial"),INDEX(Fit_Matrix!$B:$B,MATCH(P163,Fit_Matrix!$A:$A,0)))),"CHECK KEY"))</f>
        <v/>
      </c>
      <c r="U163" s="10" t="n"/>
      <c r="V163" s="10" t="n"/>
      <c r="W163" s="10" t="n"/>
      <c r="X163" s="10" t="n"/>
      <c r="Y163" s="10" t="n"/>
      <c r="Z163" s="10" t="n"/>
      <c r="AA163" s="11">
        <f>IF(A163="","",IF(AND(J163="P4",F163="causal"),"P4-CAUSAL",""))</f>
        <v/>
      </c>
    </row>
    <row r="164" ht="15" customHeight="1" s="1">
      <c r="P164">
        <f>IF(OR(F164="",H164="",J164=""),"",J164&amp;"|"&amp;F164&amp;"|"&amp;IF(H164="W3","W3_"&amp;IF(I164="","unknown",I164),H164))</f>
        <v/>
      </c>
      <c r="Q164">
        <f>IF(P164="","",IFERROR(IF(AND(H164="W7",OR(F164="causal",F164="predictive")),IF(AND(OR(K164=1,K164="1"),OR(L164=1,L164="1"),OR(M164=1,M164="1")),"adequate","partial"),IF(AND(H164="W4",F164="predictive",OR(J164="P2",J164="P3",J164="P4")),IF(OR(U164=1,U164="1"),"adequate","partial"),INDEX(Fit_Matrix!$B:$B,MATCH(P164,Fit_Matrix!$A:$A,0)))),"CHECK KEY"))</f>
        <v/>
      </c>
      <c r="U164" s="10" t="n"/>
      <c r="V164" s="10" t="n"/>
      <c r="W164" s="10" t="n"/>
      <c r="X164" s="10" t="n"/>
      <c r="Y164" s="10" t="n"/>
      <c r="Z164" s="10" t="n"/>
      <c r="AA164" s="11">
        <f>IF(A164="","",IF(AND(J164="P4",F164="causal"),"P4-CAUSAL",""))</f>
        <v/>
      </c>
    </row>
    <row r="165" ht="15" customHeight="1" s="1">
      <c r="P165">
        <f>IF(OR(F165="",H165="",J165=""),"",J165&amp;"|"&amp;F165&amp;"|"&amp;IF(H165="W3","W3_"&amp;IF(I165="","unknown",I165),H165))</f>
        <v/>
      </c>
      <c r="Q165">
        <f>IF(P165="","",IFERROR(IF(AND(H165="W7",OR(F165="causal",F165="predictive")),IF(AND(OR(K165=1,K165="1"),OR(L165=1,L165="1"),OR(M165=1,M165="1")),"adequate","partial"),IF(AND(H165="W4",F165="predictive",OR(J165="P2",J165="P3",J165="P4")),IF(OR(U165=1,U165="1"),"adequate","partial"),INDEX(Fit_Matrix!$B:$B,MATCH(P165,Fit_Matrix!$A:$A,0)))),"CHECK KEY"))</f>
        <v/>
      </c>
      <c r="U165" s="10" t="n"/>
      <c r="V165" s="10" t="n"/>
      <c r="W165" s="10" t="n"/>
      <c r="X165" s="10" t="n"/>
      <c r="Y165" s="10" t="n"/>
      <c r="Z165" s="10" t="n"/>
      <c r="AA165" s="11">
        <f>IF(A165="","",IF(AND(J165="P4",F165="causal"),"P4-CAUSAL",""))</f>
        <v/>
      </c>
    </row>
    <row r="166" ht="15" customHeight="1" s="1">
      <c r="P166">
        <f>IF(OR(F166="",H166="",J166=""),"",J166&amp;"|"&amp;F166&amp;"|"&amp;IF(H166="W3","W3_"&amp;IF(I166="","unknown",I166),H166))</f>
        <v/>
      </c>
      <c r="Q166">
        <f>IF(P166="","",IFERROR(IF(AND(H166="W7",OR(F166="causal",F166="predictive")),IF(AND(OR(K166=1,K166="1"),OR(L166=1,L166="1"),OR(M166=1,M166="1")),"adequate","partial"),IF(AND(H166="W4",F166="predictive",OR(J166="P2",J166="P3",J166="P4")),IF(OR(U166=1,U166="1"),"adequate","partial"),INDEX(Fit_Matrix!$B:$B,MATCH(P166,Fit_Matrix!$A:$A,0)))),"CHECK KEY"))</f>
        <v/>
      </c>
      <c r="U166" s="10" t="n"/>
      <c r="V166" s="10" t="n"/>
      <c r="W166" s="10" t="n"/>
      <c r="X166" s="10" t="n"/>
      <c r="Y166" s="10" t="n"/>
      <c r="Z166" s="10" t="n"/>
      <c r="AA166" s="11">
        <f>IF(A166="","",IF(AND(J166="P4",F166="causal"),"P4-CAUSAL",""))</f>
        <v/>
      </c>
    </row>
    <row r="167" ht="15" customHeight="1" s="1">
      <c r="P167">
        <f>IF(OR(F167="",H167="",J167=""),"",J167&amp;"|"&amp;F167&amp;"|"&amp;IF(H167="W3","W3_"&amp;IF(I167="","unknown",I167),H167))</f>
        <v/>
      </c>
      <c r="Q167">
        <f>IF(P167="","",IFERROR(IF(AND(H167="W7",OR(F167="causal",F167="predictive")),IF(AND(OR(K167=1,K167="1"),OR(L167=1,L167="1"),OR(M167=1,M167="1")),"adequate","partial"),IF(AND(H167="W4",F167="predictive",OR(J167="P2",J167="P3",J167="P4")),IF(OR(U167=1,U167="1"),"adequate","partial"),INDEX(Fit_Matrix!$B:$B,MATCH(P167,Fit_Matrix!$A:$A,0)))),"CHECK KEY"))</f>
        <v/>
      </c>
      <c r="U167" s="10" t="n"/>
      <c r="V167" s="10" t="n"/>
      <c r="W167" s="10" t="n"/>
      <c r="X167" s="10" t="n"/>
      <c r="Y167" s="10" t="n"/>
      <c r="Z167" s="10" t="n"/>
      <c r="AA167" s="11">
        <f>IF(A167="","",IF(AND(J167="P4",F167="causal"),"P4-CAUSAL",""))</f>
        <v/>
      </c>
    </row>
    <row r="168" ht="15" customHeight="1" s="1">
      <c r="P168">
        <f>IF(OR(F168="",H168="",J168=""),"",J168&amp;"|"&amp;F168&amp;"|"&amp;IF(H168="W3","W3_"&amp;IF(I168="","unknown",I168),H168))</f>
        <v/>
      </c>
      <c r="Q168">
        <f>IF(P168="","",IFERROR(IF(AND(H168="W7",OR(F168="causal",F168="predictive")),IF(AND(OR(K168=1,K168="1"),OR(L168=1,L168="1"),OR(M168=1,M168="1")),"adequate","partial"),IF(AND(H168="W4",F168="predictive",OR(J168="P2",J168="P3",J168="P4")),IF(OR(U168=1,U168="1"),"adequate","partial"),INDEX(Fit_Matrix!$B:$B,MATCH(P168,Fit_Matrix!$A:$A,0)))),"CHECK KEY"))</f>
        <v/>
      </c>
      <c r="U168" s="10" t="n"/>
      <c r="V168" s="10" t="n"/>
      <c r="W168" s="10" t="n"/>
      <c r="X168" s="10" t="n"/>
      <c r="Y168" s="10" t="n"/>
      <c r="Z168" s="10" t="n"/>
      <c r="AA168" s="11">
        <f>IF(A168="","",IF(AND(J168="P4",F168="causal"),"P4-CAUSAL",""))</f>
        <v/>
      </c>
    </row>
    <row r="169" ht="15" customHeight="1" s="1">
      <c r="P169">
        <f>IF(OR(F169="",H169="",J169=""),"",J169&amp;"|"&amp;F169&amp;"|"&amp;IF(H169="W3","W3_"&amp;IF(I169="","unknown",I169),H169))</f>
        <v/>
      </c>
      <c r="Q169">
        <f>IF(P169="","",IFERROR(IF(AND(H169="W7",OR(F169="causal",F169="predictive")),IF(AND(OR(K169=1,K169="1"),OR(L169=1,L169="1"),OR(M169=1,M169="1")),"adequate","partial"),IF(AND(H169="W4",F169="predictive",OR(J169="P2",J169="P3",J169="P4")),IF(OR(U169=1,U169="1"),"adequate","partial"),INDEX(Fit_Matrix!$B:$B,MATCH(P169,Fit_Matrix!$A:$A,0)))),"CHECK KEY"))</f>
        <v/>
      </c>
      <c r="U169" s="10" t="n"/>
      <c r="V169" s="10" t="n"/>
      <c r="W169" s="10" t="n"/>
      <c r="X169" s="10" t="n"/>
      <c r="Y169" s="10" t="n"/>
      <c r="Z169" s="10" t="n"/>
      <c r="AA169" s="11">
        <f>IF(A169="","",IF(AND(J169="P4",F169="causal"),"P4-CAUSAL",""))</f>
        <v/>
      </c>
    </row>
    <row r="170" ht="15" customHeight="1" s="1">
      <c r="P170">
        <f>IF(OR(F170="",H170="",J170=""),"",J170&amp;"|"&amp;F170&amp;"|"&amp;IF(H170="W3","W3_"&amp;IF(I170="","unknown",I170),H170))</f>
        <v/>
      </c>
      <c r="Q170">
        <f>IF(P170="","",IFERROR(IF(AND(H170="W7",OR(F170="causal",F170="predictive")),IF(AND(OR(K170=1,K170="1"),OR(L170=1,L170="1"),OR(M170=1,M170="1")),"adequate","partial"),IF(AND(H170="W4",F170="predictive",OR(J170="P2",J170="P3",J170="P4")),IF(OR(U170=1,U170="1"),"adequate","partial"),INDEX(Fit_Matrix!$B:$B,MATCH(P170,Fit_Matrix!$A:$A,0)))),"CHECK KEY"))</f>
        <v/>
      </c>
      <c r="U170" s="10" t="n"/>
      <c r="V170" s="10" t="n"/>
      <c r="W170" s="10" t="n"/>
      <c r="X170" s="10" t="n"/>
      <c r="Y170" s="10" t="n"/>
      <c r="Z170" s="10" t="n"/>
      <c r="AA170" s="11">
        <f>IF(A170="","",IF(AND(J170="P4",F170="causal"),"P4-CAUSAL",""))</f>
        <v/>
      </c>
    </row>
    <row r="171" ht="15" customHeight="1" s="1">
      <c r="P171">
        <f>IF(OR(F171="",H171="",J171=""),"",J171&amp;"|"&amp;F171&amp;"|"&amp;IF(H171="W3","W3_"&amp;IF(I171="","unknown",I171),H171))</f>
        <v/>
      </c>
      <c r="Q171">
        <f>IF(P171="","",IFERROR(IF(AND(H171="W7",OR(F171="causal",F171="predictive")),IF(AND(OR(K171=1,K171="1"),OR(L171=1,L171="1"),OR(M171=1,M171="1")),"adequate","partial"),IF(AND(H171="W4",F171="predictive",OR(J171="P2",J171="P3",J171="P4")),IF(OR(U171=1,U171="1"),"adequate","partial"),INDEX(Fit_Matrix!$B:$B,MATCH(P171,Fit_Matrix!$A:$A,0)))),"CHECK KEY"))</f>
        <v/>
      </c>
      <c r="U171" s="10" t="n"/>
      <c r="V171" s="10" t="n"/>
      <c r="W171" s="10" t="n"/>
      <c r="X171" s="10" t="n"/>
      <c r="Y171" s="10" t="n"/>
      <c r="Z171" s="10" t="n"/>
      <c r="AA171" s="11">
        <f>IF(A171="","",IF(AND(J171="P4",F171="causal"),"P4-CAUSAL",""))</f>
        <v/>
      </c>
    </row>
    <row r="172" ht="15" customHeight="1" s="1">
      <c r="P172">
        <f>IF(OR(F172="",H172="",J172=""),"",J172&amp;"|"&amp;F172&amp;"|"&amp;IF(H172="W3","W3_"&amp;IF(I172="","unknown",I172),H172))</f>
        <v/>
      </c>
      <c r="Q172">
        <f>IF(P172="","",IFERROR(IF(AND(H172="W7",OR(F172="causal",F172="predictive")),IF(AND(OR(K172=1,K172="1"),OR(L172=1,L172="1"),OR(M172=1,M172="1")),"adequate","partial"),IF(AND(H172="W4",F172="predictive",OR(J172="P2",J172="P3",J172="P4")),IF(OR(U172=1,U172="1"),"adequate","partial"),INDEX(Fit_Matrix!$B:$B,MATCH(P172,Fit_Matrix!$A:$A,0)))),"CHECK KEY"))</f>
        <v/>
      </c>
      <c r="U172" s="10" t="n"/>
      <c r="V172" s="10" t="n"/>
      <c r="W172" s="10" t="n"/>
      <c r="X172" s="10" t="n"/>
      <c r="Y172" s="10" t="n"/>
      <c r="Z172" s="10" t="n"/>
      <c r="AA172" s="11">
        <f>IF(A172="","",IF(AND(J172="P4",F172="causal"),"P4-CAUSAL",""))</f>
        <v/>
      </c>
    </row>
    <row r="173" ht="15" customHeight="1" s="1">
      <c r="P173">
        <f>IF(OR(F173="",H173="",J173=""),"",J173&amp;"|"&amp;F173&amp;"|"&amp;IF(H173="W3","W3_"&amp;IF(I173="","unknown",I173),H173))</f>
        <v/>
      </c>
      <c r="Q173">
        <f>IF(P173="","",IFERROR(IF(AND(H173="W7",OR(F173="causal",F173="predictive")),IF(AND(OR(K173=1,K173="1"),OR(L173=1,L173="1"),OR(M173=1,M173="1")),"adequate","partial"),IF(AND(H173="W4",F173="predictive",OR(J173="P2",J173="P3",J173="P4")),IF(OR(U173=1,U173="1"),"adequate","partial"),INDEX(Fit_Matrix!$B:$B,MATCH(P173,Fit_Matrix!$A:$A,0)))),"CHECK KEY"))</f>
        <v/>
      </c>
      <c r="U173" s="10" t="n"/>
      <c r="V173" s="10" t="n"/>
      <c r="W173" s="10" t="n"/>
      <c r="X173" s="10" t="n"/>
      <c r="Y173" s="10" t="n"/>
      <c r="Z173" s="10" t="n"/>
      <c r="AA173" s="11">
        <f>IF(A173="","",IF(AND(J173="P4",F173="causal"),"P4-CAUSAL",""))</f>
        <v/>
      </c>
    </row>
    <row r="174" ht="15" customHeight="1" s="1">
      <c r="P174">
        <f>IF(OR(F174="",H174="",J174=""),"",J174&amp;"|"&amp;F174&amp;"|"&amp;IF(H174="W3","W3_"&amp;IF(I174="","unknown",I174),H174))</f>
        <v/>
      </c>
      <c r="Q174">
        <f>IF(P174="","",IFERROR(IF(AND(H174="W7",OR(F174="causal",F174="predictive")),IF(AND(OR(K174=1,K174="1"),OR(L174=1,L174="1"),OR(M174=1,M174="1")),"adequate","partial"),IF(AND(H174="W4",F174="predictive",OR(J174="P2",J174="P3",J174="P4")),IF(OR(U174=1,U174="1"),"adequate","partial"),INDEX(Fit_Matrix!$B:$B,MATCH(P174,Fit_Matrix!$A:$A,0)))),"CHECK KEY"))</f>
        <v/>
      </c>
      <c r="U174" s="10" t="n"/>
      <c r="V174" s="10" t="n"/>
      <c r="W174" s="10" t="n"/>
      <c r="X174" s="10" t="n"/>
      <c r="Y174" s="10" t="n"/>
      <c r="Z174" s="10" t="n"/>
      <c r="AA174" s="11">
        <f>IF(A174="","",IF(AND(J174="P4",F174="causal"),"P4-CAUSAL",""))</f>
        <v/>
      </c>
    </row>
    <row r="175" ht="15" customHeight="1" s="1">
      <c r="P175">
        <f>IF(OR(F175="",H175="",J175=""),"",J175&amp;"|"&amp;F175&amp;"|"&amp;IF(H175="W3","W3_"&amp;IF(I175="","unknown",I175),H175))</f>
        <v/>
      </c>
      <c r="Q175">
        <f>IF(P175="","",IFERROR(IF(AND(H175="W7",OR(F175="causal",F175="predictive")),IF(AND(OR(K175=1,K175="1"),OR(L175=1,L175="1"),OR(M175=1,M175="1")),"adequate","partial"),IF(AND(H175="W4",F175="predictive",OR(J175="P2",J175="P3",J175="P4")),IF(OR(U175=1,U175="1"),"adequate","partial"),INDEX(Fit_Matrix!$B:$B,MATCH(P175,Fit_Matrix!$A:$A,0)))),"CHECK KEY"))</f>
        <v/>
      </c>
      <c r="U175" s="10" t="n"/>
      <c r="V175" s="10" t="n"/>
      <c r="W175" s="10" t="n"/>
      <c r="X175" s="10" t="n"/>
      <c r="Y175" s="10" t="n"/>
      <c r="Z175" s="10" t="n"/>
      <c r="AA175" s="11">
        <f>IF(A175="","",IF(AND(J175="P4",F175="causal"),"P4-CAUSAL",""))</f>
        <v/>
      </c>
    </row>
    <row r="176" ht="15" customHeight="1" s="1">
      <c r="P176">
        <f>IF(OR(F176="",H176="",J176=""),"",J176&amp;"|"&amp;F176&amp;"|"&amp;IF(H176="W3","W3_"&amp;IF(I176="","unknown",I176),H176))</f>
        <v/>
      </c>
      <c r="Q176">
        <f>IF(P176="","",IFERROR(IF(AND(H176="W7",OR(F176="causal",F176="predictive")),IF(AND(OR(K176=1,K176="1"),OR(L176=1,L176="1"),OR(M176=1,M176="1")),"adequate","partial"),IF(AND(H176="W4",F176="predictive",OR(J176="P2",J176="P3",J176="P4")),IF(OR(U176=1,U176="1"),"adequate","partial"),INDEX(Fit_Matrix!$B:$B,MATCH(P176,Fit_Matrix!$A:$A,0)))),"CHECK KEY"))</f>
        <v/>
      </c>
      <c r="U176" s="10" t="n"/>
      <c r="V176" s="10" t="n"/>
      <c r="W176" s="10" t="n"/>
      <c r="X176" s="10" t="n"/>
      <c r="Y176" s="10" t="n"/>
      <c r="Z176" s="10" t="n"/>
      <c r="AA176" s="11">
        <f>IF(A176="","",IF(AND(J176="P4",F176="causal"),"P4-CAUSAL",""))</f>
        <v/>
      </c>
    </row>
    <row r="177" ht="15" customHeight="1" s="1">
      <c r="P177">
        <f>IF(OR(F177="",H177="",J177=""),"",J177&amp;"|"&amp;F177&amp;"|"&amp;IF(H177="W3","W3_"&amp;IF(I177="","unknown",I177),H177))</f>
        <v/>
      </c>
      <c r="Q177">
        <f>IF(P177="","",IFERROR(IF(AND(H177="W7",OR(F177="causal",F177="predictive")),IF(AND(OR(K177=1,K177="1"),OR(L177=1,L177="1"),OR(M177=1,M177="1")),"adequate","partial"),IF(AND(H177="W4",F177="predictive",OR(J177="P2",J177="P3",J177="P4")),IF(OR(U177=1,U177="1"),"adequate","partial"),INDEX(Fit_Matrix!$B:$B,MATCH(P177,Fit_Matrix!$A:$A,0)))),"CHECK KEY"))</f>
        <v/>
      </c>
      <c r="U177" s="10" t="n"/>
      <c r="V177" s="10" t="n"/>
      <c r="W177" s="10" t="n"/>
      <c r="X177" s="10" t="n"/>
      <c r="Y177" s="10" t="n"/>
      <c r="Z177" s="10" t="n"/>
      <c r="AA177" s="11">
        <f>IF(A177="","",IF(AND(J177="P4",F177="causal"),"P4-CAUSAL",""))</f>
        <v/>
      </c>
    </row>
    <row r="178" ht="15" customHeight="1" s="1">
      <c r="P178">
        <f>IF(OR(F178="",H178="",J178=""),"",J178&amp;"|"&amp;F178&amp;"|"&amp;IF(H178="W3","W3_"&amp;IF(I178="","unknown",I178),H178))</f>
        <v/>
      </c>
      <c r="Q178">
        <f>IF(P178="","",IFERROR(IF(AND(H178="W7",OR(F178="causal",F178="predictive")),IF(AND(OR(K178=1,K178="1"),OR(L178=1,L178="1"),OR(M178=1,M178="1")),"adequate","partial"),IF(AND(H178="W4",F178="predictive",OR(J178="P2",J178="P3",J178="P4")),IF(OR(U178=1,U178="1"),"adequate","partial"),INDEX(Fit_Matrix!$B:$B,MATCH(P178,Fit_Matrix!$A:$A,0)))),"CHECK KEY"))</f>
        <v/>
      </c>
      <c r="U178" s="10" t="n"/>
      <c r="V178" s="10" t="n"/>
      <c r="W178" s="10" t="n"/>
      <c r="X178" s="10" t="n"/>
      <c r="Y178" s="10" t="n"/>
      <c r="Z178" s="10" t="n"/>
      <c r="AA178" s="11">
        <f>IF(A178="","",IF(AND(J178="P4",F178="causal"),"P4-CAUSAL",""))</f>
        <v/>
      </c>
    </row>
    <row r="179" ht="15" customHeight="1" s="1">
      <c r="P179">
        <f>IF(OR(F179="",H179="",J179=""),"",J179&amp;"|"&amp;F179&amp;"|"&amp;IF(H179="W3","W3_"&amp;IF(I179="","unknown",I179),H179))</f>
        <v/>
      </c>
      <c r="Q179">
        <f>IF(P179="","",IFERROR(IF(AND(H179="W7",OR(F179="causal",F179="predictive")),IF(AND(OR(K179=1,K179="1"),OR(L179=1,L179="1"),OR(M179=1,M179="1")),"adequate","partial"),IF(AND(H179="W4",F179="predictive",OR(J179="P2",J179="P3",J179="P4")),IF(OR(U179=1,U179="1"),"adequate","partial"),INDEX(Fit_Matrix!$B:$B,MATCH(P179,Fit_Matrix!$A:$A,0)))),"CHECK KEY"))</f>
        <v/>
      </c>
      <c r="U179" s="10" t="n"/>
      <c r="V179" s="10" t="n"/>
      <c r="W179" s="10" t="n"/>
      <c r="X179" s="10" t="n"/>
      <c r="Y179" s="10" t="n"/>
      <c r="Z179" s="10" t="n"/>
      <c r="AA179" s="11">
        <f>IF(A179="","",IF(AND(J179="P4",F179="causal"),"P4-CAUSAL",""))</f>
        <v/>
      </c>
    </row>
    <row r="180" ht="15" customHeight="1" s="1">
      <c r="P180">
        <f>IF(OR(F180="",H180="",J180=""),"",J180&amp;"|"&amp;F180&amp;"|"&amp;IF(H180="W3","W3_"&amp;IF(I180="","unknown",I180),H180))</f>
        <v/>
      </c>
      <c r="Q180">
        <f>IF(P180="","",IFERROR(IF(AND(H180="W7",OR(F180="causal",F180="predictive")),IF(AND(OR(K180=1,K180="1"),OR(L180=1,L180="1"),OR(M180=1,M180="1")),"adequate","partial"),IF(AND(H180="W4",F180="predictive",OR(J180="P2",J180="P3",J180="P4")),IF(OR(U180=1,U180="1"),"adequate","partial"),INDEX(Fit_Matrix!$B:$B,MATCH(P180,Fit_Matrix!$A:$A,0)))),"CHECK KEY"))</f>
        <v/>
      </c>
      <c r="U180" s="10" t="n"/>
      <c r="V180" s="10" t="n"/>
      <c r="W180" s="10" t="n"/>
      <c r="X180" s="10" t="n"/>
      <c r="Y180" s="10" t="n"/>
      <c r="Z180" s="10" t="n"/>
      <c r="AA180" s="11">
        <f>IF(A180="","",IF(AND(J180="P4",F180="causal"),"P4-CAUSAL",""))</f>
        <v/>
      </c>
    </row>
    <row r="181" ht="15" customHeight="1" s="1">
      <c r="P181">
        <f>IF(OR(F181="",H181="",J181=""),"",J181&amp;"|"&amp;F181&amp;"|"&amp;IF(H181="W3","W3_"&amp;IF(I181="","unknown",I181),H181))</f>
        <v/>
      </c>
      <c r="Q181">
        <f>IF(P181="","",IFERROR(IF(AND(H181="W7",OR(F181="causal",F181="predictive")),IF(AND(OR(K181=1,K181="1"),OR(L181=1,L181="1"),OR(M181=1,M181="1")),"adequate","partial"),IF(AND(H181="W4",F181="predictive",OR(J181="P2",J181="P3",J181="P4")),IF(OR(U181=1,U181="1"),"adequate","partial"),INDEX(Fit_Matrix!$B:$B,MATCH(P181,Fit_Matrix!$A:$A,0)))),"CHECK KEY"))</f>
        <v/>
      </c>
      <c r="U181" s="10" t="n"/>
      <c r="V181" s="10" t="n"/>
      <c r="W181" s="10" t="n"/>
      <c r="X181" s="10" t="n"/>
      <c r="Y181" s="10" t="n"/>
      <c r="Z181" s="10" t="n"/>
      <c r="AA181" s="11">
        <f>IF(A181="","",IF(AND(J181="P4",F181="causal"),"P4-CAUSAL",""))</f>
        <v/>
      </c>
    </row>
    <row r="182" ht="15" customHeight="1" s="1">
      <c r="P182">
        <f>IF(OR(F182="",H182="",J182=""),"",J182&amp;"|"&amp;F182&amp;"|"&amp;IF(H182="W3","W3_"&amp;IF(I182="","unknown",I182),H182))</f>
        <v/>
      </c>
      <c r="Q182">
        <f>IF(P182="","",IFERROR(IF(AND(H182="W7",OR(F182="causal",F182="predictive")),IF(AND(OR(K182=1,K182="1"),OR(L182=1,L182="1"),OR(M182=1,M182="1")),"adequate","partial"),IF(AND(H182="W4",F182="predictive",OR(J182="P2",J182="P3",J182="P4")),IF(OR(U182=1,U182="1"),"adequate","partial"),INDEX(Fit_Matrix!$B:$B,MATCH(P182,Fit_Matrix!$A:$A,0)))),"CHECK KEY"))</f>
        <v/>
      </c>
      <c r="U182" s="10" t="n"/>
      <c r="V182" s="10" t="n"/>
      <c r="W182" s="10" t="n"/>
      <c r="X182" s="10" t="n"/>
      <c r="Y182" s="10" t="n"/>
      <c r="Z182" s="10" t="n"/>
      <c r="AA182" s="11">
        <f>IF(A182="","",IF(AND(J182="P4",F182="causal"),"P4-CAUSAL",""))</f>
        <v/>
      </c>
    </row>
    <row r="183" ht="15" customHeight="1" s="1">
      <c r="P183">
        <f>IF(OR(F183="",H183="",J183=""),"",J183&amp;"|"&amp;F183&amp;"|"&amp;IF(H183="W3","W3_"&amp;IF(I183="","unknown",I183),H183))</f>
        <v/>
      </c>
      <c r="Q183">
        <f>IF(P183="","",IFERROR(IF(AND(H183="W7",OR(F183="causal",F183="predictive")),IF(AND(OR(K183=1,K183="1"),OR(L183=1,L183="1"),OR(M183=1,M183="1")),"adequate","partial"),IF(AND(H183="W4",F183="predictive",OR(J183="P2",J183="P3",J183="P4")),IF(OR(U183=1,U183="1"),"adequate","partial"),INDEX(Fit_Matrix!$B:$B,MATCH(P183,Fit_Matrix!$A:$A,0)))),"CHECK KEY"))</f>
        <v/>
      </c>
      <c r="U183" s="10" t="n"/>
      <c r="V183" s="10" t="n"/>
      <c r="W183" s="10" t="n"/>
      <c r="X183" s="10" t="n"/>
      <c r="Y183" s="10" t="n"/>
      <c r="Z183" s="10" t="n"/>
      <c r="AA183" s="11">
        <f>IF(A183="","",IF(AND(J183="P4",F183="causal"),"P4-CAUSAL",""))</f>
        <v/>
      </c>
    </row>
    <row r="184" ht="15" customHeight="1" s="1">
      <c r="P184">
        <f>IF(OR(F184="",H184="",J184=""),"",J184&amp;"|"&amp;F184&amp;"|"&amp;IF(H184="W3","W3_"&amp;IF(I184="","unknown",I184),H184))</f>
        <v/>
      </c>
      <c r="Q184">
        <f>IF(P184="","",IFERROR(IF(AND(H184="W7",OR(F184="causal",F184="predictive")),IF(AND(OR(K184=1,K184="1"),OR(L184=1,L184="1"),OR(M184=1,M184="1")),"adequate","partial"),IF(AND(H184="W4",F184="predictive",OR(J184="P2",J184="P3",J184="P4")),IF(OR(U184=1,U184="1"),"adequate","partial"),INDEX(Fit_Matrix!$B:$B,MATCH(P184,Fit_Matrix!$A:$A,0)))),"CHECK KEY"))</f>
        <v/>
      </c>
      <c r="U184" s="10" t="n"/>
      <c r="V184" s="10" t="n"/>
      <c r="W184" s="10" t="n"/>
      <c r="X184" s="10" t="n"/>
      <c r="Y184" s="10" t="n"/>
      <c r="Z184" s="10" t="n"/>
      <c r="AA184" s="11">
        <f>IF(A184="","",IF(AND(J184="P4",F184="causal"),"P4-CAUSAL",""))</f>
        <v/>
      </c>
    </row>
    <row r="185" ht="15" customHeight="1" s="1">
      <c r="P185">
        <f>IF(OR(F185="",H185="",J185=""),"",J185&amp;"|"&amp;F185&amp;"|"&amp;IF(H185="W3","W3_"&amp;IF(I185="","unknown",I185),H185))</f>
        <v/>
      </c>
      <c r="Q185">
        <f>IF(P185="","",IFERROR(IF(AND(H185="W7",OR(F185="causal",F185="predictive")),IF(AND(OR(K185=1,K185="1"),OR(L185=1,L185="1"),OR(M185=1,M185="1")),"adequate","partial"),IF(AND(H185="W4",F185="predictive",OR(J185="P2",J185="P3",J185="P4")),IF(OR(U185=1,U185="1"),"adequate","partial"),INDEX(Fit_Matrix!$B:$B,MATCH(P185,Fit_Matrix!$A:$A,0)))),"CHECK KEY"))</f>
        <v/>
      </c>
      <c r="U185" s="10" t="n"/>
      <c r="V185" s="10" t="n"/>
      <c r="W185" s="10" t="n"/>
      <c r="X185" s="10" t="n"/>
      <c r="Y185" s="10" t="n"/>
      <c r="Z185" s="10" t="n"/>
      <c r="AA185" s="11">
        <f>IF(A185="","",IF(AND(J185="P4",F185="causal"),"P4-CAUSAL",""))</f>
        <v/>
      </c>
    </row>
    <row r="186" ht="15" customHeight="1" s="1">
      <c r="P186">
        <f>IF(OR(F186="",H186="",J186=""),"",J186&amp;"|"&amp;F186&amp;"|"&amp;IF(H186="W3","W3_"&amp;IF(I186="","unknown",I186),H186))</f>
        <v/>
      </c>
      <c r="Q186">
        <f>IF(P186="","",IFERROR(IF(AND(H186="W7",OR(F186="causal",F186="predictive")),IF(AND(OR(K186=1,K186="1"),OR(L186=1,L186="1"),OR(M186=1,M186="1")),"adequate","partial"),IF(AND(H186="W4",F186="predictive",OR(J186="P2",J186="P3",J186="P4")),IF(OR(U186=1,U186="1"),"adequate","partial"),INDEX(Fit_Matrix!$B:$B,MATCH(P186,Fit_Matrix!$A:$A,0)))),"CHECK KEY"))</f>
        <v/>
      </c>
      <c r="U186" s="10" t="n"/>
      <c r="V186" s="10" t="n"/>
      <c r="W186" s="10" t="n"/>
      <c r="X186" s="10" t="n"/>
      <c r="Y186" s="10" t="n"/>
      <c r="Z186" s="10" t="n"/>
      <c r="AA186" s="11">
        <f>IF(A186="","",IF(AND(J186="P4",F186="causal"),"P4-CAUSAL",""))</f>
        <v/>
      </c>
    </row>
    <row r="187" ht="15" customHeight="1" s="1">
      <c r="P187">
        <f>IF(OR(F187="",H187="",J187=""),"",J187&amp;"|"&amp;F187&amp;"|"&amp;IF(H187="W3","W3_"&amp;IF(I187="","unknown",I187),H187))</f>
        <v/>
      </c>
      <c r="Q187">
        <f>IF(P187="","",IFERROR(IF(AND(H187="W7",OR(F187="causal",F187="predictive")),IF(AND(OR(K187=1,K187="1"),OR(L187=1,L187="1"),OR(M187=1,M187="1")),"adequate","partial"),IF(AND(H187="W4",F187="predictive",OR(J187="P2",J187="P3",J187="P4")),IF(OR(U187=1,U187="1"),"adequate","partial"),INDEX(Fit_Matrix!$B:$B,MATCH(P187,Fit_Matrix!$A:$A,0)))),"CHECK KEY"))</f>
        <v/>
      </c>
      <c r="U187" s="10" t="n"/>
      <c r="V187" s="10" t="n"/>
      <c r="W187" s="10" t="n"/>
      <c r="X187" s="10" t="n"/>
      <c r="Y187" s="10" t="n"/>
      <c r="Z187" s="10" t="n"/>
      <c r="AA187" s="11">
        <f>IF(A187="","",IF(AND(J187="P4",F187="causal"),"P4-CAUSAL",""))</f>
        <v/>
      </c>
    </row>
    <row r="188" ht="15" customHeight="1" s="1">
      <c r="P188">
        <f>IF(OR(F188="",H188="",J188=""),"",J188&amp;"|"&amp;F188&amp;"|"&amp;IF(H188="W3","W3_"&amp;IF(I188="","unknown",I188),H188))</f>
        <v/>
      </c>
      <c r="Q188">
        <f>IF(P188="","",IFERROR(IF(AND(H188="W7",OR(F188="causal",F188="predictive")),IF(AND(OR(K188=1,K188="1"),OR(L188=1,L188="1"),OR(M188=1,M188="1")),"adequate","partial"),IF(AND(H188="W4",F188="predictive",OR(J188="P2",J188="P3",J188="P4")),IF(OR(U188=1,U188="1"),"adequate","partial"),INDEX(Fit_Matrix!$B:$B,MATCH(P188,Fit_Matrix!$A:$A,0)))),"CHECK KEY"))</f>
        <v/>
      </c>
      <c r="U188" s="10" t="n"/>
      <c r="V188" s="10" t="n"/>
      <c r="W188" s="10" t="n"/>
      <c r="X188" s="10" t="n"/>
      <c r="Y188" s="10" t="n"/>
      <c r="Z188" s="10" t="n"/>
      <c r="AA188" s="11">
        <f>IF(A188="","",IF(AND(J188="P4",F188="causal"),"P4-CAUSAL",""))</f>
        <v/>
      </c>
    </row>
    <row r="189" ht="15" customHeight="1" s="1">
      <c r="P189">
        <f>IF(OR(F189="",H189="",J189=""),"",J189&amp;"|"&amp;F189&amp;"|"&amp;IF(H189="W3","W3_"&amp;IF(I189="","unknown",I189),H189))</f>
        <v/>
      </c>
      <c r="Q189">
        <f>IF(P189="","",IFERROR(IF(AND(H189="W7",OR(F189="causal",F189="predictive")),IF(AND(OR(K189=1,K189="1"),OR(L189=1,L189="1"),OR(M189=1,M189="1")),"adequate","partial"),IF(AND(H189="W4",F189="predictive",OR(J189="P2",J189="P3",J189="P4")),IF(OR(U189=1,U189="1"),"adequate","partial"),INDEX(Fit_Matrix!$B:$B,MATCH(P189,Fit_Matrix!$A:$A,0)))),"CHECK KEY"))</f>
        <v/>
      </c>
      <c r="U189" s="10" t="n"/>
      <c r="V189" s="10" t="n"/>
      <c r="W189" s="10" t="n"/>
      <c r="X189" s="10" t="n"/>
      <c r="Y189" s="10" t="n"/>
      <c r="Z189" s="10" t="n"/>
      <c r="AA189" s="11">
        <f>IF(A189="","",IF(AND(J189="P4",F189="causal"),"P4-CAUSAL",""))</f>
        <v/>
      </c>
    </row>
    <row r="190" ht="15" customHeight="1" s="1">
      <c r="P190">
        <f>IF(OR(F190="",H190="",J190=""),"",J190&amp;"|"&amp;F190&amp;"|"&amp;IF(H190="W3","W3_"&amp;IF(I190="","unknown",I190),H190))</f>
        <v/>
      </c>
      <c r="Q190">
        <f>IF(P190="","",IFERROR(IF(AND(H190="W7",OR(F190="causal",F190="predictive")),IF(AND(OR(K190=1,K190="1"),OR(L190=1,L190="1"),OR(M190=1,M190="1")),"adequate","partial"),IF(AND(H190="W4",F190="predictive",OR(J190="P2",J190="P3",J190="P4")),IF(OR(U190=1,U190="1"),"adequate","partial"),INDEX(Fit_Matrix!$B:$B,MATCH(P190,Fit_Matrix!$A:$A,0)))),"CHECK KEY"))</f>
        <v/>
      </c>
      <c r="U190" s="10" t="n"/>
      <c r="V190" s="10" t="n"/>
      <c r="W190" s="10" t="n"/>
      <c r="X190" s="10" t="n"/>
      <c r="Y190" s="10" t="n"/>
      <c r="Z190" s="10" t="n"/>
      <c r="AA190" s="11">
        <f>IF(A190="","",IF(AND(J190="P4",F190="causal"),"P4-CAUSAL",""))</f>
        <v/>
      </c>
    </row>
    <row r="191" ht="15" customHeight="1" s="1">
      <c r="P191">
        <f>IF(OR(F191="",H191="",J191=""),"",J191&amp;"|"&amp;F191&amp;"|"&amp;IF(H191="W3","W3_"&amp;IF(I191="","unknown",I191),H191))</f>
        <v/>
      </c>
      <c r="Q191">
        <f>IF(P191="","",IFERROR(IF(AND(H191="W7",OR(F191="causal",F191="predictive")),IF(AND(OR(K191=1,K191="1"),OR(L191=1,L191="1"),OR(M191=1,M191="1")),"adequate","partial"),IF(AND(H191="W4",F191="predictive",OR(J191="P2",J191="P3",J191="P4")),IF(OR(U191=1,U191="1"),"adequate","partial"),INDEX(Fit_Matrix!$B:$B,MATCH(P191,Fit_Matrix!$A:$A,0)))),"CHECK KEY"))</f>
        <v/>
      </c>
      <c r="U191" s="10" t="n"/>
      <c r="V191" s="10" t="n"/>
      <c r="W191" s="10" t="n"/>
      <c r="X191" s="10" t="n"/>
      <c r="Y191" s="10" t="n"/>
      <c r="Z191" s="10" t="n"/>
      <c r="AA191" s="11">
        <f>IF(A191="","",IF(AND(J191="P4",F191="causal"),"P4-CAUSAL",""))</f>
        <v/>
      </c>
    </row>
    <row r="192" ht="15" customHeight="1" s="1">
      <c r="P192">
        <f>IF(OR(F192="",H192="",J192=""),"",J192&amp;"|"&amp;F192&amp;"|"&amp;IF(H192="W3","W3_"&amp;IF(I192="","unknown",I192),H192))</f>
        <v/>
      </c>
      <c r="Q192">
        <f>IF(P192="","",IFERROR(IF(AND(H192="W7",OR(F192="causal",F192="predictive")),IF(AND(OR(K192=1,K192="1"),OR(L192=1,L192="1"),OR(M192=1,M192="1")),"adequate","partial"),IF(AND(H192="W4",F192="predictive",OR(J192="P2",J192="P3",J192="P4")),IF(OR(U192=1,U192="1"),"adequate","partial"),INDEX(Fit_Matrix!$B:$B,MATCH(P192,Fit_Matrix!$A:$A,0)))),"CHECK KEY"))</f>
        <v/>
      </c>
      <c r="U192" s="10" t="n"/>
      <c r="V192" s="10" t="n"/>
      <c r="W192" s="10" t="n"/>
      <c r="X192" s="10" t="n"/>
      <c r="Y192" s="10" t="n"/>
      <c r="Z192" s="10" t="n"/>
      <c r="AA192" s="11">
        <f>IF(A192="","",IF(AND(J192="P4",F192="causal"),"P4-CAUSAL",""))</f>
        <v/>
      </c>
    </row>
    <row r="193" ht="15" customHeight="1" s="1">
      <c r="P193">
        <f>IF(OR(F193="",H193="",J193=""),"",J193&amp;"|"&amp;F193&amp;"|"&amp;IF(H193="W3","W3_"&amp;IF(I193="","unknown",I193),H193))</f>
        <v/>
      </c>
      <c r="Q193">
        <f>IF(P193="","",IFERROR(IF(AND(H193="W7",OR(F193="causal",F193="predictive")),IF(AND(OR(K193=1,K193="1"),OR(L193=1,L193="1"),OR(M193=1,M193="1")),"adequate","partial"),IF(AND(H193="W4",F193="predictive",OR(J193="P2",J193="P3",J193="P4")),IF(OR(U193=1,U193="1"),"adequate","partial"),INDEX(Fit_Matrix!$B:$B,MATCH(P193,Fit_Matrix!$A:$A,0)))),"CHECK KEY"))</f>
        <v/>
      </c>
      <c r="U193" s="10" t="n"/>
      <c r="V193" s="10" t="n"/>
      <c r="W193" s="10" t="n"/>
      <c r="X193" s="10" t="n"/>
      <c r="Y193" s="10" t="n"/>
      <c r="Z193" s="10" t="n"/>
      <c r="AA193" s="11">
        <f>IF(A193="","",IF(AND(J193="P4",F193="causal"),"P4-CAUSAL",""))</f>
        <v/>
      </c>
    </row>
    <row r="194" ht="15" customHeight="1" s="1">
      <c r="P194">
        <f>IF(OR(F194="",H194="",J194=""),"",J194&amp;"|"&amp;F194&amp;"|"&amp;IF(H194="W3","W3_"&amp;IF(I194="","unknown",I194),H194))</f>
        <v/>
      </c>
      <c r="Q194">
        <f>IF(P194="","",IFERROR(IF(AND(H194="W7",OR(F194="causal",F194="predictive")),IF(AND(OR(K194=1,K194="1"),OR(L194=1,L194="1"),OR(M194=1,M194="1")),"adequate","partial"),IF(AND(H194="W4",F194="predictive",OR(J194="P2",J194="P3",J194="P4")),IF(OR(U194=1,U194="1"),"adequate","partial"),INDEX(Fit_Matrix!$B:$B,MATCH(P194,Fit_Matrix!$A:$A,0)))),"CHECK KEY"))</f>
        <v/>
      </c>
      <c r="U194" s="10" t="n"/>
      <c r="V194" s="10" t="n"/>
      <c r="W194" s="10" t="n"/>
      <c r="X194" s="10" t="n"/>
      <c r="Y194" s="10" t="n"/>
      <c r="Z194" s="10" t="n"/>
      <c r="AA194" s="11">
        <f>IF(A194="","",IF(AND(J194="P4",F194="causal"),"P4-CAUSAL",""))</f>
        <v/>
      </c>
    </row>
    <row r="195" ht="15" customHeight="1" s="1">
      <c r="P195">
        <f>IF(OR(F195="",H195="",J195=""),"",J195&amp;"|"&amp;F195&amp;"|"&amp;IF(H195="W3","W3_"&amp;IF(I195="","unknown",I195),H195))</f>
        <v/>
      </c>
      <c r="Q195">
        <f>IF(P195="","",IFERROR(IF(AND(H195="W7",OR(F195="causal",F195="predictive")),IF(AND(OR(K195=1,K195="1"),OR(L195=1,L195="1"),OR(M195=1,M195="1")),"adequate","partial"),IF(AND(H195="W4",F195="predictive",OR(J195="P2",J195="P3",J195="P4")),IF(OR(U195=1,U195="1"),"adequate","partial"),INDEX(Fit_Matrix!$B:$B,MATCH(P195,Fit_Matrix!$A:$A,0)))),"CHECK KEY"))</f>
        <v/>
      </c>
      <c r="U195" s="10" t="n"/>
      <c r="V195" s="10" t="n"/>
      <c r="W195" s="10" t="n"/>
      <c r="X195" s="10" t="n"/>
      <c r="Y195" s="10" t="n"/>
      <c r="Z195" s="10" t="n"/>
      <c r="AA195" s="11">
        <f>IF(A195="","",IF(AND(J195="P4",F195="causal"),"P4-CAUSAL",""))</f>
        <v/>
      </c>
    </row>
    <row r="196" ht="15" customHeight="1" s="1">
      <c r="P196">
        <f>IF(OR(F196="",H196="",J196=""),"",J196&amp;"|"&amp;F196&amp;"|"&amp;IF(H196="W3","W3_"&amp;IF(I196="","unknown",I196),H196))</f>
        <v/>
      </c>
      <c r="Q196">
        <f>IF(P196="","",IFERROR(IF(AND(H196="W7",OR(F196="causal",F196="predictive")),IF(AND(OR(K196=1,K196="1"),OR(L196=1,L196="1"),OR(M196=1,M196="1")),"adequate","partial"),IF(AND(H196="W4",F196="predictive",OR(J196="P2",J196="P3",J196="P4")),IF(OR(U196=1,U196="1"),"adequate","partial"),INDEX(Fit_Matrix!$B:$B,MATCH(P196,Fit_Matrix!$A:$A,0)))),"CHECK KEY"))</f>
        <v/>
      </c>
      <c r="U196" s="10" t="n"/>
      <c r="V196" s="10" t="n"/>
      <c r="W196" s="10" t="n"/>
      <c r="X196" s="10" t="n"/>
      <c r="Y196" s="10" t="n"/>
      <c r="Z196" s="10" t="n"/>
      <c r="AA196" s="11">
        <f>IF(A196="","",IF(AND(J196="P4",F196="causal"),"P4-CAUSAL",""))</f>
        <v/>
      </c>
    </row>
    <row r="197" ht="15" customHeight="1" s="1">
      <c r="P197">
        <f>IF(OR(F197="",H197="",J197=""),"",J197&amp;"|"&amp;F197&amp;"|"&amp;IF(H197="W3","W3_"&amp;IF(I197="","unknown",I197),H197))</f>
        <v/>
      </c>
      <c r="Q197">
        <f>IF(P197="","",IFERROR(IF(AND(H197="W7",OR(F197="causal",F197="predictive")),IF(AND(OR(K197=1,K197="1"),OR(L197=1,L197="1"),OR(M197=1,M197="1")),"adequate","partial"),IF(AND(H197="W4",F197="predictive",OR(J197="P2",J197="P3",J197="P4")),IF(OR(U197=1,U197="1"),"adequate","partial"),INDEX(Fit_Matrix!$B:$B,MATCH(P197,Fit_Matrix!$A:$A,0)))),"CHECK KEY"))</f>
        <v/>
      </c>
      <c r="U197" s="10" t="n"/>
      <c r="V197" s="10" t="n"/>
      <c r="W197" s="10" t="n"/>
      <c r="X197" s="10" t="n"/>
      <c r="Y197" s="10" t="n"/>
      <c r="Z197" s="10" t="n"/>
      <c r="AA197" s="11">
        <f>IF(A197="","",IF(AND(J197="P4",F197="causal"),"P4-CAUSAL",""))</f>
        <v/>
      </c>
    </row>
    <row r="198" ht="15" customHeight="1" s="1">
      <c r="P198">
        <f>IF(OR(F198="",H198="",J198=""),"",J198&amp;"|"&amp;F198&amp;"|"&amp;IF(H198="W3","W3_"&amp;IF(I198="","unknown",I198),H198))</f>
        <v/>
      </c>
      <c r="Q198">
        <f>IF(P198="","",IFERROR(IF(AND(H198="W7",OR(F198="causal",F198="predictive")),IF(AND(OR(K198=1,K198="1"),OR(L198=1,L198="1"),OR(M198=1,M198="1")),"adequate","partial"),IF(AND(H198="W4",F198="predictive",OR(J198="P2",J198="P3",J198="P4")),IF(OR(U198=1,U198="1"),"adequate","partial"),INDEX(Fit_Matrix!$B:$B,MATCH(P198,Fit_Matrix!$A:$A,0)))),"CHECK KEY"))</f>
        <v/>
      </c>
      <c r="U198" s="10" t="n"/>
      <c r="V198" s="10" t="n"/>
      <c r="W198" s="10" t="n"/>
      <c r="X198" s="10" t="n"/>
      <c r="Y198" s="10" t="n"/>
      <c r="Z198" s="10" t="n"/>
      <c r="AA198" s="11">
        <f>IF(A198="","",IF(AND(J198="P4",F198="causal"),"P4-CAUSAL",""))</f>
        <v/>
      </c>
    </row>
    <row r="199" ht="15" customHeight="1" s="1">
      <c r="P199">
        <f>IF(OR(F199="",H199="",J199=""),"",J199&amp;"|"&amp;F199&amp;"|"&amp;IF(H199="W3","W3_"&amp;IF(I199="","unknown",I199),H199))</f>
        <v/>
      </c>
      <c r="Q199">
        <f>IF(P199="","",IFERROR(IF(AND(H199="W7",OR(F199="causal",F199="predictive")),IF(AND(OR(K199=1,K199="1"),OR(L199=1,L199="1"),OR(M199=1,M199="1")),"adequate","partial"),IF(AND(H199="W4",F199="predictive",OR(J199="P2",J199="P3",J199="P4")),IF(OR(U199=1,U199="1"),"adequate","partial"),INDEX(Fit_Matrix!$B:$B,MATCH(P199,Fit_Matrix!$A:$A,0)))),"CHECK KEY"))</f>
        <v/>
      </c>
      <c r="U199" s="10" t="n"/>
      <c r="V199" s="10" t="n"/>
      <c r="W199" s="10" t="n"/>
      <c r="X199" s="10" t="n"/>
      <c r="Y199" s="10" t="n"/>
      <c r="Z199" s="10" t="n"/>
      <c r="AA199" s="11">
        <f>IF(A199="","",IF(AND(J199="P4",F199="causal"),"P4-CAUSAL",""))</f>
        <v/>
      </c>
    </row>
    <row r="200" ht="15" customHeight="1" s="1">
      <c r="P200">
        <f>IF(OR(F200="",H200="",J200=""),"",J200&amp;"|"&amp;F200&amp;"|"&amp;IF(H200="W3","W3_"&amp;IF(I200="","unknown",I200),H200))</f>
        <v/>
      </c>
      <c r="Q200">
        <f>IF(P200="","",IFERROR(IF(AND(H200="W7",OR(F200="causal",F200="predictive")),IF(AND(OR(K200=1,K200="1"),OR(L200=1,L200="1"),OR(M200=1,M200="1")),"adequate","partial"),IF(AND(H200="W4",F200="predictive",OR(J200="P2",J200="P3",J200="P4")),IF(OR(U200=1,U200="1"),"adequate","partial"),INDEX(Fit_Matrix!$B:$B,MATCH(P200,Fit_Matrix!$A:$A,0)))),"CHECK KEY"))</f>
        <v/>
      </c>
      <c r="U200" s="10" t="n"/>
      <c r="V200" s="10" t="n"/>
      <c r="W200" s="10" t="n"/>
      <c r="X200" s="10" t="n"/>
      <c r="Y200" s="10" t="n"/>
      <c r="Z200" s="10" t="n"/>
      <c r="AA200" s="11">
        <f>IF(A200="","",IF(AND(J200="P4",F200="causal"),"P4-CAUSAL",""))</f>
        <v/>
      </c>
    </row>
    <row r="201" ht="15" customHeight="1" s="1">
      <c r="P201">
        <f>IF(OR(F201="",H201="",J201=""),"",J201&amp;"|"&amp;F201&amp;"|"&amp;IF(H201="W3","W3_"&amp;IF(I201="","unknown",I201),H201))</f>
        <v/>
      </c>
      <c r="Q201">
        <f>IF(P201="","",IFERROR(IF(AND(H201="W7",OR(F201="causal",F201="predictive")),IF(AND(OR(K201=1,K201="1"),OR(L201=1,L201="1"),OR(M201=1,M201="1")),"adequate","partial"),IF(AND(H201="W4",F201="predictive",OR(J201="P2",J201="P3",J201="P4")),IF(OR(U201=1,U201="1"),"adequate","partial"),INDEX(Fit_Matrix!$B:$B,MATCH(P201,Fit_Matrix!$A:$A,0)))),"CHECK KEY"))</f>
        <v/>
      </c>
      <c r="U201" s="10" t="n"/>
      <c r="V201" s="10" t="n"/>
      <c r="W201" s="10" t="n"/>
      <c r="X201" s="10" t="n"/>
      <c r="Y201" s="10" t="n"/>
      <c r="Z201" s="10" t="n"/>
      <c r="AA201" s="11">
        <f>IF(A201="","",IF(AND(J201="P4",F201="causal"),"P4-CAUSAL",""))</f>
        <v/>
      </c>
    </row>
    <row r="202" ht="15" customHeight="1" s="1">
      <c r="P202">
        <f>IF(OR(F202="",H202="",J202=""),"",J202&amp;"|"&amp;F202&amp;"|"&amp;IF(H202="W3","W3_"&amp;IF(I202="","unknown",I202),H202))</f>
        <v/>
      </c>
      <c r="Q202">
        <f>IF(P202="","",IFERROR(IF(AND(H202="W7",OR(F202="causal",F202="predictive")),IF(AND(OR(K202=1,K202="1"),OR(L202=1,L202="1"),OR(M202=1,M202="1")),"adequate","partial"),IF(AND(H202="W4",F202="predictive",OR(J202="P2",J202="P3",J202="P4")),IF(OR(U202=1,U202="1"),"adequate","partial"),INDEX(Fit_Matrix!$B:$B,MATCH(P202,Fit_Matrix!$A:$A,0)))),"CHECK KEY"))</f>
        <v/>
      </c>
      <c r="U202" s="10" t="n"/>
      <c r="V202" s="10" t="n"/>
      <c r="W202" s="10" t="n"/>
      <c r="X202" s="10" t="n"/>
      <c r="Y202" s="10" t="n"/>
      <c r="Z202" s="10" t="n"/>
      <c r="AA202" s="11">
        <f>IF(A202="","",IF(AND(J202="P4",F202="causal"),"P4-CAUSAL",""))</f>
        <v/>
      </c>
    </row>
    <row r="203" ht="15" customHeight="1" s="1">
      <c r="P203">
        <f>IF(OR(F203="",H203="",J203=""),"",J203&amp;"|"&amp;F203&amp;"|"&amp;IF(H203="W3","W3_"&amp;IF(I203="","unknown",I203),H203))</f>
        <v/>
      </c>
      <c r="Q203">
        <f>IF(P203="","",IFERROR(IF(AND(H203="W7",OR(F203="causal",F203="predictive")),IF(AND(OR(K203=1,K203="1"),OR(L203=1,L203="1"),OR(M203=1,M203="1")),"adequate","partial"),IF(AND(H203="W4",F203="predictive",OR(J203="P2",J203="P3",J203="P4")),IF(OR(U203=1,U203="1"),"adequate","partial"),INDEX(Fit_Matrix!$B:$B,MATCH(P203,Fit_Matrix!$A:$A,0)))),"CHECK KEY"))</f>
        <v/>
      </c>
      <c r="U203" s="10" t="n"/>
      <c r="V203" s="10" t="n"/>
      <c r="W203" s="10" t="n"/>
      <c r="X203" s="10" t="n"/>
      <c r="Y203" s="10" t="n"/>
      <c r="Z203" s="10" t="n"/>
      <c r="AA203" s="11">
        <f>IF(A203="","",IF(AND(J203="P4",F203="causal"),"P4-CAUSAL",""))</f>
        <v/>
      </c>
    </row>
    <row r="204" ht="15" customHeight="1" s="1">
      <c r="P204">
        <f>IF(OR(F204="",H204="",J204=""),"",J204&amp;"|"&amp;F204&amp;"|"&amp;IF(H204="W3","W3_"&amp;IF(I204="","unknown",I204),H204))</f>
        <v/>
      </c>
      <c r="Q204">
        <f>IF(P204="","",IFERROR(IF(AND(H204="W7",OR(F204="causal",F204="predictive")),IF(AND(OR(K204=1,K204="1"),OR(L204=1,L204="1"),OR(M204=1,M204="1")),"adequate","partial"),IF(AND(H204="W4",F204="predictive",OR(J204="P2",J204="P3",J204="P4")),IF(OR(U204=1,U204="1"),"adequate","partial"),INDEX(Fit_Matrix!$B:$B,MATCH(P204,Fit_Matrix!$A:$A,0)))),"CHECK KEY"))</f>
        <v/>
      </c>
      <c r="U204" s="10" t="n"/>
      <c r="V204" s="10" t="n"/>
      <c r="W204" s="10" t="n"/>
      <c r="X204" s="10" t="n"/>
      <c r="Y204" s="10" t="n"/>
      <c r="Z204" s="10" t="n"/>
      <c r="AA204" s="11">
        <f>IF(A204="","",IF(AND(J204="P4",F204="causal"),"P4-CAUSAL",""))</f>
        <v/>
      </c>
    </row>
    <row r="205" ht="15" customHeight="1" s="1">
      <c r="P205">
        <f>IF(OR(F205="",H205="",J205=""),"",J205&amp;"|"&amp;F205&amp;"|"&amp;IF(H205="W3","W3_"&amp;IF(I205="","unknown",I205),H205))</f>
        <v/>
      </c>
      <c r="Q205">
        <f>IF(P205="","",IFERROR(IF(AND(H205="W7",OR(F205="causal",F205="predictive")),IF(AND(OR(K205=1,K205="1"),OR(L205=1,L205="1"),OR(M205=1,M205="1")),"adequate","partial"),IF(AND(H205="W4",F205="predictive",OR(J205="P2",J205="P3",J205="P4")),IF(OR(U205=1,U205="1"),"adequate","partial"),INDEX(Fit_Matrix!$B:$B,MATCH(P205,Fit_Matrix!$A:$A,0)))),"CHECK KEY"))</f>
        <v/>
      </c>
      <c r="U205" s="10" t="n"/>
      <c r="V205" s="10" t="n"/>
      <c r="W205" s="10" t="n"/>
      <c r="X205" s="10" t="n"/>
      <c r="Y205" s="10" t="n"/>
      <c r="Z205" s="10" t="n"/>
      <c r="AA205" s="11">
        <f>IF(A205="","",IF(AND(J205="P4",F205="causal"),"P4-CAUSAL",""))</f>
        <v/>
      </c>
    </row>
    <row r="206" ht="15" customHeight="1" s="1">
      <c r="P206">
        <f>IF(OR(F206="",H206="",J206=""),"",J206&amp;"|"&amp;F206&amp;"|"&amp;IF(H206="W3","W3_"&amp;IF(I206="","unknown",I206),H206))</f>
        <v/>
      </c>
      <c r="Q206">
        <f>IF(P206="","",IFERROR(IF(AND(H206="W7",OR(F206="causal",F206="predictive")),IF(AND(OR(K206=1,K206="1"),OR(L206=1,L206="1"),OR(M206=1,M206="1")),"adequate","partial"),IF(AND(H206="W4",F206="predictive",OR(J206="P2",J206="P3",J206="P4")),IF(OR(U206=1,U206="1"),"adequate","partial"),INDEX(Fit_Matrix!$B:$B,MATCH(P206,Fit_Matrix!$A:$A,0)))),"CHECK KEY"))</f>
        <v/>
      </c>
      <c r="U206" s="10" t="n"/>
      <c r="V206" s="10" t="n"/>
      <c r="W206" s="10" t="n"/>
      <c r="X206" s="10" t="n"/>
      <c r="Y206" s="10" t="n"/>
      <c r="Z206" s="10" t="n"/>
      <c r="AA206" s="11">
        <f>IF(A206="","",IF(AND(J206="P4",F206="causal"),"P4-CAUSAL",""))</f>
        <v/>
      </c>
    </row>
    <row r="207" ht="15" customHeight="1" s="1">
      <c r="P207">
        <f>IF(OR(F207="",H207="",J207=""),"",J207&amp;"|"&amp;F207&amp;"|"&amp;IF(H207="W3","W3_"&amp;IF(I207="","unknown",I207),H207))</f>
        <v/>
      </c>
      <c r="Q207">
        <f>IF(P207="","",IFERROR(IF(AND(H207="W7",OR(F207="causal",F207="predictive")),IF(AND(OR(K207=1,K207="1"),OR(L207=1,L207="1"),OR(M207=1,M207="1")),"adequate","partial"),IF(AND(H207="W4",F207="predictive",OR(J207="P2",J207="P3",J207="P4")),IF(OR(U207=1,U207="1"),"adequate","partial"),INDEX(Fit_Matrix!$B:$B,MATCH(P207,Fit_Matrix!$A:$A,0)))),"CHECK KEY"))</f>
        <v/>
      </c>
      <c r="U207" s="10" t="n"/>
      <c r="V207" s="10" t="n"/>
      <c r="W207" s="10" t="n"/>
      <c r="X207" s="10" t="n"/>
      <c r="Y207" s="10" t="n"/>
      <c r="Z207" s="10" t="n"/>
      <c r="AA207" s="11">
        <f>IF(A207="","",IF(AND(J207="P4",F207="causal"),"P4-CAUSAL",""))</f>
        <v/>
      </c>
    </row>
    <row r="208" ht="15" customHeight="1" s="1">
      <c r="P208">
        <f>IF(OR(F208="",H208="",J208=""),"",J208&amp;"|"&amp;F208&amp;"|"&amp;IF(H208="W3","W3_"&amp;IF(I208="","unknown",I208),H208))</f>
        <v/>
      </c>
      <c r="Q208">
        <f>IF(P208="","",IFERROR(IF(AND(H208="W7",OR(F208="causal",F208="predictive")),IF(AND(OR(K208=1,K208="1"),OR(L208=1,L208="1"),OR(M208=1,M208="1")),"adequate","partial"),IF(AND(H208="W4",F208="predictive",OR(J208="P2",J208="P3",J208="P4")),IF(OR(U208=1,U208="1"),"adequate","partial"),INDEX(Fit_Matrix!$B:$B,MATCH(P208,Fit_Matrix!$A:$A,0)))),"CHECK KEY"))</f>
        <v/>
      </c>
      <c r="U208" s="10" t="n"/>
      <c r="V208" s="10" t="n"/>
      <c r="W208" s="10" t="n"/>
      <c r="X208" s="10" t="n"/>
      <c r="Y208" s="10" t="n"/>
      <c r="Z208" s="10" t="n"/>
      <c r="AA208" s="11">
        <f>IF(A208="","",IF(AND(J208="P4",F208="causal"),"P4-CAUSAL",""))</f>
        <v/>
      </c>
    </row>
    <row r="209" ht="15" customHeight="1" s="1">
      <c r="P209">
        <f>IF(OR(F209="",H209="",J209=""),"",J209&amp;"|"&amp;F209&amp;"|"&amp;IF(H209="W3","W3_"&amp;IF(I209="","unknown",I209),H209))</f>
        <v/>
      </c>
      <c r="Q209">
        <f>IF(P209="","",IFERROR(IF(AND(H209="W7",OR(F209="causal",F209="predictive")),IF(AND(OR(K209=1,K209="1"),OR(L209=1,L209="1"),OR(M209=1,M209="1")),"adequate","partial"),IF(AND(H209="W4",F209="predictive",OR(J209="P2",J209="P3",J209="P4")),IF(OR(U209=1,U209="1"),"adequate","partial"),INDEX(Fit_Matrix!$B:$B,MATCH(P209,Fit_Matrix!$A:$A,0)))),"CHECK KEY"))</f>
        <v/>
      </c>
      <c r="U209" s="10" t="n"/>
      <c r="V209" s="10" t="n"/>
      <c r="W209" s="10" t="n"/>
      <c r="X209" s="10" t="n"/>
      <c r="Y209" s="10" t="n"/>
      <c r="Z209" s="10" t="n"/>
      <c r="AA209" s="11">
        <f>IF(A209="","",IF(AND(J209="P4",F209="causal"),"P4-CAUSAL",""))</f>
        <v/>
      </c>
    </row>
    <row r="210" ht="15" customHeight="1" s="1">
      <c r="P210">
        <f>IF(OR(F210="",H210="",J210=""),"",J210&amp;"|"&amp;F210&amp;"|"&amp;IF(H210="W3","W3_"&amp;IF(I210="","unknown",I210),H210))</f>
        <v/>
      </c>
      <c r="Q210">
        <f>IF(P210="","",IFERROR(IF(AND(H210="W7",OR(F210="causal",F210="predictive")),IF(AND(OR(K210=1,K210="1"),OR(L210=1,L210="1"),OR(M210=1,M210="1")),"adequate","partial"),IF(AND(H210="W4",F210="predictive",OR(J210="P2",J210="P3",J210="P4")),IF(OR(U210=1,U210="1"),"adequate","partial"),INDEX(Fit_Matrix!$B:$B,MATCH(P210,Fit_Matrix!$A:$A,0)))),"CHECK KEY"))</f>
        <v/>
      </c>
      <c r="U210" s="10" t="n"/>
      <c r="V210" s="10" t="n"/>
      <c r="W210" s="10" t="n"/>
      <c r="X210" s="10" t="n"/>
      <c r="Y210" s="10" t="n"/>
      <c r="Z210" s="10" t="n"/>
      <c r="AA210" s="11">
        <f>IF(A210="","",IF(AND(J210="P4",F210="causal"),"P4-CAUSAL",""))</f>
        <v/>
      </c>
    </row>
    <row r="211" ht="15" customHeight="1" s="1">
      <c r="P211">
        <f>IF(OR(F211="",H211="",J211=""),"",J211&amp;"|"&amp;F211&amp;"|"&amp;IF(H211="W3","W3_"&amp;IF(I211="","unknown",I211),H211))</f>
        <v/>
      </c>
      <c r="Q211">
        <f>IF(P211="","",IFERROR(IF(AND(H211="W7",OR(F211="causal",F211="predictive")),IF(AND(OR(K211=1,K211="1"),OR(L211=1,L211="1"),OR(M211=1,M211="1")),"adequate","partial"),IF(AND(H211="W4",F211="predictive",OR(J211="P2",J211="P3",J211="P4")),IF(OR(U211=1,U211="1"),"adequate","partial"),INDEX(Fit_Matrix!$B:$B,MATCH(P211,Fit_Matrix!$A:$A,0)))),"CHECK KEY"))</f>
        <v/>
      </c>
      <c r="U211" s="10" t="n"/>
      <c r="V211" s="10" t="n"/>
      <c r="W211" s="10" t="n"/>
      <c r="X211" s="10" t="n"/>
      <c r="Y211" s="10" t="n"/>
      <c r="Z211" s="10" t="n"/>
      <c r="AA211" s="11">
        <f>IF(A211="","",IF(AND(J211="P4",F211="causal"),"P4-CAUSAL",""))</f>
        <v/>
      </c>
    </row>
    <row r="212" ht="15" customHeight="1" s="1">
      <c r="P212">
        <f>IF(OR(F212="",H212="",J212=""),"",J212&amp;"|"&amp;F212&amp;"|"&amp;IF(H212="W3","W3_"&amp;IF(I212="","unknown",I212),H212))</f>
        <v/>
      </c>
      <c r="Q212">
        <f>IF(P212="","",IFERROR(IF(AND(H212="W7",OR(F212="causal",F212="predictive")),IF(AND(OR(K212=1,K212="1"),OR(L212=1,L212="1"),OR(M212=1,M212="1")),"adequate","partial"),IF(AND(H212="W4",F212="predictive",OR(J212="P2",J212="P3",J212="P4")),IF(OR(U212=1,U212="1"),"adequate","partial"),INDEX(Fit_Matrix!$B:$B,MATCH(P212,Fit_Matrix!$A:$A,0)))),"CHECK KEY"))</f>
        <v/>
      </c>
      <c r="U212" s="10" t="n"/>
      <c r="V212" s="10" t="n"/>
      <c r="W212" s="10" t="n"/>
      <c r="X212" s="10" t="n"/>
      <c r="Y212" s="10" t="n"/>
      <c r="Z212" s="10" t="n"/>
      <c r="AA212" s="11">
        <f>IF(A212="","",IF(AND(J212="P4",F212="causal"),"P4-CAUSAL",""))</f>
        <v/>
      </c>
    </row>
    <row r="213" ht="15" customHeight="1" s="1">
      <c r="P213">
        <f>IF(OR(F213="",H213="",J213=""),"",J213&amp;"|"&amp;F213&amp;"|"&amp;IF(H213="W3","W3_"&amp;IF(I213="","unknown",I213),H213))</f>
        <v/>
      </c>
      <c r="Q213">
        <f>IF(P213="","",IFERROR(IF(AND(H213="W7",OR(F213="causal",F213="predictive")),IF(AND(OR(K213=1,K213="1"),OR(L213=1,L213="1"),OR(M213=1,M213="1")),"adequate","partial"),IF(AND(H213="W4",F213="predictive",OR(J213="P2",J213="P3",J213="P4")),IF(OR(U213=1,U213="1"),"adequate","partial"),INDEX(Fit_Matrix!$B:$B,MATCH(P213,Fit_Matrix!$A:$A,0)))),"CHECK KEY"))</f>
        <v/>
      </c>
      <c r="U213" s="10" t="n"/>
      <c r="V213" s="10" t="n"/>
      <c r="W213" s="10" t="n"/>
      <c r="X213" s="10" t="n"/>
      <c r="Y213" s="10" t="n"/>
      <c r="Z213" s="10" t="n"/>
      <c r="AA213" s="11">
        <f>IF(A213="","",IF(AND(J213="P4",F213="causal"),"P4-CAUSAL",""))</f>
        <v/>
      </c>
    </row>
    <row r="214" ht="15" customHeight="1" s="1">
      <c r="P214">
        <f>IF(OR(F214="",H214="",J214=""),"",J214&amp;"|"&amp;F214&amp;"|"&amp;IF(H214="W3","W3_"&amp;IF(I214="","unknown",I214),H214))</f>
        <v/>
      </c>
      <c r="Q214">
        <f>IF(P214="","",IFERROR(IF(AND(H214="W7",OR(F214="causal",F214="predictive")),IF(AND(OR(K214=1,K214="1"),OR(L214=1,L214="1"),OR(M214=1,M214="1")),"adequate","partial"),IF(AND(H214="W4",F214="predictive",OR(J214="P2",J214="P3",J214="P4")),IF(OR(U214=1,U214="1"),"adequate","partial"),INDEX(Fit_Matrix!$B:$B,MATCH(P214,Fit_Matrix!$A:$A,0)))),"CHECK KEY"))</f>
        <v/>
      </c>
      <c r="U214" s="10" t="n"/>
      <c r="V214" s="10" t="n"/>
      <c r="W214" s="10" t="n"/>
      <c r="X214" s="10" t="n"/>
      <c r="Y214" s="10" t="n"/>
      <c r="Z214" s="10" t="n"/>
      <c r="AA214" s="11">
        <f>IF(A214="","",IF(AND(J214="P4",F214="causal"),"P4-CAUSAL",""))</f>
        <v/>
      </c>
    </row>
    <row r="215" ht="15" customHeight="1" s="1">
      <c r="P215">
        <f>IF(OR(F215="",H215="",J215=""),"",J215&amp;"|"&amp;F215&amp;"|"&amp;IF(H215="W3","W3_"&amp;IF(I215="","unknown",I215),H215))</f>
        <v/>
      </c>
      <c r="Q215">
        <f>IF(P215="","",IFERROR(IF(AND(H215="W7",OR(F215="causal",F215="predictive")),IF(AND(OR(K215=1,K215="1"),OR(L215=1,L215="1"),OR(M215=1,M215="1")),"adequate","partial"),IF(AND(H215="W4",F215="predictive",OR(J215="P2",J215="P3",J215="P4")),IF(OR(U215=1,U215="1"),"adequate","partial"),INDEX(Fit_Matrix!$B:$B,MATCH(P215,Fit_Matrix!$A:$A,0)))),"CHECK KEY"))</f>
        <v/>
      </c>
      <c r="U215" s="10" t="n"/>
      <c r="V215" s="10" t="n"/>
      <c r="W215" s="10" t="n"/>
      <c r="X215" s="10" t="n"/>
      <c r="Y215" s="10" t="n"/>
      <c r="Z215" s="10" t="n"/>
      <c r="AA215" s="11">
        <f>IF(A215="","",IF(AND(J215="P4",F215="causal"),"P4-CAUSAL",""))</f>
        <v/>
      </c>
    </row>
    <row r="216" ht="15" customHeight="1" s="1">
      <c r="P216">
        <f>IF(OR(F216="",H216="",J216=""),"",J216&amp;"|"&amp;F216&amp;"|"&amp;IF(H216="W3","W3_"&amp;IF(I216="","unknown",I216),H216))</f>
        <v/>
      </c>
      <c r="Q216">
        <f>IF(P216="","",IFERROR(IF(AND(H216="W7",OR(F216="causal",F216="predictive")),IF(AND(OR(K216=1,K216="1"),OR(L216=1,L216="1"),OR(M216=1,M216="1")),"adequate","partial"),IF(AND(H216="W4",F216="predictive",OR(J216="P2",J216="P3",J216="P4")),IF(OR(U216=1,U216="1"),"adequate","partial"),INDEX(Fit_Matrix!$B:$B,MATCH(P216,Fit_Matrix!$A:$A,0)))),"CHECK KEY"))</f>
        <v/>
      </c>
      <c r="U216" s="10" t="n"/>
      <c r="V216" s="10" t="n"/>
      <c r="W216" s="10" t="n"/>
      <c r="X216" s="10" t="n"/>
      <c r="Y216" s="10" t="n"/>
      <c r="Z216" s="10" t="n"/>
      <c r="AA216" s="11">
        <f>IF(A216="","",IF(AND(J216="P4",F216="causal"),"P4-CAUSAL",""))</f>
        <v/>
      </c>
    </row>
    <row r="217" ht="15" customHeight="1" s="1">
      <c r="P217">
        <f>IF(OR(F217="",H217="",J217=""),"",J217&amp;"|"&amp;F217&amp;"|"&amp;IF(H217="W3","W3_"&amp;IF(I217="","unknown",I217),H217))</f>
        <v/>
      </c>
      <c r="Q217">
        <f>IF(P217="","",IFERROR(IF(AND(H217="W7",OR(F217="causal",F217="predictive")),IF(AND(OR(K217=1,K217="1"),OR(L217=1,L217="1"),OR(M217=1,M217="1")),"adequate","partial"),IF(AND(H217="W4",F217="predictive",OR(J217="P2",J217="P3",J217="P4")),IF(OR(U217=1,U217="1"),"adequate","partial"),INDEX(Fit_Matrix!$B:$B,MATCH(P217,Fit_Matrix!$A:$A,0)))),"CHECK KEY"))</f>
        <v/>
      </c>
      <c r="U217" s="10" t="n"/>
      <c r="V217" s="10" t="n"/>
      <c r="W217" s="10" t="n"/>
      <c r="X217" s="10" t="n"/>
      <c r="Y217" s="10" t="n"/>
      <c r="Z217" s="10" t="n"/>
      <c r="AA217" s="11">
        <f>IF(A217="","",IF(AND(J217="P4",F217="causal"),"P4-CAUSAL",""))</f>
        <v/>
      </c>
    </row>
    <row r="218" ht="15" customHeight="1" s="1">
      <c r="P218">
        <f>IF(OR(F218="",H218="",J218=""),"",J218&amp;"|"&amp;F218&amp;"|"&amp;IF(H218="W3","W3_"&amp;IF(I218="","unknown",I218),H218))</f>
        <v/>
      </c>
      <c r="Q218">
        <f>IF(P218="","",IFERROR(IF(AND(H218="W7",OR(F218="causal",F218="predictive")),IF(AND(OR(K218=1,K218="1"),OR(L218=1,L218="1"),OR(M218=1,M218="1")),"adequate","partial"),IF(AND(H218="W4",F218="predictive",OR(J218="P2",J218="P3",J218="P4")),IF(OR(U218=1,U218="1"),"adequate","partial"),INDEX(Fit_Matrix!$B:$B,MATCH(P218,Fit_Matrix!$A:$A,0)))),"CHECK KEY"))</f>
        <v/>
      </c>
      <c r="U218" s="10" t="n"/>
      <c r="V218" s="10" t="n"/>
      <c r="W218" s="10" t="n"/>
      <c r="X218" s="10" t="n"/>
      <c r="Y218" s="10" t="n"/>
      <c r="Z218" s="10" t="n"/>
      <c r="AA218" s="11">
        <f>IF(A218="","",IF(AND(J218="P4",F218="causal"),"P4-CAUSAL",""))</f>
        <v/>
      </c>
    </row>
    <row r="219" ht="15" customHeight="1" s="1">
      <c r="P219">
        <f>IF(OR(F219="",H219="",J219=""),"",J219&amp;"|"&amp;F219&amp;"|"&amp;IF(H219="W3","W3_"&amp;IF(I219="","unknown",I219),H219))</f>
        <v/>
      </c>
      <c r="Q219">
        <f>IF(P219="","",IFERROR(IF(AND(H219="W7",OR(F219="causal",F219="predictive")),IF(AND(OR(K219=1,K219="1"),OR(L219=1,L219="1"),OR(M219=1,M219="1")),"adequate","partial"),IF(AND(H219="W4",F219="predictive",OR(J219="P2",J219="P3",J219="P4")),IF(OR(U219=1,U219="1"),"adequate","partial"),INDEX(Fit_Matrix!$B:$B,MATCH(P219,Fit_Matrix!$A:$A,0)))),"CHECK KEY"))</f>
        <v/>
      </c>
      <c r="U219" s="10" t="n"/>
      <c r="V219" s="10" t="n"/>
      <c r="W219" s="10" t="n"/>
      <c r="X219" s="10" t="n"/>
      <c r="Y219" s="10" t="n"/>
      <c r="Z219" s="10" t="n"/>
      <c r="AA219" s="11">
        <f>IF(A219="","",IF(AND(J219="P4",F219="causal"),"P4-CAUSAL",""))</f>
        <v/>
      </c>
    </row>
    <row r="220" ht="15" customHeight="1" s="1">
      <c r="P220">
        <f>IF(OR(F220="",H220="",J220=""),"",J220&amp;"|"&amp;F220&amp;"|"&amp;IF(H220="W3","W3_"&amp;IF(I220="","unknown",I220),H220))</f>
        <v/>
      </c>
      <c r="Q220">
        <f>IF(P220="","",IFERROR(IF(AND(H220="W7",OR(F220="causal",F220="predictive")),IF(AND(OR(K220=1,K220="1"),OR(L220=1,L220="1"),OR(M220=1,M220="1")),"adequate","partial"),IF(AND(H220="W4",F220="predictive",OR(J220="P2",J220="P3",J220="P4")),IF(OR(U220=1,U220="1"),"adequate","partial"),INDEX(Fit_Matrix!$B:$B,MATCH(P220,Fit_Matrix!$A:$A,0)))),"CHECK KEY"))</f>
        <v/>
      </c>
      <c r="U220" s="10" t="n"/>
      <c r="V220" s="10" t="n"/>
      <c r="W220" s="10" t="n"/>
      <c r="X220" s="10" t="n"/>
      <c r="Y220" s="10" t="n"/>
      <c r="Z220" s="10" t="n"/>
      <c r="AA220" s="11">
        <f>IF(A220="","",IF(AND(J220="P4",F220="causal"),"P4-CAUSAL",""))</f>
        <v/>
      </c>
    </row>
    <row r="221" ht="15" customHeight="1" s="1">
      <c r="P221">
        <f>IF(OR(F221="",H221="",J221=""),"",J221&amp;"|"&amp;F221&amp;"|"&amp;IF(H221="W3","W3_"&amp;IF(I221="","unknown",I221),H221))</f>
        <v/>
      </c>
      <c r="Q221">
        <f>IF(P221="","",IFERROR(IF(AND(H221="W7",OR(F221="causal",F221="predictive")),IF(AND(OR(K221=1,K221="1"),OR(L221=1,L221="1"),OR(M221=1,M221="1")),"adequate","partial"),IF(AND(H221="W4",F221="predictive",OR(J221="P2",J221="P3",J221="P4")),IF(OR(U221=1,U221="1"),"adequate","partial"),INDEX(Fit_Matrix!$B:$B,MATCH(P221,Fit_Matrix!$A:$A,0)))),"CHECK KEY"))</f>
        <v/>
      </c>
      <c r="U221" s="10" t="n"/>
      <c r="V221" s="10" t="n"/>
      <c r="W221" s="10" t="n"/>
      <c r="X221" s="10" t="n"/>
      <c r="Y221" s="10" t="n"/>
      <c r="Z221" s="10" t="n"/>
      <c r="AA221" s="11">
        <f>IF(A221="","",IF(AND(J221="P4",F221="causal"),"P4-CAUSAL",""))</f>
        <v/>
      </c>
    </row>
    <row r="222" ht="15" customHeight="1" s="1">
      <c r="P222">
        <f>IF(OR(F222="",H222="",J222=""),"",J222&amp;"|"&amp;F222&amp;"|"&amp;IF(H222="W3","W3_"&amp;IF(I222="","unknown",I222),H222))</f>
        <v/>
      </c>
      <c r="Q222">
        <f>IF(P222="","",IFERROR(IF(AND(H222="W7",OR(F222="causal",F222="predictive")),IF(AND(OR(K222=1,K222="1"),OR(L222=1,L222="1"),OR(M222=1,M222="1")),"adequate","partial"),IF(AND(H222="W4",F222="predictive",OR(J222="P2",J222="P3",J222="P4")),IF(OR(U222=1,U222="1"),"adequate","partial"),INDEX(Fit_Matrix!$B:$B,MATCH(P222,Fit_Matrix!$A:$A,0)))),"CHECK KEY"))</f>
        <v/>
      </c>
      <c r="U222" s="10" t="n"/>
      <c r="V222" s="10" t="n"/>
      <c r="W222" s="10" t="n"/>
      <c r="X222" s="10" t="n"/>
      <c r="Y222" s="10" t="n"/>
      <c r="Z222" s="10" t="n"/>
      <c r="AA222" s="11">
        <f>IF(A222="","",IF(AND(J222="P4",F222="causal"),"P4-CAUSAL",""))</f>
        <v/>
      </c>
    </row>
    <row r="223" ht="15" customHeight="1" s="1">
      <c r="P223">
        <f>IF(OR(F223="",H223="",J223=""),"",J223&amp;"|"&amp;F223&amp;"|"&amp;IF(H223="W3","W3_"&amp;IF(I223="","unknown",I223),H223))</f>
        <v/>
      </c>
      <c r="Q223">
        <f>IF(P223="","",IFERROR(IF(AND(H223="W7",OR(F223="causal",F223="predictive")),IF(AND(OR(K223=1,K223="1"),OR(L223=1,L223="1"),OR(M223=1,M223="1")),"adequate","partial"),IF(AND(H223="W4",F223="predictive",OR(J223="P2",J223="P3",J223="P4")),IF(OR(U223=1,U223="1"),"adequate","partial"),INDEX(Fit_Matrix!$B:$B,MATCH(P223,Fit_Matrix!$A:$A,0)))),"CHECK KEY"))</f>
        <v/>
      </c>
      <c r="U223" s="10" t="n"/>
      <c r="V223" s="10" t="n"/>
      <c r="W223" s="10" t="n"/>
      <c r="X223" s="10" t="n"/>
      <c r="Y223" s="10" t="n"/>
      <c r="Z223" s="10" t="n"/>
      <c r="AA223" s="11">
        <f>IF(A223="","",IF(AND(J223="P4",F223="causal"),"P4-CAUSAL",""))</f>
        <v/>
      </c>
    </row>
    <row r="224" ht="15" customHeight="1" s="1">
      <c r="P224">
        <f>IF(OR(F224="",H224="",J224=""),"",J224&amp;"|"&amp;F224&amp;"|"&amp;IF(H224="W3","W3_"&amp;IF(I224="","unknown",I224),H224))</f>
        <v/>
      </c>
      <c r="Q224">
        <f>IF(P224="","",IFERROR(IF(AND(H224="W7",OR(F224="causal",F224="predictive")),IF(AND(OR(K224=1,K224="1"),OR(L224=1,L224="1"),OR(M224=1,M224="1")),"adequate","partial"),IF(AND(H224="W4",F224="predictive",OR(J224="P2",J224="P3",J224="P4")),IF(OR(U224=1,U224="1"),"adequate","partial"),INDEX(Fit_Matrix!$B:$B,MATCH(P224,Fit_Matrix!$A:$A,0)))),"CHECK KEY"))</f>
        <v/>
      </c>
      <c r="U224" s="10" t="n"/>
      <c r="V224" s="10" t="n"/>
      <c r="W224" s="10" t="n"/>
      <c r="X224" s="10" t="n"/>
      <c r="Y224" s="10" t="n"/>
      <c r="Z224" s="10" t="n"/>
      <c r="AA224" s="11">
        <f>IF(A224="","",IF(AND(J224="P4",F224="causal"),"P4-CAUSAL",""))</f>
        <v/>
      </c>
    </row>
    <row r="225" ht="15" customHeight="1" s="1">
      <c r="P225">
        <f>IF(OR(F225="",H225="",J225=""),"",J225&amp;"|"&amp;F225&amp;"|"&amp;IF(H225="W3","W3_"&amp;IF(I225="","unknown",I225),H225))</f>
        <v/>
      </c>
      <c r="Q225">
        <f>IF(P225="","",IFERROR(IF(AND(H225="W7",OR(F225="causal",F225="predictive")),IF(AND(OR(K225=1,K225="1"),OR(L225=1,L225="1"),OR(M225=1,M225="1")),"adequate","partial"),IF(AND(H225="W4",F225="predictive",OR(J225="P2",J225="P3",J225="P4")),IF(OR(U225=1,U225="1"),"adequate","partial"),INDEX(Fit_Matrix!$B:$B,MATCH(P225,Fit_Matrix!$A:$A,0)))),"CHECK KEY"))</f>
        <v/>
      </c>
      <c r="U225" s="10" t="n"/>
      <c r="V225" s="10" t="n"/>
      <c r="W225" s="10" t="n"/>
      <c r="X225" s="10" t="n"/>
      <c r="Y225" s="10" t="n"/>
      <c r="Z225" s="10" t="n"/>
      <c r="AA225" s="11">
        <f>IF(A225="","",IF(AND(J225="P4",F225="causal"),"P4-CAUSAL",""))</f>
        <v/>
      </c>
    </row>
    <row r="226" ht="15" customHeight="1" s="1">
      <c r="P226">
        <f>IF(OR(F226="",H226="",J226=""),"",J226&amp;"|"&amp;F226&amp;"|"&amp;IF(H226="W3","W3_"&amp;IF(I226="","unknown",I226),H226))</f>
        <v/>
      </c>
      <c r="Q226">
        <f>IF(P226="","",IFERROR(IF(AND(H226="W7",OR(F226="causal",F226="predictive")),IF(AND(OR(K226=1,K226="1"),OR(L226=1,L226="1"),OR(M226=1,M226="1")),"adequate","partial"),IF(AND(H226="W4",F226="predictive",OR(J226="P2",J226="P3",J226="P4")),IF(OR(U226=1,U226="1"),"adequate","partial"),INDEX(Fit_Matrix!$B:$B,MATCH(P226,Fit_Matrix!$A:$A,0)))),"CHECK KEY"))</f>
        <v/>
      </c>
      <c r="U226" s="10" t="n"/>
      <c r="V226" s="10" t="n"/>
      <c r="W226" s="10" t="n"/>
      <c r="X226" s="10" t="n"/>
      <c r="Y226" s="10" t="n"/>
      <c r="Z226" s="10" t="n"/>
      <c r="AA226" s="11">
        <f>IF(A226="","",IF(AND(J226="P4",F226="causal"),"P4-CAUSAL",""))</f>
        <v/>
      </c>
    </row>
    <row r="227" ht="15" customHeight="1" s="1">
      <c r="P227">
        <f>IF(OR(F227="",H227="",J227=""),"",J227&amp;"|"&amp;F227&amp;"|"&amp;IF(H227="W3","W3_"&amp;IF(I227="","unknown",I227),H227))</f>
        <v/>
      </c>
      <c r="Q227">
        <f>IF(P227="","",IFERROR(IF(AND(H227="W7",OR(F227="causal",F227="predictive")),IF(AND(OR(K227=1,K227="1"),OR(L227=1,L227="1"),OR(M227=1,M227="1")),"adequate","partial"),IF(AND(H227="W4",F227="predictive",OR(J227="P2",J227="P3",J227="P4")),IF(OR(U227=1,U227="1"),"adequate","partial"),INDEX(Fit_Matrix!$B:$B,MATCH(P227,Fit_Matrix!$A:$A,0)))),"CHECK KEY"))</f>
        <v/>
      </c>
      <c r="U227" s="10" t="n"/>
      <c r="V227" s="10" t="n"/>
      <c r="W227" s="10" t="n"/>
      <c r="X227" s="10" t="n"/>
      <c r="Y227" s="10" t="n"/>
      <c r="Z227" s="10" t="n"/>
      <c r="AA227" s="11">
        <f>IF(A227="","",IF(AND(J227="P4",F227="causal"),"P4-CAUSAL",""))</f>
        <v/>
      </c>
    </row>
    <row r="228" ht="15" customHeight="1" s="1">
      <c r="P228">
        <f>IF(OR(F228="",H228="",J228=""),"",J228&amp;"|"&amp;F228&amp;"|"&amp;IF(H228="W3","W3_"&amp;IF(I228="","unknown",I228),H228))</f>
        <v/>
      </c>
      <c r="Q228">
        <f>IF(P228="","",IFERROR(IF(AND(H228="W7",OR(F228="causal",F228="predictive")),IF(AND(OR(K228=1,K228="1"),OR(L228=1,L228="1"),OR(M228=1,M228="1")),"adequate","partial"),IF(AND(H228="W4",F228="predictive",OR(J228="P2",J228="P3",J228="P4")),IF(OR(U228=1,U228="1"),"adequate","partial"),INDEX(Fit_Matrix!$B:$B,MATCH(P228,Fit_Matrix!$A:$A,0)))),"CHECK KEY"))</f>
        <v/>
      </c>
      <c r="U228" s="10" t="n"/>
      <c r="V228" s="10" t="n"/>
      <c r="W228" s="10" t="n"/>
      <c r="X228" s="10" t="n"/>
      <c r="Y228" s="10" t="n"/>
      <c r="Z228" s="10" t="n"/>
      <c r="AA228" s="11">
        <f>IF(A228="","",IF(AND(J228="P4",F228="causal"),"P4-CAUSAL",""))</f>
        <v/>
      </c>
    </row>
    <row r="229" ht="15" customHeight="1" s="1">
      <c r="P229">
        <f>IF(OR(F229="",H229="",J229=""),"",J229&amp;"|"&amp;F229&amp;"|"&amp;IF(H229="W3","W3_"&amp;IF(I229="","unknown",I229),H229))</f>
        <v/>
      </c>
      <c r="Q229">
        <f>IF(P229="","",IFERROR(IF(AND(H229="W7",OR(F229="causal",F229="predictive")),IF(AND(OR(K229=1,K229="1"),OR(L229=1,L229="1"),OR(M229=1,M229="1")),"adequate","partial"),IF(AND(H229="W4",F229="predictive",OR(J229="P2",J229="P3",J229="P4")),IF(OR(U229=1,U229="1"),"adequate","partial"),INDEX(Fit_Matrix!$B:$B,MATCH(P229,Fit_Matrix!$A:$A,0)))),"CHECK KEY"))</f>
        <v/>
      </c>
      <c r="U229" s="10" t="n"/>
      <c r="V229" s="10" t="n"/>
      <c r="W229" s="10" t="n"/>
      <c r="X229" s="10" t="n"/>
      <c r="Y229" s="10" t="n"/>
      <c r="Z229" s="10" t="n"/>
      <c r="AA229" s="11">
        <f>IF(A229="","",IF(AND(J229="P4",F229="causal"),"P4-CAUSAL",""))</f>
        <v/>
      </c>
    </row>
    <row r="230" ht="15" customHeight="1" s="1">
      <c r="P230">
        <f>IF(OR(F230="",H230="",J230=""),"",J230&amp;"|"&amp;F230&amp;"|"&amp;IF(H230="W3","W3_"&amp;IF(I230="","unknown",I230),H230))</f>
        <v/>
      </c>
      <c r="Q230">
        <f>IF(P230="","",IFERROR(IF(AND(H230="W7",OR(F230="causal",F230="predictive")),IF(AND(OR(K230=1,K230="1"),OR(L230=1,L230="1"),OR(M230=1,M230="1")),"adequate","partial"),IF(AND(H230="W4",F230="predictive",OR(J230="P2",J230="P3",J230="P4")),IF(OR(U230=1,U230="1"),"adequate","partial"),INDEX(Fit_Matrix!$B:$B,MATCH(P230,Fit_Matrix!$A:$A,0)))),"CHECK KEY"))</f>
        <v/>
      </c>
      <c r="U230" s="10" t="n"/>
      <c r="V230" s="10" t="n"/>
      <c r="W230" s="10" t="n"/>
      <c r="X230" s="10" t="n"/>
      <c r="Y230" s="10" t="n"/>
      <c r="Z230" s="10" t="n"/>
      <c r="AA230" s="11">
        <f>IF(A230="","",IF(AND(J230="P4",F230="causal"),"P4-CAUSAL",""))</f>
        <v/>
      </c>
    </row>
    <row r="231" ht="15" customHeight="1" s="1">
      <c r="P231">
        <f>IF(OR(F231="",H231="",J231=""),"",J231&amp;"|"&amp;F231&amp;"|"&amp;IF(H231="W3","W3_"&amp;IF(I231="","unknown",I231),H231))</f>
        <v/>
      </c>
      <c r="Q231">
        <f>IF(P231="","",IFERROR(IF(AND(H231="W7",OR(F231="causal",F231="predictive")),IF(AND(OR(K231=1,K231="1"),OR(L231=1,L231="1"),OR(M231=1,M231="1")),"adequate","partial"),IF(AND(H231="W4",F231="predictive",OR(J231="P2",J231="P3",J231="P4")),IF(OR(U231=1,U231="1"),"adequate","partial"),INDEX(Fit_Matrix!$B:$B,MATCH(P231,Fit_Matrix!$A:$A,0)))),"CHECK KEY"))</f>
        <v/>
      </c>
      <c r="U231" s="10" t="n"/>
      <c r="V231" s="10" t="n"/>
      <c r="W231" s="10" t="n"/>
      <c r="X231" s="10" t="n"/>
      <c r="Y231" s="10" t="n"/>
      <c r="Z231" s="10" t="n"/>
      <c r="AA231" s="11">
        <f>IF(A231="","",IF(AND(J231="P4",F231="causal"),"P4-CAUSAL",""))</f>
        <v/>
      </c>
    </row>
    <row r="232" ht="15" customHeight="1" s="1">
      <c r="P232">
        <f>IF(OR(F232="",H232="",J232=""),"",J232&amp;"|"&amp;F232&amp;"|"&amp;IF(H232="W3","W3_"&amp;IF(I232="","unknown",I232),H232))</f>
        <v/>
      </c>
      <c r="Q232">
        <f>IF(P232="","",IFERROR(IF(AND(H232="W7",OR(F232="causal",F232="predictive")),IF(AND(OR(K232=1,K232="1"),OR(L232=1,L232="1"),OR(M232=1,M232="1")),"adequate","partial"),IF(AND(H232="W4",F232="predictive",OR(J232="P2",J232="P3",J232="P4")),IF(OR(U232=1,U232="1"),"adequate","partial"),INDEX(Fit_Matrix!$B:$B,MATCH(P232,Fit_Matrix!$A:$A,0)))),"CHECK KEY"))</f>
        <v/>
      </c>
      <c r="U232" s="10" t="n"/>
      <c r="V232" s="10" t="n"/>
      <c r="W232" s="10" t="n"/>
      <c r="X232" s="10" t="n"/>
      <c r="Y232" s="10" t="n"/>
      <c r="Z232" s="10" t="n"/>
      <c r="AA232" s="11">
        <f>IF(A232="","",IF(AND(J232="P4",F232="causal"),"P4-CAUSAL",""))</f>
        <v/>
      </c>
    </row>
    <row r="233" ht="15" customHeight="1" s="1">
      <c r="P233">
        <f>IF(OR(F233="",H233="",J233=""),"",J233&amp;"|"&amp;F233&amp;"|"&amp;IF(H233="W3","W3_"&amp;IF(I233="","unknown",I233),H233))</f>
        <v/>
      </c>
      <c r="Q233">
        <f>IF(P233="","",IFERROR(IF(AND(H233="W7",OR(F233="causal",F233="predictive")),IF(AND(OR(K233=1,K233="1"),OR(L233=1,L233="1"),OR(M233=1,M233="1")),"adequate","partial"),IF(AND(H233="W4",F233="predictive",OR(J233="P2",J233="P3",J233="P4")),IF(OR(U233=1,U233="1"),"adequate","partial"),INDEX(Fit_Matrix!$B:$B,MATCH(P233,Fit_Matrix!$A:$A,0)))),"CHECK KEY"))</f>
        <v/>
      </c>
      <c r="U233" s="10" t="n"/>
      <c r="V233" s="10" t="n"/>
      <c r="W233" s="10" t="n"/>
      <c r="X233" s="10" t="n"/>
      <c r="Y233" s="10" t="n"/>
      <c r="Z233" s="10" t="n"/>
      <c r="AA233" s="11">
        <f>IF(A233="","",IF(AND(J233="P4",F233="causal"),"P4-CAUSAL",""))</f>
        <v/>
      </c>
    </row>
    <row r="234" ht="15" customHeight="1" s="1">
      <c r="P234">
        <f>IF(OR(F234="",H234="",J234=""),"",J234&amp;"|"&amp;F234&amp;"|"&amp;IF(H234="W3","W3_"&amp;IF(I234="","unknown",I234),H234))</f>
        <v/>
      </c>
      <c r="Q234">
        <f>IF(P234="","",IFERROR(IF(AND(H234="W7",OR(F234="causal",F234="predictive")),IF(AND(OR(K234=1,K234="1"),OR(L234=1,L234="1"),OR(M234=1,M234="1")),"adequate","partial"),IF(AND(H234="W4",F234="predictive",OR(J234="P2",J234="P3",J234="P4")),IF(OR(U234=1,U234="1"),"adequate","partial"),INDEX(Fit_Matrix!$B:$B,MATCH(P234,Fit_Matrix!$A:$A,0)))),"CHECK KEY"))</f>
        <v/>
      </c>
      <c r="U234" s="10" t="n"/>
      <c r="V234" s="10" t="n"/>
      <c r="W234" s="10" t="n"/>
      <c r="X234" s="10" t="n"/>
      <c r="Y234" s="10" t="n"/>
      <c r="Z234" s="10" t="n"/>
      <c r="AA234" s="11">
        <f>IF(A234="","",IF(AND(J234="P4",F234="causal"),"P4-CAUSAL",""))</f>
        <v/>
      </c>
    </row>
    <row r="235" ht="15" customHeight="1" s="1">
      <c r="P235">
        <f>IF(OR(F235="",H235="",J235=""),"",J235&amp;"|"&amp;F235&amp;"|"&amp;IF(H235="W3","W3_"&amp;IF(I235="","unknown",I235),H235))</f>
        <v/>
      </c>
      <c r="Q235">
        <f>IF(P235="","",IFERROR(IF(AND(H235="W7",OR(F235="causal",F235="predictive")),IF(AND(OR(K235=1,K235="1"),OR(L235=1,L235="1"),OR(M235=1,M235="1")),"adequate","partial"),IF(AND(H235="W4",F235="predictive",OR(J235="P2",J235="P3",J235="P4")),IF(OR(U235=1,U235="1"),"adequate","partial"),INDEX(Fit_Matrix!$B:$B,MATCH(P235,Fit_Matrix!$A:$A,0)))),"CHECK KEY"))</f>
        <v/>
      </c>
      <c r="U235" s="10" t="n"/>
      <c r="V235" s="10" t="n"/>
      <c r="W235" s="10" t="n"/>
      <c r="X235" s="10" t="n"/>
      <c r="Y235" s="10" t="n"/>
      <c r="Z235" s="10" t="n"/>
      <c r="AA235" s="11">
        <f>IF(A235="","",IF(AND(J235="P4",F235="causal"),"P4-CAUSAL",""))</f>
        <v/>
      </c>
    </row>
    <row r="236" ht="15" customHeight="1" s="1">
      <c r="P236">
        <f>IF(OR(F236="",H236="",J236=""),"",J236&amp;"|"&amp;F236&amp;"|"&amp;IF(H236="W3","W3_"&amp;IF(I236="","unknown",I236),H236))</f>
        <v/>
      </c>
      <c r="Q236">
        <f>IF(P236="","",IFERROR(IF(AND(H236="W7",OR(F236="causal",F236="predictive")),IF(AND(OR(K236=1,K236="1"),OR(L236=1,L236="1"),OR(M236=1,M236="1")),"adequate","partial"),IF(AND(H236="W4",F236="predictive",OR(J236="P2",J236="P3",J236="P4")),IF(OR(U236=1,U236="1"),"adequate","partial"),INDEX(Fit_Matrix!$B:$B,MATCH(P236,Fit_Matrix!$A:$A,0)))),"CHECK KEY"))</f>
        <v/>
      </c>
      <c r="U236" s="10" t="n"/>
      <c r="V236" s="10" t="n"/>
      <c r="W236" s="10" t="n"/>
      <c r="X236" s="10" t="n"/>
      <c r="Y236" s="10" t="n"/>
      <c r="Z236" s="10" t="n"/>
      <c r="AA236" s="11">
        <f>IF(A236="","",IF(AND(J236="P4",F236="causal"),"P4-CAUSAL",""))</f>
        <v/>
      </c>
    </row>
    <row r="237" ht="15" customHeight="1" s="1">
      <c r="P237">
        <f>IF(OR(F237="",H237="",J237=""),"",J237&amp;"|"&amp;F237&amp;"|"&amp;IF(H237="W3","W3_"&amp;IF(I237="","unknown",I237),H237))</f>
        <v/>
      </c>
      <c r="Q237">
        <f>IF(P237="","",IFERROR(IF(AND(H237="W7",OR(F237="causal",F237="predictive")),IF(AND(OR(K237=1,K237="1"),OR(L237=1,L237="1"),OR(M237=1,M237="1")),"adequate","partial"),IF(AND(H237="W4",F237="predictive",OR(J237="P2",J237="P3",J237="P4")),IF(OR(U237=1,U237="1"),"adequate","partial"),INDEX(Fit_Matrix!$B:$B,MATCH(P237,Fit_Matrix!$A:$A,0)))),"CHECK KEY"))</f>
        <v/>
      </c>
      <c r="U237" s="10" t="n"/>
      <c r="V237" s="10" t="n"/>
      <c r="W237" s="10" t="n"/>
      <c r="X237" s="10" t="n"/>
      <c r="Y237" s="10" t="n"/>
      <c r="Z237" s="10" t="n"/>
      <c r="AA237" s="11">
        <f>IF(A237="","",IF(AND(J237="P4",F237="causal"),"P4-CAUSAL",""))</f>
        <v/>
      </c>
    </row>
    <row r="238" ht="15" customHeight="1" s="1">
      <c r="P238">
        <f>IF(OR(F238="",H238="",J238=""),"",J238&amp;"|"&amp;F238&amp;"|"&amp;IF(H238="W3","W3_"&amp;IF(I238="","unknown",I238),H238))</f>
        <v/>
      </c>
      <c r="Q238">
        <f>IF(P238="","",IFERROR(IF(AND(H238="W7",OR(F238="causal",F238="predictive")),IF(AND(OR(K238=1,K238="1"),OR(L238=1,L238="1"),OR(M238=1,M238="1")),"adequate","partial"),IF(AND(H238="W4",F238="predictive",OR(J238="P2",J238="P3",J238="P4")),IF(OR(U238=1,U238="1"),"adequate","partial"),INDEX(Fit_Matrix!$B:$B,MATCH(P238,Fit_Matrix!$A:$A,0)))),"CHECK KEY"))</f>
        <v/>
      </c>
      <c r="U238" s="10" t="n"/>
      <c r="V238" s="10" t="n"/>
      <c r="W238" s="10" t="n"/>
      <c r="X238" s="10" t="n"/>
      <c r="Y238" s="10" t="n"/>
      <c r="Z238" s="10" t="n"/>
      <c r="AA238" s="11">
        <f>IF(A238="","",IF(AND(J238="P4",F238="causal"),"P4-CAUSAL",""))</f>
        <v/>
      </c>
    </row>
    <row r="239" ht="15" customHeight="1" s="1">
      <c r="P239">
        <f>IF(OR(F239="",H239="",J239=""),"",J239&amp;"|"&amp;F239&amp;"|"&amp;IF(H239="W3","W3_"&amp;IF(I239="","unknown",I239),H239))</f>
        <v/>
      </c>
      <c r="Q239">
        <f>IF(P239="","",IFERROR(IF(AND(H239="W7",OR(F239="causal",F239="predictive")),IF(AND(OR(K239=1,K239="1"),OR(L239=1,L239="1"),OR(M239=1,M239="1")),"adequate","partial"),IF(AND(H239="W4",F239="predictive",OR(J239="P2",J239="P3",J239="P4")),IF(OR(U239=1,U239="1"),"adequate","partial"),INDEX(Fit_Matrix!$B:$B,MATCH(P239,Fit_Matrix!$A:$A,0)))),"CHECK KEY"))</f>
        <v/>
      </c>
      <c r="U239" s="10" t="n"/>
      <c r="V239" s="10" t="n"/>
      <c r="W239" s="10" t="n"/>
      <c r="X239" s="10" t="n"/>
      <c r="Y239" s="10" t="n"/>
      <c r="Z239" s="10" t="n"/>
      <c r="AA239" s="11">
        <f>IF(A239="","",IF(AND(J239="P4",F239="causal"),"P4-CAUSAL",""))</f>
        <v/>
      </c>
    </row>
    <row r="240" ht="15" customHeight="1" s="1">
      <c r="P240">
        <f>IF(OR(F240="",H240="",J240=""),"",J240&amp;"|"&amp;F240&amp;"|"&amp;IF(H240="W3","W3_"&amp;IF(I240="","unknown",I240),H240))</f>
        <v/>
      </c>
      <c r="Q240">
        <f>IF(P240="","",IFERROR(IF(AND(H240="W7",OR(F240="causal",F240="predictive")),IF(AND(OR(K240=1,K240="1"),OR(L240=1,L240="1"),OR(M240=1,M240="1")),"adequate","partial"),IF(AND(H240="W4",F240="predictive",OR(J240="P2",J240="P3",J240="P4")),IF(OR(U240=1,U240="1"),"adequate","partial"),INDEX(Fit_Matrix!$B:$B,MATCH(P240,Fit_Matrix!$A:$A,0)))),"CHECK KEY"))</f>
        <v/>
      </c>
      <c r="U240" s="10" t="n"/>
      <c r="V240" s="10" t="n"/>
      <c r="W240" s="10" t="n"/>
      <c r="X240" s="10" t="n"/>
      <c r="Y240" s="10" t="n"/>
      <c r="Z240" s="10" t="n"/>
      <c r="AA240" s="11">
        <f>IF(A240="","",IF(AND(J240="P4",F240="causal"),"P4-CAUSAL",""))</f>
        <v/>
      </c>
    </row>
    <row r="241" ht="15" customHeight="1" s="1">
      <c r="P241">
        <f>IF(OR(F241="",H241="",J241=""),"",J241&amp;"|"&amp;F241&amp;"|"&amp;IF(H241="W3","W3_"&amp;IF(I241="","unknown",I241),H241))</f>
        <v/>
      </c>
      <c r="Q241">
        <f>IF(P241="","",IFERROR(IF(AND(H241="W7",OR(F241="causal",F241="predictive")),IF(AND(OR(K241=1,K241="1"),OR(L241=1,L241="1"),OR(M241=1,M241="1")),"adequate","partial"),IF(AND(H241="W4",F241="predictive",OR(J241="P2",J241="P3",J241="P4")),IF(OR(U241=1,U241="1"),"adequate","partial"),INDEX(Fit_Matrix!$B:$B,MATCH(P241,Fit_Matrix!$A:$A,0)))),"CHECK KEY"))</f>
        <v/>
      </c>
      <c r="U241" s="10" t="n"/>
      <c r="V241" s="10" t="n"/>
      <c r="W241" s="10" t="n"/>
      <c r="X241" s="10" t="n"/>
      <c r="Y241" s="10" t="n"/>
      <c r="Z241" s="10" t="n"/>
      <c r="AA241" s="11">
        <f>IF(A241="","",IF(AND(J241="P4",F241="causal"),"P4-CAUSAL",""))</f>
        <v/>
      </c>
    </row>
    <row r="242" ht="15" customHeight="1" s="1">
      <c r="P242">
        <f>IF(OR(F242="",H242="",J242=""),"",J242&amp;"|"&amp;F242&amp;"|"&amp;IF(H242="W3","W3_"&amp;IF(I242="","unknown",I242),H242))</f>
        <v/>
      </c>
      <c r="Q242">
        <f>IF(P242="","",IFERROR(IF(AND(H242="W7",OR(F242="causal",F242="predictive")),IF(AND(OR(K242=1,K242="1"),OR(L242=1,L242="1"),OR(M242=1,M242="1")),"adequate","partial"),IF(AND(H242="W4",F242="predictive",OR(J242="P2",J242="P3",J242="P4")),IF(OR(U242=1,U242="1"),"adequate","partial"),INDEX(Fit_Matrix!$B:$B,MATCH(P242,Fit_Matrix!$A:$A,0)))),"CHECK KEY"))</f>
        <v/>
      </c>
      <c r="U242" s="10" t="n"/>
      <c r="V242" s="10" t="n"/>
      <c r="W242" s="10" t="n"/>
      <c r="X242" s="10" t="n"/>
      <c r="Y242" s="10" t="n"/>
      <c r="Z242" s="10" t="n"/>
      <c r="AA242" s="11">
        <f>IF(A242="","",IF(AND(J242="P4",F242="causal"),"P4-CAUSAL",""))</f>
        <v/>
      </c>
    </row>
    <row r="243" ht="15" customHeight="1" s="1">
      <c r="P243">
        <f>IF(OR(F243="",H243="",J243=""),"",J243&amp;"|"&amp;F243&amp;"|"&amp;IF(H243="W3","W3_"&amp;IF(I243="","unknown",I243),H243))</f>
        <v/>
      </c>
      <c r="Q243">
        <f>IF(P243="","",IFERROR(IF(AND(H243="W7",OR(F243="causal",F243="predictive")),IF(AND(OR(K243=1,K243="1"),OR(L243=1,L243="1"),OR(M243=1,M243="1")),"adequate","partial"),IF(AND(H243="W4",F243="predictive",OR(J243="P2",J243="P3",J243="P4")),IF(OR(U243=1,U243="1"),"adequate","partial"),INDEX(Fit_Matrix!$B:$B,MATCH(P243,Fit_Matrix!$A:$A,0)))),"CHECK KEY"))</f>
        <v/>
      </c>
      <c r="U243" s="10" t="n"/>
      <c r="V243" s="10" t="n"/>
      <c r="W243" s="10" t="n"/>
      <c r="X243" s="10" t="n"/>
      <c r="Y243" s="10" t="n"/>
      <c r="Z243" s="10" t="n"/>
      <c r="AA243" s="11">
        <f>IF(A243="","",IF(AND(J243="P4",F243="causal"),"P4-CAUSAL",""))</f>
        <v/>
      </c>
    </row>
    <row r="244" ht="15" customHeight="1" s="1">
      <c r="P244">
        <f>IF(OR(F244="",H244="",J244=""),"",J244&amp;"|"&amp;F244&amp;"|"&amp;IF(H244="W3","W3_"&amp;IF(I244="","unknown",I244),H244))</f>
        <v/>
      </c>
      <c r="Q244">
        <f>IF(P244="","",IFERROR(IF(AND(H244="W7",OR(F244="causal",F244="predictive")),IF(AND(OR(K244=1,K244="1"),OR(L244=1,L244="1"),OR(M244=1,M244="1")),"adequate","partial"),IF(AND(H244="W4",F244="predictive",OR(J244="P2",J244="P3",J244="P4")),IF(OR(U244=1,U244="1"),"adequate","partial"),INDEX(Fit_Matrix!$B:$B,MATCH(P244,Fit_Matrix!$A:$A,0)))),"CHECK KEY"))</f>
        <v/>
      </c>
      <c r="U244" s="10" t="n"/>
      <c r="V244" s="10" t="n"/>
      <c r="W244" s="10" t="n"/>
      <c r="X244" s="10" t="n"/>
      <c r="Y244" s="10" t="n"/>
      <c r="Z244" s="10" t="n"/>
      <c r="AA244" s="11">
        <f>IF(A244="","",IF(AND(J244="P4",F244="causal"),"P4-CAUSAL",""))</f>
        <v/>
      </c>
    </row>
    <row r="245" ht="15" customHeight="1" s="1">
      <c r="P245">
        <f>IF(OR(F245="",H245="",J245=""),"",J245&amp;"|"&amp;F245&amp;"|"&amp;IF(H245="W3","W3_"&amp;IF(I245="","unknown",I245),H245))</f>
        <v/>
      </c>
      <c r="Q245">
        <f>IF(P245="","",IFERROR(IF(AND(H245="W7",OR(F245="causal",F245="predictive")),IF(AND(OR(K245=1,K245="1"),OR(L245=1,L245="1"),OR(M245=1,M245="1")),"adequate","partial"),IF(AND(H245="W4",F245="predictive",OR(J245="P2",J245="P3",J245="P4")),IF(OR(U245=1,U245="1"),"adequate","partial"),INDEX(Fit_Matrix!$B:$B,MATCH(P245,Fit_Matrix!$A:$A,0)))),"CHECK KEY"))</f>
        <v/>
      </c>
      <c r="U245" s="10" t="n"/>
      <c r="V245" s="10" t="n"/>
      <c r="W245" s="10" t="n"/>
      <c r="X245" s="10" t="n"/>
      <c r="Y245" s="10" t="n"/>
      <c r="Z245" s="10" t="n"/>
      <c r="AA245" s="11">
        <f>IF(A245="","",IF(AND(J245="P4",F245="causal"),"P4-CAUSAL",""))</f>
        <v/>
      </c>
    </row>
    <row r="246" ht="15" customHeight="1" s="1">
      <c r="P246">
        <f>IF(OR(F246="",H246="",J246=""),"",J246&amp;"|"&amp;F246&amp;"|"&amp;IF(H246="W3","W3_"&amp;IF(I246="","unknown",I246),H246))</f>
        <v/>
      </c>
      <c r="Q246">
        <f>IF(P246="","",IFERROR(IF(AND(H246="W7",OR(F246="causal",F246="predictive")),IF(AND(OR(K246=1,K246="1"),OR(L246=1,L246="1"),OR(M246=1,M246="1")),"adequate","partial"),IF(AND(H246="W4",F246="predictive",OR(J246="P2",J246="P3",J246="P4")),IF(OR(U246=1,U246="1"),"adequate","partial"),INDEX(Fit_Matrix!$B:$B,MATCH(P246,Fit_Matrix!$A:$A,0)))),"CHECK KEY"))</f>
        <v/>
      </c>
      <c r="U246" s="10" t="n"/>
      <c r="V246" s="10" t="n"/>
      <c r="W246" s="10" t="n"/>
      <c r="X246" s="10" t="n"/>
      <c r="Y246" s="10" t="n"/>
      <c r="Z246" s="10" t="n"/>
      <c r="AA246" s="11">
        <f>IF(A246="","",IF(AND(J246="P4",F246="causal"),"P4-CAUSAL",""))</f>
        <v/>
      </c>
    </row>
    <row r="247" ht="15" customHeight="1" s="1">
      <c r="P247">
        <f>IF(OR(F247="",H247="",J247=""),"",J247&amp;"|"&amp;F247&amp;"|"&amp;IF(H247="W3","W3_"&amp;IF(I247="","unknown",I247),H247))</f>
        <v/>
      </c>
      <c r="Q247">
        <f>IF(P247="","",IFERROR(IF(AND(H247="W7",OR(F247="causal",F247="predictive")),IF(AND(OR(K247=1,K247="1"),OR(L247=1,L247="1"),OR(M247=1,M247="1")),"adequate","partial"),IF(AND(H247="W4",F247="predictive",OR(J247="P2",J247="P3",J247="P4")),IF(OR(U247=1,U247="1"),"adequate","partial"),INDEX(Fit_Matrix!$B:$B,MATCH(P247,Fit_Matrix!$A:$A,0)))),"CHECK KEY"))</f>
        <v/>
      </c>
      <c r="U247" s="10" t="n"/>
      <c r="V247" s="10" t="n"/>
      <c r="W247" s="10" t="n"/>
      <c r="X247" s="10" t="n"/>
      <c r="Y247" s="10" t="n"/>
      <c r="Z247" s="10" t="n"/>
      <c r="AA247" s="11">
        <f>IF(A247="","",IF(AND(J247="P4",F247="causal"),"P4-CAUSAL",""))</f>
        <v/>
      </c>
    </row>
    <row r="248" ht="15" customHeight="1" s="1">
      <c r="P248">
        <f>IF(OR(F248="",H248="",J248=""),"",J248&amp;"|"&amp;F248&amp;"|"&amp;IF(H248="W3","W3_"&amp;IF(I248="","unknown",I248),H248))</f>
        <v/>
      </c>
      <c r="Q248">
        <f>IF(P248="","",IFERROR(IF(AND(H248="W7",OR(F248="causal",F248="predictive")),IF(AND(OR(K248=1,K248="1"),OR(L248=1,L248="1"),OR(M248=1,M248="1")),"adequate","partial"),IF(AND(H248="W4",F248="predictive",OR(J248="P2",J248="P3",J248="P4")),IF(OR(U248=1,U248="1"),"adequate","partial"),INDEX(Fit_Matrix!$B:$B,MATCH(P248,Fit_Matrix!$A:$A,0)))),"CHECK KEY"))</f>
        <v/>
      </c>
      <c r="U248" s="10" t="n"/>
      <c r="V248" s="10" t="n"/>
      <c r="W248" s="10" t="n"/>
      <c r="X248" s="10" t="n"/>
      <c r="Y248" s="10" t="n"/>
      <c r="Z248" s="10" t="n"/>
      <c r="AA248" s="11">
        <f>IF(A248="","",IF(AND(J248="P4",F248="causal"),"P4-CAUSAL",""))</f>
        <v/>
      </c>
    </row>
    <row r="249" ht="15" customHeight="1" s="1">
      <c r="P249">
        <f>IF(OR(F249="",H249="",J249=""),"",J249&amp;"|"&amp;F249&amp;"|"&amp;IF(H249="W3","W3_"&amp;IF(I249="","unknown",I249),H249))</f>
        <v/>
      </c>
      <c r="Q249">
        <f>IF(P249="","",IFERROR(IF(AND(H249="W7",OR(F249="causal",F249="predictive")),IF(AND(OR(K249=1,K249="1"),OR(L249=1,L249="1"),OR(M249=1,M249="1")),"adequate","partial"),IF(AND(H249="W4",F249="predictive",OR(J249="P2",J249="P3",J249="P4")),IF(OR(U249=1,U249="1"),"adequate","partial"),INDEX(Fit_Matrix!$B:$B,MATCH(P249,Fit_Matrix!$A:$A,0)))),"CHECK KEY"))</f>
        <v/>
      </c>
      <c r="U249" s="10" t="n"/>
      <c r="V249" s="10" t="n"/>
      <c r="W249" s="10" t="n"/>
      <c r="X249" s="10" t="n"/>
      <c r="Y249" s="10" t="n"/>
      <c r="Z249" s="10" t="n"/>
      <c r="AA249" s="11">
        <f>IF(A249="","",IF(AND(J249="P4",F249="causal"),"P4-CAUSAL",""))</f>
        <v/>
      </c>
    </row>
    <row r="250" ht="15" customHeight="1" s="1">
      <c r="P250">
        <f>IF(OR(F250="",H250="",J250=""),"",J250&amp;"|"&amp;F250&amp;"|"&amp;IF(H250="W3","W3_"&amp;IF(I250="","unknown",I250),H250))</f>
        <v/>
      </c>
      <c r="Q250">
        <f>IF(P250="","",IFERROR(IF(AND(H250="W7",OR(F250="causal",F250="predictive")),IF(AND(OR(K250=1,K250="1"),OR(L250=1,L250="1"),OR(M250=1,M250="1")),"adequate","partial"),IF(AND(H250="W4",F250="predictive",OR(J250="P2",J250="P3",J250="P4")),IF(OR(U250=1,U250="1"),"adequate","partial"),INDEX(Fit_Matrix!$B:$B,MATCH(P250,Fit_Matrix!$A:$A,0)))),"CHECK KEY"))</f>
        <v/>
      </c>
      <c r="U250" s="10" t="n"/>
      <c r="V250" s="10" t="n"/>
      <c r="W250" s="10" t="n"/>
      <c r="X250" s="10" t="n"/>
      <c r="Y250" s="10" t="n"/>
      <c r="Z250" s="10" t="n"/>
      <c r="AA250" s="11">
        <f>IF(A250="","",IF(AND(J250="P4",F250="causal"),"P4-CAUSAL",""))</f>
        <v/>
      </c>
    </row>
    <row r="251" ht="15" customHeight="1" s="1">
      <c r="P251">
        <f>IF(OR(F251="",H251="",J251=""),"",J251&amp;"|"&amp;F251&amp;"|"&amp;IF(H251="W3","W3_"&amp;IF(I251="","unknown",I251),H251))</f>
        <v/>
      </c>
      <c r="Q251">
        <f>IF(P251="","",IFERROR(IF(AND(H251="W7",OR(F251="causal",F251="predictive")),IF(AND(OR(K251=1,K251="1"),OR(L251=1,L251="1"),OR(M251=1,M251="1")),"adequate","partial"),IF(AND(H251="W4",F251="predictive",OR(J251="P2",J251="P3",J251="P4")),IF(OR(U251=1,U251="1"),"adequate","partial"),INDEX(Fit_Matrix!$B:$B,MATCH(P251,Fit_Matrix!$A:$A,0)))),"CHECK KEY"))</f>
        <v/>
      </c>
      <c r="U251" s="10" t="n"/>
      <c r="V251" s="10" t="n"/>
      <c r="W251" s="10" t="n"/>
      <c r="X251" s="10" t="n"/>
      <c r="Y251" s="10" t="n"/>
      <c r="Z251" s="10" t="n"/>
      <c r="AA251" s="11">
        <f>IF(A251="","",IF(AND(J251="P4",F251="causal"),"P4-CAUSAL",""))</f>
        <v/>
      </c>
    </row>
    <row r="252" ht="15" customHeight="1" s="1">
      <c r="P252">
        <f>IF(OR(F252="",H252="",J252=""),"",J252&amp;"|"&amp;F252&amp;"|"&amp;IF(H252="W3","W3_"&amp;IF(I252="","unknown",I252),H252))</f>
        <v/>
      </c>
      <c r="Q252">
        <f>IF(P252="","",IFERROR(IF(AND(H252="W7",OR(F252="causal",F252="predictive")),IF(AND(OR(K252=1,K252="1"),OR(L252=1,L252="1"),OR(M252=1,M252="1")),"adequate","partial"),IF(AND(H252="W4",F252="predictive",OR(J252="P2",J252="P3",J252="P4")),IF(OR(U252=1,U252="1"),"adequate","partial"),INDEX(Fit_Matrix!$B:$B,MATCH(P252,Fit_Matrix!$A:$A,0)))),"CHECK KEY"))</f>
        <v/>
      </c>
      <c r="U252" s="10" t="n"/>
      <c r="V252" s="10" t="n"/>
      <c r="W252" s="10" t="n"/>
      <c r="X252" s="10" t="n"/>
      <c r="Y252" s="10" t="n"/>
      <c r="Z252" s="10" t="n"/>
      <c r="AA252" s="11">
        <f>IF(A252="","",IF(AND(J252="P4",F252="causal"),"P4-CAUSAL",""))</f>
        <v/>
      </c>
    </row>
    <row r="253" ht="15" customHeight="1" s="1">
      <c r="P253">
        <f>IF(OR(F253="",H253="",J253=""),"",J253&amp;"|"&amp;F253&amp;"|"&amp;IF(H253="W3","W3_"&amp;IF(I253="","unknown",I253),H253))</f>
        <v/>
      </c>
      <c r="Q253">
        <f>IF(P253="","",IFERROR(IF(AND(H253="W7",OR(F253="causal",F253="predictive")),IF(AND(OR(K253=1,K253="1"),OR(L253=1,L253="1"),OR(M253=1,M253="1")),"adequate","partial"),IF(AND(H253="W4",F253="predictive",OR(J253="P2",J253="P3",J253="P4")),IF(OR(U253=1,U253="1"),"adequate","partial"),INDEX(Fit_Matrix!$B:$B,MATCH(P253,Fit_Matrix!$A:$A,0)))),"CHECK KEY"))</f>
        <v/>
      </c>
      <c r="U253" s="10" t="n"/>
      <c r="V253" s="10" t="n"/>
      <c r="W253" s="10" t="n"/>
      <c r="X253" s="10" t="n"/>
      <c r="Y253" s="10" t="n"/>
      <c r="Z253" s="10" t="n"/>
      <c r="AA253" s="11">
        <f>IF(A253="","",IF(AND(J253="P4",F253="causal"),"P4-CAUSAL",""))</f>
        <v/>
      </c>
    </row>
    <row r="254" ht="15" customHeight="1" s="1">
      <c r="P254">
        <f>IF(OR(F254="",H254="",J254=""),"",J254&amp;"|"&amp;F254&amp;"|"&amp;IF(H254="W3","W3_"&amp;IF(I254="","unknown",I254),H254))</f>
        <v/>
      </c>
      <c r="Q254">
        <f>IF(P254="","",IFERROR(IF(AND(H254="W7",OR(F254="causal",F254="predictive")),IF(AND(OR(K254=1,K254="1"),OR(L254=1,L254="1"),OR(M254=1,M254="1")),"adequate","partial"),IF(AND(H254="W4",F254="predictive",OR(J254="P2",J254="P3",J254="P4")),IF(OR(U254=1,U254="1"),"adequate","partial"),INDEX(Fit_Matrix!$B:$B,MATCH(P254,Fit_Matrix!$A:$A,0)))),"CHECK KEY"))</f>
        <v/>
      </c>
      <c r="U254" s="10" t="n"/>
      <c r="V254" s="10" t="n"/>
      <c r="W254" s="10" t="n"/>
      <c r="X254" s="10" t="n"/>
      <c r="Y254" s="10" t="n"/>
      <c r="Z254" s="10" t="n"/>
      <c r="AA254" s="11">
        <f>IF(A254="","",IF(AND(J254="P4",F254="causal"),"P4-CAUSAL",""))</f>
        <v/>
      </c>
    </row>
    <row r="255" ht="15" customHeight="1" s="1">
      <c r="P255">
        <f>IF(OR(F255="",H255="",J255=""),"",J255&amp;"|"&amp;F255&amp;"|"&amp;IF(H255="W3","W3_"&amp;IF(I255="","unknown",I255),H255))</f>
        <v/>
      </c>
      <c r="Q255">
        <f>IF(P255="","",IFERROR(IF(AND(H255="W7",OR(F255="causal",F255="predictive")),IF(AND(OR(K255=1,K255="1"),OR(L255=1,L255="1"),OR(M255=1,M255="1")),"adequate","partial"),IF(AND(H255="W4",F255="predictive",OR(J255="P2",J255="P3",J255="P4")),IF(OR(U255=1,U255="1"),"adequate","partial"),INDEX(Fit_Matrix!$B:$B,MATCH(P255,Fit_Matrix!$A:$A,0)))),"CHECK KEY"))</f>
        <v/>
      </c>
      <c r="U255" s="10" t="n"/>
      <c r="V255" s="10" t="n"/>
      <c r="W255" s="10" t="n"/>
      <c r="X255" s="10" t="n"/>
      <c r="Y255" s="10" t="n"/>
      <c r="Z255" s="10" t="n"/>
      <c r="AA255" s="11">
        <f>IF(A255="","",IF(AND(J255="P4",F255="causal"),"P4-CAUSAL",""))</f>
        <v/>
      </c>
    </row>
    <row r="256" ht="15" customHeight="1" s="1">
      <c r="P256">
        <f>IF(OR(F256="",H256="",J256=""),"",J256&amp;"|"&amp;F256&amp;"|"&amp;IF(H256="W3","W3_"&amp;IF(I256="","unknown",I256),H256))</f>
        <v/>
      </c>
      <c r="Q256">
        <f>IF(P256="","",IFERROR(IF(AND(H256="W7",OR(F256="causal",F256="predictive")),IF(AND(OR(K256=1,K256="1"),OR(L256=1,L256="1"),OR(M256=1,M256="1")),"adequate","partial"),IF(AND(H256="W4",F256="predictive",OR(J256="P2",J256="P3",J256="P4")),IF(OR(U256=1,U256="1"),"adequate","partial"),INDEX(Fit_Matrix!$B:$B,MATCH(P256,Fit_Matrix!$A:$A,0)))),"CHECK KEY"))</f>
        <v/>
      </c>
      <c r="U256" s="10" t="n"/>
      <c r="V256" s="10" t="n"/>
      <c r="W256" s="10" t="n"/>
      <c r="X256" s="10" t="n"/>
      <c r="Y256" s="10" t="n"/>
      <c r="Z256" s="10" t="n"/>
      <c r="AA256" s="11">
        <f>IF(A256="","",IF(AND(J256="P4",F256="causal"),"P4-CAUSAL",""))</f>
        <v/>
      </c>
    </row>
    <row r="257" ht="15" customHeight="1" s="1">
      <c r="P257">
        <f>IF(OR(F257="",H257="",J257=""),"",J257&amp;"|"&amp;F257&amp;"|"&amp;IF(H257="W3","W3_"&amp;IF(I257="","unknown",I257),H257))</f>
        <v/>
      </c>
      <c r="Q257">
        <f>IF(P257="","",IFERROR(IF(AND(H257="W7",OR(F257="causal",F257="predictive")),IF(AND(OR(K257=1,K257="1"),OR(L257=1,L257="1"),OR(M257=1,M257="1")),"adequate","partial"),IF(AND(H257="W4",F257="predictive",OR(J257="P2",J257="P3",J257="P4")),IF(OR(U257=1,U257="1"),"adequate","partial"),INDEX(Fit_Matrix!$B:$B,MATCH(P257,Fit_Matrix!$A:$A,0)))),"CHECK KEY"))</f>
        <v/>
      </c>
      <c r="U257" s="10" t="n"/>
      <c r="V257" s="10" t="n"/>
      <c r="W257" s="10" t="n"/>
      <c r="X257" s="10" t="n"/>
      <c r="Y257" s="10" t="n"/>
      <c r="Z257" s="10" t="n"/>
      <c r="AA257" s="11">
        <f>IF(A257="","",IF(AND(J257="P4",F257="causal"),"P4-CAUSAL",""))</f>
        <v/>
      </c>
    </row>
    <row r="258" ht="15" customHeight="1" s="1">
      <c r="P258">
        <f>IF(OR(F258="",H258="",J258=""),"",J258&amp;"|"&amp;F258&amp;"|"&amp;IF(H258="W3","W3_"&amp;IF(I258="","unknown",I258),H258))</f>
        <v/>
      </c>
      <c r="Q258">
        <f>IF(P258="","",IFERROR(IF(AND(H258="W7",OR(F258="causal",F258="predictive")),IF(AND(OR(K258=1,K258="1"),OR(L258=1,L258="1"),OR(M258=1,M258="1")),"adequate","partial"),IF(AND(H258="W4",F258="predictive",OR(J258="P2",J258="P3",J258="P4")),IF(OR(U258=1,U258="1"),"adequate","partial"),INDEX(Fit_Matrix!$B:$B,MATCH(P258,Fit_Matrix!$A:$A,0)))),"CHECK KEY"))</f>
        <v/>
      </c>
      <c r="U258" s="10" t="n"/>
      <c r="V258" s="10" t="n"/>
      <c r="W258" s="10" t="n"/>
      <c r="X258" s="10" t="n"/>
      <c r="Y258" s="10" t="n"/>
      <c r="Z258" s="10" t="n"/>
      <c r="AA258" s="11">
        <f>IF(A258="","",IF(AND(J258="P4",F258="causal"),"P4-CAUSAL",""))</f>
        <v/>
      </c>
    </row>
    <row r="259" ht="15" customHeight="1" s="1">
      <c r="P259">
        <f>IF(OR(F259="",H259="",J259=""),"",J259&amp;"|"&amp;F259&amp;"|"&amp;IF(H259="W3","W3_"&amp;IF(I259="","unknown",I259),H259))</f>
        <v/>
      </c>
      <c r="Q259">
        <f>IF(P259="","",IFERROR(IF(AND(H259="W7",OR(F259="causal",F259="predictive")),IF(AND(OR(K259=1,K259="1"),OR(L259=1,L259="1"),OR(M259=1,M259="1")),"adequate","partial"),IF(AND(H259="W4",F259="predictive",OR(J259="P2",J259="P3",J259="P4")),IF(OR(U259=1,U259="1"),"adequate","partial"),INDEX(Fit_Matrix!$B:$B,MATCH(P259,Fit_Matrix!$A:$A,0)))),"CHECK KEY"))</f>
        <v/>
      </c>
      <c r="U259" s="10" t="n"/>
      <c r="V259" s="10" t="n"/>
      <c r="W259" s="10" t="n"/>
      <c r="X259" s="10" t="n"/>
      <c r="Y259" s="10" t="n"/>
      <c r="Z259" s="10" t="n"/>
      <c r="AA259" s="11">
        <f>IF(A259="","",IF(AND(J259="P4",F259="causal"),"P4-CAUSAL",""))</f>
        <v/>
      </c>
    </row>
    <row r="260" ht="15" customHeight="1" s="1">
      <c r="P260">
        <f>IF(OR(F260="",H260="",J260=""),"",J260&amp;"|"&amp;F260&amp;"|"&amp;IF(H260="W3","W3_"&amp;IF(I260="","unknown",I260),H260))</f>
        <v/>
      </c>
      <c r="Q260">
        <f>IF(P260="","",IFERROR(IF(AND(H260="W7",OR(F260="causal",F260="predictive")),IF(AND(OR(K260=1,K260="1"),OR(L260=1,L260="1"),OR(M260=1,M260="1")),"adequate","partial"),IF(AND(H260="W4",F260="predictive",OR(J260="P2",J260="P3",J260="P4")),IF(OR(U260=1,U260="1"),"adequate","partial"),INDEX(Fit_Matrix!$B:$B,MATCH(P260,Fit_Matrix!$A:$A,0)))),"CHECK KEY"))</f>
        <v/>
      </c>
      <c r="U260" s="10" t="n"/>
      <c r="V260" s="10" t="n"/>
      <c r="W260" s="10" t="n"/>
      <c r="X260" s="10" t="n"/>
      <c r="Y260" s="10" t="n"/>
      <c r="Z260" s="10" t="n"/>
      <c r="AA260" s="11">
        <f>IF(A260="","",IF(AND(J260="P4",F260="causal"),"P4-CAUSAL",""))</f>
        <v/>
      </c>
    </row>
    <row r="261" ht="15" customHeight="1" s="1">
      <c r="P261">
        <f>IF(OR(F261="",H261="",J261=""),"",J261&amp;"|"&amp;F261&amp;"|"&amp;IF(H261="W3","W3_"&amp;IF(I261="","unknown",I261),H261))</f>
        <v/>
      </c>
      <c r="Q261">
        <f>IF(P261="","",IFERROR(IF(AND(H261="W7",OR(F261="causal",F261="predictive")),IF(AND(OR(K261=1,K261="1"),OR(L261=1,L261="1"),OR(M261=1,M261="1")),"adequate","partial"),IF(AND(H261="W4",F261="predictive",OR(J261="P2",J261="P3",J261="P4")),IF(OR(U261=1,U261="1"),"adequate","partial"),INDEX(Fit_Matrix!$B:$B,MATCH(P261,Fit_Matrix!$A:$A,0)))),"CHECK KEY"))</f>
        <v/>
      </c>
      <c r="U261" s="10" t="n"/>
      <c r="V261" s="10" t="n"/>
      <c r="W261" s="10" t="n"/>
      <c r="X261" s="10" t="n"/>
      <c r="Y261" s="10" t="n"/>
      <c r="Z261" s="10" t="n"/>
      <c r="AA261" s="11">
        <f>IF(A261="","",IF(AND(J261="P4",F261="causal"),"P4-CAUSAL",""))</f>
        <v/>
      </c>
    </row>
    <row r="262" ht="15" customHeight="1" s="1">
      <c r="P262">
        <f>IF(OR(F262="",H262="",J262=""),"",J262&amp;"|"&amp;F262&amp;"|"&amp;IF(H262="W3","W3_"&amp;IF(I262="","unknown",I262),H262))</f>
        <v/>
      </c>
      <c r="Q262">
        <f>IF(P262="","",IFERROR(IF(AND(H262="W7",OR(F262="causal",F262="predictive")),IF(AND(OR(K262=1,K262="1"),OR(L262=1,L262="1"),OR(M262=1,M262="1")),"adequate","partial"),IF(AND(H262="W4",F262="predictive",OR(J262="P2",J262="P3",J262="P4")),IF(OR(U262=1,U262="1"),"adequate","partial"),INDEX(Fit_Matrix!$B:$B,MATCH(P262,Fit_Matrix!$A:$A,0)))),"CHECK KEY"))</f>
        <v/>
      </c>
      <c r="U262" s="10" t="n"/>
      <c r="V262" s="10" t="n"/>
      <c r="W262" s="10" t="n"/>
      <c r="X262" s="10" t="n"/>
      <c r="Y262" s="10" t="n"/>
      <c r="Z262" s="10" t="n"/>
      <c r="AA262" s="11">
        <f>IF(A262="","",IF(AND(J262="P4",F262="causal"),"P4-CAUSAL",""))</f>
        <v/>
      </c>
    </row>
    <row r="263" ht="15" customHeight="1" s="1">
      <c r="P263">
        <f>IF(OR(F263="",H263="",J263=""),"",J263&amp;"|"&amp;F263&amp;"|"&amp;IF(H263="W3","W3_"&amp;IF(I263="","unknown",I263),H263))</f>
        <v/>
      </c>
      <c r="Q263">
        <f>IF(P263="","",IFERROR(IF(AND(H263="W7",OR(F263="causal",F263="predictive")),IF(AND(OR(K263=1,K263="1"),OR(L263=1,L263="1"),OR(M263=1,M263="1")),"adequate","partial"),IF(AND(H263="W4",F263="predictive",OR(J263="P2",J263="P3",J263="P4")),IF(OR(U263=1,U263="1"),"adequate","partial"),INDEX(Fit_Matrix!$B:$B,MATCH(P263,Fit_Matrix!$A:$A,0)))),"CHECK KEY"))</f>
        <v/>
      </c>
      <c r="U263" s="10" t="n"/>
      <c r="V263" s="10" t="n"/>
      <c r="W263" s="10" t="n"/>
      <c r="X263" s="10" t="n"/>
      <c r="Y263" s="10" t="n"/>
      <c r="Z263" s="10" t="n"/>
      <c r="AA263" s="11">
        <f>IF(A263="","",IF(AND(J263="P4",F263="causal"),"P4-CAUSAL",""))</f>
        <v/>
      </c>
    </row>
    <row r="264" ht="15" customHeight="1" s="1">
      <c r="P264">
        <f>IF(OR(F264="",H264="",J264=""),"",J264&amp;"|"&amp;F264&amp;"|"&amp;IF(H264="W3","W3_"&amp;IF(I264="","unknown",I264),H264))</f>
        <v/>
      </c>
      <c r="Q264">
        <f>IF(P264="","",IFERROR(IF(AND(H264="W7",OR(F264="causal",F264="predictive")),IF(AND(OR(K264=1,K264="1"),OR(L264=1,L264="1"),OR(M264=1,M264="1")),"adequate","partial"),IF(AND(H264="W4",F264="predictive",OR(J264="P2",J264="P3",J264="P4")),IF(OR(U264=1,U264="1"),"adequate","partial"),INDEX(Fit_Matrix!$B:$B,MATCH(P264,Fit_Matrix!$A:$A,0)))),"CHECK KEY"))</f>
        <v/>
      </c>
      <c r="U264" s="10" t="n"/>
      <c r="V264" s="10" t="n"/>
      <c r="W264" s="10" t="n"/>
      <c r="X264" s="10" t="n"/>
      <c r="Y264" s="10" t="n"/>
      <c r="Z264" s="10" t="n"/>
      <c r="AA264" s="11">
        <f>IF(A264="","",IF(AND(J264="P4",F264="causal"),"P4-CAUSAL",""))</f>
        <v/>
      </c>
    </row>
    <row r="265" ht="15" customHeight="1" s="1">
      <c r="P265">
        <f>IF(OR(F265="",H265="",J265=""),"",J265&amp;"|"&amp;F265&amp;"|"&amp;IF(H265="W3","W3_"&amp;IF(I265="","unknown",I265),H265))</f>
        <v/>
      </c>
      <c r="Q265">
        <f>IF(P265="","",IFERROR(IF(AND(H265="W7",OR(F265="causal",F265="predictive")),IF(AND(OR(K265=1,K265="1"),OR(L265=1,L265="1"),OR(M265=1,M265="1")),"adequate","partial"),IF(AND(H265="W4",F265="predictive",OR(J265="P2",J265="P3",J265="P4")),IF(OR(U265=1,U265="1"),"adequate","partial"),INDEX(Fit_Matrix!$B:$B,MATCH(P265,Fit_Matrix!$A:$A,0)))),"CHECK KEY"))</f>
        <v/>
      </c>
      <c r="U265" s="10" t="n"/>
      <c r="V265" s="10" t="n"/>
      <c r="W265" s="10" t="n"/>
      <c r="X265" s="10" t="n"/>
      <c r="Y265" s="10" t="n"/>
      <c r="Z265" s="10" t="n"/>
      <c r="AA265" s="11">
        <f>IF(A265="","",IF(AND(J265="P4",F265="causal"),"P4-CAUSAL",""))</f>
        <v/>
      </c>
    </row>
    <row r="266" ht="15" customHeight="1" s="1">
      <c r="P266">
        <f>IF(OR(F266="",H266="",J266=""),"",J266&amp;"|"&amp;F266&amp;"|"&amp;IF(H266="W3","W3_"&amp;IF(I266="","unknown",I266),H266))</f>
        <v/>
      </c>
      <c r="Q266">
        <f>IF(P266="","",IFERROR(IF(AND(H266="W7",OR(F266="causal",F266="predictive")),IF(AND(OR(K266=1,K266="1"),OR(L266=1,L266="1"),OR(M266=1,M266="1")),"adequate","partial"),IF(AND(H266="W4",F266="predictive",OR(J266="P2",J266="P3",J266="P4")),IF(OR(U266=1,U266="1"),"adequate","partial"),INDEX(Fit_Matrix!$B:$B,MATCH(P266,Fit_Matrix!$A:$A,0)))),"CHECK KEY"))</f>
        <v/>
      </c>
      <c r="U266" s="10" t="n"/>
      <c r="V266" s="10" t="n"/>
      <c r="W266" s="10" t="n"/>
      <c r="X266" s="10" t="n"/>
      <c r="Y266" s="10" t="n"/>
      <c r="Z266" s="10" t="n"/>
      <c r="AA266" s="11">
        <f>IF(A266="","",IF(AND(J266="P4",F266="causal"),"P4-CAUSAL",""))</f>
        <v/>
      </c>
    </row>
    <row r="267" ht="15" customHeight="1" s="1">
      <c r="P267">
        <f>IF(OR(F267="",H267="",J267=""),"",J267&amp;"|"&amp;F267&amp;"|"&amp;IF(H267="W3","W3_"&amp;IF(I267="","unknown",I267),H267))</f>
        <v/>
      </c>
      <c r="Q267">
        <f>IF(P267="","",IFERROR(IF(AND(H267="W7",OR(F267="causal",F267="predictive")),IF(AND(OR(K267=1,K267="1"),OR(L267=1,L267="1"),OR(M267=1,M267="1")),"adequate","partial"),IF(AND(H267="W4",F267="predictive",OR(J267="P2",J267="P3",J267="P4")),IF(OR(U267=1,U267="1"),"adequate","partial"),INDEX(Fit_Matrix!$B:$B,MATCH(P267,Fit_Matrix!$A:$A,0)))),"CHECK KEY"))</f>
        <v/>
      </c>
      <c r="U267" s="10" t="n"/>
      <c r="V267" s="10" t="n"/>
      <c r="W267" s="10" t="n"/>
      <c r="X267" s="10" t="n"/>
      <c r="Y267" s="10" t="n"/>
      <c r="Z267" s="10" t="n"/>
      <c r="AA267" s="11">
        <f>IF(A267="","",IF(AND(J267="P4",F267="causal"),"P4-CAUSAL",""))</f>
        <v/>
      </c>
    </row>
    <row r="268" ht="15" customHeight="1" s="1">
      <c r="P268">
        <f>IF(OR(F268="",H268="",J268=""),"",J268&amp;"|"&amp;F268&amp;"|"&amp;IF(H268="W3","W3_"&amp;IF(I268="","unknown",I268),H268))</f>
        <v/>
      </c>
      <c r="Q268">
        <f>IF(P268="","",IFERROR(IF(AND(H268="W7",OR(F268="causal",F268="predictive")),IF(AND(OR(K268=1,K268="1"),OR(L268=1,L268="1"),OR(M268=1,M268="1")),"adequate","partial"),IF(AND(H268="W4",F268="predictive",OR(J268="P2",J268="P3",J268="P4")),IF(OR(U268=1,U268="1"),"adequate","partial"),INDEX(Fit_Matrix!$B:$B,MATCH(P268,Fit_Matrix!$A:$A,0)))),"CHECK KEY"))</f>
        <v/>
      </c>
      <c r="U268" s="10" t="n"/>
      <c r="V268" s="10" t="n"/>
      <c r="W268" s="10" t="n"/>
      <c r="X268" s="10" t="n"/>
      <c r="Y268" s="10" t="n"/>
      <c r="Z268" s="10" t="n"/>
      <c r="AA268" s="11">
        <f>IF(A268="","",IF(AND(J268="P4",F268="causal"),"P4-CAUSAL",""))</f>
        <v/>
      </c>
    </row>
    <row r="269" ht="15" customHeight="1" s="1">
      <c r="P269">
        <f>IF(OR(F269="",H269="",J269=""),"",J269&amp;"|"&amp;F269&amp;"|"&amp;IF(H269="W3","W3_"&amp;IF(I269="","unknown",I269),H269))</f>
        <v/>
      </c>
      <c r="Q269">
        <f>IF(P269="","",IFERROR(IF(AND(H269="W7",OR(F269="causal",F269="predictive")),IF(AND(OR(K269=1,K269="1"),OR(L269=1,L269="1"),OR(M269=1,M269="1")),"adequate","partial"),IF(AND(H269="W4",F269="predictive",OR(J269="P2",J269="P3",J269="P4")),IF(OR(U269=1,U269="1"),"adequate","partial"),INDEX(Fit_Matrix!$B:$B,MATCH(P269,Fit_Matrix!$A:$A,0)))),"CHECK KEY"))</f>
        <v/>
      </c>
      <c r="U269" s="10" t="n"/>
      <c r="V269" s="10" t="n"/>
      <c r="W269" s="10" t="n"/>
      <c r="X269" s="10" t="n"/>
      <c r="Y269" s="10" t="n"/>
      <c r="Z269" s="10" t="n"/>
      <c r="AA269" s="11">
        <f>IF(A269="","",IF(AND(J269="P4",F269="causal"),"P4-CAUSAL",""))</f>
        <v/>
      </c>
    </row>
    <row r="270" ht="15" customHeight="1" s="1">
      <c r="P270">
        <f>IF(OR(F270="",H270="",J270=""),"",J270&amp;"|"&amp;F270&amp;"|"&amp;IF(H270="W3","W3_"&amp;IF(I270="","unknown",I270),H270))</f>
        <v/>
      </c>
      <c r="Q270">
        <f>IF(P270="","",IFERROR(IF(AND(H270="W7",OR(F270="causal",F270="predictive")),IF(AND(OR(K270=1,K270="1"),OR(L270=1,L270="1"),OR(M270=1,M270="1")),"adequate","partial"),IF(AND(H270="W4",F270="predictive",OR(J270="P2",J270="P3",J270="P4")),IF(OR(U270=1,U270="1"),"adequate","partial"),INDEX(Fit_Matrix!$B:$B,MATCH(P270,Fit_Matrix!$A:$A,0)))),"CHECK KEY"))</f>
        <v/>
      </c>
      <c r="U270" s="10" t="n"/>
      <c r="V270" s="10" t="n"/>
      <c r="W270" s="10" t="n"/>
      <c r="X270" s="10" t="n"/>
      <c r="Y270" s="10" t="n"/>
      <c r="Z270" s="10" t="n"/>
      <c r="AA270" s="11">
        <f>IF(A270="","",IF(AND(J270="P4",F270="causal"),"P4-CAUSAL",""))</f>
        <v/>
      </c>
    </row>
    <row r="271" ht="15" customHeight="1" s="1">
      <c r="P271">
        <f>IF(OR(F271="",H271="",J271=""),"",J271&amp;"|"&amp;F271&amp;"|"&amp;IF(H271="W3","W3_"&amp;IF(I271="","unknown",I271),H271))</f>
        <v/>
      </c>
      <c r="Q271">
        <f>IF(P271="","",IFERROR(IF(AND(H271="W7",OR(F271="causal",F271="predictive")),IF(AND(OR(K271=1,K271="1"),OR(L271=1,L271="1"),OR(M271=1,M271="1")),"adequate","partial"),IF(AND(H271="W4",F271="predictive",OR(J271="P2",J271="P3",J271="P4")),IF(OR(U271=1,U271="1"),"adequate","partial"),INDEX(Fit_Matrix!$B:$B,MATCH(P271,Fit_Matrix!$A:$A,0)))),"CHECK KEY"))</f>
        <v/>
      </c>
      <c r="U271" s="10" t="n"/>
      <c r="V271" s="10" t="n"/>
      <c r="W271" s="10" t="n"/>
      <c r="X271" s="10" t="n"/>
      <c r="Y271" s="10" t="n"/>
      <c r="Z271" s="10" t="n"/>
      <c r="AA271" s="11">
        <f>IF(A271="","",IF(AND(J271="P4",F271="causal"),"P4-CAUSAL",""))</f>
        <v/>
      </c>
    </row>
    <row r="272" ht="15" customHeight="1" s="1">
      <c r="P272">
        <f>IF(OR(F272="",H272="",J272=""),"",J272&amp;"|"&amp;F272&amp;"|"&amp;IF(H272="W3","W3_"&amp;IF(I272="","unknown",I272),H272))</f>
        <v/>
      </c>
      <c r="Q272">
        <f>IF(P272="","",IFERROR(IF(AND(H272="W7",OR(F272="causal",F272="predictive")),IF(AND(OR(K272=1,K272="1"),OR(L272=1,L272="1"),OR(M272=1,M272="1")),"adequate","partial"),IF(AND(H272="W4",F272="predictive",OR(J272="P2",J272="P3",J272="P4")),IF(OR(U272=1,U272="1"),"adequate","partial"),INDEX(Fit_Matrix!$B:$B,MATCH(P272,Fit_Matrix!$A:$A,0)))),"CHECK KEY"))</f>
        <v/>
      </c>
      <c r="U272" s="10" t="n"/>
      <c r="V272" s="10" t="n"/>
      <c r="W272" s="10" t="n"/>
      <c r="X272" s="10" t="n"/>
      <c r="Y272" s="10" t="n"/>
      <c r="Z272" s="10" t="n"/>
      <c r="AA272" s="11">
        <f>IF(A272="","",IF(AND(J272="P4",F272="causal"),"P4-CAUSAL",""))</f>
        <v/>
      </c>
    </row>
    <row r="273" ht="15" customHeight="1" s="1">
      <c r="P273">
        <f>IF(OR(F273="",H273="",J273=""),"",J273&amp;"|"&amp;F273&amp;"|"&amp;IF(H273="W3","W3_"&amp;IF(I273="","unknown",I273),H273))</f>
        <v/>
      </c>
      <c r="Q273">
        <f>IF(P273="","",IFERROR(IF(AND(H273="W7",OR(F273="causal",F273="predictive")),IF(AND(OR(K273=1,K273="1"),OR(L273=1,L273="1"),OR(M273=1,M273="1")),"adequate","partial"),IF(AND(H273="W4",F273="predictive",OR(J273="P2",J273="P3",J273="P4")),IF(OR(U273=1,U273="1"),"adequate","partial"),INDEX(Fit_Matrix!$B:$B,MATCH(P273,Fit_Matrix!$A:$A,0)))),"CHECK KEY"))</f>
        <v/>
      </c>
      <c r="U273" s="10" t="n"/>
      <c r="V273" s="10" t="n"/>
      <c r="W273" s="10" t="n"/>
      <c r="X273" s="10" t="n"/>
      <c r="Y273" s="10" t="n"/>
      <c r="Z273" s="10" t="n"/>
      <c r="AA273" s="11">
        <f>IF(A273="","",IF(AND(J273="P4",F273="causal"),"P4-CAUSAL",""))</f>
        <v/>
      </c>
    </row>
    <row r="274" ht="15" customHeight="1" s="1">
      <c r="P274">
        <f>IF(OR(F274="",H274="",J274=""),"",J274&amp;"|"&amp;F274&amp;"|"&amp;IF(H274="W3","W3_"&amp;IF(I274="","unknown",I274),H274))</f>
        <v/>
      </c>
      <c r="Q274">
        <f>IF(P274="","",IFERROR(IF(AND(H274="W7",OR(F274="causal",F274="predictive")),IF(AND(OR(K274=1,K274="1"),OR(L274=1,L274="1"),OR(M274=1,M274="1")),"adequate","partial"),IF(AND(H274="W4",F274="predictive",OR(J274="P2",J274="P3",J274="P4")),IF(OR(U274=1,U274="1"),"adequate","partial"),INDEX(Fit_Matrix!$B:$B,MATCH(P274,Fit_Matrix!$A:$A,0)))),"CHECK KEY"))</f>
        <v/>
      </c>
      <c r="U274" s="10" t="n"/>
      <c r="V274" s="10" t="n"/>
      <c r="W274" s="10" t="n"/>
      <c r="X274" s="10" t="n"/>
      <c r="Y274" s="10" t="n"/>
      <c r="Z274" s="10" t="n"/>
      <c r="AA274" s="11">
        <f>IF(A274="","",IF(AND(J274="P4",F274="causal"),"P4-CAUSAL",""))</f>
        <v/>
      </c>
    </row>
    <row r="275" ht="15" customHeight="1" s="1">
      <c r="P275">
        <f>IF(OR(F275="",H275="",J275=""),"",J275&amp;"|"&amp;F275&amp;"|"&amp;IF(H275="W3","W3_"&amp;IF(I275="","unknown",I275),H275))</f>
        <v/>
      </c>
      <c r="Q275">
        <f>IF(P275="","",IFERROR(IF(AND(H275="W7",OR(F275="causal",F275="predictive")),IF(AND(OR(K275=1,K275="1"),OR(L275=1,L275="1"),OR(M275=1,M275="1")),"adequate","partial"),IF(AND(H275="W4",F275="predictive",OR(J275="P2",J275="P3",J275="P4")),IF(OR(U275=1,U275="1"),"adequate","partial"),INDEX(Fit_Matrix!$B:$B,MATCH(P275,Fit_Matrix!$A:$A,0)))),"CHECK KEY"))</f>
        <v/>
      </c>
      <c r="U275" s="10" t="n"/>
      <c r="V275" s="10" t="n"/>
      <c r="W275" s="10" t="n"/>
      <c r="X275" s="10" t="n"/>
      <c r="Y275" s="10" t="n"/>
      <c r="Z275" s="10" t="n"/>
      <c r="AA275" s="11">
        <f>IF(A275="","",IF(AND(J275="P4",F275="causal"),"P4-CAUSAL",""))</f>
        <v/>
      </c>
    </row>
    <row r="276" ht="15" customHeight="1" s="1">
      <c r="P276">
        <f>IF(OR(F276="",H276="",J276=""),"",J276&amp;"|"&amp;F276&amp;"|"&amp;IF(H276="W3","W3_"&amp;IF(I276="","unknown",I276),H276))</f>
        <v/>
      </c>
      <c r="Q276">
        <f>IF(P276="","",IFERROR(IF(AND(H276="W7",OR(F276="causal",F276="predictive")),IF(AND(OR(K276=1,K276="1"),OR(L276=1,L276="1"),OR(M276=1,M276="1")),"adequate","partial"),IF(AND(H276="W4",F276="predictive",OR(J276="P2",J276="P3",J276="P4")),IF(OR(U276=1,U276="1"),"adequate","partial"),INDEX(Fit_Matrix!$B:$B,MATCH(P276,Fit_Matrix!$A:$A,0)))),"CHECK KEY"))</f>
        <v/>
      </c>
      <c r="U276" s="10" t="n"/>
      <c r="V276" s="10" t="n"/>
      <c r="W276" s="10" t="n"/>
      <c r="X276" s="10" t="n"/>
      <c r="Y276" s="10" t="n"/>
      <c r="Z276" s="10" t="n"/>
      <c r="AA276" s="11">
        <f>IF(A276="","",IF(AND(J276="P4",F276="causal"),"P4-CAUSAL",""))</f>
        <v/>
      </c>
    </row>
    <row r="277" ht="15" customHeight="1" s="1">
      <c r="P277">
        <f>IF(OR(F277="",H277="",J277=""),"",J277&amp;"|"&amp;F277&amp;"|"&amp;IF(H277="W3","W3_"&amp;IF(I277="","unknown",I277),H277))</f>
        <v/>
      </c>
      <c r="Q277">
        <f>IF(P277="","",IFERROR(IF(AND(H277="W7",OR(F277="causal",F277="predictive")),IF(AND(OR(K277=1,K277="1"),OR(L277=1,L277="1"),OR(M277=1,M277="1")),"adequate","partial"),IF(AND(H277="W4",F277="predictive",OR(J277="P2",J277="P3",J277="P4")),IF(OR(U277=1,U277="1"),"adequate","partial"),INDEX(Fit_Matrix!$B:$B,MATCH(P277,Fit_Matrix!$A:$A,0)))),"CHECK KEY"))</f>
        <v/>
      </c>
      <c r="U277" s="10" t="n"/>
      <c r="V277" s="10" t="n"/>
      <c r="W277" s="10" t="n"/>
      <c r="X277" s="10" t="n"/>
      <c r="Y277" s="10" t="n"/>
      <c r="Z277" s="10" t="n"/>
      <c r="AA277" s="11">
        <f>IF(A277="","",IF(AND(J277="P4",F277="causal"),"P4-CAUSAL",""))</f>
        <v/>
      </c>
    </row>
    <row r="278" ht="15" customHeight="1" s="1">
      <c r="P278">
        <f>IF(OR(F278="",H278="",J278=""),"",J278&amp;"|"&amp;F278&amp;"|"&amp;IF(H278="W3","W3_"&amp;IF(I278="","unknown",I278),H278))</f>
        <v/>
      </c>
      <c r="Q278">
        <f>IF(P278="","",IFERROR(IF(AND(H278="W7",OR(F278="causal",F278="predictive")),IF(AND(OR(K278=1,K278="1"),OR(L278=1,L278="1"),OR(M278=1,M278="1")),"adequate","partial"),IF(AND(H278="W4",F278="predictive",OR(J278="P2",J278="P3",J278="P4")),IF(OR(U278=1,U278="1"),"adequate","partial"),INDEX(Fit_Matrix!$B:$B,MATCH(P278,Fit_Matrix!$A:$A,0)))),"CHECK KEY"))</f>
        <v/>
      </c>
      <c r="U278" s="10" t="n"/>
      <c r="V278" s="10" t="n"/>
      <c r="W278" s="10" t="n"/>
      <c r="X278" s="10" t="n"/>
      <c r="Y278" s="10" t="n"/>
      <c r="Z278" s="10" t="n"/>
      <c r="AA278" s="11">
        <f>IF(A278="","",IF(AND(J278="P4",F278="causal"),"P4-CAUSAL",""))</f>
        <v/>
      </c>
    </row>
    <row r="279" ht="15" customHeight="1" s="1">
      <c r="P279">
        <f>IF(OR(F279="",H279="",J279=""),"",J279&amp;"|"&amp;F279&amp;"|"&amp;IF(H279="W3","W3_"&amp;IF(I279="","unknown",I279),H279))</f>
        <v/>
      </c>
      <c r="Q279">
        <f>IF(P279="","",IFERROR(IF(AND(H279="W7",OR(F279="causal",F279="predictive")),IF(AND(OR(K279=1,K279="1"),OR(L279=1,L279="1"),OR(M279=1,M279="1")),"adequate","partial"),IF(AND(H279="W4",F279="predictive",OR(J279="P2",J279="P3",J279="P4")),IF(OR(U279=1,U279="1"),"adequate","partial"),INDEX(Fit_Matrix!$B:$B,MATCH(P279,Fit_Matrix!$A:$A,0)))),"CHECK KEY"))</f>
        <v/>
      </c>
      <c r="U279" s="10" t="n"/>
      <c r="V279" s="10" t="n"/>
      <c r="W279" s="10" t="n"/>
      <c r="X279" s="10" t="n"/>
      <c r="Y279" s="10" t="n"/>
      <c r="Z279" s="10" t="n"/>
      <c r="AA279" s="11">
        <f>IF(A279="","",IF(AND(J279="P4",F279="causal"),"P4-CAUSAL",""))</f>
        <v/>
      </c>
    </row>
    <row r="280" ht="15" customHeight="1" s="1">
      <c r="P280">
        <f>IF(OR(F280="",H280="",J280=""),"",J280&amp;"|"&amp;F280&amp;"|"&amp;IF(H280="W3","W3_"&amp;IF(I280="","unknown",I280),H280))</f>
        <v/>
      </c>
      <c r="Q280">
        <f>IF(P280="","",IFERROR(IF(AND(H280="W7",OR(F280="causal",F280="predictive")),IF(AND(OR(K280=1,K280="1"),OR(L280=1,L280="1"),OR(M280=1,M280="1")),"adequate","partial"),IF(AND(H280="W4",F280="predictive",OR(J280="P2",J280="P3",J280="P4")),IF(OR(U280=1,U280="1"),"adequate","partial"),INDEX(Fit_Matrix!$B:$B,MATCH(P280,Fit_Matrix!$A:$A,0)))),"CHECK KEY"))</f>
        <v/>
      </c>
      <c r="U280" s="10" t="n"/>
      <c r="V280" s="10" t="n"/>
      <c r="W280" s="10" t="n"/>
      <c r="X280" s="10" t="n"/>
      <c r="Y280" s="10" t="n"/>
      <c r="Z280" s="10" t="n"/>
      <c r="AA280" s="11">
        <f>IF(A280="","",IF(AND(J280="P4",F280="causal"),"P4-CAUSAL",""))</f>
        <v/>
      </c>
    </row>
    <row r="281" ht="15" customHeight="1" s="1">
      <c r="P281">
        <f>IF(OR(F281="",H281="",J281=""),"",J281&amp;"|"&amp;F281&amp;"|"&amp;IF(H281="W3","W3_"&amp;IF(I281="","unknown",I281),H281))</f>
        <v/>
      </c>
      <c r="Q281">
        <f>IF(P281="","",IFERROR(IF(AND(H281="W7",OR(F281="causal",F281="predictive")),IF(AND(OR(K281=1,K281="1"),OR(L281=1,L281="1"),OR(M281=1,M281="1")),"adequate","partial"),IF(AND(H281="W4",F281="predictive",OR(J281="P2",J281="P3",J281="P4")),IF(OR(U281=1,U281="1"),"adequate","partial"),INDEX(Fit_Matrix!$B:$B,MATCH(P281,Fit_Matrix!$A:$A,0)))),"CHECK KEY"))</f>
        <v/>
      </c>
      <c r="U281" s="10" t="n"/>
      <c r="V281" s="10" t="n"/>
      <c r="W281" s="10" t="n"/>
      <c r="X281" s="10" t="n"/>
      <c r="Y281" s="10" t="n"/>
      <c r="Z281" s="10" t="n"/>
      <c r="AA281" s="11">
        <f>IF(A281="","",IF(AND(J281="P4",F281="causal"),"P4-CAUSAL",""))</f>
        <v/>
      </c>
    </row>
    <row r="282" ht="15" customHeight="1" s="1">
      <c r="P282">
        <f>IF(OR(F282="",H282="",J282=""),"",J282&amp;"|"&amp;F282&amp;"|"&amp;IF(H282="W3","W3_"&amp;IF(I282="","unknown",I282),H282))</f>
        <v/>
      </c>
      <c r="Q282">
        <f>IF(P282="","",IFERROR(IF(AND(H282="W7",OR(F282="causal",F282="predictive")),IF(AND(OR(K282=1,K282="1"),OR(L282=1,L282="1"),OR(M282=1,M282="1")),"adequate","partial"),IF(AND(H282="W4",F282="predictive",OR(J282="P2",J282="P3",J282="P4")),IF(OR(U282=1,U282="1"),"adequate","partial"),INDEX(Fit_Matrix!$B:$B,MATCH(P282,Fit_Matrix!$A:$A,0)))),"CHECK KEY"))</f>
        <v/>
      </c>
      <c r="U282" s="10" t="n"/>
      <c r="V282" s="10" t="n"/>
      <c r="W282" s="10" t="n"/>
      <c r="X282" s="10" t="n"/>
      <c r="Y282" s="10" t="n"/>
      <c r="Z282" s="10" t="n"/>
      <c r="AA282" s="11">
        <f>IF(A282="","",IF(AND(J282="P4",F282="causal"),"P4-CAUSAL",""))</f>
        <v/>
      </c>
    </row>
    <row r="283" ht="15" customHeight="1" s="1">
      <c r="P283">
        <f>IF(OR(F283="",H283="",J283=""),"",J283&amp;"|"&amp;F283&amp;"|"&amp;IF(H283="W3","W3_"&amp;IF(I283="","unknown",I283),H283))</f>
        <v/>
      </c>
      <c r="Q283">
        <f>IF(P283="","",IFERROR(IF(AND(H283="W7",OR(F283="causal",F283="predictive")),IF(AND(OR(K283=1,K283="1"),OR(L283=1,L283="1"),OR(M283=1,M283="1")),"adequate","partial"),IF(AND(H283="W4",F283="predictive",OR(J283="P2",J283="P3",J283="P4")),IF(OR(U283=1,U283="1"),"adequate","partial"),INDEX(Fit_Matrix!$B:$B,MATCH(P283,Fit_Matrix!$A:$A,0)))),"CHECK KEY"))</f>
        <v/>
      </c>
      <c r="U283" s="10" t="n"/>
      <c r="V283" s="10" t="n"/>
      <c r="W283" s="10" t="n"/>
      <c r="X283" s="10" t="n"/>
      <c r="Y283" s="10" t="n"/>
      <c r="Z283" s="10" t="n"/>
      <c r="AA283" s="11">
        <f>IF(A283="","",IF(AND(J283="P4",F283="causal"),"P4-CAUSAL",""))</f>
        <v/>
      </c>
    </row>
    <row r="284" ht="15" customHeight="1" s="1">
      <c r="P284">
        <f>IF(OR(F284="",H284="",J284=""),"",J284&amp;"|"&amp;F284&amp;"|"&amp;IF(H284="W3","W3_"&amp;IF(I284="","unknown",I284),H284))</f>
        <v/>
      </c>
      <c r="Q284">
        <f>IF(P284="","",IFERROR(IF(AND(H284="W7",OR(F284="causal",F284="predictive")),IF(AND(OR(K284=1,K284="1"),OR(L284=1,L284="1"),OR(M284=1,M284="1")),"adequate","partial"),IF(AND(H284="W4",F284="predictive",OR(J284="P2",J284="P3",J284="P4")),IF(OR(U284=1,U284="1"),"adequate","partial"),INDEX(Fit_Matrix!$B:$B,MATCH(P284,Fit_Matrix!$A:$A,0)))),"CHECK KEY"))</f>
        <v/>
      </c>
      <c r="U284" s="10" t="n"/>
      <c r="V284" s="10" t="n"/>
      <c r="W284" s="10" t="n"/>
      <c r="X284" s="10" t="n"/>
      <c r="Y284" s="10" t="n"/>
      <c r="Z284" s="10" t="n"/>
      <c r="AA284" s="11">
        <f>IF(A284="","",IF(AND(J284="P4",F284="causal"),"P4-CAUSAL",""))</f>
        <v/>
      </c>
    </row>
    <row r="285" ht="15" customHeight="1" s="1">
      <c r="P285">
        <f>IF(OR(F285="",H285="",J285=""),"",J285&amp;"|"&amp;F285&amp;"|"&amp;IF(H285="W3","W3_"&amp;IF(I285="","unknown",I285),H285))</f>
        <v/>
      </c>
      <c r="Q285">
        <f>IF(P285="","",IFERROR(IF(AND(H285="W7",OR(F285="causal",F285="predictive")),IF(AND(OR(K285=1,K285="1"),OR(L285=1,L285="1"),OR(M285=1,M285="1")),"adequate","partial"),IF(AND(H285="W4",F285="predictive",OR(J285="P2",J285="P3",J285="P4")),IF(OR(U285=1,U285="1"),"adequate","partial"),INDEX(Fit_Matrix!$B:$B,MATCH(P285,Fit_Matrix!$A:$A,0)))),"CHECK KEY"))</f>
        <v/>
      </c>
      <c r="U285" s="10" t="n"/>
      <c r="V285" s="10" t="n"/>
      <c r="W285" s="10" t="n"/>
      <c r="X285" s="10" t="n"/>
      <c r="Y285" s="10" t="n"/>
      <c r="Z285" s="10" t="n"/>
      <c r="AA285" s="11">
        <f>IF(A285="","",IF(AND(J285="P4",F285="causal"),"P4-CAUSAL",""))</f>
        <v/>
      </c>
    </row>
    <row r="286" ht="15" customHeight="1" s="1">
      <c r="P286">
        <f>IF(OR(F286="",H286="",J286=""),"",J286&amp;"|"&amp;F286&amp;"|"&amp;IF(H286="W3","W3_"&amp;IF(I286="","unknown",I286),H286))</f>
        <v/>
      </c>
      <c r="Q286">
        <f>IF(P286="","",IFERROR(IF(AND(H286="W7",OR(F286="causal",F286="predictive")),IF(AND(OR(K286=1,K286="1"),OR(L286=1,L286="1"),OR(M286=1,M286="1")),"adequate","partial"),IF(AND(H286="W4",F286="predictive",OR(J286="P2",J286="P3",J286="P4")),IF(OR(U286=1,U286="1"),"adequate","partial"),INDEX(Fit_Matrix!$B:$B,MATCH(P286,Fit_Matrix!$A:$A,0)))),"CHECK KEY"))</f>
        <v/>
      </c>
      <c r="U286" s="10" t="n"/>
      <c r="V286" s="10" t="n"/>
      <c r="W286" s="10" t="n"/>
      <c r="X286" s="10" t="n"/>
      <c r="Y286" s="10" t="n"/>
      <c r="Z286" s="10" t="n"/>
      <c r="AA286" s="11">
        <f>IF(A286="","",IF(AND(J286="P4",F286="causal"),"P4-CAUSAL",""))</f>
        <v/>
      </c>
    </row>
    <row r="287" ht="15" customHeight="1" s="1">
      <c r="P287">
        <f>IF(OR(F287="",H287="",J287=""),"",J287&amp;"|"&amp;F287&amp;"|"&amp;IF(H287="W3","W3_"&amp;IF(I287="","unknown",I287),H287))</f>
        <v/>
      </c>
      <c r="Q287">
        <f>IF(P287="","",IFERROR(IF(AND(H287="W7",OR(F287="causal",F287="predictive")),IF(AND(OR(K287=1,K287="1"),OR(L287=1,L287="1"),OR(M287=1,M287="1")),"adequate","partial"),IF(AND(H287="W4",F287="predictive",OR(J287="P2",J287="P3",J287="P4")),IF(OR(U287=1,U287="1"),"adequate","partial"),INDEX(Fit_Matrix!$B:$B,MATCH(P287,Fit_Matrix!$A:$A,0)))),"CHECK KEY"))</f>
        <v/>
      </c>
      <c r="U287" s="10" t="n"/>
      <c r="V287" s="10" t="n"/>
      <c r="W287" s="10" t="n"/>
      <c r="X287" s="10" t="n"/>
      <c r="Y287" s="10" t="n"/>
      <c r="Z287" s="10" t="n"/>
      <c r="AA287" s="11">
        <f>IF(A287="","",IF(AND(J287="P4",F287="causal"),"P4-CAUSAL",""))</f>
        <v/>
      </c>
    </row>
    <row r="288" ht="15" customHeight="1" s="1">
      <c r="P288">
        <f>IF(OR(F288="",H288="",J288=""),"",J288&amp;"|"&amp;F288&amp;"|"&amp;IF(H288="W3","W3_"&amp;IF(I288="","unknown",I288),H288))</f>
        <v/>
      </c>
      <c r="Q288">
        <f>IF(P288="","",IFERROR(IF(AND(H288="W7",OR(F288="causal",F288="predictive")),IF(AND(OR(K288=1,K288="1"),OR(L288=1,L288="1"),OR(M288=1,M288="1")),"adequate","partial"),IF(AND(H288="W4",F288="predictive",OR(J288="P2",J288="P3",J288="P4")),IF(OR(U288=1,U288="1"),"adequate","partial"),INDEX(Fit_Matrix!$B:$B,MATCH(P288,Fit_Matrix!$A:$A,0)))),"CHECK KEY"))</f>
        <v/>
      </c>
      <c r="U288" s="10" t="n"/>
      <c r="V288" s="10" t="n"/>
      <c r="W288" s="10" t="n"/>
      <c r="X288" s="10" t="n"/>
      <c r="Y288" s="10" t="n"/>
      <c r="Z288" s="10" t="n"/>
      <c r="AA288" s="11">
        <f>IF(A288="","",IF(AND(J288="P4",F288="causal"),"P4-CAUSAL",""))</f>
        <v/>
      </c>
    </row>
    <row r="289" ht="15" customHeight="1" s="1">
      <c r="P289">
        <f>IF(OR(F289="",H289="",J289=""),"",J289&amp;"|"&amp;F289&amp;"|"&amp;IF(H289="W3","W3_"&amp;IF(I289="","unknown",I289),H289))</f>
        <v/>
      </c>
      <c r="Q289">
        <f>IF(P289="","",IFERROR(IF(AND(H289="W7",OR(F289="causal",F289="predictive")),IF(AND(OR(K289=1,K289="1"),OR(L289=1,L289="1"),OR(M289=1,M289="1")),"adequate","partial"),IF(AND(H289="W4",F289="predictive",OR(J289="P2",J289="P3",J289="P4")),IF(OR(U289=1,U289="1"),"adequate","partial"),INDEX(Fit_Matrix!$B:$B,MATCH(P289,Fit_Matrix!$A:$A,0)))),"CHECK KEY"))</f>
        <v/>
      </c>
      <c r="U289" s="10" t="n"/>
      <c r="V289" s="10" t="n"/>
      <c r="W289" s="10" t="n"/>
      <c r="X289" s="10" t="n"/>
      <c r="Y289" s="10" t="n"/>
      <c r="Z289" s="10" t="n"/>
      <c r="AA289" s="11">
        <f>IF(A289="","",IF(AND(J289="P4",F289="causal"),"P4-CAUSAL",""))</f>
        <v/>
      </c>
    </row>
    <row r="290" ht="15" customHeight="1" s="1">
      <c r="P290">
        <f>IF(OR(F290="",H290="",J290=""),"",J290&amp;"|"&amp;F290&amp;"|"&amp;IF(H290="W3","W3_"&amp;IF(I290="","unknown",I290),H290))</f>
        <v/>
      </c>
      <c r="Q290">
        <f>IF(P290="","",IFERROR(IF(AND(H290="W7",OR(F290="causal",F290="predictive")),IF(AND(OR(K290=1,K290="1"),OR(L290=1,L290="1"),OR(M290=1,M290="1")),"adequate","partial"),IF(AND(H290="W4",F290="predictive",OR(J290="P2",J290="P3",J290="P4")),IF(OR(U290=1,U290="1"),"adequate","partial"),INDEX(Fit_Matrix!$B:$B,MATCH(P290,Fit_Matrix!$A:$A,0)))),"CHECK KEY"))</f>
        <v/>
      </c>
      <c r="U290" s="10" t="n"/>
      <c r="V290" s="10" t="n"/>
      <c r="W290" s="10" t="n"/>
      <c r="X290" s="10" t="n"/>
      <c r="Y290" s="10" t="n"/>
      <c r="Z290" s="10" t="n"/>
      <c r="AA290" s="11">
        <f>IF(A290="","",IF(AND(J290="P4",F290="causal"),"P4-CAUSAL",""))</f>
        <v/>
      </c>
    </row>
    <row r="291" ht="15" customHeight="1" s="1">
      <c r="P291">
        <f>IF(OR(F291="",H291="",J291=""),"",J291&amp;"|"&amp;F291&amp;"|"&amp;IF(H291="W3","W3_"&amp;IF(I291="","unknown",I291),H291))</f>
        <v/>
      </c>
      <c r="Q291">
        <f>IF(P291="","",IFERROR(IF(AND(H291="W7",OR(F291="causal",F291="predictive")),IF(AND(OR(K291=1,K291="1"),OR(L291=1,L291="1"),OR(M291=1,M291="1")),"adequate","partial"),IF(AND(H291="W4",F291="predictive",OR(J291="P2",J291="P3",J291="P4")),IF(OR(U291=1,U291="1"),"adequate","partial"),INDEX(Fit_Matrix!$B:$B,MATCH(P291,Fit_Matrix!$A:$A,0)))),"CHECK KEY"))</f>
        <v/>
      </c>
      <c r="U291" s="10" t="n"/>
      <c r="V291" s="10" t="n"/>
      <c r="W291" s="10" t="n"/>
      <c r="X291" s="10" t="n"/>
      <c r="Y291" s="10" t="n"/>
      <c r="Z291" s="10" t="n"/>
      <c r="AA291" s="11">
        <f>IF(A291="","",IF(AND(J291="P4",F291="causal"),"P4-CAUSAL",""))</f>
        <v/>
      </c>
    </row>
    <row r="292" ht="15" customHeight="1" s="1">
      <c r="P292">
        <f>IF(OR(F292="",H292="",J292=""),"",J292&amp;"|"&amp;F292&amp;"|"&amp;IF(H292="W3","W3_"&amp;IF(I292="","unknown",I292),H292))</f>
        <v/>
      </c>
      <c r="Q292">
        <f>IF(P292="","",IFERROR(IF(AND(H292="W7",OR(F292="causal",F292="predictive")),IF(AND(OR(K292=1,K292="1"),OR(L292=1,L292="1"),OR(M292=1,M292="1")),"adequate","partial"),IF(AND(H292="W4",F292="predictive",OR(J292="P2",J292="P3",J292="P4")),IF(OR(U292=1,U292="1"),"adequate","partial"),INDEX(Fit_Matrix!$B:$B,MATCH(P292,Fit_Matrix!$A:$A,0)))),"CHECK KEY"))</f>
        <v/>
      </c>
      <c r="U292" s="10" t="n"/>
      <c r="V292" s="10" t="n"/>
      <c r="W292" s="10" t="n"/>
      <c r="X292" s="10" t="n"/>
      <c r="Y292" s="10" t="n"/>
      <c r="Z292" s="10" t="n"/>
      <c r="AA292" s="11">
        <f>IF(A292="","",IF(AND(J292="P4",F292="causal"),"P4-CAUSAL",""))</f>
        <v/>
      </c>
    </row>
    <row r="293" ht="15" customHeight="1" s="1">
      <c r="P293">
        <f>IF(OR(F293="",H293="",J293=""),"",J293&amp;"|"&amp;F293&amp;"|"&amp;IF(H293="W3","W3_"&amp;IF(I293="","unknown",I293),H293))</f>
        <v/>
      </c>
      <c r="Q293">
        <f>IF(P293="","",IFERROR(IF(AND(H293="W7",OR(F293="causal",F293="predictive")),IF(AND(OR(K293=1,K293="1"),OR(L293=1,L293="1"),OR(M293=1,M293="1")),"adequate","partial"),IF(AND(H293="W4",F293="predictive",OR(J293="P2",J293="P3",J293="P4")),IF(OR(U293=1,U293="1"),"adequate","partial"),INDEX(Fit_Matrix!$B:$B,MATCH(P293,Fit_Matrix!$A:$A,0)))),"CHECK KEY"))</f>
        <v/>
      </c>
      <c r="U293" s="10" t="n"/>
      <c r="V293" s="10" t="n"/>
      <c r="W293" s="10" t="n"/>
      <c r="X293" s="10" t="n"/>
      <c r="Y293" s="10" t="n"/>
      <c r="Z293" s="10" t="n"/>
      <c r="AA293" s="11">
        <f>IF(A293="","",IF(AND(J293="P4",F293="causal"),"P4-CAUSAL",""))</f>
        <v/>
      </c>
    </row>
    <row r="294" ht="15" customHeight="1" s="1">
      <c r="P294">
        <f>IF(OR(F294="",H294="",J294=""),"",J294&amp;"|"&amp;F294&amp;"|"&amp;IF(H294="W3","W3_"&amp;IF(I294="","unknown",I294),H294))</f>
        <v/>
      </c>
      <c r="Q294">
        <f>IF(P294="","",IFERROR(IF(AND(H294="W7",OR(F294="causal",F294="predictive")),IF(AND(OR(K294=1,K294="1"),OR(L294=1,L294="1"),OR(M294=1,M294="1")),"adequate","partial"),IF(AND(H294="W4",F294="predictive",OR(J294="P2",J294="P3",J294="P4")),IF(OR(U294=1,U294="1"),"adequate","partial"),INDEX(Fit_Matrix!$B:$B,MATCH(P294,Fit_Matrix!$A:$A,0)))),"CHECK KEY"))</f>
        <v/>
      </c>
      <c r="U294" s="10" t="n"/>
      <c r="V294" s="10" t="n"/>
      <c r="W294" s="10" t="n"/>
      <c r="X294" s="10" t="n"/>
      <c r="Y294" s="10" t="n"/>
      <c r="Z294" s="10" t="n"/>
      <c r="AA294" s="11">
        <f>IF(A294="","",IF(AND(J294="P4",F294="causal"),"P4-CAUSAL",""))</f>
        <v/>
      </c>
    </row>
    <row r="295" ht="15" customHeight="1" s="1">
      <c r="P295">
        <f>IF(OR(F295="",H295="",J295=""),"",J295&amp;"|"&amp;F295&amp;"|"&amp;IF(H295="W3","W3_"&amp;IF(I295="","unknown",I295),H295))</f>
        <v/>
      </c>
      <c r="Q295">
        <f>IF(P295="","",IFERROR(IF(AND(H295="W7",OR(F295="causal",F295="predictive")),IF(AND(OR(K295=1,K295="1"),OR(L295=1,L295="1"),OR(M295=1,M295="1")),"adequate","partial"),IF(AND(H295="W4",F295="predictive",OR(J295="P2",J295="P3",J295="P4")),IF(OR(U295=1,U295="1"),"adequate","partial"),INDEX(Fit_Matrix!$B:$B,MATCH(P295,Fit_Matrix!$A:$A,0)))),"CHECK KEY"))</f>
        <v/>
      </c>
      <c r="U295" s="10" t="n"/>
      <c r="V295" s="10" t="n"/>
      <c r="W295" s="10" t="n"/>
      <c r="X295" s="10" t="n"/>
      <c r="Y295" s="10" t="n"/>
      <c r="Z295" s="10" t="n"/>
      <c r="AA295" s="11">
        <f>IF(A295="","",IF(AND(J295="P4",F295="causal"),"P4-CAUSAL",""))</f>
        <v/>
      </c>
    </row>
    <row r="296" ht="15" customHeight="1" s="1">
      <c r="P296">
        <f>IF(OR(F296="",H296="",J296=""),"",J296&amp;"|"&amp;F296&amp;"|"&amp;IF(H296="W3","W3_"&amp;IF(I296="","unknown",I296),H296))</f>
        <v/>
      </c>
      <c r="Q296">
        <f>IF(P296="","",IFERROR(IF(AND(H296="W7",OR(F296="causal",F296="predictive")),IF(AND(OR(K296=1,K296="1"),OR(L296=1,L296="1"),OR(M296=1,M296="1")),"adequate","partial"),IF(AND(H296="W4",F296="predictive",OR(J296="P2",J296="P3",J296="P4")),IF(OR(U296=1,U296="1"),"adequate","partial"),INDEX(Fit_Matrix!$B:$B,MATCH(P296,Fit_Matrix!$A:$A,0)))),"CHECK KEY"))</f>
        <v/>
      </c>
      <c r="U296" s="10" t="n"/>
      <c r="V296" s="10" t="n"/>
      <c r="W296" s="10" t="n"/>
      <c r="X296" s="10" t="n"/>
      <c r="Y296" s="10" t="n"/>
      <c r="Z296" s="10" t="n"/>
      <c r="AA296" s="11">
        <f>IF(A296="","",IF(AND(J296="P4",F296="causal"),"P4-CAUSAL",""))</f>
        <v/>
      </c>
    </row>
    <row r="297" ht="15" customHeight="1" s="1">
      <c r="P297">
        <f>IF(OR(F297="",H297="",J297=""),"",J297&amp;"|"&amp;F297&amp;"|"&amp;IF(H297="W3","W3_"&amp;IF(I297="","unknown",I297),H297))</f>
        <v/>
      </c>
      <c r="Q297">
        <f>IF(P297="","",IFERROR(IF(AND(H297="W7",OR(F297="causal",F297="predictive")),IF(AND(OR(K297=1,K297="1"),OR(L297=1,L297="1"),OR(M297=1,M297="1")),"adequate","partial"),IF(AND(H297="W4",F297="predictive",OR(J297="P2",J297="P3",J297="P4")),IF(OR(U297=1,U297="1"),"adequate","partial"),INDEX(Fit_Matrix!$B:$B,MATCH(P297,Fit_Matrix!$A:$A,0)))),"CHECK KEY"))</f>
        <v/>
      </c>
      <c r="U297" s="10" t="n"/>
      <c r="V297" s="10" t="n"/>
      <c r="W297" s="10" t="n"/>
      <c r="X297" s="10" t="n"/>
      <c r="Y297" s="10" t="n"/>
      <c r="Z297" s="10" t="n"/>
      <c r="AA297" s="11">
        <f>IF(A297="","",IF(AND(J297="P4",F297="causal"),"P4-CAUSAL",""))</f>
        <v/>
      </c>
    </row>
    <row r="298" ht="15" customHeight="1" s="1">
      <c r="P298">
        <f>IF(OR(F298="",H298="",J298=""),"",J298&amp;"|"&amp;F298&amp;"|"&amp;IF(H298="W3","W3_"&amp;IF(I298="","unknown",I298),H298))</f>
        <v/>
      </c>
      <c r="Q298">
        <f>IF(P298="","",IFERROR(IF(AND(H298="W7",OR(F298="causal",F298="predictive")),IF(AND(OR(K298=1,K298="1"),OR(L298=1,L298="1"),OR(M298=1,M298="1")),"adequate","partial"),IF(AND(H298="W4",F298="predictive",OR(J298="P2",J298="P3",J298="P4")),IF(OR(U298=1,U298="1"),"adequate","partial"),INDEX(Fit_Matrix!$B:$B,MATCH(P298,Fit_Matrix!$A:$A,0)))),"CHECK KEY"))</f>
        <v/>
      </c>
      <c r="U298" s="10" t="n"/>
      <c r="V298" s="10" t="n"/>
      <c r="W298" s="10" t="n"/>
      <c r="X298" s="10" t="n"/>
      <c r="Y298" s="10" t="n"/>
      <c r="Z298" s="10" t="n"/>
      <c r="AA298" s="11">
        <f>IF(A298="","",IF(AND(J298="P4",F298="causal"),"P4-CAUSAL",""))</f>
        <v/>
      </c>
    </row>
    <row r="299" ht="15" customHeight="1" s="1">
      <c r="P299">
        <f>IF(OR(F299="",H299="",J299=""),"",J299&amp;"|"&amp;F299&amp;"|"&amp;IF(H299="W3","W3_"&amp;IF(I299="","unknown",I299),H299))</f>
        <v/>
      </c>
      <c r="Q299">
        <f>IF(P299="","",IFERROR(IF(AND(H299="W7",OR(F299="causal",F299="predictive")),IF(AND(OR(K299=1,K299="1"),OR(L299=1,L299="1"),OR(M299=1,M299="1")),"adequate","partial"),IF(AND(H299="W4",F299="predictive",OR(J299="P2",J299="P3",J299="P4")),IF(OR(U299=1,U299="1"),"adequate","partial"),INDEX(Fit_Matrix!$B:$B,MATCH(P299,Fit_Matrix!$A:$A,0)))),"CHECK KEY"))</f>
        <v/>
      </c>
      <c r="U299" s="10" t="n"/>
      <c r="V299" s="10" t="n"/>
      <c r="W299" s="10" t="n"/>
      <c r="X299" s="10" t="n"/>
      <c r="Y299" s="10" t="n"/>
      <c r="Z299" s="10" t="n"/>
      <c r="AA299" s="11">
        <f>IF(A299="","",IF(AND(J299="P4",F299="causal"),"P4-CAUSAL",""))</f>
        <v/>
      </c>
    </row>
    <row r="300" ht="15" customHeight="1" s="1">
      <c r="P300">
        <f>IF(OR(F300="",H300="",J300=""),"",J300&amp;"|"&amp;F300&amp;"|"&amp;IF(H300="W3","W3_"&amp;IF(I300="","unknown",I300),H300))</f>
        <v/>
      </c>
      <c r="Q300">
        <f>IF(P300="","",IFERROR(IF(AND(H300="W7",OR(F300="causal",F300="predictive")),IF(AND(OR(K300=1,K300="1"),OR(L300=1,L300="1"),OR(M300=1,M300="1")),"adequate","partial"),IF(AND(H300="W4",F300="predictive",OR(J300="P2",J300="P3",J300="P4")),IF(OR(U300=1,U300="1"),"adequate","partial"),INDEX(Fit_Matrix!$B:$B,MATCH(P300,Fit_Matrix!$A:$A,0)))),"CHECK KEY"))</f>
        <v/>
      </c>
      <c r="U300" s="10" t="n"/>
      <c r="V300" s="10" t="n"/>
      <c r="W300" s="10" t="n"/>
      <c r="X300" s="10" t="n"/>
      <c r="Y300" s="10" t="n"/>
      <c r="Z300" s="10" t="n"/>
      <c r="AA300" s="11">
        <f>IF(A300="","",IF(AND(J300="P4",F300="causal"),"P4-CAUSAL",""))</f>
        <v/>
      </c>
    </row>
    <row r="301" ht="15" customHeight="1" s="1">
      <c r="P301">
        <f>IF(OR(F301="",H301="",J301=""),"",J301&amp;"|"&amp;F301&amp;"|"&amp;IF(H301="W3","W3_"&amp;IF(I301="","unknown",I301),H301))</f>
        <v/>
      </c>
      <c r="Q301">
        <f>IF(P301="","",IFERROR(IF(AND(H301="W7",OR(F301="causal",F301="predictive")),IF(AND(OR(K301=1,K301="1"),OR(L301=1,L301="1"),OR(M301=1,M301="1")),"adequate","partial"),IF(AND(H301="W4",F301="predictive",OR(J301="P2",J301="P3",J301="P4")),IF(OR(U301=1,U301="1"),"adequate","partial"),INDEX(Fit_Matrix!$B:$B,MATCH(P301,Fit_Matrix!$A:$A,0)))),"CHECK KEY"))</f>
        <v/>
      </c>
      <c r="U301" s="10" t="n"/>
      <c r="V301" s="10" t="n"/>
      <c r="W301" s="10" t="n"/>
      <c r="X301" s="10" t="n"/>
      <c r="Y301" s="10" t="n"/>
      <c r="Z301" s="10" t="n"/>
      <c r="AA301" s="11">
        <f>IF(A301="","",IF(AND(J301="P4",F301="causal"),"P4-CAUSAL",""))</f>
        <v/>
      </c>
    </row>
    <row r="302" ht="15" customHeight="1" s="1">
      <c r="P302">
        <f>IF(OR(F302="",H302="",J302=""),"",J302&amp;"|"&amp;F302&amp;"|"&amp;IF(H302="W3","W3_"&amp;IF(I302="","unknown",I302),H302))</f>
        <v/>
      </c>
      <c r="Q302">
        <f>IF(P302="","",IFERROR(IF(AND(H302="W7",OR(F302="causal",F302="predictive")),IF(AND(OR(K302=1,K302="1"),OR(L302=1,L302="1"),OR(M302=1,M302="1")),"adequate","partial"),IF(AND(H302="W4",F302="predictive",OR(J302="P2",J302="P3",J302="P4")),IF(OR(U302=1,U302="1"),"adequate","partial"),INDEX(Fit_Matrix!$B:$B,MATCH(P302,Fit_Matrix!$A:$A,0)))),"CHECK KEY"))</f>
        <v/>
      </c>
      <c r="U302" s="10" t="n"/>
      <c r="V302" s="10" t="n"/>
      <c r="W302" s="10" t="n"/>
      <c r="X302" s="10" t="n"/>
      <c r="Y302" s="10" t="n"/>
      <c r="Z302" s="10" t="n"/>
      <c r="AA302" s="11">
        <f>IF(A302="","",IF(AND(J302="P4",F302="causal"),"P4-CAUSAL",""))</f>
        <v/>
      </c>
    </row>
    <row r="303" ht="15" customHeight="1" s="1">
      <c r="P303">
        <f>IF(OR(F303="",H303="",J303=""),"",J303&amp;"|"&amp;F303&amp;"|"&amp;IF(H303="W3","W3_"&amp;IF(I303="","unknown",I303),H303))</f>
        <v/>
      </c>
      <c r="Q303">
        <f>IF(P303="","",IFERROR(IF(AND(H303="W7",OR(F303="causal",F303="predictive")),IF(AND(OR(K303=1,K303="1"),OR(L303=1,L303="1"),OR(M303=1,M303="1")),"adequate","partial"),IF(AND(H303="W4",F303="predictive",OR(J303="P2",J303="P3",J303="P4")),IF(OR(U303=1,U303="1"),"adequate","partial"),INDEX(Fit_Matrix!$B:$B,MATCH(P303,Fit_Matrix!$A:$A,0)))),"CHECK KEY"))</f>
        <v/>
      </c>
      <c r="U303" s="10" t="n"/>
      <c r="V303" s="10" t="n"/>
      <c r="W303" s="10" t="n"/>
      <c r="X303" s="10" t="n"/>
      <c r="Y303" s="10" t="n"/>
      <c r="Z303" s="10" t="n"/>
      <c r="AA303" s="11">
        <f>IF(A303="","",IF(AND(J303="P4",F303="causal"),"P4-CAUSAL",""))</f>
        <v/>
      </c>
    </row>
    <row r="304" ht="15" customHeight="1" s="1">
      <c r="P304">
        <f>IF(OR(F304="",H304="",J304=""),"",J304&amp;"|"&amp;F304&amp;"|"&amp;IF(H304="W3","W3_"&amp;IF(I304="","unknown",I304),H304))</f>
        <v/>
      </c>
      <c r="Q304">
        <f>IF(P304="","",IFERROR(IF(AND(H304="W7",OR(F304="causal",F304="predictive")),IF(AND(OR(K304=1,K304="1"),OR(L304=1,L304="1"),OR(M304=1,M304="1")),"adequate","partial"),IF(AND(H304="W4",F304="predictive",OR(J304="P2",J304="P3",J304="P4")),IF(OR(U304=1,U304="1"),"adequate","partial"),INDEX(Fit_Matrix!$B:$B,MATCH(P304,Fit_Matrix!$A:$A,0)))),"CHECK KEY"))</f>
        <v/>
      </c>
      <c r="U304" s="10" t="n"/>
      <c r="V304" s="10" t="n"/>
      <c r="W304" s="10" t="n"/>
      <c r="X304" s="10" t="n"/>
      <c r="Y304" s="10" t="n"/>
      <c r="Z304" s="10" t="n"/>
      <c r="AA304" s="11">
        <f>IF(A304="","",IF(AND(J304="P4",F304="causal"),"P4-CAUSAL",""))</f>
        <v/>
      </c>
    </row>
    <row r="305" ht="15" customHeight="1" s="1">
      <c r="P305">
        <f>IF(OR(F305="",H305="",J305=""),"",J305&amp;"|"&amp;F305&amp;"|"&amp;IF(H305="W3","W3_"&amp;IF(I305="","unknown",I305),H305))</f>
        <v/>
      </c>
      <c r="Q305">
        <f>IF(P305="","",IFERROR(IF(AND(H305="W7",OR(F305="causal",F305="predictive")),IF(AND(OR(K305=1,K305="1"),OR(L305=1,L305="1"),OR(M305=1,M305="1")),"adequate","partial"),IF(AND(H305="W4",F305="predictive",OR(J305="P2",J305="P3",J305="P4")),IF(OR(U305=1,U305="1"),"adequate","partial"),INDEX(Fit_Matrix!$B:$B,MATCH(P305,Fit_Matrix!$A:$A,0)))),"CHECK KEY"))</f>
        <v/>
      </c>
      <c r="U305" s="10" t="n"/>
      <c r="V305" s="10" t="n"/>
      <c r="W305" s="10" t="n"/>
      <c r="X305" s="10" t="n"/>
      <c r="Y305" s="10" t="n"/>
      <c r="Z305" s="10" t="n"/>
      <c r="AA305" s="11">
        <f>IF(A305="","",IF(AND(J305="P4",F305="causal"),"P4-CAUSAL",""))</f>
        <v/>
      </c>
    </row>
    <row r="306" ht="15" customHeight="1" s="1">
      <c r="P306">
        <f>IF(OR(F306="",H306="",J306=""),"",J306&amp;"|"&amp;F306&amp;"|"&amp;IF(H306="W3","W3_"&amp;IF(I306="","unknown",I306),H306))</f>
        <v/>
      </c>
      <c r="Q306">
        <f>IF(P306="","",IFERROR(IF(AND(H306="W7",OR(F306="causal",F306="predictive")),IF(AND(OR(K306=1,K306="1"),OR(L306=1,L306="1"),OR(M306=1,M306="1")),"adequate","partial"),IF(AND(H306="W4",F306="predictive",OR(J306="P2",J306="P3",J306="P4")),IF(OR(U306=1,U306="1"),"adequate","partial"),INDEX(Fit_Matrix!$B:$B,MATCH(P306,Fit_Matrix!$A:$A,0)))),"CHECK KEY"))</f>
        <v/>
      </c>
      <c r="U306" s="10" t="n"/>
      <c r="V306" s="10" t="n"/>
      <c r="W306" s="10" t="n"/>
      <c r="X306" s="10" t="n"/>
      <c r="Y306" s="10" t="n"/>
      <c r="Z306" s="10" t="n"/>
      <c r="AA306" s="11">
        <f>IF(A306="","",IF(AND(J306="P4",F306="causal"),"P4-CAUSAL",""))</f>
        <v/>
      </c>
    </row>
    <row r="307" ht="15" customHeight="1" s="1">
      <c r="P307">
        <f>IF(OR(F307="",H307="",J307=""),"",J307&amp;"|"&amp;F307&amp;"|"&amp;IF(H307="W3","W3_"&amp;IF(I307="","unknown",I307),H307))</f>
        <v/>
      </c>
      <c r="Q307">
        <f>IF(P307="","",IFERROR(IF(AND(H307="W7",OR(F307="causal",F307="predictive")),IF(AND(OR(K307=1,K307="1"),OR(L307=1,L307="1"),OR(M307=1,M307="1")),"adequate","partial"),IF(AND(H307="W4",F307="predictive",OR(J307="P2",J307="P3",J307="P4")),IF(OR(U307=1,U307="1"),"adequate","partial"),INDEX(Fit_Matrix!$B:$B,MATCH(P307,Fit_Matrix!$A:$A,0)))),"CHECK KEY"))</f>
        <v/>
      </c>
      <c r="U307" s="10" t="n"/>
      <c r="V307" s="10" t="n"/>
      <c r="W307" s="10" t="n"/>
      <c r="X307" s="10" t="n"/>
      <c r="Y307" s="10" t="n"/>
      <c r="Z307" s="10" t="n"/>
      <c r="AA307" s="11">
        <f>IF(A307="","",IF(AND(J307="P4",F307="causal"),"P4-CAUSAL",""))</f>
        <v/>
      </c>
    </row>
    <row r="308" ht="15" customHeight="1" s="1">
      <c r="P308">
        <f>IF(OR(F308="",H308="",J308=""),"",J308&amp;"|"&amp;F308&amp;"|"&amp;IF(H308="W3","W3_"&amp;IF(I308="","unknown",I308),H308))</f>
        <v/>
      </c>
      <c r="Q308">
        <f>IF(P308="","",IFERROR(IF(AND(H308="W7",OR(F308="causal",F308="predictive")),IF(AND(OR(K308=1,K308="1"),OR(L308=1,L308="1"),OR(M308=1,M308="1")),"adequate","partial"),IF(AND(H308="W4",F308="predictive",OR(J308="P2",J308="P3",J308="P4")),IF(OR(U308=1,U308="1"),"adequate","partial"),INDEX(Fit_Matrix!$B:$B,MATCH(P308,Fit_Matrix!$A:$A,0)))),"CHECK KEY"))</f>
        <v/>
      </c>
      <c r="U308" s="10" t="n"/>
      <c r="V308" s="10" t="n"/>
      <c r="W308" s="10" t="n"/>
      <c r="X308" s="10" t="n"/>
      <c r="Y308" s="10" t="n"/>
      <c r="Z308" s="10" t="n"/>
      <c r="AA308" s="11">
        <f>IF(A308="","",IF(AND(J308="P4",F308="causal"),"P4-CAUSAL",""))</f>
        <v/>
      </c>
    </row>
    <row r="309" ht="15" customHeight="1" s="1">
      <c r="P309">
        <f>IF(OR(F309="",H309="",J309=""),"",J309&amp;"|"&amp;F309&amp;"|"&amp;IF(H309="W3","W3_"&amp;IF(I309="","unknown",I309),H309))</f>
        <v/>
      </c>
      <c r="Q309">
        <f>IF(P309="","",IFERROR(IF(AND(H309="W7",OR(F309="causal",F309="predictive")),IF(AND(OR(K309=1,K309="1"),OR(L309=1,L309="1"),OR(M309=1,M309="1")),"adequate","partial"),IF(AND(H309="W4",F309="predictive",OR(J309="P2",J309="P3",J309="P4")),IF(OR(U309=1,U309="1"),"adequate","partial"),INDEX(Fit_Matrix!$B:$B,MATCH(P309,Fit_Matrix!$A:$A,0)))),"CHECK KEY"))</f>
        <v/>
      </c>
      <c r="U309" s="10" t="n"/>
      <c r="V309" s="10" t="n"/>
      <c r="W309" s="10" t="n"/>
      <c r="X309" s="10" t="n"/>
      <c r="Y309" s="10" t="n"/>
      <c r="Z309" s="10" t="n"/>
      <c r="AA309" s="11">
        <f>IF(A309="","",IF(AND(J309="P4",F309="causal"),"P4-CAUSAL",""))</f>
        <v/>
      </c>
    </row>
    <row r="310" ht="15" customHeight="1" s="1">
      <c r="P310">
        <f>IF(OR(F310="",H310="",J310=""),"",J310&amp;"|"&amp;F310&amp;"|"&amp;IF(H310="W3","W3_"&amp;IF(I310="","unknown",I310),H310))</f>
        <v/>
      </c>
      <c r="Q310">
        <f>IF(P310="","",IFERROR(IF(AND(H310="W7",OR(F310="causal",F310="predictive")),IF(AND(OR(K310=1,K310="1"),OR(L310=1,L310="1"),OR(M310=1,M310="1")),"adequate","partial"),IF(AND(H310="W4",F310="predictive",OR(J310="P2",J310="P3",J310="P4")),IF(OR(U310=1,U310="1"),"adequate","partial"),INDEX(Fit_Matrix!$B:$B,MATCH(P310,Fit_Matrix!$A:$A,0)))),"CHECK KEY"))</f>
        <v/>
      </c>
      <c r="U310" s="10" t="n"/>
      <c r="V310" s="10" t="n"/>
      <c r="W310" s="10" t="n"/>
      <c r="X310" s="10" t="n"/>
      <c r="Y310" s="10" t="n"/>
      <c r="Z310" s="10" t="n"/>
      <c r="AA310" s="11">
        <f>IF(A310="","",IF(AND(J310="P4",F310="causal"),"P4-CAUSAL",""))</f>
        <v/>
      </c>
    </row>
    <row r="311" ht="15" customHeight="1" s="1">
      <c r="P311">
        <f>IF(OR(F311="",H311="",J311=""),"",J311&amp;"|"&amp;F311&amp;"|"&amp;IF(H311="W3","W3_"&amp;IF(I311="","unknown",I311),H311))</f>
        <v/>
      </c>
      <c r="Q311">
        <f>IF(P311="","",IFERROR(IF(AND(H311="W7",OR(F311="causal",F311="predictive")),IF(AND(OR(K311=1,K311="1"),OR(L311=1,L311="1"),OR(M311=1,M311="1")),"adequate","partial"),IF(AND(H311="W4",F311="predictive",OR(J311="P2",J311="P3",J311="P4")),IF(OR(U311=1,U311="1"),"adequate","partial"),INDEX(Fit_Matrix!$B:$B,MATCH(P311,Fit_Matrix!$A:$A,0)))),"CHECK KEY"))</f>
        <v/>
      </c>
      <c r="U311" s="10" t="n"/>
      <c r="V311" s="10" t="n"/>
      <c r="W311" s="10" t="n"/>
      <c r="X311" s="10" t="n"/>
      <c r="Y311" s="10" t="n"/>
      <c r="Z311" s="10" t="n"/>
      <c r="AA311" s="11">
        <f>IF(A311="","",IF(AND(J311="P4",F311="causal"),"P4-CAUSAL",""))</f>
        <v/>
      </c>
    </row>
    <row r="312" ht="15" customHeight="1" s="1">
      <c r="P312">
        <f>IF(OR(F312="",H312="",J312=""),"",J312&amp;"|"&amp;F312&amp;"|"&amp;IF(H312="W3","W3_"&amp;IF(I312="","unknown",I312),H312))</f>
        <v/>
      </c>
      <c r="Q312">
        <f>IF(P312="","",IFERROR(IF(AND(H312="W7",OR(F312="causal",F312="predictive")),IF(AND(OR(K312=1,K312="1"),OR(L312=1,L312="1"),OR(M312=1,M312="1")),"adequate","partial"),IF(AND(H312="W4",F312="predictive",OR(J312="P2",J312="P3",J312="P4")),IF(OR(U312=1,U312="1"),"adequate","partial"),INDEX(Fit_Matrix!$B:$B,MATCH(P312,Fit_Matrix!$A:$A,0)))),"CHECK KEY"))</f>
        <v/>
      </c>
      <c r="U312" s="10" t="n"/>
      <c r="V312" s="10" t="n"/>
      <c r="W312" s="10" t="n"/>
      <c r="X312" s="10" t="n"/>
      <c r="Y312" s="10" t="n"/>
      <c r="Z312" s="10" t="n"/>
      <c r="AA312" s="11">
        <f>IF(A312="","",IF(AND(J312="P4",F312="causal"),"P4-CAUSAL",""))</f>
        <v/>
      </c>
    </row>
    <row r="313" ht="15" customHeight="1" s="1">
      <c r="P313">
        <f>IF(OR(F313="",H313="",J313=""),"",J313&amp;"|"&amp;F313&amp;"|"&amp;IF(H313="W3","W3_"&amp;IF(I313="","unknown",I313),H313))</f>
        <v/>
      </c>
      <c r="Q313">
        <f>IF(P313="","",IFERROR(IF(AND(H313="W7",OR(F313="causal",F313="predictive")),IF(AND(OR(K313=1,K313="1"),OR(L313=1,L313="1"),OR(M313=1,M313="1")),"adequate","partial"),IF(AND(H313="W4",F313="predictive",OR(J313="P2",J313="P3",J313="P4")),IF(OR(U313=1,U313="1"),"adequate","partial"),INDEX(Fit_Matrix!$B:$B,MATCH(P313,Fit_Matrix!$A:$A,0)))),"CHECK KEY"))</f>
        <v/>
      </c>
      <c r="U313" s="10" t="n"/>
      <c r="V313" s="10" t="n"/>
      <c r="W313" s="10" t="n"/>
      <c r="X313" s="10" t="n"/>
      <c r="Y313" s="10" t="n"/>
      <c r="Z313" s="10" t="n"/>
      <c r="AA313" s="11">
        <f>IF(A313="","",IF(AND(J313="P4",F313="causal"),"P4-CAUSAL",""))</f>
        <v/>
      </c>
    </row>
    <row r="314" ht="15" customHeight="1" s="1">
      <c r="P314">
        <f>IF(OR(F314="",H314="",J314=""),"",J314&amp;"|"&amp;F314&amp;"|"&amp;IF(H314="W3","W3_"&amp;IF(I314="","unknown",I314),H314))</f>
        <v/>
      </c>
      <c r="Q314">
        <f>IF(P314="","",IFERROR(IF(AND(H314="W7",OR(F314="causal",F314="predictive")),IF(AND(OR(K314=1,K314="1"),OR(L314=1,L314="1"),OR(M314=1,M314="1")),"adequate","partial"),IF(AND(H314="W4",F314="predictive",OR(J314="P2",J314="P3",J314="P4")),IF(OR(U314=1,U314="1"),"adequate","partial"),INDEX(Fit_Matrix!$B:$B,MATCH(P314,Fit_Matrix!$A:$A,0)))),"CHECK KEY"))</f>
        <v/>
      </c>
      <c r="U314" s="10" t="n"/>
      <c r="V314" s="10" t="n"/>
      <c r="W314" s="10" t="n"/>
      <c r="X314" s="10" t="n"/>
      <c r="Y314" s="10" t="n"/>
      <c r="Z314" s="10" t="n"/>
      <c r="AA314" s="11">
        <f>IF(A314="","",IF(AND(J314="P4",F314="causal"),"P4-CAUSAL",""))</f>
        <v/>
      </c>
    </row>
    <row r="315" ht="15" customHeight="1" s="1">
      <c r="P315">
        <f>IF(OR(F315="",H315="",J315=""),"",J315&amp;"|"&amp;F315&amp;"|"&amp;IF(H315="W3","W3_"&amp;IF(I315="","unknown",I315),H315))</f>
        <v/>
      </c>
      <c r="Q315">
        <f>IF(P315="","",IFERROR(IF(AND(H315="W7",OR(F315="causal",F315="predictive")),IF(AND(OR(K315=1,K315="1"),OR(L315=1,L315="1"),OR(M315=1,M315="1")),"adequate","partial"),IF(AND(H315="W4",F315="predictive",OR(J315="P2",J315="P3",J315="P4")),IF(OR(U315=1,U315="1"),"adequate","partial"),INDEX(Fit_Matrix!$B:$B,MATCH(P315,Fit_Matrix!$A:$A,0)))),"CHECK KEY"))</f>
        <v/>
      </c>
      <c r="U315" s="10" t="n"/>
      <c r="V315" s="10" t="n"/>
      <c r="W315" s="10" t="n"/>
      <c r="X315" s="10" t="n"/>
      <c r="Y315" s="10" t="n"/>
      <c r="Z315" s="10" t="n"/>
      <c r="AA315" s="11">
        <f>IF(A315="","",IF(AND(J315="P4",F315="causal"),"P4-CAUSAL",""))</f>
        <v/>
      </c>
    </row>
    <row r="316" ht="15" customHeight="1" s="1">
      <c r="P316">
        <f>IF(OR(F316="",H316="",J316=""),"",J316&amp;"|"&amp;F316&amp;"|"&amp;IF(H316="W3","W3_"&amp;IF(I316="","unknown",I316),H316))</f>
        <v/>
      </c>
      <c r="Q316">
        <f>IF(P316="","",IFERROR(IF(AND(H316="W7",OR(F316="causal",F316="predictive")),IF(AND(OR(K316=1,K316="1"),OR(L316=1,L316="1"),OR(M316=1,M316="1")),"adequate","partial"),IF(AND(H316="W4",F316="predictive",OR(J316="P2",J316="P3",J316="P4")),IF(OR(U316=1,U316="1"),"adequate","partial"),INDEX(Fit_Matrix!$B:$B,MATCH(P316,Fit_Matrix!$A:$A,0)))),"CHECK KEY"))</f>
        <v/>
      </c>
      <c r="U316" s="10" t="n"/>
      <c r="V316" s="10" t="n"/>
      <c r="W316" s="10" t="n"/>
      <c r="X316" s="10" t="n"/>
      <c r="Y316" s="10" t="n"/>
      <c r="Z316" s="10" t="n"/>
      <c r="AA316" s="11">
        <f>IF(A316="","",IF(AND(J316="P4",F316="causal"),"P4-CAUSAL",""))</f>
        <v/>
      </c>
    </row>
    <row r="317" ht="15" customHeight="1" s="1">
      <c r="P317">
        <f>IF(OR(F317="",H317="",J317=""),"",J317&amp;"|"&amp;F317&amp;"|"&amp;IF(H317="W3","W3_"&amp;IF(I317="","unknown",I317),H317))</f>
        <v/>
      </c>
      <c r="Q317">
        <f>IF(P317="","",IFERROR(IF(AND(H317="W7",OR(F317="causal",F317="predictive")),IF(AND(OR(K317=1,K317="1"),OR(L317=1,L317="1"),OR(M317=1,M317="1")),"adequate","partial"),IF(AND(H317="W4",F317="predictive",OR(J317="P2",J317="P3",J317="P4")),IF(OR(U317=1,U317="1"),"adequate","partial"),INDEX(Fit_Matrix!$B:$B,MATCH(P317,Fit_Matrix!$A:$A,0)))),"CHECK KEY"))</f>
        <v/>
      </c>
      <c r="U317" s="10" t="n"/>
      <c r="V317" s="10" t="n"/>
      <c r="W317" s="10" t="n"/>
      <c r="X317" s="10" t="n"/>
      <c r="Y317" s="10" t="n"/>
      <c r="Z317" s="10" t="n"/>
      <c r="AA317" s="11">
        <f>IF(A317="","",IF(AND(J317="P4",F317="causal"),"P4-CAUSAL",""))</f>
        <v/>
      </c>
    </row>
    <row r="318" ht="15" customHeight="1" s="1">
      <c r="P318">
        <f>IF(OR(F318="",H318="",J318=""),"",J318&amp;"|"&amp;F318&amp;"|"&amp;IF(H318="W3","W3_"&amp;IF(I318="","unknown",I318),H318))</f>
        <v/>
      </c>
      <c r="Q318">
        <f>IF(P318="","",IFERROR(IF(AND(H318="W7",OR(F318="causal",F318="predictive")),IF(AND(OR(K318=1,K318="1"),OR(L318=1,L318="1"),OR(M318=1,M318="1")),"adequate","partial"),IF(AND(H318="W4",F318="predictive",OR(J318="P2",J318="P3",J318="P4")),IF(OR(U318=1,U318="1"),"adequate","partial"),INDEX(Fit_Matrix!$B:$B,MATCH(P318,Fit_Matrix!$A:$A,0)))),"CHECK KEY"))</f>
        <v/>
      </c>
      <c r="U318" s="10" t="n"/>
      <c r="V318" s="10" t="n"/>
      <c r="W318" s="10" t="n"/>
      <c r="X318" s="10" t="n"/>
      <c r="Y318" s="10" t="n"/>
      <c r="Z318" s="10" t="n"/>
      <c r="AA318" s="11">
        <f>IF(A318="","",IF(AND(J318="P4",F318="causal"),"P4-CAUSAL",""))</f>
        <v/>
      </c>
    </row>
    <row r="319" ht="15" customHeight="1" s="1">
      <c r="P319">
        <f>IF(OR(F319="",H319="",J319=""),"",J319&amp;"|"&amp;F319&amp;"|"&amp;IF(H319="W3","W3_"&amp;IF(I319="","unknown",I319),H319))</f>
        <v/>
      </c>
      <c r="Q319">
        <f>IF(P319="","",IFERROR(IF(AND(H319="W7",OR(F319="causal",F319="predictive")),IF(AND(OR(K319=1,K319="1"),OR(L319=1,L319="1"),OR(M319=1,M319="1")),"adequate","partial"),IF(AND(H319="W4",F319="predictive",OR(J319="P2",J319="P3",J319="P4")),IF(OR(U319=1,U319="1"),"adequate","partial"),INDEX(Fit_Matrix!$B:$B,MATCH(P319,Fit_Matrix!$A:$A,0)))),"CHECK KEY"))</f>
        <v/>
      </c>
      <c r="U319" s="10" t="n"/>
      <c r="V319" s="10" t="n"/>
      <c r="W319" s="10" t="n"/>
      <c r="X319" s="10" t="n"/>
      <c r="Y319" s="10" t="n"/>
      <c r="Z319" s="10" t="n"/>
      <c r="AA319" s="11">
        <f>IF(A319="","",IF(AND(J319="P4",F319="causal"),"P4-CAUSAL",""))</f>
        <v/>
      </c>
    </row>
    <row r="320" ht="15" customHeight="1" s="1">
      <c r="P320">
        <f>IF(OR(F320="",H320="",J320=""),"",J320&amp;"|"&amp;F320&amp;"|"&amp;IF(H320="W3","W3_"&amp;IF(I320="","unknown",I320),H320))</f>
        <v/>
      </c>
      <c r="Q320">
        <f>IF(P320="","",IFERROR(IF(AND(H320="W7",OR(F320="causal",F320="predictive")),IF(AND(OR(K320=1,K320="1"),OR(L320=1,L320="1"),OR(M320=1,M320="1")),"adequate","partial"),IF(AND(H320="W4",F320="predictive",OR(J320="P2",J320="P3",J320="P4")),IF(OR(U320=1,U320="1"),"adequate","partial"),INDEX(Fit_Matrix!$B:$B,MATCH(P320,Fit_Matrix!$A:$A,0)))),"CHECK KEY"))</f>
        <v/>
      </c>
      <c r="U320" s="10" t="n"/>
      <c r="V320" s="10" t="n"/>
      <c r="W320" s="10" t="n"/>
      <c r="X320" s="10" t="n"/>
      <c r="Y320" s="10" t="n"/>
      <c r="Z320" s="10" t="n"/>
      <c r="AA320" s="11">
        <f>IF(A320="","",IF(AND(J320="P4",F320="causal"),"P4-CAUSAL",""))</f>
        <v/>
      </c>
    </row>
    <row r="321" ht="15" customHeight="1" s="1">
      <c r="P321">
        <f>IF(OR(F321="",H321="",J321=""),"",J321&amp;"|"&amp;F321&amp;"|"&amp;IF(H321="W3","W3_"&amp;IF(I321="","unknown",I321),H321))</f>
        <v/>
      </c>
      <c r="Q321">
        <f>IF(P321="","",IFERROR(IF(AND(H321="W7",OR(F321="causal",F321="predictive")),IF(AND(OR(K321=1,K321="1"),OR(L321=1,L321="1"),OR(M321=1,M321="1")),"adequate","partial"),IF(AND(H321="W4",F321="predictive",OR(J321="P2",J321="P3",J321="P4")),IF(OR(U321=1,U321="1"),"adequate","partial"),INDEX(Fit_Matrix!$B:$B,MATCH(P321,Fit_Matrix!$A:$A,0)))),"CHECK KEY"))</f>
        <v/>
      </c>
      <c r="U321" s="10" t="n"/>
      <c r="V321" s="10" t="n"/>
      <c r="W321" s="10" t="n"/>
      <c r="X321" s="10" t="n"/>
      <c r="Y321" s="10" t="n"/>
      <c r="Z321" s="10" t="n"/>
      <c r="AA321" s="11">
        <f>IF(A321="","",IF(AND(J321="P4",F321="causal"),"P4-CAUSAL",""))</f>
        <v/>
      </c>
    </row>
    <row r="322" ht="15" customHeight="1" s="1">
      <c r="P322">
        <f>IF(OR(F322="",H322="",J322=""),"",J322&amp;"|"&amp;F322&amp;"|"&amp;IF(H322="W3","W3_"&amp;IF(I322="","unknown",I322),H322))</f>
        <v/>
      </c>
      <c r="Q322">
        <f>IF(P322="","",IFERROR(IF(AND(H322="W7",OR(F322="causal",F322="predictive")),IF(AND(OR(K322=1,K322="1"),OR(L322=1,L322="1"),OR(M322=1,M322="1")),"adequate","partial"),IF(AND(H322="W4",F322="predictive",OR(J322="P2",J322="P3",J322="P4")),IF(OR(U322=1,U322="1"),"adequate","partial"),INDEX(Fit_Matrix!$B:$B,MATCH(P322,Fit_Matrix!$A:$A,0)))),"CHECK KEY"))</f>
        <v/>
      </c>
      <c r="U322" s="10" t="n"/>
      <c r="V322" s="10" t="n"/>
      <c r="W322" s="10" t="n"/>
      <c r="X322" s="10" t="n"/>
      <c r="Y322" s="10" t="n"/>
      <c r="Z322" s="10" t="n"/>
      <c r="AA322" s="11">
        <f>IF(A322="","",IF(AND(J322="P4",F322="causal"),"P4-CAUSAL",""))</f>
        <v/>
      </c>
    </row>
    <row r="323" ht="15" customHeight="1" s="1">
      <c r="P323">
        <f>IF(OR(F323="",H323="",J323=""),"",J323&amp;"|"&amp;F323&amp;"|"&amp;IF(H323="W3","W3_"&amp;IF(I323="","unknown",I323),H323))</f>
        <v/>
      </c>
      <c r="Q323">
        <f>IF(P323="","",IFERROR(IF(AND(H323="W7",OR(F323="causal",F323="predictive")),IF(AND(OR(K323=1,K323="1"),OR(L323=1,L323="1"),OR(M323=1,M323="1")),"adequate","partial"),IF(AND(H323="W4",F323="predictive",OR(J323="P2",J323="P3",J323="P4")),IF(OR(U323=1,U323="1"),"adequate","partial"),INDEX(Fit_Matrix!$B:$B,MATCH(P323,Fit_Matrix!$A:$A,0)))),"CHECK KEY"))</f>
        <v/>
      </c>
      <c r="U323" s="10" t="n"/>
      <c r="V323" s="10" t="n"/>
      <c r="W323" s="10" t="n"/>
      <c r="X323" s="10" t="n"/>
      <c r="Y323" s="10" t="n"/>
      <c r="Z323" s="10" t="n"/>
      <c r="AA323" s="11">
        <f>IF(A323="","",IF(AND(J323="P4",F323="causal"),"P4-CAUSAL",""))</f>
        <v/>
      </c>
    </row>
    <row r="324" ht="15" customHeight="1" s="1">
      <c r="P324">
        <f>IF(OR(F324="",H324="",J324=""),"",J324&amp;"|"&amp;F324&amp;"|"&amp;IF(H324="W3","W3_"&amp;IF(I324="","unknown",I324),H324))</f>
        <v/>
      </c>
      <c r="Q324">
        <f>IF(P324="","",IFERROR(IF(AND(H324="W7",OR(F324="causal",F324="predictive")),IF(AND(OR(K324=1,K324="1"),OR(L324=1,L324="1"),OR(M324=1,M324="1")),"adequate","partial"),IF(AND(H324="W4",F324="predictive",OR(J324="P2",J324="P3",J324="P4")),IF(OR(U324=1,U324="1"),"adequate","partial"),INDEX(Fit_Matrix!$B:$B,MATCH(P324,Fit_Matrix!$A:$A,0)))),"CHECK KEY"))</f>
        <v/>
      </c>
      <c r="U324" s="10" t="n"/>
      <c r="V324" s="10" t="n"/>
      <c r="W324" s="10" t="n"/>
      <c r="X324" s="10" t="n"/>
      <c r="Y324" s="10" t="n"/>
      <c r="Z324" s="10" t="n"/>
      <c r="AA324" s="11">
        <f>IF(A324="","",IF(AND(J324="P4",F324="causal"),"P4-CAUSAL",""))</f>
        <v/>
      </c>
    </row>
    <row r="325" ht="15" customHeight="1" s="1">
      <c r="P325">
        <f>IF(OR(F325="",H325="",J325=""),"",J325&amp;"|"&amp;F325&amp;"|"&amp;IF(H325="W3","W3_"&amp;IF(I325="","unknown",I325),H325))</f>
        <v/>
      </c>
      <c r="Q325">
        <f>IF(P325="","",IFERROR(IF(AND(H325="W7",OR(F325="causal",F325="predictive")),IF(AND(OR(K325=1,K325="1"),OR(L325=1,L325="1"),OR(M325=1,M325="1")),"adequate","partial"),IF(AND(H325="W4",F325="predictive",OR(J325="P2",J325="P3",J325="P4")),IF(OR(U325=1,U325="1"),"adequate","partial"),INDEX(Fit_Matrix!$B:$B,MATCH(P325,Fit_Matrix!$A:$A,0)))),"CHECK KEY"))</f>
        <v/>
      </c>
      <c r="U325" s="10" t="n"/>
      <c r="V325" s="10" t="n"/>
      <c r="W325" s="10" t="n"/>
      <c r="X325" s="10" t="n"/>
      <c r="Y325" s="10" t="n"/>
      <c r="Z325" s="10" t="n"/>
      <c r="AA325" s="11">
        <f>IF(A325="","",IF(AND(J325="P4",F325="causal"),"P4-CAUSAL",""))</f>
        <v/>
      </c>
    </row>
    <row r="326" ht="15" customHeight="1" s="1">
      <c r="P326">
        <f>IF(OR(F326="",H326="",J326=""),"",J326&amp;"|"&amp;F326&amp;"|"&amp;IF(H326="W3","W3_"&amp;IF(I326="","unknown",I326),H326))</f>
        <v/>
      </c>
      <c r="Q326">
        <f>IF(P326="","",IFERROR(IF(AND(H326="W7",OR(F326="causal",F326="predictive")),IF(AND(OR(K326=1,K326="1"),OR(L326=1,L326="1"),OR(M326=1,M326="1")),"adequate","partial"),IF(AND(H326="W4",F326="predictive",OR(J326="P2",J326="P3",J326="P4")),IF(OR(U326=1,U326="1"),"adequate","partial"),INDEX(Fit_Matrix!$B:$B,MATCH(P326,Fit_Matrix!$A:$A,0)))),"CHECK KEY"))</f>
        <v/>
      </c>
      <c r="U326" s="10" t="n"/>
      <c r="V326" s="10" t="n"/>
      <c r="W326" s="10" t="n"/>
      <c r="X326" s="10" t="n"/>
      <c r="Y326" s="10" t="n"/>
      <c r="Z326" s="10" t="n"/>
      <c r="AA326" s="11">
        <f>IF(A326="","",IF(AND(J326="P4",F326="causal"),"P4-CAUSAL",""))</f>
        <v/>
      </c>
    </row>
    <row r="327" ht="15" customHeight="1" s="1">
      <c r="P327">
        <f>IF(OR(F327="",H327="",J327=""),"",J327&amp;"|"&amp;F327&amp;"|"&amp;IF(H327="W3","W3_"&amp;IF(I327="","unknown",I327),H327))</f>
        <v/>
      </c>
      <c r="Q327">
        <f>IF(P327="","",IFERROR(IF(AND(H327="W7",OR(F327="causal",F327="predictive")),IF(AND(OR(K327=1,K327="1"),OR(L327=1,L327="1"),OR(M327=1,M327="1")),"adequate","partial"),IF(AND(H327="W4",F327="predictive",OR(J327="P2",J327="P3",J327="P4")),IF(OR(U327=1,U327="1"),"adequate","partial"),INDEX(Fit_Matrix!$B:$B,MATCH(P327,Fit_Matrix!$A:$A,0)))),"CHECK KEY"))</f>
        <v/>
      </c>
      <c r="U327" s="10" t="n"/>
      <c r="V327" s="10" t="n"/>
      <c r="W327" s="10" t="n"/>
      <c r="X327" s="10" t="n"/>
      <c r="Y327" s="10" t="n"/>
      <c r="Z327" s="10" t="n"/>
      <c r="AA327" s="11">
        <f>IF(A327="","",IF(AND(J327="P4",F327="causal"),"P4-CAUSAL",""))</f>
        <v/>
      </c>
    </row>
    <row r="328" ht="15" customHeight="1" s="1">
      <c r="P328">
        <f>IF(OR(F328="",H328="",J328=""),"",J328&amp;"|"&amp;F328&amp;"|"&amp;IF(H328="W3","W3_"&amp;IF(I328="","unknown",I328),H328))</f>
        <v/>
      </c>
      <c r="Q328">
        <f>IF(P328="","",IFERROR(IF(AND(H328="W7",OR(F328="causal",F328="predictive")),IF(AND(OR(K328=1,K328="1"),OR(L328=1,L328="1"),OR(M328=1,M328="1")),"adequate","partial"),IF(AND(H328="W4",F328="predictive",OR(J328="P2",J328="P3",J328="P4")),IF(OR(U328=1,U328="1"),"adequate","partial"),INDEX(Fit_Matrix!$B:$B,MATCH(P328,Fit_Matrix!$A:$A,0)))),"CHECK KEY"))</f>
        <v/>
      </c>
      <c r="U328" s="10" t="n"/>
      <c r="V328" s="10" t="n"/>
      <c r="W328" s="10" t="n"/>
      <c r="X328" s="10" t="n"/>
      <c r="Y328" s="10" t="n"/>
      <c r="Z328" s="10" t="n"/>
      <c r="AA328" s="11">
        <f>IF(A328="","",IF(AND(J328="P4",F328="causal"),"P4-CAUSAL",""))</f>
        <v/>
      </c>
    </row>
    <row r="329" ht="15" customHeight="1" s="1">
      <c r="P329">
        <f>IF(OR(F329="",H329="",J329=""),"",J329&amp;"|"&amp;F329&amp;"|"&amp;IF(H329="W3","W3_"&amp;IF(I329="","unknown",I329),H329))</f>
        <v/>
      </c>
      <c r="Q329">
        <f>IF(P329="","",IFERROR(IF(AND(H329="W7",OR(F329="causal",F329="predictive")),IF(AND(OR(K329=1,K329="1"),OR(L329=1,L329="1"),OR(M329=1,M329="1")),"adequate","partial"),IF(AND(H329="W4",F329="predictive",OR(J329="P2",J329="P3",J329="P4")),IF(OR(U329=1,U329="1"),"adequate","partial"),INDEX(Fit_Matrix!$B:$B,MATCH(P329,Fit_Matrix!$A:$A,0)))),"CHECK KEY"))</f>
        <v/>
      </c>
      <c r="U329" s="10" t="n"/>
      <c r="V329" s="10" t="n"/>
      <c r="W329" s="10" t="n"/>
      <c r="X329" s="10" t="n"/>
      <c r="Y329" s="10" t="n"/>
      <c r="Z329" s="10" t="n"/>
      <c r="AA329" s="11">
        <f>IF(A329="","",IF(AND(J329="P4",F329="causal"),"P4-CAUSAL",""))</f>
        <v/>
      </c>
    </row>
    <row r="330" ht="15" customHeight="1" s="1">
      <c r="P330">
        <f>IF(OR(F330="",H330="",J330=""),"",J330&amp;"|"&amp;F330&amp;"|"&amp;IF(H330="W3","W3_"&amp;IF(I330="","unknown",I330),H330))</f>
        <v/>
      </c>
      <c r="Q330">
        <f>IF(P330="","",IFERROR(IF(AND(H330="W7",OR(F330="causal",F330="predictive")),IF(AND(OR(K330=1,K330="1"),OR(L330=1,L330="1"),OR(M330=1,M330="1")),"adequate","partial"),IF(AND(H330="W4",F330="predictive",OR(J330="P2",J330="P3",J330="P4")),IF(OR(U330=1,U330="1"),"adequate","partial"),INDEX(Fit_Matrix!$B:$B,MATCH(P330,Fit_Matrix!$A:$A,0)))),"CHECK KEY"))</f>
        <v/>
      </c>
      <c r="U330" s="10" t="n"/>
      <c r="V330" s="10" t="n"/>
      <c r="W330" s="10" t="n"/>
      <c r="X330" s="10" t="n"/>
      <c r="Y330" s="10" t="n"/>
      <c r="Z330" s="10" t="n"/>
      <c r="AA330" s="11">
        <f>IF(A330="","",IF(AND(J330="P4",F330="causal"),"P4-CAUSAL",""))</f>
        <v/>
      </c>
    </row>
    <row r="331" ht="15" customHeight="1" s="1">
      <c r="P331">
        <f>IF(OR(F331="",H331="",J331=""),"",J331&amp;"|"&amp;F331&amp;"|"&amp;IF(H331="W3","W3_"&amp;IF(I331="","unknown",I331),H331))</f>
        <v/>
      </c>
      <c r="Q331">
        <f>IF(P331="","",IFERROR(IF(AND(H331="W7",OR(F331="causal",F331="predictive")),IF(AND(OR(K331=1,K331="1"),OR(L331=1,L331="1"),OR(M331=1,M331="1")),"adequate","partial"),IF(AND(H331="W4",F331="predictive",OR(J331="P2",J331="P3",J331="P4")),IF(OR(U331=1,U331="1"),"adequate","partial"),INDEX(Fit_Matrix!$B:$B,MATCH(P331,Fit_Matrix!$A:$A,0)))),"CHECK KEY"))</f>
        <v/>
      </c>
      <c r="U331" s="10" t="n"/>
      <c r="V331" s="10" t="n"/>
      <c r="W331" s="10" t="n"/>
      <c r="X331" s="10" t="n"/>
      <c r="Y331" s="10" t="n"/>
      <c r="Z331" s="10" t="n"/>
      <c r="AA331" s="11">
        <f>IF(A331="","",IF(AND(J331="P4",F331="causal"),"P4-CAUSAL",""))</f>
        <v/>
      </c>
    </row>
    <row r="332" ht="15" customHeight="1" s="1">
      <c r="P332">
        <f>IF(OR(F332="",H332="",J332=""),"",J332&amp;"|"&amp;F332&amp;"|"&amp;IF(H332="W3","W3_"&amp;IF(I332="","unknown",I332),H332))</f>
        <v/>
      </c>
      <c r="Q332">
        <f>IF(P332="","",IFERROR(IF(AND(H332="W7",OR(F332="causal",F332="predictive")),IF(AND(OR(K332=1,K332="1"),OR(L332=1,L332="1"),OR(M332=1,M332="1")),"adequate","partial"),IF(AND(H332="W4",F332="predictive",OR(J332="P2",J332="P3",J332="P4")),IF(OR(U332=1,U332="1"),"adequate","partial"),INDEX(Fit_Matrix!$B:$B,MATCH(P332,Fit_Matrix!$A:$A,0)))),"CHECK KEY"))</f>
        <v/>
      </c>
      <c r="U332" s="10" t="n"/>
      <c r="V332" s="10" t="n"/>
      <c r="W332" s="10" t="n"/>
      <c r="X332" s="10" t="n"/>
      <c r="Y332" s="10" t="n"/>
      <c r="Z332" s="10" t="n"/>
      <c r="AA332" s="11">
        <f>IF(A332="","",IF(AND(J332="P4",F332="causal"),"P4-CAUSAL",""))</f>
        <v/>
      </c>
    </row>
    <row r="333" ht="15" customHeight="1" s="1">
      <c r="P333">
        <f>IF(OR(F333="",H333="",J333=""),"",J333&amp;"|"&amp;F333&amp;"|"&amp;IF(H333="W3","W3_"&amp;IF(I333="","unknown",I333),H333))</f>
        <v/>
      </c>
      <c r="Q333">
        <f>IF(P333="","",IFERROR(IF(AND(H333="W7",OR(F333="causal",F333="predictive")),IF(AND(OR(K333=1,K333="1"),OR(L333=1,L333="1"),OR(M333=1,M333="1")),"adequate","partial"),IF(AND(H333="W4",F333="predictive",OR(J333="P2",J333="P3",J333="P4")),IF(OR(U333=1,U333="1"),"adequate","partial"),INDEX(Fit_Matrix!$B:$B,MATCH(P333,Fit_Matrix!$A:$A,0)))),"CHECK KEY"))</f>
        <v/>
      </c>
      <c r="U333" s="10" t="n"/>
      <c r="V333" s="10" t="n"/>
      <c r="W333" s="10" t="n"/>
      <c r="X333" s="10" t="n"/>
      <c r="Y333" s="10" t="n"/>
      <c r="Z333" s="10" t="n"/>
      <c r="AA333" s="11">
        <f>IF(A333="","",IF(AND(J333="P4",F333="causal"),"P4-CAUSAL",""))</f>
        <v/>
      </c>
    </row>
    <row r="334" ht="15" customHeight="1" s="1">
      <c r="P334">
        <f>IF(OR(F334="",H334="",J334=""),"",J334&amp;"|"&amp;F334&amp;"|"&amp;IF(H334="W3","W3_"&amp;IF(I334="","unknown",I334),H334))</f>
        <v/>
      </c>
      <c r="Q334">
        <f>IF(P334="","",IFERROR(IF(AND(H334="W7",OR(F334="causal",F334="predictive")),IF(AND(OR(K334=1,K334="1"),OR(L334=1,L334="1"),OR(M334=1,M334="1")),"adequate","partial"),IF(AND(H334="W4",F334="predictive",OR(J334="P2",J334="P3",J334="P4")),IF(OR(U334=1,U334="1"),"adequate","partial"),INDEX(Fit_Matrix!$B:$B,MATCH(P334,Fit_Matrix!$A:$A,0)))),"CHECK KEY"))</f>
        <v/>
      </c>
      <c r="U334" s="10" t="n"/>
      <c r="V334" s="10" t="n"/>
      <c r="W334" s="10" t="n"/>
      <c r="X334" s="10" t="n"/>
      <c r="Y334" s="10" t="n"/>
      <c r="Z334" s="10" t="n"/>
      <c r="AA334" s="11">
        <f>IF(A334="","",IF(AND(J334="P4",F334="causal"),"P4-CAUSAL",""))</f>
        <v/>
      </c>
    </row>
    <row r="335" ht="15" customHeight="1" s="1">
      <c r="P335">
        <f>IF(OR(F335="",H335="",J335=""),"",J335&amp;"|"&amp;F335&amp;"|"&amp;IF(H335="W3","W3_"&amp;IF(I335="","unknown",I335),H335))</f>
        <v/>
      </c>
      <c r="Q335">
        <f>IF(P335="","",IFERROR(IF(AND(H335="W7",OR(F335="causal",F335="predictive")),IF(AND(OR(K335=1,K335="1"),OR(L335=1,L335="1"),OR(M335=1,M335="1")),"adequate","partial"),IF(AND(H335="W4",F335="predictive",OR(J335="P2",J335="P3",J335="P4")),IF(OR(U335=1,U335="1"),"adequate","partial"),INDEX(Fit_Matrix!$B:$B,MATCH(P335,Fit_Matrix!$A:$A,0)))),"CHECK KEY"))</f>
        <v/>
      </c>
      <c r="U335" s="10" t="n"/>
      <c r="V335" s="10" t="n"/>
      <c r="W335" s="10" t="n"/>
      <c r="X335" s="10" t="n"/>
      <c r="Y335" s="10" t="n"/>
      <c r="Z335" s="10" t="n"/>
      <c r="AA335" s="11">
        <f>IF(A335="","",IF(AND(J335="P4",F335="causal"),"P4-CAUSAL",""))</f>
        <v/>
      </c>
    </row>
    <row r="336" ht="15" customHeight="1" s="1">
      <c r="P336">
        <f>IF(OR(F336="",H336="",J336=""),"",J336&amp;"|"&amp;F336&amp;"|"&amp;IF(H336="W3","W3_"&amp;IF(I336="","unknown",I336),H336))</f>
        <v/>
      </c>
      <c r="Q336">
        <f>IF(P336="","",IFERROR(IF(AND(H336="W7",OR(F336="causal",F336="predictive")),IF(AND(OR(K336=1,K336="1"),OR(L336=1,L336="1"),OR(M336=1,M336="1")),"adequate","partial"),IF(AND(H336="W4",F336="predictive",OR(J336="P2",J336="P3",J336="P4")),IF(OR(U336=1,U336="1"),"adequate","partial"),INDEX(Fit_Matrix!$B:$B,MATCH(P336,Fit_Matrix!$A:$A,0)))),"CHECK KEY"))</f>
        <v/>
      </c>
      <c r="U336" s="10" t="n"/>
      <c r="V336" s="10" t="n"/>
      <c r="W336" s="10" t="n"/>
      <c r="X336" s="10" t="n"/>
      <c r="Y336" s="10" t="n"/>
      <c r="Z336" s="10" t="n"/>
      <c r="AA336" s="11">
        <f>IF(A336="","",IF(AND(J336="P4",F336="causal"),"P4-CAUSAL",""))</f>
        <v/>
      </c>
    </row>
    <row r="337" ht="15" customHeight="1" s="1">
      <c r="P337">
        <f>IF(OR(F337="",H337="",J337=""),"",J337&amp;"|"&amp;F337&amp;"|"&amp;IF(H337="W3","W3_"&amp;IF(I337="","unknown",I337),H337))</f>
        <v/>
      </c>
      <c r="Q337">
        <f>IF(P337="","",IFERROR(IF(AND(H337="W7",OR(F337="causal",F337="predictive")),IF(AND(OR(K337=1,K337="1"),OR(L337=1,L337="1"),OR(M337=1,M337="1")),"adequate","partial"),IF(AND(H337="W4",F337="predictive",OR(J337="P2",J337="P3",J337="P4")),IF(OR(U337=1,U337="1"),"adequate","partial"),INDEX(Fit_Matrix!$B:$B,MATCH(P337,Fit_Matrix!$A:$A,0)))),"CHECK KEY"))</f>
        <v/>
      </c>
      <c r="U337" s="10" t="n"/>
      <c r="V337" s="10" t="n"/>
      <c r="W337" s="10" t="n"/>
      <c r="X337" s="10" t="n"/>
      <c r="Y337" s="10" t="n"/>
      <c r="Z337" s="10" t="n"/>
      <c r="AA337" s="11">
        <f>IF(A337="","",IF(AND(J337="P4",F337="causal"),"P4-CAUSAL",""))</f>
        <v/>
      </c>
    </row>
    <row r="338" ht="15" customHeight="1" s="1">
      <c r="P338">
        <f>IF(OR(F338="",H338="",J338=""),"",J338&amp;"|"&amp;F338&amp;"|"&amp;IF(H338="W3","W3_"&amp;IF(I338="","unknown",I338),H338))</f>
        <v/>
      </c>
      <c r="Q338">
        <f>IF(P338="","",IFERROR(IF(AND(H338="W7",OR(F338="causal",F338="predictive")),IF(AND(OR(K338=1,K338="1"),OR(L338=1,L338="1"),OR(M338=1,M338="1")),"adequate","partial"),IF(AND(H338="W4",F338="predictive",OR(J338="P2",J338="P3",J338="P4")),IF(OR(U338=1,U338="1"),"adequate","partial"),INDEX(Fit_Matrix!$B:$B,MATCH(P338,Fit_Matrix!$A:$A,0)))),"CHECK KEY"))</f>
        <v/>
      </c>
      <c r="U338" s="10" t="n"/>
      <c r="V338" s="10" t="n"/>
      <c r="W338" s="10" t="n"/>
      <c r="X338" s="10" t="n"/>
      <c r="Y338" s="10" t="n"/>
      <c r="Z338" s="10" t="n"/>
      <c r="AA338" s="11">
        <f>IF(A338="","",IF(AND(J338="P4",F338="causal"),"P4-CAUSAL",""))</f>
        <v/>
      </c>
    </row>
    <row r="339" ht="15" customHeight="1" s="1">
      <c r="P339">
        <f>IF(OR(F339="",H339="",J339=""),"",J339&amp;"|"&amp;F339&amp;"|"&amp;IF(H339="W3","W3_"&amp;IF(I339="","unknown",I339),H339))</f>
        <v/>
      </c>
      <c r="Q339">
        <f>IF(P339="","",IFERROR(IF(AND(H339="W7",OR(F339="causal",F339="predictive")),IF(AND(OR(K339=1,K339="1"),OR(L339=1,L339="1"),OR(M339=1,M339="1")),"adequate","partial"),IF(AND(H339="W4",F339="predictive",OR(J339="P2",J339="P3",J339="P4")),IF(OR(U339=1,U339="1"),"adequate","partial"),INDEX(Fit_Matrix!$B:$B,MATCH(P339,Fit_Matrix!$A:$A,0)))),"CHECK KEY"))</f>
        <v/>
      </c>
      <c r="U339" s="10" t="n"/>
      <c r="V339" s="10" t="n"/>
      <c r="W339" s="10" t="n"/>
      <c r="X339" s="10" t="n"/>
      <c r="Y339" s="10" t="n"/>
      <c r="Z339" s="10" t="n"/>
      <c r="AA339" s="11">
        <f>IF(A339="","",IF(AND(J339="P4",F339="causal"),"P4-CAUSAL",""))</f>
        <v/>
      </c>
    </row>
    <row r="340" ht="15" customHeight="1" s="1">
      <c r="P340">
        <f>IF(OR(F340="",H340="",J340=""),"",J340&amp;"|"&amp;F340&amp;"|"&amp;IF(H340="W3","W3_"&amp;IF(I340="","unknown",I340),H340))</f>
        <v/>
      </c>
      <c r="Q340">
        <f>IF(P340="","",IFERROR(IF(AND(H340="W7",OR(F340="causal",F340="predictive")),IF(AND(OR(K340=1,K340="1"),OR(L340=1,L340="1"),OR(M340=1,M340="1")),"adequate","partial"),IF(AND(H340="W4",F340="predictive",OR(J340="P2",J340="P3",J340="P4")),IF(OR(U340=1,U340="1"),"adequate","partial"),INDEX(Fit_Matrix!$B:$B,MATCH(P340,Fit_Matrix!$A:$A,0)))),"CHECK KEY"))</f>
        <v/>
      </c>
      <c r="U340" s="10" t="n"/>
      <c r="V340" s="10" t="n"/>
      <c r="W340" s="10" t="n"/>
      <c r="X340" s="10" t="n"/>
      <c r="Y340" s="10" t="n"/>
      <c r="Z340" s="10" t="n"/>
      <c r="AA340" s="11">
        <f>IF(A340="","",IF(AND(J340="P4",F340="causal"),"P4-CAUSAL",""))</f>
        <v/>
      </c>
    </row>
    <row r="341" ht="15" customHeight="1" s="1">
      <c r="P341">
        <f>IF(OR(F341="",H341="",J341=""),"",J341&amp;"|"&amp;F341&amp;"|"&amp;IF(H341="W3","W3_"&amp;IF(I341="","unknown",I341),H341))</f>
        <v/>
      </c>
      <c r="Q341">
        <f>IF(P341="","",IFERROR(IF(AND(H341="W7",OR(F341="causal",F341="predictive")),IF(AND(OR(K341=1,K341="1"),OR(L341=1,L341="1"),OR(M341=1,M341="1")),"adequate","partial"),IF(AND(H341="W4",F341="predictive",OR(J341="P2",J341="P3",J341="P4")),IF(OR(U341=1,U341="1"),"adequate","partial"),INDEX(Fit_Matrix!$B:$B,MATCH(P341,Fit_Matrix!$A:$A,0)))),"CHECK KEY"))</f>
        <v/>
      </c>
      <c r="U341" s="10" t="n"/>
      <c r="V341" s="10" t="n"/>
      <c r="W341" s="10" t="n"/>
      <c r="X341" s="10" t="n"/>
      <c r="Y341" s="10" t="n"/>
      <c r="Z341" s="10" t="n"/>
      <c r="AA341" s="11">
        <f>IF(A341="","",IF(AND(J341="P4",F341="causal"),"P4-CAUSAL",""))</f>
        <v/>
      </c>
    </row>
    <row r="342" ht="15" customHeight="1" s="1">
      <c r="P342">
        <f>IF(OR(F342="",H342="",J342=""),"",J342&amp;"|"&amp;F342&amp;"|"&amp;IF(H342="W3","W3_"&amp;IF(I342="","unknown",I342),H342))</f>
        <v/>
      </c>
      <c r="Q342">
        <f>IF(P342="","",IFERROR(IF(AND(H342="W7",OR(F342="causal",F342="predictive")),IF(AND(OR(K342=1,K342="1"),OR(L342=1,L342="1"),OR(M342=1,M342="1")),"adequate","partial"),IF(AND(H342="W4",F342="predictive",OR(J342="P2",J342="P3",J342="P4")),IF(OR(U342=1,U342="1"),"adequate","partial"),INDEX(Fit_Matrix!$B:$B,MATCH(P342,Fit_Matrix!$A:$A,0)))),"CHECK KEY"))</f>
        <v/>
      </c>
      <c r="U342" s="10" t="n"/>
      <c r="V342" s="10" t="n"/>
      <c r="W342" s="10" t="n"/>
      <c r="X342" s="10" t="n"/>
      <c r="Y342" s="10" t="n"/>
      <c r="Z342" s="10" t="n"/>
      <c r="AA342" s="11">
        <f>IF(A342="","",IF(AND(J342="P4",F342="causal"),"P4-CAUSAL",""))</f>
        <v/>
      </c>
    </row>
    <row r="343" ht="15" customHeight="1" s="1">
      <c r="P343">
        <f>IF(OR(F343="",H343="",J343=""),"",J343&amp;"|"&amp;F343&amp;"|"&amp;IF(H343="W3","W3_"&amp;IF(I343="","unknown",I343),H343))</f>
        <v/>
      </c>
      <c r="Q343">
        <f>IF(P343="","",IFERROR(IF(AND(H343="W7",OR(F343="causal",F343="predictive")),IF(AND(OR(K343=1,K343="1"),OR(L343=1,L343="1"),OR(M343=1,M343="1")),"adequate","partial"),IF(AND(H343="W4",F343="predictive",OR(J343="P2",J343="P3",J343="P4")),IF(OR(U343=1,U343="1"),"adequate","partial"),INDEX(Fit_Matrix!$B:$B,MATCH(P343,Fit_Matrix!$A:$A,0)))),"CHECK KEY"))</f>
        <v/>
      </c>
      <c r="U343" s="10" t="n"/>
      <c r="V343" s="10" t="n"/>
      <c r="W343" s="10" t="n"/>
      <c r="X343" s="10" t="n"/>
      <c r="Y343" s="10" t="n"/>
      <c r="Z343" s="10" t="n"/>
      <c r="AA343" s="11">
        <f>IF(A343="","",IF(AND(J343="P4",F343="causal"),"P4-CAUSAL",""))</f>
        <v/>
      </c>
    </row>
    <row r="344" ht="15" customHeight="1" s="1">
      <c r="P344">
        <f>IF(OR(F344="",H344="",J344=""),"",J344&amp;"|"&amp;F344&amp;"|"&amp;IF(H344="W3","W3_"&amp;IF(I344="","unknown",I344),H344))</f>
        <v/>
      </c>
      <c r="Q344">
        <f>IF(P344="","",IFERROR(IF(AND(H344="W7",OR(F344="causal",F344="predictive")),IF(AND(OR(K344=1,K344="1"),OR(L344=1,L344="1"),OR(M344=1,M344="1")),"adequate","partial"),IF(AND(H344="W4",F344="predictive",OR(J344="P2",J344="P3",J344="P4")),IF(OR(U344=1,U344="1"),"adequate","partial"),INDEX(Fit_Matrix!$B:$B,MATCH(P344,Fit_Matrix!$A:$A,0)))),"CHECK KEY"))</f>
        <v/>
      </c>
      <c r="U344" s="10" t="n"/>
      <c r="V344" s="10" t="n"/>
      <c r="W344" s="10" t="n"/>
      <c r="X344" s="10" t="n"/>
      <c r="Y344" s="10" t="n"/>
      <c r="Z344" s="10" t="n"/>
      <c r="AA344" s="11">
        <f>IF(A344="","",IF(AND(J344="P4",F344="causal"),"P4-CAUSAL",""))</f>
        <v/>
      </c>
    </row>
    <row r="345" ht="15" customHeight="1" s="1">
      <c r="P345">
        <f>IF(OR(F345="",H345="",J345=""),"",J345&amp;"|"&amp;F345&amp;"|"&amp;IF(H345="W3","W3_"&amp;IF(I345="","unknown",I345),H345))</f>
        <v/>
      </c>
      <c r="Q345">
        <f>IF(P345="","",IFERROR(IF(AND(H345="W7",OR(F345="causal",F345="predictive")),IF(AND(OR(K345=1,K345="1"),OR(L345=1,L345="1"),OR(M345=1,M345="1")),"adequate","partial"),IF(AND(H345="W4",F345="predictive",OR(J345="P2",J345="P3",J345="P4")),IF(OR(U345=1,U345="1"),"adequate","partial"),INDEX(Fit_Matrix!$B:$B,MATCH(P345,Fit_Matrix!$A:$A,0)))),"CHECK KEY"))</f>
        <v/>
      </c>
      <c r="U345" s="10" t="n"/>
      <c r="V345" s="10" t="n"/>
      <c r="W345" s="10" t="n"/>
      <c r="X345" s="10" t="n"/>
      <c r="Y345" s="10" t="n"/>
      <c r="Z345" s="10" t="n"/>
      <c r="AA345" s="11">
        <f>IF(A345="","",IF(AND(J345="P4",F345="causal"),"P4-CAUSAL",""))</f>
        <v/>
      </c>
    </row>
    <row r="346" ht="15" customHeight="1" s="1">
      <c r="P346">
        <f>IF(OR(F346="",H346="",J346=""),"",J346&amp;"|"&amp;F346&amp;"|"&amp;IF(H346="W3","W3_"&amp;IF(I346="","unknown",I346),H346))</f>
        <v/>
      </c>
      <c r="Q346">
        <f>IF(P346="","",IFERROR(IF(AND(H346="W7",OR(F346="causal",F346="predictive")),IF(AND(OR(K346=1,K346="1"),OR(L346=1,L346="1"),OR(M346=1,M346="1")),"adequate","partial"),IF(AND(H346="W4",F346="predictive",OR(J346="P2",J346="P3",J346="P4")),IF(OR(U346=1,U346="1"),"adequate","partial"),INDEX(Fit_Matrix!$B:$B,MATCH(P346,Fit_Matrix!$A:$A,0)))),"CHECK KEY"))</f>
        <v/>
      </c>
      <c r="U346" s="10" t="n"/>
      <c r="V346" s="10" t="n"/>
      <c r="W346" s="10" t="n"/>
      <c r="X346" s="10" t="n"/>
      <c r="Y346" s="10" t="n"/>
      <c r="Z346" s="10" t="n"/>
      <c r="AA346" s="11">
        <f>IF(A346="","",IF(AND(J346="P4",F346="causal"),"P4-CAUSAL",""))</f>
        <v/>
      </c>
    </row>
    <row r="347" ht="15" customHeight="1" s="1">
      <c r="P347">
        <f>IF(OR(F347="",H347="",J347=""),"",J347&amp;"|"&amp;F347&amp;"|"&amp;IF(H347="W3","W3_"&amp;IF(I347="","unknown",I347),H347))</f>
        <v/>
      </c>
      <c r="Q347">
        <f>IF(P347="","",IFERROR(IF(AND(H347="W7",OR(F347="causal",F347="predictive")),IF(AND(OR(K347=1,K347="1"),OR(L347=1,L347="1"),OR(M347=1,M347="1")),"adequate","partial"),IF(AND(H347="W4",F347="predictive",OR(J347="P2",J347="P3",J347="P4")),IF(OR(U347=1,U347="1"),"adequate","partial"),INDEX(Fit_Matrix!$B:$B,MATCH(P347,Fit_Matrix!$A:$A,0)))),"CHECK KEY"))</f>
        <v/>
      </c>
      <c r="U347" s="10" t="n"/>
      <c r="V347" s="10" t="n"/>
      <c r="W347" s="10" t="n"/>
      <c r="X347" s="10" t="n"/>
      <c r="Y347" s="10" t="n"/>
      <c r="Z347" s="10" t="n"/>
      <c r="AA347" s="11">
        <f>IF(A347="","",IF(AND(J347="P4",F347="causal"),"P4-CAUSAL",""))</f>
        <v/>
      </c>
    </row>
    <row r="348" ht="15" customHeight="1" s="1">
      <c r="P348">
        <f>IF(OR(F348="",H348="",J348=""),"",J348&amp;"|"&amp;F348&amp;"|"&amp;IF(H348="W3","W3_"&amp;IF(I348="","unknown",I348),H348))</f>
        <v/>
      </c>
      <c r="Q348">
        <f>IF(P348="","",IFERROR(IF(AND(H348="W7",OR(F348="causal",F348="predictive")),IF(AND(OR(K348=1,K348="1"),OR(L348=1,L348="1"),OR(M348=1,M348="1")),"adequate","partial"),IF(AND(H348="W4",F348="predictive",OR(J348="P2",J348="P3",J348="P4")),IF(OR(U348=1,U348="1"),"adequate","partial"),INDEX(Fit_Matrix!$B:$B,MATCH(P348,Fit_Matrix!$A:$A,0)))),"CHECK KEY"))</f>
        <v/>
      </c>
      <c r="U348" s="10" t="n"/>
      <c r="V348" s="10" t="n"/>
      <c r="W348" s="10" t="n"/>
      <c r="X348" s="10" t="n"/>
      <c r="Y348" s="10" t="n"/>
      <c r="Z348" s="10" t="n"/>
      <c r="AA348" s="11">
        <f>IF(A348="","",IF(AND(J348="P4",F348="causal"),"P4-CAUSAL",""))</f>
        <v/>
      </c>
    </row>
    <row r="349" ht="15" customHeight="1" s="1">
      <c r="P349">
        <f>IF(OR(F349="",H349="",J349=""),"",J349&amp;"|"&amp;F349&amp;"|"&amp;IF(H349="W3","W3_"&amp;IF(I349="","unknown",I349),H349))</f>
        <v/>
      </c>
      <c r="Q349">
        <f>IF(P349="","",IFERROR(IF(AND(H349="W7",OR(F349="causal",F349="predictive")),IF(AND(OR(K349=1,K349="1"),OR(L349=1,L349="1"),OR(M349=1,M349="1")),"adequate","partial"),IF(AND(H349="W4",F349="predictive",OR(J349="P2",J349="P3",J349="P4")),IF(OR(U349=1,U349="1"),"adequate","partial"),INDEX(Fit_Matrix!$B:$B,MATCH(P349,Fit_Matrix!$A:$A,0)))),"CHECK KEY"))</f>
        <v/>
      </c>
      <c r="U349" s="10" t="n"/>
      <c r="V349" s="10" t="n"/>
      <c r="W349" s="10" t="n"/>
      <c r="X349" s="10" t="n"/>
      <c r="Y349" s="10" t="n"/>
      <c r="Z349" s="10" t="n"/>
      <c r="AA349" s="11">
        <f>IF(A349="","",IF(AND(J349="P4",F349="causal"),"P4-CAUSAL",""))</f>
        <v/>
      </c>
    </row>
    <row r="350" ht="15" customHeight="1" s="1">
      <c r="P350">
        <f>IF(OR(F350="",H350="",J350=""),"",J350&amp;"|"&amp;F350&amp;"|"&amp;IF(H350="W3","W3_"&amp;IF(I350="","unknown",I350),H350))</f>
        <v/>
      </c>
      <c r="Q350">
        <f>IF(P350="","",IFERROR(IF(AND(H350="W7",OR(F350="causal",F350="predictive")),IF(AND(OR(K350=1,K350="1"),OR(L350=1,L350="1"),OR(M350=1,M350="1")),"adequate","partial"),IF(AND(H350="W4",F350="predictive",OR(J350="P2",J350="P3",J350="P4")),IF(OR(U350=1,U350="1"),"adequate","partial"),INDEX(Fit_Matrix!$B:$B,MATCH(P350,Fit_Matrix!$A:$A,0)))),"CHECK KEY"))</f>
        <v/>
      </c>
      <c r="U350" s="10" t="n"/>
      <c r="V350" s="10" t="n"/>
      <c r="W350" s="10" t="n"/>
      <c r="X350" s="10" t="n"/>
      <c r="Y350" s="10" t="n"/>
      <c r="Z350" s="10" t="n"/>
      <c r="AA350" s="11">
        <f>IF(A350="","",IF(AND(J350="P4",F350="causal"),"P4-CAUSAL",""))</f>
        <v/>
      </c>
    </row>
    <row r="351" ht="15" customHeight="1" s="1">
      <c r="P351">
        <f>IF(OR(F351="",H351="",J351=""),"",J351&amp;"|"&amp;F351&amp;"|"&amp;IF(H351="W3","W3_"&amp;IF(I351="","unknown",I351),H351))</f>
        <v/>
      </c>
      <c r="Q351">
        <f>IF(P351="","",IFERROR(IF(AND(H351="W7",OR(F351="causal",F351="predictive")),IF(AND(OR(K351=1,K351="1"),OR(L351=1,L351="1"),OR(M351=1,M351="1")),"adequate","partial"),IF(AND(H351="W4",F351="predictive",OR(J351="P2",J351="P3",J351="P4")),IF(OR(U351=1,U351="1"),"adequate","partial"),INDEX(Fit_Matrix!$B:$B,MATCH(P351,Fit_Matrix!$A:$A,0)))),"CHECK KEY"))</f>
        <v/>
      </c>
      <c r="U351" s="10" t="n"/>
      <c r="V351" s="10" t="n"/>
      <c r="W351" s="10" t="n"/>
      <c r="X351" s="10" t="n"/>
      <c r="Y351" s="10" t="n"/>
      <c r="Z351" s="10" t="n"/>
      <c r="AA351" s="11">
        <f>IF(A351="","",IF(AND(J351="P4",F351="causal"),"P4-CAUSAL",""))</f>
        <v/>
      </c>
    </row>
    <row r="352" ht="15" customHeight="1" s="1">
      <c r="P352">
        <f>IF(OR(F352="",H352="",J352=""),"",J352&amp;"|"&amp;F352&amp;"|"&amp;IF(H352="W3","W3_"&amp;IF(I352="","unknown",I352),H352))</f>
        <v/>
      </c>
      <c r="Q352">
        <f>IF(P352="","",IFERROR(IF(AND(H352="W7",OR(F352="causal",F352="predictive")),IF(AND(OR(K352=1,K352="1"),OR(L352=1,L352="1"),OR(M352=1,M352="1")),"adequate","partial"),IF(AND(H352="W4",F352="predictive",OR(J352="P2",J352="P3",J352="P4")),IF(OR(U352=1,U352="1"),"adequate","partial"),INDEX(Fit_Matrix!$B:$B,MATCH(P352,Fit_Matrix!$A:$A,0)))),"CHECK KEY"))</f>
        <v/>
      </c>
      <c r="U352" s="10" t="n"/>
      <c r="V352" s="10" t="n"/>
      <c r="W352" s="10" t="n"/>
      <c r="X352" s="10" t="n"/>
      <c r="Y352" s="10" t="n"/>
      <c r="Z352" s="10" t="n"/>
      <c r="AA352" s="11">
        <f>IF(A352="","",IF(AND(J352="P4",F352="causal"),"P4-CAUSAL",""))</f>
        <v/>
      </c>
    </row>
    <row r="353" ht="15" customHeight="1" s="1">
      <c r="P353">
        <f>IF(OR(F353="",H353="",J353=""),"",J353&amp;"|"&amp;F353&amp;"|"&amp;IF(H353="W3","W3_"&amp;IF(I353="","unknown",I353),H353))</f>
        <v/>
      </c>
      <c r="Q353">
        <f>IF(P353="","",IFERROR(IF(AND(H353="W7",OR(F353="causal",F353="predictive")),IF(AND(OR(K353=1,K353="1"),OR(L353=1,L353="1"),OR(M353=1,M353="1")),"adequate","partial"),IF(AND(H353="W4",F353="predictive",OR(J353="P2",J353="P3",J353="P4")),IF(OR(U353=1,U353="1"),"adequate","partial"),INDEX(Fit_Matrix!$B:$B,MATCH(P353,Fit_Matrix!$A:$A,0)))),"CHECK KEY"))</f>
        <v/>
      </c>
      <c r="U353" s="10" t="n"/>
      <c r="V353" s="10" t="n"/>
      <c r="W353" s="10" t="n"/>
      <c r="X353" s="10" t="n"/>
      <c r="Y353" s="10" t="n"/>
      <c r="Z353" s="10" t="n"/>
      <c r="AA353" s="11">
        <f>IF(A353="","",IF(AND(J353="P4",F353="causal"),"P4-CAUSAL",""))</f>
        <v/>
      </c>
    </row>
    <row r="354" ht="15" customHeight="1" s="1">
      <c r="P354">
        <f>IF(OR(F354="",H354="",J354=""),"",J354&amp;"|"&amp;F354&amp;"|"&amp;IF(H354="W3","W3_"&amp;IF(I354="","unknown",I354),H354))</f>
        <v/>
      </c>
      <c r="Q354">
        <f>IF(P354="","",IFERROR(IF(AND(H354="W7",OR(F354="causal",F354="predictive")),IF(AND(OR(K354=1,K354="1"),OR(L354=1,L354="1"),OR(M354=1,M354="1")),"adequate","partial"),IF(AND(H354="W4",F354="predictive",OR(J354="P2",J354="P3",J354="P4")),IF(OR(U354=1,U354="1"),"adequate","partial"),INDEX(Fit_Matrix!$B:$B,MATCH(P354,Fit_Matrix!$A:$A,0)))),"CHECK KEY"))</f>
        <v/>
      </c>
      <c r="U354" s="10" t="n"/>
      <c r="V354" s="10" t="n"/>
      <c r="W354" s="10" t="n"/>
      <c r="X354" s="10" t="n"/>
      <c r="Y354" s="10" t="n"/>
      <c r="Z354" s="10" t="n"/>
      <c r="AA354" s="11">
        <f>IF(A354="","",IF(AND(J354="P4",F354="causal"),"P4-CAUSAL",""))</f>
        <v/>
      </c>
    </row>
    <row r="355" ht="15" customHeight="1" s="1">
      <c r="P355">
        <f>IF(OR(F355="",H355="",J355=""),"",J355&amp;"|"&amp;F355&amp;"|"&amp;IF(H355="W3","W3_"&amp;IF(I355="","unknown",I355),H355))</f>
        <v/>
      </c>
      <c r="Q355">
        <f>IF(P355="","",IFERROR(IF(AND(H355="W7",OR(F355="causal",F355="predictive")),IF(AND(OR(K355=1,K355="1"),OR(L355=1,L355="1"),OR(M355=1,M355="1")),"adequate","partial"),IF(AND(H355="W4",F355="predictive",OR(J355="P2",J355="P3",J355="P4")),IF(OR(U355=1,U355="1"),"adequate","partial"),INDEX(Fit_Matrix!$B:$B,MATCH(P355,Fit_Matrix!$A:$A,0)))),"CHECK KEY"))</f>
        <v/>
      </c>
      <c r="U355" s="10" t="n"/>
      <c r="V355" s="10" t="n"/>
      <c r="W355" s="10" t="n"/>
      <c r="X355" s="10" t="n"/>
      <c r="Y355" s="10" t="n"/>
      <c r="Z355" s="10" t="n"/>
      <c r="AA355" s="11">
        <f>IF(A355="","",IF(AND(J355="P4",F355="causal"),"P4-CAUSAL",""))</f>
        <v/>
      </c>
    </row>
    <row r="356" ht="15" customHeight="1" s="1">
      <c r="P356">
        <f>IF(OR(F356="",H356="",J356=""),"",J356&amp;"|"&amp;F356&amp;"|"&amp;IF(H356="W3","W3_"&amp;IF(I356="","unknown",I356),H356))</f>
        <v/>
      </c>
      <c r="Q356">
        <f>IF(P356="","",IFERROR(IF(AND(H356="W7",OR(F356="causal",F356="predictive")),IF(AND(OR(K356=1,K356="1"),OR(L356=1,L356="1"),OR(M356=1,M356="1")),"adequate","partial"),IF(AND(H356="W4",F356="predictive",OR(J356="P2",J356="P3",J356="P4")),IF(OR(U356=1,U356="1"),"adequate","partial"),INDEX(Fit_Matrix!$B:$B,MATCH(P356,Fit_Matrix!$A:$A,0)))),"CHECK KEY"))</f>
        <v/>
      </c>
      <c r="U356" s="10" t="n"/>
      <c r="V356" s="10" t="n"/>
      <c r="W356" s="10" t="n"/>
      <c r="X356" s="10" t="n"/>
      <c r="Y356" s="10" t="n"/>
      <c r="Z356" s="10" t="n"/>
      <c r="AA356" s="11">
        <f>IF(A356="","",IF(AND(J356="P4",F356="causal"),"P4-CAUSAL",""))</f>
        <v/>
      </c>
    </row>
    <row r="357" ht="15" customHeight="1" s="1">
      <c r="P357">
        <f>IF(OR(F357="",H357="",J357=""),"",J357&amp;"|"&amp;F357&amp;"|"&amp;IF(H357="W3","W3_"&amp;IF(I357="","unknown",I357),H357))</f>
        <v/>
      </c>
      <c r="Q357">
        <f>IF(P357="","",IFERROR(IF(AND(H357="W7",OR(F357="causal",F357="predictive")),IF(AND(OR(K357=1,K357="1"),OR(L357=1,L357="1"),OR(M357=1,M357="1")),"adequate","partial"),IF(AND(H357="W4",F357="predictive",OR(J357="P2",J357="P3",J357="P4")),IF(OR(U357=1,U357="1"),"adequate","partial"),INDEX(Fit_Matrix!$B:$B,MATCH(P357,Fit_Matrix!$A:$A,0)))),"CHECK KEY"))</f>
        <v/>
      </c>
      <c r="U357" s="10" t="n"/>
      <c r="V357" s="10" t="n"/>
      <c r="W357" s="10" t="n"/>
      <c r="X357" s="10" t="n"/>
      <c r="Y357" s="10" t="n"/>
      <c r="Z357" s="10" t="n"/>
      <c r="AA357" s="11">
        <f>IF(A357="","",IF(AND(J357="P4",F357="causal"),"P4-CAUSAL",""))</f>
        <v/>
      </c>
    </row>
    <row r="358" ht="15" customHeight="1" s="1">
      <c r="P358">
        <f>IF(OR(F358="",H358="",J358=""),"",J358&amp;"|"&amp;F358&amp;"|"&amp;IF(H358="W3","W3_"&amp;IF(I358="","unknown",I358),H358))</f>
        <v/>
      </c>
      <c r="Q358">
        <f>IF(P358="","",IFERROR(IF(AND(H358="W7",OR(F358="causal",F358="predictive")),IF(AND(OR(K358=1,K358="1"),OR(L358=1,L358="1"),OR(M358=1,M358="1")),"adequate","partial"),IF(AND(H358="W4",F358="predictive",OR(J358="P2",J358="P3",J358="P4")),IF(OR(U358=1,U358="1"),"adequate","partial"),INDEX(Fit_Matrix!$B:$B,MATCH(P358,Fit_Matrix!$A:$A,0)))),"CHECK KEY"))</f>
        <v/>
      </c>
      <c r="U358" s="10" t="n"/>
      <c r="V358" s="10" t="n"/>
      <c r="W358" s="10" t="n"/>
      <c r="X358" s="10" t="n"/>
      <c r="Y358" s="10" t="n"/>
      <c r="Z358" s="10" t="n"/>
      <c r="AA358" s="11">
        <f>IF(A358="","",IF(AND(J358="P4",F358="causal"),"P4-CAUSAL",""))</f>
        <v/>
      </c>
    </row>
    <row r="359" ht="15" customHeight="1" s="1">
      <c r="P359">
        <f>IF(OR(F359="",H359="",J359=""),"",J359&amp;"|"&amp;F359&amp;"|"&amp;IF(H359="W3","W3_"&amp;IF(I359="","unknown",I359),H359))</f>
        <v/>
      </c>
      <c r="Q359">
        <f>IF(P359="","",IFERROR(IF(AND(H359="W7",OR(F359="causal",F359="predictive")),IF(AND(OR(K359=1,K359="1"),OR(L359=1,L359="1"),OR(M359=1,M359="1")),"adequate","partial"),IF(AND(H359="W4",F359="predictive",OR(J359="P2",J359="P3",J359="P4")),IF(OR(U359=1,U359="1"),"adequate","partial"),INDEX(Fit_Matrix!$B:$B,MATCH(P359,Fit_Matrix!$A:$A,0)))),"CHECK KEY"))</f>
        <v/>
      </c>
      <c r="U359" s="10" t="n"/>
      <c r="V359" s="10" t="n"/>
      <c r="W359" s="10" t="n"/>
      <c r="X359" s="10" t="n"/>
      <c r="Y359" s="10" t="n"/>
      <c r="Z359" s="10" t="n"/>
      <c r="AA359" s="11">
        <f>IF(A359="","",IF(AND(J359="P4",F359="causal"),"P4-CAUSAL",""))</f>
        <v/>
      </c>
    </row>
    <row r="360" ht="15" customHeight="1" s="1">
      <c r="P360">
        <f>IF(OR(F360="",H360="",J360=""),"",J360&amp;"|"&amp;F360&amp;"|"&amp;IF(H360="W3","W3_"&amp;IF(I360="","unknown",I360),H360))</f>
        <v/>
      </c>
      <c r="Q360">
        <f>IF(P360="","",IFERROR(IF(AND(H360="W7",OR(F360="causal",F360="predictive")),IF(AND(OR(K360=1,K360="1"),OR(L360=1,L360="1"),OR(M360=1,M360="1")),"adequate","partial"),IF(AND(H360="W4",F360="predictive",OR(J360="P2",J360="P3",J360="P4")),IF(OR(U360=1,U360="1"),"adequate","partial"),INDEX(Fit_Matrix!$B:$B,MATCH(P360,Fit_Matrix!$A:$A,0)))),"CHECK KEY"))</f>
        <v/>
      </c>
      <c r="U360" s="10" t="n"/>
      <c r="V360" s="10" t="n"/>
      <c r="W360" s="10" t="n"/>
      <c r="X360" s="10" t="n"/>
      <c r="Y360" s="10" t="n"/>
      <c r="Z360" s="10" t="n"/>
      <c r="AA360" s="11">
        <f>IF(A360="","",IF(AND(J360="P4",F360="causal"),"P4-CAUSAL",""))</f>
        <v/>
      </c>
    </row>
    <row r="361" ht="15" customHeight="1" s="1">
      <c r="P361">
        <f>IF(OR(F361="",H361="",J361=""),"",J361&amp;"|"&amp;F361&amp;"|"&amp;IF(H361="W3","W3_"&amp;IF(I361="","unknown",I361),H361))</f>
        <v/>
      </c>
      <c r="Q361">
        <f>IF(P361="","",IFERROR(IF(AND(H361="W7",OR(F361="causal",F361="predictive")),IF(AND(OR(K361=1,K361="1"),OR(L361=1,L361="1"),OR(M361=1,M361="1")),"adequate","partial"),IF(AND(H361="W4",F361="predictive",OR(J361="P2",J361="P3",J361="P4")),IF(OR(U361=1,U361="1"),"adequate","partial"),INDEX(Fit_Matrix!$B:$B,MATCH(P361,Fit_Matrix!$A:$A,0)))),"CHECK KEY"))</f>
        <v/>
      </c>
      <c r="U361" s="10" t="n"/>
      <c r="V361" s="10" t="n"/>
      <c r="W361" s="10" t="n"/>
      <c r="X361" s="10" t="n"/>
      <c r="Y361" s="10" t="n"/>
      <c r="Z361" s="10" t="n"/>
      <c r="AA361" s="11">
        <f>IF(A361="","",IF(AND(J361="P4",F361="causal"),"P4-CAUSAL",""))</f>
        <v/>
      </c>
    </row>
    <row r="362" ht="15" customHeight="1" s="1">
      <c r="P362">
        <f>IF(OR(F362="",H362="",J362=""),"",J362&amp;"|"&amp;F362&amp;"|"&amp;IF(H362="W3","W3_"&amp;IF(I362="","unknown",I362),H362))</f>
        <v/>
      </c>
      <c r="Q362">
        <f>IF(P362="","",IFERROR(IF(AND(H362="W7",OR(F362="causal",F362="predictive")),IF(AND(OR(K362=1,K362="1"),OR(L362=1,L362="1"),OR(M362=1,M362="1")),"adequate","partial"),IF(AND(H362="W4",F362="predictive",OR(J362="P2",J362="P3",J362="P4")),IF(OR(U362=1,U362="1"),"adequate","partial"),INDEX(Fit_Matrix!$B:$B,MATCH(P362,Fit_Matrix!$A:$A,0)))),"CHECK KEY"))</f>
        <v/>
      </c>
      <c r="U362" s="10" t="n"/>
      <c r="V362" s="10" t="n"/>
      <c r="W362" s="10" t="n"/>
      <c r="X362" s="10" t="n"/>
      <c r="Y362" s="10" t="n"/>
      <c r="Z362" s="10" t="n"/>
      <c r="AA362" s="11">
        <f>IF(A362="","",IF(AND(J362="P4",F362="causal"),"P4-CAUSAL",""))</f>
        <v/>
      </c>
    </row>
    <row r="363" ht="15" customHeight="1" s="1">
      <c r="P363">
        <f>IF(OR(F363="",H363="",J363=""),"",J363&amp;"|"&amp;F363&amp;"|"&amp;IF(H363="W3","W3_"&amp;IF(I363="","unknown",I363),H363))</f>
        <v/>
      </c>
      <c r="Q363">
        <f>IF(P363="","",IFERROR(IF(AND(H363="W7",OR(F363="causal",F363="predictive")),IF(AND(OR(K363=1,K363="1"),OR(L363=1,L363="1"),OR(M363=1,M363="1")),"adequate","partial"),IF(AND(H363="W4",F363="predictive",OR(J363="P2",J363="P3",J363="P4")),IF(OR(U363=1,U363="1"),"adequate","partial"),INDEX(Fit_Matrix!$B:$B,MATCH(P363,Fit_Matrix!$A:$A,0)))),"CHECK KEY"))</f>
        <v/>
      </c>
      <c r="U363" s="10" t="n"/>
      <c r="V363" s="10" t="n"/>
      <c r="W363" s="10" t="n"/>
      <c r="X363" s="10" t="n"/>
      <c r="Y363" s="10" t="n"/>
      <c r="Z363" s="10" t="n"/>
      <c r="AA363" s="11">
        <f>IF(A363="","",IF(AND(J363="P4",F363="causal"),"P4-CAUSAL",""))</f>
        <v/>
      </c>
    </row>
    <row r="364" ht="15" customHeight="1" s="1">
      <c r="P364">
        <f>IF(OR(F364="",H364="",J364=""),"",J364&amp;"|"&amp;F364&amp;"|"&amp;IF(H364="W3","W3_"&amp;IF(I364="","unknown",I364),H364))</f>
        <v/>
      </c>
      <c r="Q364">
        <f>IF(P364="","",IFERROR(IF(AND(H364="W7",OR(F364="causal",F364="predictive")),IF(AND(OR(K364=1,K364="1"),OR(L364=1,L364="1"),OR(M364=1,M364="1")),"adequate","partial"),IF(AND(H364="W4",F364="predictive",OR(J364="P2",J364="P3",J364="P4")),IF(OR(U364=1,U364="1"),"adequate","partial"),INDEX(Fit_Matrix!$B:$B,MATCH(P364,Fit_Matrix!$A:$A,0)))),"CHECK KEY"))</f>
        <v/>
      </c>
      <c r="U364" s="10" t="n"/>
      <c r="V364" s="10" t="n"/>
      <c r="W364" s="10" t="n"/>
      <c r="X364" s="10" t="n"/>
      <c r="Y364" s="10" t="n"/>
      <c r="Z364" s="10" t="n"/>
      <c r="AA364" s="11">
        <f>IF(A364="","",IF(AND(J364="P4",F364="causal"),"P4-CAUSAL",""))</f>
        <v/>
      </c>
    </row>
    <row r="365" ht="15" customHeight="1" s="1">
      <c r="P365">
        <f>IF(OR(F365="",H365="",J365=""),"",J365&amp;"|"&amp;F365&amp;"|"&amp;IF(H365="W3","W3_"&amp;IF(I365="","unknown",I365),H365))</f>
        <v/>
      </c>
      <c r="Q365">
        <f>IF(P365="","",IFERROR(IF(AND(H365="W7",OR(F365="causal",F365="predictive")),IF(AND(OR(K365=1,K365="1"),OR(L365=1,L365="1"),OR(M365=1,M365="1")),"adequate","partial"),IF(AND(H365="W4",F365="predictive",OR(J365="P2",J365="P3",J365="P4")),IF(OR(U365=1,U365="1"),"adequate","partial"),INDEX(Fit_Matrix!$B:$B,MATCH(P365,Fit_Matrix!$A:$A,0)))),"CHECK KEY"))</f>
        <v/>
      </c>
      <c r="U365" s="10" t="n"/>
      <c r="V365" s="10" t="n"/>
      <c r="W365" s="10" t="n"/>
      <c r="X365" s="10" t="n"/>
      <c r="Y365" s="10" t="n"/>
      <c r="Z365" s="10" t="n"/>
      <c r="AA365" s="11">
        <f>IF(A365="","",IF(AND(J365="P4",F365="causal"),"P4-CAUSAL",""))</f>
        <v/>
      </c>
    </row>
    <row r="366" ht="15" customHeight="1" s="1">
      <c r="P366">
        <f>IF(OR(F366="",H366="",J366=""),"",J366&amp;"|"&amp;F366&amp;"|"&amp;IF(H366="W3","W3_"&amp;IF(I366="","unknown",I366),H366))</f>
        <v/>
      </c>
      <c r="Q366">
        <f>IF(P366="","",IFERROR(IF(AND(H366="W7",OR(F366="causal",F366="predictive")),IF(AND(OR(K366=1,K366="1"),OR(L366=1,L366="1"),OR(M366=1,M366="1")),"adequate","partial"),IF(AND(H366="W4",F366="predictive",OR(J366="P2",J366="P3",J366="P4")),IF(OR(U366=1,U366="1"),"adequate","partial"),INDEX(Fit_Matrix!$B:$B,MATCH(P366,Fit_Matrix!$A:$A,0)))),"CHECK KEY"))</f>
        <v/>
      </c>
      <c r="U366" s="10" t="n"/>
      <c r="V366" s="10" t="n"/>
      <c r="W366" s="10" t="n"/>
      <c r="X366" s="10" t="n"/>
      <c r="Y366" s="10" t="n"/>
      <c r="Z366" s="10" t="n"/>
      <c r="AA366" s="11">
        <f>IF(A366="","",IF(AND(J366="P4",F366="causal"),"P4-CAUSAL",""))</f>
        <v/>
      </c>
    </row>
    <row r="367" ht="15" customHeight="1" s="1">
      <c r="P367">
        <f>IF(OR(F367="",H367="",J367=""),"",J367&amp;"|"&amp;F367&amp;"|"&amp;IF(H367="W3","W3_"&amp;IF(I367="","unknown",I367),H367))</f>
        <v/>
      </c>
      <c r="Q367">
        <f>IF(P367="","",IFERROR(IF(AND(H367="W7",OR(F367="causal",F367="predictive")),IF(AND(OR(K367=1,K367="1"),OR(L367=1,L367="1"),OR(M367=1,M367="1")),"adequate","partial"),IF(AND(H367="W4",F367="predictive",OR(J367="P2",J367="P3",J367="P4")),IF(OR(U367=1,U367="1"),"adequate","partial"),INDEX(Fit_Matrix!$B:$B,MATCH(P367,Fit_Matrix!$A:$A,0)))),"CHECK KEY"))</f>
        <v/>
      </c>
      <c r="U367" s="10" t="n"/>
      <c r="V367" s="10" t="n"/>
      <c r="W367" s="10" t="n"/>
      <c r="X367" s="10" t="n"/>
      <c r="Y367" s="10" t="n"/>
      <c r="Z367" s="10" t="n"/>
      <c r="AA367" s="11">
        <f>IF(A367="","",IF(AND(J367="P4",F367="causal"),"P4-CAUSAL",""))</f>
        <v/>
      </c>
    </row>
    <row r="368" ht="15" customHeight="1" s="1">
      <c r="P368">
        <f>IF(OR(F368="",H368="",J368=""),"",J368&amp;"|"&amp;F368&amp;"|"&amp;IF(H368="W3","W3_"&amp;IF(I368="","unknown",I368),H368))</f>
        <v/>
      </c>
      <c r="Q368">
        <f>IF(P368="","",IFERROR(IF(AND(H368="W7",OR(F368="causal",F368="predictive")),IF(AND(OR(K368=1,K368="1"),OR(L368=1,L368="1"),OR(M368=1,M368="1")),"adequate","partial"),IF(AND(H368="W4",F368="predictive",OR(J368="P2",J368="P3",J368="P4")),IF(OR(U368=1,U368="1"),"adequate","partial"),INDEX(Fit_Matrix!$B:$B,MATCH(P368,Fit_Matrix!$A:$A,0)))),"CHECK KEY"))</f>
        <v/>
      </c>
      <c r="U368" s="10" t="n"/>
      <c r="V368" s="10" t="n"/>
      <c r="W368" s="10" t="n"/>
      <c r="X368" s="10" t="n"/>
      <c r="Y368" s="10" t="n"/>
      <c r="Z368" s="10" t="n"/>
      <c r="AA368" s="11">
        <f>IF(A368="","",IF(AND(J368="P4",F368="causal"),"P4-CAUSAL",""))</f>
        <v/>
      </c>
    </row>
    <row r="369" ht="15" customHeight="1" s="1">
      <c r="P369">
        <f>IF(OR(F369="",H369="",J369=""),"",J369&amp;"|"&amp;F369&amp;"|"&amp;IF(H369="W3","W3_"&amp;IF(I369="","unknown",I369),H369))</f>
        <v/>
      </c>
      <c r="Q369">
        <f>IF(P369="","",IFERROR(IF(AND(H369="W7",OR(F369="causal",F369="predictive")),IF(AND(OR(K369=1,K369="1"),OR(L369=1,L369="1"),OR(M369=1,M369="1")),"adequate","partial"),IF(AND(H369="W4",F369="predictive",OR(J369="P2",J369="P3",J369="P4")),IF(OR(U369=1,U369="1"),"adequate","partial"),INDEX(Fit_Matrix!$B:$B,MATCH(P369,Fit_Matrix!$A:$A,0)))),"CHECK KEY"))</f>
        <v/>
      </c>
      <c r="U369" s="10" t="n"/>
      <c r="V369" s="10" t="n"/>
      <c r="W369" s="10" t="n"/>
      <c r="X369" s="10" t="n"/>
      <c r="Y369" s="10" t="n"/>
      <c r="Z369" s="10" t="n"/>
      <c r="AA369" s="11">
        <f>IF(A369="","",IF(AND(J369="P4",F369="causal"),"P4-CAUSAL",""))</f>
        <v/>
      </c>
    </row>
    <row r="370" ht="15" customHeight="1" s="1">
      <c r="P370">
        <f>IF(OR(F370="",H370="",J370=""),"",J370&amp;"|"&amp;F370&amp;"|"&amp;IF(H370="W3","W3_"&amp;IF(I370="","unknown",I370),H370))</f>
        <v/>
      </c>
      <c r="Q370">
        <f>IF(P370="","",IFERROR(IF(AND(H370="W7",OR(F370="causal",F370="predictive")),IF(AND(OR(K370=1,K370="1"),OR(L370=1,L370="1"),OR(M370=1,M370="1")),"adequate","partial"),IF(AND(H370="W4",F370="predictive",OR(J370="P2",J370="P3",J370="P4")),IF(OR(U370=1,U370="1"),"adequate","partial"),INDEX(Fit_Matrix!$B:$B,MATCH(P370,Fit_Matrix!$A:$A,0)))),"CHECK KEY"))</f>
        <v/>
      </c>
      <c r="U370" s="10" t="n"/>
      <c r="V370" s="10" t="n"/>
      <c r="W370" s="10" t="n"/>
      <c r="X370" s="10" t="n"/>
      <c r="Y370" s="10" t="n"/>
      <c r="Z370" s="10" t="n"/>
      <c r="AA370" s="11">
        <f>IF(A370="","",IF(AND(J370="P4",F370="causal"),"P4-CAUSAL",""))</f>
        <v/>
      </c>
    </row>
    <row r="371" ht="15" customHeight="1" s="1">
      <c r="P371">
        <f>IF(OR(F371="",H371="",J371=""),"",J371&amp;"|"&amp;F371&amp;"|"&amp;IF(H371="W3","W3_"&amp;IF(I371="","unknown",I371),H371))</f>
        <v/>
      </c>
      <c r="Q371">
        <f>IF(P371="","",IFERROR(IF(AND(H371="W7",OR(F371="causal",F371="predictive")),IF(AND(OR(K371=1,K371="1"),OR(L371=1,L371="1"),OR(M371=1,M371="1")),"adequate","partial"),IF(AND(H371="W4",F371="predictive",OR(J371="P2",J371="P3",J371="P4")),IF(OR(U371=1,U371="1"),"adequate","partial"),INDEX(Fit_Matrix!$B:$B,MATCH(P371,Fit_Matrix!$A:$A,0)))),"CHECK KEY"))</f>
        <v/>
      </c>
      <c r="U371" s="10" t="n"/>
      <c r="V371" s="10" t="n"/>
      <c r="W371" s="10" t="n"/>
      <c r="X371" s="10" t="n"/>
      <c r="Y371" s="10" t="n"/>
      <c r="Z371" s="10" t="n"/>
      <c r="AA371" s="11">
        <f>IF(A371="","",IF(AND(J371="P4",F371="causal"),"P4-CAUSAL",""))</f>
        <v/>
      </c>
    </row>
    <row r="372" ht="15" customHeight="1" s="1">
      <c r="P372">
        <f>IF(OR(F372="",H372="",J372=""),"",J372&amp;"|"&amp;F372&amp;"|"&amp;IF(H372="W3","W3_"&amp;IF(I372="","unknown",I372),H372))</f>
        <v/>
      </c>
      <c r="Q372">
        <f>IF(P372="","",IFERROR(IF(AND(H372="W7",OR(F372="causal",F372="predictive")),IF(AND(OR(K372=1,K372="1"),OR(L372=1,L372="1"),OR(M372=1,M372="1")),"adequate","partial"),IF(AND(H372="W4",F372="predictive",OR(J372="P2",J372="P3",J372="P4")),IF(OR(U372=1,U372="1"),"adequate","partial"),INDEX(Fit_Matrix!$B:$B,MATCH(P372,Fit_Matrix!$A:$A,0)))),"CHECK KEY"))</f>
        <v/>
      </c>
      <c r="U372" s="10" t="n"/>
      <c r="V372" s="10" t="n"/>
      <c r="W372" s="10" t="n"/>
      <c r="X372" s="10" t="n"/>
      <c r="Y372" s="10" t="n"/>
      <c r="Z372" s="10" t="n"/>
      <c r="AA372" s="11">
        <f>IF(A372="","",IF(AND(J372="P4",F372="causal"),"P4-CAUSAL",""))</f>
        <v/>
      </c>
    </row>
    <row r="373" ht="15" customHeight="1" s="1">
      <c r="P373">
        <f>IF(OR(F373="",H373="",J373=""),"",J373&amp;"|"&amp;F373&amp;"|"&amp;IF(H373="W3","W3_"&amp;IF(I373="","unknown",I373),H373))</f>
        <v/>
      </c>
      <c r="Q373">
        <f>IF(P373="","",IFERROR(IF(AND(H373="W7",OR(F373="causal",F373="predictive")),IF(AND(OR(K373=1,K373="1"),OR(L373=1,L373="1"),OR(M373=1,M373="1")),"adequate","partial"),IF(AND(H373="W4",F373="predictive",OR(J373="P2",J373="P3",J373="P4")),IF(OR(U373=1,U373="1"),"adequate","partial"),INDEX(Fit_Matrix!$B:$B,MATCH(P373,Fit_Matrix!$A:$A,0)))),"CHECK KEY"))</f>
        <v/>
      </c>
      <c r="U373" s="10" t="n"/>
      <c r="V373" s="10" t="n"/>
      <c r="W373" s="10" t="n"/>
      <c r="X373" s="10" t="n"/>
      <c r="Y373" s="10" t="n"/>
      <c r="Z373" s="10" t="n"/>
      <c r="AA373" s="11">
        <f>IF(A373="","",IF(AND(J373="P4",F373="causal"),"P4-CAUSAL",""))</f>
        <v/>
      </c>
    </row>
    <row r="374" ht="15" customHeight="1" s="1">
      <c r="P374">
        <f>IF(OR(F374="",H374="",J374=""),"",J374&amp;"|"&amp;F374&amp;"|"&amp;IF(H374="W3","W3_"&amp;IF(I374="","unknown",I374),H374))</f>
        <v/>
      </c>
      <c r="Q374">
        <f>IF(P374="","",IFERROR(IF(AND(H374="W7",OR(F374="causal",F374="predictive")),IF(AND(OR(K374=1,K374="1"),OR(L374=1,L374="1"),OR(M374=1,M374="1")),"adequate","partial"),IF(AND(H374="W4",F374="predictive",OR(J374="P2",J374="P3",J374="P4")),IF(OR(U374=1,U374="1"),"adequate","partial"),INDEX(Fit_Matrix!$B:$B,MATCH(P374,Fit_Matrix!$A:$A,0)))),"CHECK KEY"))</f>
        <v/>
      </c>
      <c r="U374" s="10" t="n"/>
      <c r="V374" s="10" t="n"/>
      <c r="W374" s="10" t="n"/>
      <c r="X374" s="10" t="n"/>
      <c r="Y374" s="10" t="n"/>
      <c r="Z374" s="10" t="n"/>
      <c r="AA374" s="11">
        <f>IF(A374="","",IF(AND(J374="P4",F374="causal"),"P4-CAUSAL",""))</f>
        <v/>
      </c>
    </row>
    <row r="375" ht="15" customHeight="1" s="1">
      <c r="P375">
        <f>IF(OR(F375="",H375="",J375=""),"",J375&amp;"|"&amp;F375&amp;"|"&amp;IF(H375="W3","W3_"&amp;IF(I375="","unknown",I375),H375))</f>
        <v/>
      </c>
      <c r="Q375">
        <f>IF(P375="","",IFERROR(IF(AND(H375="W7",OR(F375="causal",F375="predictive")),IF(AND(OR(K375=1,K375="1"),OR(L375=1,L375="1"),OR(M375=1,M375="1")),"adequate","partial"),IF(AND(H375="W4",F375="predictive",OR(J375="P2",J375="P3",J375="P4")),IF(OR(U375=1,U375="1"),"adequate","partial"),INDEX(Fit_Matrix!$B:$B,MATCH(P375,Fit_Matrix!$A:$A,0)))),"CHECK KEY"))</f>
        <v/>
      </c>
      <c r="U375" s="10" t="n"/>
      <c r="V375" s="10" t="n"/>
      <c r="W375" s="10" t="n"/>
      <c r="X375" s="10" t="n"/>
      <c r="Y375" s="10" t="n"/>
      <c r="Z375" s="10" t="n"/>
      <c r="AA375" s="11">
        <f>IF(A375="","",IF(AND(J375="P4",F375="causal"),"P4-CAUSAL",""))</f>
        <v/>
      </c>
    </row>
    <row r="376" ht="15" customHeight="1" s="1">
      <c r="P376">
        <f>IF(OR(F376="",H376="",J376=""),"",J376&amp;"|"&amp;F376&amp;"|"&amp;IF(H376="W3","W3_"&amp;IF(I376="","unknown",I376),H376))</f>
        <v/>
      </c>
      <c r="Q376">
        <f>IF(P376="","",IFERROR(IF(AND(H376="W7",OR(F376="causal",F376="predictive")),IF(AND(OR(K376=1,K376="1"),OR(L376=1,L376="1"),OR(M376=1,M376="1")),"adequate","partial"),IF(AND(H376="W4",F376="predictive",OR(J376="P2",J376="P3",J376="P4")),IF(OR(U376=1,U376="1"),"adequate","partial"),INDEX(Fit_Matrix!$B:$B,MATCH(P376,Fit_Matrix!$A:$A,0)))),"CHECK KEY"))</f>
        <v/>
      </c>
      <c r="U376" s="10" t="n"/>
      <c r="V376" s="10" t="n"/>
      <c r="W376" s="10" t="n"/>
      <c r="X376" s="10" t="n"/>
      <c r="Y376" s="10" t="n"/>
      <c r="Z376" s="10" t="n"/>
      <c r="AA376" s="11">
        <f>IF(A376="","",IF(AND(J376="P4",F376="causal"),"P4-CAUSAL",""))</f>
        <v/>
      </c>
    </row>
    <row r="377" ht="15" customHeight="1" s="1">
      <c r="P377">
        <f>IF(OR(F377="",H377="",J377=""),"",J377&amp;"|"&amp;F377&amp;"|"&amp;IF(H377="W3","W3_"&amp;IF(I377="","unknown",I377),H377))</f>
        <v/>
      </c>
      <c r="Q377">
        <f>IF(P377="","",IFERROR(IF(AND(H377="W7",OR(F377="causal",F377="predictive")),IF(AND(OR(K377=1,K377="1"),OR(L377=1,L377="1"),OR(M377=1,M377="1")),"adequate","partial"),IF(AND(H377="W4",F377="predictive",OR(J377="P2",J377="P3",J377="P4")),IF(OR(U377=1,U377="1"),"adequate","partial"),INDEX(Fit_Matrix!$B:$B,MATCH(P377,Fit_Matrix!$A:$A,0)))),"CHECK KEY"))</f>
        <v/>
      </c>
      <c r="U377" s="10" t="n"/>
      <c r="V377" s="10" t="n"/>
      <c r="W377" s="10" t="n"/>
      <c r="X377" s="10" t="n"/>
      <c r="Y377" s="10" t="n"/>
      <c r="Z377" s="10" t="n"/>
      <c r="AA377" s="11">
        <f>IF(A377="","",IF(AND(J377="P4",F377="causal"),"P4-CAUSAL",""))</f>
        <v/>
      </c>
    </row>
    <row r="378" ht="15" customHeight="1" s="1">
      <c r="P378">
        <f>IF(OR(F378="",H378="",J378=""),"",J378&amp;"|"&amp;F378&amp;"|"&amp;IF(H378="W3","W3_"&amp;IF(I378="","unknown",I378),H378))</f>
        <v/>
      </c>
      <c r="Q378">
        <f>IF(P378="","",IFERROR(IF(AND(H378="W7",OR(F378="causal",F378="predictive")),IF(AND(OR(K378=1,K378="1"),OR(L378=1,L378="1"),OR(M378=1,M378="1")),"adequate","partial"),IF(AND(H378="W4",F378="predictive",OR(J378="P2",J378="P3",J378="P4")),IF(OR(U378=1,U378="1"),"adequate","partial"),INDEX(Fit_Matrix!$B:$B,MATCH(P378,Fit_Matrix!$A:$A,0)))),"CHECK KEY"))</f>
        <v/>
      </c>
      <c r="U378" s="10" t="n"/>
      <c r="V378" s="10" t="n"/>
      <c r="W378" s="10" t="n"/>
      <c r="X378" s="10" t="n"/>
      <c r="Y378" s="10" t="n"/>
      <c r="Z378" s="10" t="n"/>
      <c r="AA378" s="11">
        <f>IF(A378="","",IF(AND(J378="P4",F378="causal"),"P4-CAUSAL",""))</f>
        <v/>
      </c>
    </row>
    <row r="379" ht="15" customHeight="1" s="1">
      <c r="P379">
        <f>IF(OR(F379="",H379="",J379=""),"",J379&amp;"|"&amp;F379&amp;"|"&amp;IF(H379="W3","W3_"&amp;IF(I379="","unknown",I379),H379))</f>
        <v/>
      </c>
      <c r="Q379">
        <f>IF(P379="","",IFERROR(IF(AND(H379="W7",OR(F379="causal",F379="predictive")),IF(AND(OR(K379=1,K379="1"),OR(L379=1,L379="1"),OR(M379=1,M379="1")),"adequate","partial"),IF(AND(H379="W4",F379="predictive",OR(J379="P2",J379="P3",J379="P4")),IF(OR(U379=1,U379="1"),"adequate","partial"),INDEX(Fit_Matrix!$B:$B,MATCH(P379,Fit_Matrix!$A:$A,0)))),"CHECK KEY"))</f>
        <v/>
      </c>
      <c r="U379" s="10" t="n"/>
      <c r="V379" s="10" t="n"/>
      <c r="W379" s="10" t="n"/>
      <c r="X379" s="10" t="n"/>
      <c r="Y379" s="10" t="n"/>
      <c r="Z379" s="10" t="n"/>
      <c r="AA379" s="11">
        <f>IF(A379="","",IF(AND(J379="P4",F379="causal"),"P4-CAUSAL",""))</f>
        <v/>
      </c>
    </row>
    <row r="380" ht="15" customHeight="1" s="1">
      <c r="P380">
        <f>IF(OR(F380="",H380="",J380=""),"",J380&amp;"|"&amp;F380&amp;"|"&amp;IF(H380="W3","W3_"&amp;IF(I380="","unknown",I380),H380))</f>
        <v/>
      </c>
      <c r="Q380">
        <f>IF(P380="","",IFERROR(IF(AND(H380="W7",OR(F380="causal",F380="predictive")),IF(AND(OR(K380=1,K380="1"),OR(L380=1,L380="1"),OR(M380=1,M380="1")),"adequate","partial"),IF(AND(H380="W4",F380="predictive",OR(J380="P2",J380="P3",J380="P4")),IF(OR(U380=1,U380="1"),"adequate","partial"),INDEX(Fit_Matrix!$B:$B,MATCH(P380,Fit_Matrix!$A:$A,0)))),"CHECK KEY"))</f>
        <v/>
      </c>
      <c r="U380" s="10" t="n"/>
      <c r="V380" s="10" t="n"/>
      <c r="W380" s="10" t="n"/>
      <c r="X380" s="10" t="n"/>
      <c r="Y380" s="10" t="n"/>
      <c r="Z380" s="10" t="n"/>
      <c r="AA380" s="11">
        <f>IF(A380="","",IF(AND(J380="P4",F380="causal"),"P4-CAUSAL",""))</f>
        <v/>
      </c>
    </row>
    <row r="381" ht="15" customHeight="1" s="1">
      <c r="P381">
        <f>IF(OR(F381="",H381="",J381=""),"",J381&amp;"|"&amp;F381&amp;"|"&amp;IF(H381="W3","W3_"&amp;IF(I381="","unknown",I381),H381))</f>
        <v/>
      </c>
      <c r="Q381">
        <f>IF(P381="","",IFERROR(IF(AND(H381="W7",OR(F381="causal",F381="predictive")),IF(AND(OR(K381=1,K381="1"),OR(L381=1,L381="1"),OR(M381=1,M381="1")),"adequate","partial"),IF(AND(H381="W4",F381="predictive",OR(J381="P2",J381="P3",J381="P4")),IF(OR(U381=1,U381="1"),"adequate","partial"),INDEX(Fit_Matrix!$B:$B,MATCH(P381,Fit_Matrix!$A:$A,0)))),"CHECK KEY"))</f>
        <v/>
      </c>
      <c r="U381" s="10" t="n"/>
      <c r="V381" s="10" t="n"/>
      <c r="W381" s="10" t="n"/>
      <c r="X381" s="10" t="n"/>
      <c r="Y381" s="10" t="n"/>
      <c r="Z381" s="10" t="n"/>
      <c r="AA381" s="11">
        <f>IF(A381="","",IF(AND(J381="P4",F381="causal"),"P4-CAUSAL",""))</f>
        <v/>
      </c>
    </row>
    <row r="382" ht="15" customHeight="1" s="1">
      <c r="P382">
        <f>IF(OR(F382="",H382="",J382=""),"",J382&amp;"|"&amp;F382&amp;"|"&amp;IF(H382="W3","W3_"&amp;IF(I382="","unknown",I382),H382))</f>
        <v/>
      </c>
      <c r="Q382">
        <f>IF(P382="","",IFERROR(IF(AND(H382="W7",OR(F382="causal",F382="predictive")),IF(AND(OR(K382=1,K382="1"),OR(L382=1,L382="1"),OR(M382=1,M382="1")),"adequate","partial"),IF(AND(H382="W4",F382="predictive",OR(J382="P2",J382="P3",J382="P4")),IF(OR(U382=1,U382="1"),"adequate","partial"),INDEX(Fit_Matrix!$B:$B,MATCH(P382,Fit_Matrix!$A:$A,0)))),"CHECK KEY"))</f>
        <v/>
      </c>
      <c r="U382" s="10" t="n"/>
      <c r="V382" s="10" t="n"/>
      <c r="W382" s="10" t="n"/>
      <c r="X382" s="10" t="n"/>
      <c r="Y382" s="10" t="n"/>
      <c r="Z382" s="10" t="n"/>
      <c r="AA382" s="11">
        <f>IF(A382="","",IF(AND(J382="P4",F382="causal"),"P4-CAUSAL",""))</f>
        <v/>
      </c>
    </row>
    <row r="383" ht="15" customHeight="1" s="1">
      <c r="P383">
        <f>IF(OR(F383="",H383="",J383=""),"",J383&amp;"|"&amp;F383&amp;"|"&amp;IF(H383="W3","W3_"&amp;IF(I383="","unknown",I383),H383))</f>
        <v/>
      </c>
      <c r="Q383">
        <f>IF(P383="","",IFERROR(IF(AND(H383="W7",OR(F383="causal",F383="predictive")),IF(AND(OR(K383=1,K383="1"),OR(L383=1,L383="1"),OR(M383=1,M383="1")),"adequate","partial"),IF(AND(H383="W4",F383="predictive",OR(J383="P2",J383="P3",J383="P4")),IF(OR(U383=1,U383="1"),"adequate","partial"),INDEX(Fit_Matrix!$B:$B,MATCH(P383,Fit_Matrix!$A:$A,0)))),"CHECK KEY"))</f>
        <v/>
      </c>
      <c r="U383" s="10" t="n"/>
      <c r="V383" s="10" t="n"/>
      <c r="W383" s="10" t="n"/>
      <c r="X383" s="10" t="n"/>
      <c r="Y383" s="10" t="n"/>
      <c r="Z383" s="10" t="n"/>
      <c r="AA383" s="11">
        <f>IF(A383="","",IF(AND(J383="P4",F383="causal"),"P4-CAUSAL",""))</f>
        <v/>
      </c>
    </row>
    <row r="384" ht="15" customHeight="1" s="1">
      <c r="P384">
        <f>IF(OR(F384="",H384="",J384=""),"",J384&amp;"|"&amp;F384&amp;"|"&amp;IF(H384="W3","W3_"&amp;IF(I384="","unknown",I384),H384))</f>
        <v/>
      </c>
      <c r="Q384">
        <f>IF(P384="","",IFERROR(IF(AND(H384="W7",OR(F384="causal",F384="predictive")),IF(AND(OR(K384=1,K384="1"),OR(L384=1,L384="1"),OR(M384=1,M384="1")),"adequate","partial"),IF(AND(H384="W4",F384="predictive",OR(J384="P2",J384="P3",J384="P4")),IF(OR(U384=1,U384="1"),"adequate","partial"),INDEX(Fit_Matrix!$B:$B,MATCH(P384,Fit_Matrix!$A:$A,0)))),"CHECK KEY"))</f>
        <v/>
      </c>
      <c r="U384" s="10" t="n"/>
      <c r="V384" s="10" t="n"/>
      <c r="W384" s="10" t="n"/>
      <c r="X384" s="10" t="n"/>
      <c r="Y384" s="10" t="n"/>
      <c r="Z384" s="10" t="n"/>
      <c r="AA384" s="11">
        <f>IF(A384="","",IF(AND(J384="P4",F384="causal"),"P4-CAUSAL",""))</f>
        <v/>
      </c>
    </row>
    <row r="385" ht="15" customHeight="1" s="1">
      <c r="P385">
        <f>IF(OR(F385="",H385="",J385=""),"",J385&amp;"|"&amp;F385&amp;"|"&amp;IF(H385="W3","W3_"&amp;IF(I385="","unknown",I385),H385))</f>
        <v/>
      </c>
      <c r="Q385">
        <f>IF(P385="","",IFERROR(IF(AND(H385="W7",OR(F385="causal",F385="predictive")),IF(AND(OR(K385=1,K385="1"),OR(L385=1,L385="1"),OR(M385=1,M385="1")),"adequate","partial"),IF(AND(H385="W4",F385="predictive",OR(J385="P2",J385="P3",J385="P4")),IF(OR(U385=1,U385="1"),"adequate","partial"),INDEX(Fit_Matrix!$B:$B,MATCH(P385,Fit_Matrix!$A:$A,0)))),"CHECK KEY"))</f>
        <v/>
      </c>
      <c r="U385" s="10" t="n"/>
      <c r="V385" s="10" t="n"/>
      <c r="W385" s="10" t="n"/>
      <c r="X385" s="10" t="n"/>
      <c r="Y385" s="10" t="n"/>
      <c r="Z385" s="10" t="n"/>
      <c r="AA385" s="11">
        <f>IF(A385="","",IF(AND(J385="P4",F385="causal"),"P4-CAUSAL",""))</f>
        <v/>
      </c>
    </row>
    <row r="386" ht="15" customHeight="1" s="1">
      <c r="P386">
        <f>IF(OR(F386="",H386="",J386=""),"",J386&amp;"|"&amp;F386&amp;"|"&amp;IF(H386="W3","W3_"&amp;IF(I386="","unknown",I386),H386))</f>
        <v/>
      </c>
      <c r="Q386">
        <f>IF(P386="","",IFERROR(IF(AND(H386="W7",OR(F386="causal",F386="predictive")),IF(AND(OR(K386=1,K386="1"),OR(L386=1,L386="1"),OR(M386=1,M386="1")),"adequate","partial"),IF(AND(H386="W4",F386="predictive",OR(J386="P2",J386="P3",J386="P4")),IF(OR(U386=1,U386="1"),"adequate","partial"),INDEX(Fit_Matrix!$B:$B,MATCH(P386,Fit_Matrix!$A:$A,0)))),"CHECK KEY"))</f>
        <v/>
      </c>
      <c r="U386" s="10" t="n"/>
      <c r="V386" s="10" t="n"/>
      <c r="W386" s="10" t="n"/>
      <c r="X386" s="10" t="n"/>
      <c r="Y386" s="10" t="n"/>
      <c r="Z386" s="10" t="n"/>
      <c r="AA386" s="11">
        <f>IF(A386="","",IF(AND(J386="P4",F386="causal"),"P4-CAUSAL",""))</f>
        <v/>
      </c>
    </row>
    <row r="387" ht="15" customHeight="1" s="1">
      <c r="P387">
        <f>IF(OR(F387="",H387="",J387=""),"",J387&amp;"|"&amp;F387&amp;"|"&amp;IF(H387="W3","W3_"&amp;IF(I387="","unknown",I387),H387))</f>
        <v/>
      </c>
      <c r="Q387">
        <f>IF(P387="","",IFERROR(IF(AND(H387="W7",OR(F387="causal",F387="predictive")),IF(AND(OR(K387=1,K387="1"),OR(L387=1,L387="1"),OR(M387=1,M387="1")),"adequate","partial"),IF(AND(H387="W4",F387="predictive",OR(J387="P2",J387="P3",J387="P4")),IF(OR(U387=1,U387="1"),"adequate","partial"),INDEX(Fit_Matrix!$B:$B,MATCH(P387,Fit_Matrix!$A:$A,0)))),"CHECK KEY"))</f>
        <v/>
      </c>
      <c r="U387" s="10" t="n"/>
      <c r="V387" s="10" t="n"/>
      <c r="W387" s="10" t="n"/>
      <c r="X387" s="10" t="n"/>
      <c r="Y387" s="10" t="n"/>
      <c r="Z387" s="10" t="n"/>
      <c r="AA387" s="11">
        <f>IF(A387="","",IF(AND(J387="P4",F387="causal"),"P4-CAUSAL",""))</f>
        <v/>
      </c>
    </row>
    <row r="388" ht="15" customHeight="1" s="1">
      <c r="P388">
        <f>IF(OR(F388="",H388="",J388=""),"",J388&amp;"|"&amp;F388&amp;"|"&amp;IF(H388="W3","W3_"&amp;IF(I388="","unknown",I388),H388))</f>
        <v/>
      </c>
      <c r="Q388">
        <f>IF(P388="","",IFERROR(IF(AND(H388="W7",OR(F388="causal",F388="predictive")),IF(AND(OR(K388=1,K388="1"),OR(L388=1,L388="1"),OR(M388=1,M388="1")),"adequate","partial"),IF(AND(H388="W4",F388="predictive",OR(J388="P2",J388="P3",J388="P4")),IF(OR(U388=1,U388="1"),"adequate","partial"),INDEX(Fit_Matrix!$B:$B,MATCH(P388,Fit_Matrix!$A:$A,0)))),"CHECK KEY"))</f>
        <v/>
      </c>
      <c r="U388" s="10" t="n"/>
      <c r="V388" s="10" t="n"/>
      <c r="W388" s="10" t="n"/>
      <c r="X388" s="10" t="n"/>
      <c r="Y388" s="10" t="n"/>
      <c r="Z388" s="10" t="n"/>
      <c r="AA388" s="11">
        <f>IF(A388="","",IF(AND(J388="P4",F388="causal"),"P4-CAUSAL",""))</f>
        <v/>
      </c>
    </row>
    <row r="389" ht="15" customHeight="1" s="1">
      <c r="P389">
        <f>IF(OR(F389="",H389="",J389=""),"",J389&amp;"|"&amp;F389&amp;"|"&amp;IF(H389="W3","W3_"&amp;IF(I389="","unknown",I389),H389))</f>
        <v/>
      </c>
      <c r="Q389">
        <f>IF(P389="","",IFERROR(IF(AND(H389="W7",OR(F389="causal",F389="predictive")),IF(AND(OR(K389=1,K389="1"),OR(L389=1,L389="1"),OR(M389=1,M389="1")),"adequate","partial"),IF(AND(H389="W4",F389="predictive",OR(J389="P2",J389="P3",J389="P4")),IF(OR(U389=1,U389="1"),"adequate","partial"),INDEX(Fit_Matrix!$B:$B,MATCH(P389,Fit_Matrix!$A:$A,0)))),"CHECK KEY"))</f>
        <v/>
      </c>
      <c r="U389" s="10" t="n"/>
      <c r="V389" s="10" t="n"/>
      <c r="W389" s="10" t="n"/>
      <c r="X389" s="10" t="n"/>
      <c r="Y389" s="10" t="n"/>
      <c r="Z389" s="10" t="n"/>
      <c r="AA389" s="11">
        <f>IF(A389="","",IF(AND(J389="P4",F389="causal"),"P4-CAUSAL",""))</f>
        <v/>
      </c>
    </row>
    <row r="390" ht="15" customHeight="1" s="1">
      <c r="P390">
        <f>IF(OR(F390="",H390="",J390=""),"",J390&amp;"|"&amp;F390&amp;"|"&amp;IF(H390="W3","W3_"&amp;IF(I390="","unknown",I390),H390))</f>
        <v/>
      </c>
      <c r="Q390">
        <f>IF(P390="","",IFERROR(IF(AND(H390="W7",OR(F390="causal",F390="predictive")),IF(AND(OR(K390=1,K390="1"),OR(L390=1,L390="1"),OR(M390=1,M390="1")),"adequate","partial"),IF(AND(H390="W4",F390="predictive",OR(J390="P2",J390="P3",J390="P4")),IF(OR(U390=1,U390="1"),"adequate","partial"),INDEX(Fit_Matrix!$B:$B,MATCH(P390,Fit_Matrix!$A:$A,0)))),"CHECK KEY"))</f>
        <v/>
      </c>
      <c r="U390" s="10" t="n"/>
      <c r="V390" s="10" t="n"/>
      <c r="W390" s="10" t="n"/>
      <c r="X390" s="10" t="n"/>
      <c r="Y390" s="10" t="n"/>
      <c r="Z390" s="10" t="n"/>
      <c r="AA390" s="11">
        <f>IF(A390="","",IF(AND(J390="P4",F390="causal"),"P4-CAUSAL",""))</f>
        <v/>
      </c>
    </row>
    <row r="391" ht="15" customHeight="1" s="1">
      <c r="P391">
        <f>IF(OR(F391="",H391="",J391=""),"",J391&amp;"|"&amp;F391&amp;"|"&amp;IF(H391="W3","W3_"&amp;IF(I391="","unknown",I391),H391))</f>
        <v/>
      </c>
      <c r="Q391">
        <f>IF(P391="","",IFERROR(IF(AND(H391="W7",OR(F391="causal",F391="predictive")),IF(AND(OR(K391=1,K391="1"),OR(L391=1,L391="1"),OR(M391=1,M391="1")),"adequate","partial"),IF(AND(H391="W4",F391="predictive",OR(J391="P2",J391="P3",J391="P4")),IF(OR(U391=1,U391="1"),"adequate","partial"),INDEX(Fit_Matrix!$B:$B,MATCH(P391,Fit_Matrix!$A:$A,0)))),"CHECK KEY"))</f>
        <v/>
      </c>
      <c r="U391" s="10" t="n"/>
      <c r="V391" s="10" t="n"/>
      <c r="W391" s="10" t="n"/>
      <c r="X391" s="10" t="n"/>
      <c r="Y391" s="10" t="n"/>
      <c r="Z391" s="10" t="n"/>
      <c r="AA391" s="11">
        <f>IF(A391="","",IF(AND(J391="P4",F391="causal"),"P4-CAUSAL",""))</f>
        <v/>
      </c>
    </row>
    <row r="392" ht="15" customHeight="1" s="1">
      <c r="P392">
        <f>IF(OR(F392="",H392="",J392=""),"",J392&amp;"|"&amp;F392&amp;"|"&amp;IF(H392="W3","W3_"&amp;IF(I392="","unknown",I392),H392))</f>
        <v/>
      </c>
      <c r="Q392">
        <f>IF(P392="","",IFERROR(IF(AND(H392="W7",OR(F392="causal",F392="predictive")),IF(AND(OR(K392=1,K392="1"),OR(L392=1,L392="1"),OR(M392=1,M392="1")),"adequate","partial"),IF(AND(H392="W4",F392="predictive",OR(J392="P2",J392="P3",J392="P4")),IF(OR(U392=1,U392="1"),"adequate","partial"),INDEX(Fit_Matrix!$B:$B,MATCH(P392,Fit_Matrix!$A:$A,0)))),"CHECK KEY"))</f>
        <v/>
      </c>
      <c r="U392" s="10" t="n"/>
      <c r="V392" s="10" t="n"/>
      <c r="W392" s="10" t="n"/>
      <c r="X392" s="10" t="n"/>
      <c r="Y392" s="10" t="n"/>
      <c r="Z392" s="10" t="n"/>
      <c r="AA392" s="11">
        <f>IF(A392="","",IF(AND(J392="P4",F392="causal"),"P4-CAUSAL",""))</f>
        <v/>
      </c>
    </row>
    <row r="393" ht="15" customHeight="1" s="1">
      <c r="P393">
        <f>IF(OR(F393="",H393="",J393=""),"",J393&amp;"|"&amp;F393&amp;"|"&amp;IF(H393="W3","W3_"&amp;IF(I393="","unknown",I393),H393))</f>
        <v/>
      </c>
      <c r="Q393">
        <f>IF(P393="","",IFERROR(IF(AND(H393="W7",OR(F393="causal",F393="predictive")),IF(AND(OR(K393=1,K393="1"),OR(L393=1,L393="1"),OR(M393=1,M393="1")),"adequate","partial"),IF(AND(H393="W4",F393="predictive",OR(J393="P2",J393="P3",J393="P4")),IF(OR(U393=1,U393="1"),"adequate","partial"),INDEX(Fit_Matrix!$B:$B,MATCH(P393,Fit_Matrix!$A:$A,0)))),"CHECK KEY"))</f>
        <v/>
      </c>
      <c r="U393" s="10" t="n"/>
      <c r="V393" s="10" t="n"/>
      <c r="W393" s="10" t="n"/>
      <c r="X393" s="10" t="n"/>
      <c r="Y393" s="10" t="n"/>
      <c r="Z393" s="10" t="n"/>
      <c r="AA393" s="11">
        <f>IF(A393="","",IF(AND(J393="P4",F393="causal"),"P4-CAUSAL",""))</f>
        <v/>
      </c>
    </row>
    <row r="394" ht="15" customHeight="1" s="1">
      <c r="P394">
        <f>IF(OR(F394="",H394="",J394=""),"",J394&amp;"|"&amp;F394&amp;"|"&amp;IF(H394="W3","W3_"&amp;IF(I394="","unknown",I394),H394))</f>
        <v/>
      </c>
      <c r="Q394">
        <f>IF(P394="","",IFERROR(IF(AND(H394="W7",OR(F394="causal",F394="predictive")),IF(AND(OR(K394=1,K394="1"),OR(L394=1,L394="1"),OR(M394=1,M394="1")),"adequate","partial"),IF(AND(H394="W4",F394="predictive",OR(J394="P2",J394="P3",J394="P4")),IF(OR(U394=1,U394="1"),"adequate","partial"),INDEX(Fit_Matrix!$B:$B,MATCH(P394,Fit_Matrix!$A:$A,0)))),"CHECK KEY"))</f>
        <v/>
      </c>
      <c r="U394" s="10" t="n"/>
      <c r="V394" s="10" t="n"/>
      <c r="W394" s="10" t="n"/>
      <c r="X394" s="10" t="n"/>
      <c r="Y394" s="10" t="n"/>
      <c r="Z394" s="10" t="n"/>
      <c r="AA394" s="11">
        <f>IF(A394="","",IF(AND(J394="P4",F394="causal"),"P4-CAUSAL",""))</f>
        <v/>
      </c>
    </row>
    <row r="395" ht="15" customHeight="1" s="1">
      <c r="P395">
        <f>IF(OR(F395="",H395="",J395=""),"",J395&amp;"|"&amp;F395&amp;"|"&amp;IF(H395="W3","W3_"&amp;IF(I395="","unknown",I395),H395))</f>
        <v/>
      </c>
      <c r="Q395">
        <f>IF(P395="","",IFERROR(IF(AND(H395="W7",OR(F395="causal",F395="predictive")),IF(AND(OR(K395=1,K395="1"),OR(L395=1,L395="1"),OR(M395=1,M395="1")),"adequate","partial"),IF(AND(H395="W4",F395="predictive",OR(J395="P2",J395="P3",J395="P4")),IF(OR(U395=1,U395="1"),"adequate","partial"),INDEX(Fit_Matrix!$B:$B,MATCH(P395,Fit_Matrix!$A:$A,0)))),"CHECK KEY"))</f>
        <v/>
      </c>
      <c r="U395" s="10" t="n"/>
      <c r="V395" s="10" t="n"/>
      <c r="W395" s="10" t="n"/>
      <c r="X395" s="10" t="n"/>
      <c r="Y395" s="10" t="n"/>
      <c r="Z395" s="10" t="n"/>
      <c r="AA395" s="11">
        <f>IF(A395="","",IF(AND(J395="P4",F395="causal"),"P4-CAUSAL",""))</f>
        <v/>
      </c>
    </row>
    <row r="396" ht="15" customHeight="1" s="1">
      <c r="P396">
        <f>IF(OR(F396="",H396="",J396=""),"",J396&amp;"|"&amp;F396&amp;"|"&amp;IF(H396="W3","W3_"&amp;IF(I396="","unknown",I396),H396))</f>
        <v/>
      </c>
      <c r="Q396">
        <f>IF(P396="","",IFERROR(IF(AND(H396="W7",OR(F396="causal",F396="predictive")),IF(AND(OR(K396=1,K396="1"),OR(L396=1,L396="1"),OR(M396=1,M396="1")),"adequate","partial"),IF(AND(H396="W4",F396="predictive",OR(J396="P2",J396="P3",J396="P4")),IF(OR(U396=1,U396="1"),"adequate","partial"),INDEX(Fit_Matrix!$B:$B,MATCH(P396,Fit_Matrix!$A:$A,0)))),"CHECK KEY"))</f>
        <v/>
      </c>
      <c r="U396" s="10" t="n"/>
      <c r="V396" s="10" t="n"/>
      <c r="W396" s="10" t="n"/>
      <c r="X396" s="10" t="n"/>
      <c r="Y396" s="10" t="n"/>
      <c r="Z396" s="10" t="n"/>
      <c r="AA396" s="11">
        <f>IF(A396="","",IF(AND(J396="P4",F396="causal"),"P4-CAUSAL",""))</f>
        <v/>
      </c>
    </row>
    <row r="397" ht="15" customHeight="1" s="1">
      <c r="P397">
        <f>IF(OR(F397="",H397="",J397=""),"",J397&amp;"|"&amp;F397&amp;"|"&amp;IF(H397="W3","W3_"&amp;IF(I397="","unknown",I397),H397))</f>
        <v/>
      </c>
      <c r="Q397">
        <f>IF(P397="","",IFERROR(IF(AND(H397="W7",OR(F397="causal",F397="predictive")),IF(AND(OR(K397=1,K397="1"),OR(L397=1,L397="1"),OR(M397=1,M397="1")),"adequate","partial"),IF(AND(H397="W4",F397="predictive",OR(J397="P2",J397="P3",J397="P4")),IF(OR(U397=1,U397="1"),"adequate","partial"),INDEX(Fit_Matrix!$B:$B,MATCH(P397,Fit_Matrix!$A:$A,0)))),"CHECK KEY"))</f>
        <v/>
      </c>
      <c r="U397" s="10" t="n"/>
      <c r="V397" s="10" t="n"/>
      <c r="W397" s="10" t="n"/>
      <c r="X397" s="10" t="n"/>
      <c r="Y397" s="10" t="n"/>
      <c r="Z397" s="10" t="n"/>
      <c r="AA397" s="11">
        <f>IF(A397="","",IF(AND(J397="P4",F397="causal"),"P4-CAUSAL",""))</f>
        <v/>
      </c>
    </row>
    <row r="398" ht="15" customHeight="1" s="1">
      <c r="P398">
        <f>IF(OR(F398="",H398="",J398=""),"",J398&amp;"|"&amp;F398&amp;"|"&amp;IF(H398="W3","W3_"&amp;IF(I398="","unknown",I398),H398))</f>
        <v/>
      </c>
      <c r="Q398">
        <f>IF(P398="","",IFERROR(IF(AND(H398="W7",OR(F398="causal",F398="predictive")),IF(AND(OR(K398=1,K398="1"),OR(L398=1,L398="1"),OR(M398=1,M398="1")),"adequate","partial"),IF(AND(H398="W4",F398="predictive",OR(J398="P2",J398="P3",J398="P4")),IF(OR(U398=1,U398="1"),"adequate","partial"),INDEX(Fit_Matrix!$B:$B,MATCH(P398,Fit_Matrix!$A:$A,0)))),"CHECK KEY"))</f>
        <v/>
      </c>
      <c r="U398" s="10" t="n"/>
      <c r="V398" s="10" t="n"/>
      <c r="W398" s="10" t="n"/>
      <c r="X398" s="10" t="n"/>
      <c r="Y398" s="10" t="n"/>
      <c r="Z398" s="10" t="n"/>
      <c r="AA398" s="11">
        <f>IF(A398="","",IF(AND(J398="P4",F398="causal"),"P4-CAUSAL",""))</f>
        <v/>
      </c>
    </row>
    <row r="399" ht="15" customHeight="1" s="1">
      <c r="P399">
        <f>IF(OR(F399="",H399="",J399=""),"",J399&amp;"|"&amp;F399&amp;"|"&amp;IF(H399="W3","W3_"&amp;IF(I399="","unknown",I399),H399))</f>
        <v/>
      </c>
      <c r="Q399">
        <f>IF(P399="","",IFERROR(IF(AND(H399="W7",OR(F399="causal",F399="predictive")),IF(AND(OR(K399=1,K399="1"),OR(L399=1,L399="1"),OR(M399=1,M399="1")),"adequate","partial"),IF(AND(H399="W4",F399="predictive",OR(J399="P2",J399="P3",J399="P4")),IF(OR(U399=1,U399="1"),"adequate","partial"),INDEX(Fit_Matrix!$B:$B,MATCH(P399,Fit_Matrix!$A:$A,0)))),"CHECK KEY"))</f>
        <v/>
      </c>
      <c r="U399" s="10" t="n"/>
      <c r="V399" s="10" t="n"/>
      <c r="W399" s="10" t="n"/>
      <c r="X399" s="10" t="n"/>
      <c r="Y399" s="10" t="n"/>
      <c r="Z399" s="10" t="n"/>
      <c r="AA399" s="11">
        <f>IF(A399="","",IF(AND(J399="P4",F399="causal"),"P4-CAUSAL",""))</f>
        <v/>
      </c>
    </row>
    <row r="400" ht="15" customHeight="1" s="1">
      <c r="P400">
        <f>IF(OR(F400="",H400="",J400=""),"",J400&amp;"|"&amp;F400&amp;"|"&amp;IF(H400="W3","W3_"&amp;IF(I400="","unknown",I400),H400))</f>
        <v/>
      </c>
      <c r="Q400">
        <f>IF(P400="","",IFERROR(IF(AND(H400="W7",OR(F400="causal",F400="predictive")),IF(AND(OR(K400=1,K400="1"),OR(L400=1,L400="1"),OR(M400=1,M400="1")),"adequate","partial"),IF(AND(H400="W4",F400="predictive",OR(J400="P2",J400="P3",J400="P4")),IF(OR(U400=1,U400="1"),"adequate","partial"),INDEX(Fit_Matrix!$B:$B,MATCH(P400,Fit_Matrix!$A:$A,0)))),"CHECK KEY"))</f>
        <v/>
      </c>
      <c r="U400" s="10" t="n"/>
      <c r="V400" s="10" t="n"/>
      <c r="W400" s="10" t="n"/>
      <c r="X400" s="10" t="n"/>
      <c r="Y400" s="10" t="n"/>
      <c r="Z400" s="10" t="n"/>
      <c r="AA400" s="11">
        <f>IF(A400="","",IF(AND(J400="P4",F400="causal"),"P4-CAUSAL",""))</f>
        <v/>
      </c>
    </row>
    <row r="401" ht="15" customHeight="1" s="1">
      <c r="P401">
        <f>IF(OR(F401="",H401="",J401=""),"",J401&amp;"|"&amp;F401&amp;"|"&amp;IF(H401="W3","W3_"&amp;IF(I401="","unknown",I401),H401))</f>
        <v/>
      </c>
      <c r="Q401">
        <f>IF(P401="","",IFERROR(IF(AND(H401="W7",OR(F401="causal",F401="predictive")),IF(AND(OR(K401=1,K401="1"),OR(L401=1,L401="1"),OR(M401=1,M401="1")),"adequate","partial"),IF(AND(H401="W4",F401="predictive",OR(J401="P2",J401="P3",J401="P4")),IF(OR(U401=1,U401="1"),"adequate","partial"),INDEX(Fit_Matrix!$B:$B,MATCH(P401,Fit_Matrix!$A:$A,0)))),"CHECK KEY"))</f>
        <v/>
      </c>
      <c r="U401" s="10" t="n"/>
      <c r="V401" s="10" t="n"/>
      <c r="W401" s="10" t="n"/>
      <c r="X401" s="10" t="n"/>
      <c r="Y401" s="10" t="n"/>
      <c r="Z401" s="10" t="n"/>
      <c r="AA401" s="11">
        <f>IF(A401="","",IF(AND(J401="P4",F401="causal"),"P4-CAUSAL",""))</f>
        <v/>
      </c>
    </row>
    <row r="402" ht="15" customHeight="1" s="1">
      <c r="P402">
        <f>IF(OR(F402="",H402="",J402=""),"",J402&amp;"|"&amp;F402&amp;"|"&amp;IF(H402="W3","W3_"&amp;IF(I402="","unknown",I402),H402))</f>
        <v/>
      </c>
      <c r="Q402">
        <f>IF(P402="","",IFERROR(IF(AND(H402="W7",OR(F402="causal",F402="predictive")),IF(AND(OR(K402=1,K402="1"),OR(L402=1,L402="1"),OR(M402=1,M402="1")),"adequate","partial"),IF(AND(H402="W4",F402="predictive",OR(J402="P2",J402="P3",J402="P4")),IF(OR(U402=1,U402="1"),"adequate","partial"),INDEX(Fit_Matrix!$B:$B,MATCH(P402,Fit_Matrix!$A:$A,0)))),"CHECK KEY"))</f>
        <v/>
      </c>
      <c r="U402" s="10" t="n"/>
      <c r="V402" s="10" t="n"/>
      <c r="W402" s="10" t="n"/>
      <c r="X402" s="10" t="n"/>
      <c r="Y402" s="10" t="n"/>
      <c r="Z402" s="10" t="n"/>
      <c r="AA402" s="11">
        <f>IF(A402="","",IF(AND(J402="P4",F402="causal"),"P4-CAUSAL",""))</f>
        <v/>
      </c>
    </row>
    <row r="403" ht="15" customHeight="1" s="1">
      <c r="P403">
        <f>IF(OR(F403="",H403="",J403=""),"",J403&amp;"|"&amp;F403&amp;"|"&amp;IF(H403="W3","W3_"&amp;IF(I403="","unknown",I403),H403))</f>
        <v/>
      </c>
      <c r="Q403">
        <f>IF(P403="","",IFERROR(IF(AND(H403="W7",OR(F403="causal",F403="predictive")),IF(AND(OR(K403=1,K403="1"),OR(L403=1,L403="1"),OR(M403=1,M403="1")),"adequate","partial"),IF(AND(H403="W4",F403="predictive",OR(J403="P2",J403="P3",J403="P4")),IF(OR(U403=1,U403="1"),"adequate","partial"),INDEX(Fit_Matrix!$B:$B,MATCH(P403,Fit_Matrix!$A:$A,0)))),"CHECK KEY"))</f>
        <v/>
      </c>
      <c r="U403" s="10" t="n"/>
      <c r="V403" s="10" t="n"/>
      <c r="W403" s="10" t="n"/>
      <c r="X403" s="10" t="n"/>
      <c r="Y403" s="10" t="n"/>
      <c r="Z403" s="10" t="n"/>
      <c r="AA403" s="11">
        <f>IF(A403="","",IF(AND(J403="P4",F403="causal"),"P4-CAUSAL",""))</f>
        <v/>
      </c>
    </row>
    <row r="404" ht="15" customHeight="1" s="1">
      <c r="P404">
        <f>IF(OR(F404="",H404="",J404=""),"",J404&amp;"|"&amp;F404&amp;"|"&amp;IF(H404="W3","W3_"&amp;IF(I404="","unknown",I404),H404))</f>
        <v/>
      </c>
      <c r="Q404">
        <f>IF(P404="","",IFERROR(IF(AND(H404="W7",OR(F404="causal",F404="predictive")),IF(AND(OR(K404=1,K404="1"),OR(L404=1,L404="1"),OR(M404=1,M404="1")),"adequate","partial"),IF(AND(H404="W4",F404="predictive",OR(J404="P2",J404="P3",J404="P4")),IF(OR(U404=1,U404="1"),"adequate","partial"),INDEX(Fit_Matrix!$B:$B,MATCH(P404,Fit_Matrix!$A:$A,0)))),"CHECK KEY"))</f>
        <v/>
      </c>
      <c r="U404" s="10" t="n"/>
      <c r="V404" s="10" t="n"/>
      <c r="W404" s="10" t="n"/>
      <c r="X404" s="10" t="n"/>
      <c r="Y404" s="10" t="n"/>
      <c r="Z404" s="10" t="n"/>
      <c r="AA404" s="11">
        <f>IF(A404="","",IF(AND(J404="P4",F404="causal"),"P4-CAUSAL",""))</f>
        <v/>
      </c>
    </row>
    <row r="405" ht="15" customHeight="1" s="1">
      <c r="P405">
        <f>IF(OR(F405="",H405="",J405=""),"",J405&amp;"|"&amp;F405&amp;"|"&amp;IF(H405="W3","W3_"&amp;IF(I405="","unknown",I405),H405))</f>
        <v/>
      </c>
      <c r="Q405">
        <f>IF(P405="","",IFERROR(IF(AND(H405="W7",OR(F405="causal",F405="predictive")),IF(AND(OR(K405=1,K405="1"),OR(L405=1,L405="1"),OR(M405=1,M405="1")),"adequate","partial"),IF(AND(H405="W4",F405="predictive",OR(J405="P2",J405="P3",J405="P4")),IF(OR(U405=1,U405="1"),"adequate","partial"),INDEX(Fit_Matrix!$B:$B,MATCH(P405,Fit_Matrix!$A:$A,0)))),"CHECK KEY"))</f>
        <v/>
      </c>
      <c r="U405" s="10" t="n"/>
      <c r="V405" s="10" t="n"/>
      <c r="W405" s="10" t="n"/>
      <c r="X405" s="10" t="n"/>
      <c r="Y405" s="10" t="n"/>
      <c r="Z405" s="10" t="n"/>
      <c r="AA405" s="11">
        <f>IF(A405="","",IF(AND(J405="P4",F405="causal"),"P4-CAUSAL",""))</f>
        <v/>
      </c>
    </row>
    <row r="406" ht="15" customHeight="1" s="1">
      <c r="P406">
        <f>IF(OR(F406="",H406="",J406=""),"",J406&amp;"|"&amp;F406&amp;"|"&amp;IF(H406="W3","W3_"&amp;IF(I406="","unknown",I406),H406))</f>
        <v/>
      </c>
      <c r="Q406">
        <f>IF(P406="","",IFERROR(IF(AND(H406="W7",OR(F406="causal",F406="predictive")),IF(AND(OR(K406=1,K406="1"),OR(L406=1,L406="1"),OR(M406=1,M406="1")),"adequate","partial"),IF(AND(H406="W4",F406="predictive",OR(J406="P2",J406="P3",J406="P4")),IF(OR(U406=1,U406="1"),"adequate","partial"),INDEX(Fit_Matrix!$B:$B,MATCH(P406,Fit_Matrix!$A:$A,0)))),"CHECK KEY"))</f>
        <v/>
      </c>
      <c r="U406" s="10" t="n"/>
      <c r="V406" s="10" t="n"/>
      <c r="W406" s="10" t="n"/>
      <c r="X406" s="10" t="n"/>
      <c r="Y406" s="10" t="n"/>
      <c r="Z406" s="10" t="n"/>
      <c r="AA406" s="11">
        <f>IF(A406="","",IF(AND(J406="P4",F406="causal"),"P4-CAUSAL",""))</f>
        <v/>
      </c>
    </row>
    <row r="407" ht="15" customHeight="1" s="1">
      <c r="P407">
        <f>IF(OR(F407="",H407="",J407=""),"",J407&amp;"|"&amp;F407&amp;"|"&amp;IF(H407="W3","W3_"&amp;IF(I407="","unknown",I407),H407))</f>
        <v/>
      </c>
      <c r="Q407">
        <f>IF(P407="","",IFERROR(IF(AND(H407="W7",OR(F407="causal",F407="predictive")),IF(AND(OR(K407=1,K407="1"),OR(L407=1,L407="1"),OR(M407=1,M407="1")),"adequate","partial"),IF(AND(H407="W4",F407="predictive",OR(J407="P2",J407="P3",J407="P4")),IF(OR(U407=1,U407="1"),"adequate","partial"),INDEX(Fit_Matrix!$B:$B,MATCH(P407,Fit_Matrix!$A:$A,0)))),"CHECK KEY"))</f>
        <v/>
      </c>
      <c r="U407" s="10" t="n"/>
      <c r="V407" s="10" t="n"/>
      <c r="W407" s="10" t="n"/>
      <c r="X407" s="10" t="n"/>
      <c r="Y407" s="10" t="n"/>
      <c r="Z407" s="10" t="n"/>
      <c r="AA407" s="11">
        <f>IF(A407="","",IF(AND(J407="P4",F407="causal"),"P4-CAUSAL",""))</f>
        <v/>
      </c>
    </row>
    <row r="408" ht="15" customHeight="1" s="1">
      <c r="P408">
        <f>IF(OR(F408="",H408="",J408=""),"",J408&amp;"|"&amp;F408&amp;"|"&amp;IF(H408="W3","W3_"&amp;IF(I408="","unknown",I408),H408))</f>
        <v/>
      </c>
      <c r="Q408">
        <f>IF(P408="","",IFERROR(IF(AND(H408="W7",OR(F408="causal",F408="predictive")),IF(AND(OR(K408=1,K408="1"),OR(L408=1,L408="1"),OR(M408=1,M408="1")),"adequate","partial"),IF(AND(H408="W4",F408="predictive",OR(J408="P2",J408="P3",J408="P4")),IF(OR(U408=1,U408="1"),"adequate","partial"),INDEX(Fit_Matrix!$B:$B,MATCH(P408,Fit_Matrix!$A:$A,0)))),"CHECK KEY"))</f>
        <v/>
      </c>
      <c r="U408" s="10" t="n"/>
      <c r="V408" s="10" t="n"/>
      <c r="W408" s="10" t="n"/>
      <c r="X408" s="10" t="n"/>
      <c r="Y408" s="10" t="n"/>
      <c r="Z408" s="10" t="n"/>
      <c r="AA408" s="11">
        <f>IF(A408="","",IF(AND(J408="P4",F408="causal"),"P4-CAUSAL",""))</f>
        <v/>
      </c>
    </row>
    <row r="409" ht="15" customHeight="1" s="1">
      <c r="P409">
        <f>IF(OR(F409="",H409="",J409=""),"",J409&amp;"|"&amp;F409&amp;"|"&amp;IF(H409="W3","W3_"&amp;IF(I409="","unknown",I409),H409))</f>
        <v/>
      </c>
      <c r="Q409">
        <f>IF(P409="","",IFERROR(IF(AND(H409="W7",OR(F409="causal",F409="predictive")),IF(AND(OR(K409=1,K409="1"),OR(L409=1,L409="1"),OR(M409=1,M409="1")),"adequate","partial"),IF(AND(H409="W4",F409="predictive",OR(J409="P2",J409="P3",J409="P4")),IF(OR(U409=1,U409="1"),"adequate","partial"),INDEX(Fit_Matrix!$B:$B,MATCH(P409,Fit_Matrix!$A:$A,0)))),"CHECK KEY"))</f>
        <v/>
      </c>
      <c r="U409" s="10" t="n"/>
      <c r="V409" s="10" t="n"/>
      <c r="W409" s="10" t="n"/>
      <c r="X409" s="10" t="n"/>
      <c r="Y409" s="10" t="n"/>
      <c r="Z409" s="10" t="n"/>
      <c r="AA409" s="11">
        <f>IF(A409="","",IF(AND(J409="P4",F409="causal"),"P4-CAUSAL",""))</f>
        <v/>
      </c>
    </row>
    <row r="410" ht="15" customHeight="1" s="1">
      <c r="P410">
        <f>IF(OR(F410="",H410="",J410=""),"",J410&amp;"|"&amp;F410&amp;"|"&amp;IF(H410="W3","W3_"&amp;IF(I410="","unknown",I410),H410))</f>
        <v/>
      </c>
      <c r="Q410">
        <f>IF(P410="","",IFERROR(IF(AND(H410="W7",OR(F410="causal",F410="predictive")),IF(AND(OR(K410=1,K410="1"),OR(L410=1,L410="1"),OR(M410=1,M410="1")),"adequate","partial"),IF(AND(H410="W4",F410="predictive",OR(J410="P2",J410="P3",J410="P4")),IF(OR(U410=1,U410="1"),"adequate","partial"),INDEX(Fit_Matrix!$B:$B,MATCH(P410,Fit_Matrix!$A:$A,0)))),"CHECK KEY"))</f>
        <v/>
      </c>
      <c r="U410" s="10" t="n"/>
      <c r="V410" s="10" t="n"/>
      <c r="W410" s="10" t="n"/>
      <c r="X410" s="10" t="n"/>
      <c r="Y410" s="10" t="n"/>
      <c r="Z410" s="10" t="n"/>
      <c r="AA410" s="11">
        <f>IF(A410="","",IF(AND(J410="P4",F410="causal"),"P4-CAUSAL",""))</f>
        <v/>
      </c>
    </row>
    <row r="411" ht="15" customHeight="1" s="1">
      <c r="P411">
        <f>IF(OR(F411="",H411="",J411=""),"",J411&amp;"|"&amp;F411&amp;"|"&amp;IF(H411="W3","W3_"&amp;IF(I411="","unknown",I411),H411))</f>
        <v/>
      </c>
      <c r="Q411">
        <f>IF(P411="","",IFERROR(IF(AND(H411="W7",OR(F411="causal",F411="predictive")),IF(AND(OR(K411=1,K411="1"),OR(L411=1,L411="1"),OR(M411=1,M411="1")),"adequate","partial"),IF(AND(H411="W4",F411="predictive",OR(J411="P2",J411="P3",J411="P4")),IF(OR(U411=1,U411="1"),"adequate","partial"),INDEX(Fit_Matrix!$B:$B,MATCH(P411,Fit_Matrix!$A:$A,0)))),"CHECK KEY"))</f>
        <v/>
      </c>
      <c r="U411" s="10" t="n"/>
      <c r="V411" s="10" t="n"/>
      <c r="W411" s="10" t="n"/>
      <c r="X411" s="10" t="n"/>
      <c r="Y411" s="10" t="n"/>
      <c r="Z411" s="10" t="n"/>
      <c r="AA411" s="11">
        <f>IF(A411="","",IF(AND(J411="P4",F411="causal"),"P4-CAUSAL",""))</f>
        <v/>
      </c>
    </row>
    <row r="412" ht="15" customHeight="1" s="1">
      <c r="P412">
        <f>IF(OR(F412="",H412="",J412=""),"",J412&amp;"|"&amp;F412&amp;"|"&amp;IF(H412="W3","W3_"&amp;IF(I412="","unknown",I412),H412))</f>
        <v/>
      </c>
      <c r="Q412">
        <f>IF(P412="","",IFERROR(IF(AND(H412="W7",OR(F412="causal",F412="predictive")),IF(AND(OR(K412=1,K412="1"),OR(L412=1,L412="1"),OR(M412=1,M412="1")),"adequate","partial"),IF(AND(H412="W4",F412="predictive",OR(J412="P2",J412="P3",J412="P4")),IF(OR(U412=1,U412="1"),"adequate","partial"),INDEX(Fit_Matrix!$B:$B,MATCH(P412,Fit_Matrix!$A:$A,0)))),"CHECK KEY"))</f>
        <v/>
      </c>
      <c r="U412" s="10" t="n"/>
      <c r="V412" s="10" t="n"/>
      <c r="W412" s="10" t="n"/>
      <c r="X412" s="10" t="n"/>
      <c r="Y412" s="10" t="n"/>
      <c r="Z412" s="10" t="n"/>
      <c r="AA412" s="11">
        <f>IF(A412="","",IF(AND(J412="P4",F412="causal"),"P4-CAUSAL",""))</f>
        <v/>
      </c>
    </row>
    <row r="413" ht="15" customHeight="1" s="1">
      <c r="P413">
        <f>IF(OR(F413="",H413="",J413=""),"",J413&amp;"|"&amp;F413&amp;"|"&amp;IF(H413="W3","W3_"&amp;IF(I413="","unknown",I413),H413))</f>
        <v/>
      </c>
      <c r="Q413">
        <f>IF(P413="","",IFERROR(IF(AND(H413="W7",OR(F413="causal",F413="predictive")),IF(AND(OR(K413=1,K413="1"),OR(L413=1,L413="1"),OR(M413=1,M413="1")),"adequate","partial"),IF(AND(H413="W4",F413="predictive",OR(J413="P2",J413="P3",J413="P4")),IF(OR(U413=1,U413="1"),"adequate","partial"),INDEX(Fit_Matrix!$B:$B,MATCH(P413,Fit_Matrix!$A:$A,0)))),"CHECK KEY"))</f>
        <v/>
      </c>
      <c r="U413" s="10" t="n"/>
      <c r="V413" s="10" t="n"/>
      <c r="W413" s="10" t="n"/>
      <c r="X413" s="10" t="n"/>
      <c r="Y413" s="10" t="n"/>
      <c r="Z413" s="10" t="n"/>
      <c r="AA413" s="11">
        <f>IF(A413="","",IF(AND(J413="P4",F413="causal"),"P4-CAUSAL",""))</f>
        <v/>
      </c>
    </row>
    <row r="414" ht="15" customHeight="1" s="1">
      <c r="P414">
        <f>IF(OR(F414="",H414="",J414=""),"",J414&amp;"|"&amp;F414&amp;"|"&amp;IF(H414="W3","W3_"&amp;IF(I414="","unknown",I414),H414))</f>
        <v/>
      </c>
      <c r="Q414">
        <f>IF(P414="","",IFERROR(IF(AND(H414="W7",OR(F414="causal",F414="predictive")),IF(AND(OR(K414=1,K414="1"),OR(L414=1,L414="1"),OR(M414=1,M414="1")),"adequate","partial"),IF(AND(H414="W4",F414="predictive",OR(J414="P2",J414="P3",J414="P4")),IF(OR(U414=1,U414="1"),"adequate","partial"),INDEX(Fit_Matrix!$B:$B,MATCH(P414,Fit_Matrix!$A:$A,0)))),"CHECK KEY"))</f>
        <v/>
      </c>
      <c r="U414" s="10" t="n"/>
      <c r="V414" s="10" t="n"/>
      <c r="W414" s="10" t="n"/>
      <c r="X414" s="10" t="n"/>
      <c r="Y414" s="10" t="n"/>
      <c r="Z414" s="10" t="n"/>
      <c r="AA414" s="11">
        <f>IF(A414="","",IF(AND(J414="P4",F414="causal"),"P4-CAUSAL",""))</f>
        <v/>
      </c>
    </row>
    <row r="415" ht="15" customHeight="1" s="1">
      <c r="P415">
        <f>IF(OR(F415="",H415="",J415=""),"",J415&amp;"|"&amp;F415&amp;"|"&amp;IF(H415="W3","W3_"&amp;IF(I415="","unknown",I415),H415))</f>
        <v/>
      </c>
      <c r="Q415">
        <f>IF(P415="","",IFERROR(IF(AND(H415="W7",OR(F415="causal",F415="predictive")),IF(AND(OR(K415=1,K415="1"),OR(L415=1,L415="1"),OR(M415=1,M415="1")),"adequate","partial"),IF(AND(H415="W4",F415="predictive",OR(J415="P2",J415="P3",J415="P4")),IF(OR(U415=1,U415="1"),"adequate","partial"),INDEX(Fit_Matrix!$B:$B,MATCH(P415,Fit_Matrix!$A:$A,0)))),"CHECK KEY"))</f>
        <v/>
      </c>
      <c r="U415" s="10" t="n"/>
      <c r="V415" s="10" t="n"/>
      <c r="W415" s="10" t="n"/>
      <c r="X415" s="10" t="n"/>
      <c r="Y415" s="10" t="n"/>
      <c r="Z415" s="10" t="n"/>
      <c r="AA415" s="11">
        <f>IF(A415="","",IF(AND(J415="P4",F415="causal"),"P4-CAUSAL",""))</f>
        <v/>
      </c>
    </row>
    <row r="416" ht="15" customHeight="1" s="1">
      <c r="P416">
        <f>IF(OR(F416="",H416="",J416=""),"",J416&amp;"|"&amp;F416&amp;"|"&amp;IF(H416="W3","W3_"&amp;IF(I416="","unknown",I416),H416))</f>
        <v/>
      </c>
      <c r="Q416">
        <f>IF(P416="","",IFERROR(IF(AND(H416="W7",OR(F416="causal",F416="predictive")),IF(AND(OR(K416=1,K416="1"),OR(L416=1,L416="1"),OR(M416=1,M416="1")),"adequate","partial"),IF(AND(H416="W4",F416="predictive",OR(J416="P2",J416="P3",J416="P4")),IF(OR(U416=1,U416="1"),"adequate","partial"),INDEX(Fit_Matrix!$B:$B,MATCH(P416,Fit_Matrix!$A:$A,0)))),"CHECK KEY"))</f>
        <v/>
      </c>
      <c r="U416" s="10" t="n"/>
      <c r="V416" s="10" t="n"/>
      <c r="W416" s="10" t="n"/>
      <c r="X416" s="10" t="n"/>
      <c r="Y416" s="10" t="n"/>
      <c r="Z416" s="10" t="n"/>
      <c r="AA416" s="11">
        <f>IF(A416="","",IF(AND(J416="P4",F416="causal"),"P4-CAUSAL",""))</f>
        <v/>
      </c>
    </row>
    <row r="417" ht="15" customHeight="1" s="1">
      <c r="P417">
        <f>IF(OR(F417="",H417="",J417=""),"",J417&amp;"|"&amp;F417&amp;"|"&amp;IF(H417="W3","W3_"&amp;IF(I417="","unknown",I417),H417))</f>
        <v/>
      </c>
      <c r="Q417">
        <f>IF(P417="","",IFERROR(IF(AND(H417="W7",OR(F417="causal",F417="predictive")),IF(AND(OR(K417=1,K417="1"),OR(L417=1,L417="1"),OR(M417=1,M417="1")),"adequate","partial"),IF(AND(H417="W4",F417="predictive",OR(J417="P2",J417="P3",J417="P4")),IF(OR(U417=1,U417="1"),"adequate","partial"),INDEX(Fit_Matrix!$B:$B,MATCH(P417,Fit_Matrix!$A:$A,0)))),"CHECK KEY"))</f>
        <v/>
      </c>
      <c r="U417" s="10" t="n"/>
      <c r="V417" s="10" t="n"/>
      <c r="W417" s="10" t="n"/>
      <c r="X417" s="10" t="n"/>
      <c r="Y417" s="10" t="n"/>
      <c r="Z417" s="10" t="n"/>
      <c r="AA417" s="11">
        <f>IF(A417="","",IF(AND(J417="P4",F417="causal"),"P4-CAUSAL",""))</f>
        <v/>
      </c>
    </row>
    <row r="418" ht="15" customHeight="1" s="1">
      <c r="P418">
        <f>IF(OR(F418="",H418="",J418=""),"",J418&amp;"|"&amp;F418&amp;"|"&amp;IF(H418="W3","W3_"&amp;IF(I418="","unknown",I418),H418))</f>
        <v/>
      </c>
      <c r="Q418">
        <f>IF(P418="","",IFERROR(IF(AND(H418="W7",OR(F418="causal",F418="predictive")),IF(AND(OR(K418=1,K418="1"),OR(L418=1,L418="1"),OR(M418=1,M418="1")),"adequate","partial"),IF(AND(H418="W4",F418="predictive",OR(J418="P2",J418="P3",J418="P4")),IF(OR(U418=1,U418="1"),"adequate","partial"),INDEX(Fit_Matrix!$B:$B,MATCH(P418,Fit_Matrix!$A:$A,0)))),"CHECK KEY"))</f>
        <v/>
      </c>
      <c r="U418" s="10" t="n"/>
      <c r="V418" s="10" t="n"/>
      <c r="W418" s="10" t="n"/>
      <c r="X418" s="10" t="n"/>
      <c r="Y418" s="10" t="n"/>
      <c r="Z418" s="10" t="n"/>
      <c r="AA418" s="11">
        <f>IF(A418="","",IF(AND(J418="P4",F418="causal"),"P4-CAUSAL",""))</f>
        <v/>
      </c>
    </row>
    <row r="419" ht="15" customHeight="1" s="1">
      <c r="P419">
        <f>IF(OR(F419="",H419="",J419=""),"",J419&amp;"|"&amp;F419&amp;"|"&amp;IF(H419="W3","W3_"&amp;IF(I419="","unknown",I419),H419))</f>
        <v/>
      </c>
      <c r="Q419">
        <f>IF(P419="","",IFERROR(IF(AND(H419="W7",OR(F419="causal",F419="predictive")),IF(AND(OR(K419=1,K419="1"),OR(L419=1,L419="1"),OR(M419=1,M419="1")),"adequate","partial"),IF(AND(H419="W4",F419="predictive",OR(J419="P2",J419="P3",J419="P4")),IF(OR(U419=1,U419="1"),"adequate","partial"),INDEX(Fit_Matrix!$B:$B,MATCH(P419,Fit_Matrix!$A:$A,0)))),"CHECK KEY"))</f>
        <v/>
      </c>
      <c r="U419" s="10" t="n"/>
      <c r="V419" s="10" t="n"/>
      <c r="W419" s="10" t="n"/>
      <c r="X419" s="10" t="n"/>
      <c r="Y419" s="10" t="n"/>
      <c r="Z419" s="10" t="n"/>
      <c r="AA419" s="11">
        <f>IF(A419="","",IF(AND(J419="P4",F419="causal"),"P4-CAUSAL",""))</f>
        <v/>
      </c>
    </row>
    <row r="420" ht="15" customHeight="1" s="1">
      <c r="P420">
        <f>IF(OR(F420="",H420="",J420=""),"",J420&amp;"|"&amp;F420&amp;"|"&amp;IF(H420="W3","W3_"&amp;IF(I420="","unknown",I420),H420))</f>
        <v/>
      </c>
      <c r="Q420">
        <f>IF(P420="","",IFERROR(IF(AND(H420="W7",OR(F420="causal",F420="predictive")),IF(AND(OR(K420=1,K420="1"),OR(L420=1,L420="1"),OR(M420=1,M420="1")),"adequate","partial"),IF(AND(H420="W4",F420="predictive",OR(J420="P2",J420="P3",J420="P4")),IF(OR(U420=1,U420="1"),"adequate","partial"),INDEX(Fit_Matrix!$B:$B,MATCH(P420,Fit_Matrix!$A:$A,0)))),"CHECK KEY"))</f>
        <v/>
      </c>
      <c r="U420" s="10" t="n"/>
      <c r="V420" s="10" t="n"/>
      <c r="W420" s="10" t="n"/>
      <c r="X420" s="10" t="n"/>
      <c r="Y420" s="10" t="n"/>
      <c r="Z420" s="10" t="n"/>
      <c r="AA420" s="11">
        <f>IF(A420="","",IF(AND(J420="P4",F420="causal"),"P4-CAUSAL",""))</f>
        <v/>
      </c>
    </row>
    <row r="421" ht="15" customHeight="1" s="1">
      <c r="P421">
        <f>IF(OR(F421="",H421="",J421=""),"",J421&amp;"|"&amp;F421&amp;"|"&amp;IF(H421="W3","W3_"&amp;IF(I421="","unknown",I421),H421))</f>
        <v/>
      </c>
      <c r="Q421">
        <f>IF(P421="","",IFERROR(IF(AND(H421="W7",OR(F421="causal",F421="predictive")),IF(AND(OR(K421=1,K421="1"),OR(L421=1,L421="1"),OR(M421=1,M421="1")),"adequate","partial"),IF(AND(H421="W4",F421="predictive",OR(J421="P2",J421="P3",J421="P4")),IF(OR(U421=1,U421="1"),"adequate","partial"),INDEX(Fit_Matrix!$B:$B,MATCH(P421,Fit_Matrix!$A:$A,0)))),"CHECK KEY"))</f>
        <v/>
      </c>
      <c r="U421" s="10" t="n"/>
      <c r="V421" s="10" t="n"/>
      <c r="W421" s="10" t="n"/>
      <c r="X421" s="10" t="n"/>
      <c r="Y421" s="10" t="n"/>
      <c r="Z421" s="10" t="n"/>
      <c r="AA421" s="11">
        <f>IF(A421="","",IF(AND(J421="P4",F421="causal"),"P4-CAUSAL",""))</f>
        <v/>
      </c>
    </row>
    <row r="422" ht="15" customHeight="1" s="1">
      <c r="P422">
        <f>IF(OR(F422="",H422="",J422=""),"",J422&amp;"|"&amp;F422&amp;"|"&amp;IF(H422="W3","W3_"&amp;IF(I422="","unknown",I422),H422))</f>
        <v/>
      </c>
      <c r="Q422">
        <f>IF(P422="","",IFERROR(IF(AND(H422="W7",OR(F422="causal",F422="predictive")),IF(AND(OR(K422=1,K422="1"),OR(L422=1,L422="1"),OR(M422=1,M422="1")),"adequate","partial"),IF(AND(H422="W4",F422="predictive",OR(J422="P2",J422="P3",J422="P4")),IF(OR(U422=1,U422="1"),"adequate","partial"),INDEX(Fit_Matrix!$B:$B,MATCH(P422,Fit_Matrix!$A:$A,0)))),"CHECK KEY"))</f>
        <v/>
      </c>
      <c r="U422" s="10" t="n"/>
      <c r="V422" s="10" t="n"/>
      <c r="W422" s="10" t="n"/>
      <c r="X422" s="10" t="n"/>
      <c r="Y422" s="10" t="n"/>
      <c r="Z422" s="10" t="n"/>
      <c r="AA422" s="11">
        <f>IF(A422="","",IF(AND(J422="P4",F422="causal"),"P4-CAUSAL",""))</f>
        <v/>
      </c>
    </row>
    <row r="423" ht="15" customHeight="1" s="1">
      <c r="P423">
        <f>IF(OR(F423="",H423="",J423=""),"",J423&amp;"|"&amp;F423&amp;"|"&amp;IF(H423="W3","W3_"&amp;IF(I423="","unknown",I423),H423))</f>
        <v/>
      </c>
      <c r="Q423">
        <f>IF(P423="","",IFERROR(IF(AND(H423="W7",OR(F423="causal",F423="predictive")),IF(AND(OR(K423=1,K423="1"),OR(L423=1,L423="1"),OR(M423=1,M423="1")),"adequate","partial"),IF(AND(H423="W4",F423="predictive",OR(J423="P2",J423="P3",J423="P4")),IF(OR(U423=1,U423="1"),"adequate","partial"),INDEX(Fit_Matrix!$B:$B,MATCH(P423,Fit_Matrix!$A:$A,0)))),"CHECK KEY"))</f>
        <v/>
      </c>
      <c r="U423" s="10" t="n"/>
      <c r="V423" s="10" t="n"/>
      <c r="W423" s="10" t="n"/>
      <c r="X423" s="10" t="n"/>
      <c r="Y423" s="10" t="n"/>
      <c r="Z423" s="10" t="n"/>
      <c r="AA423" s="11">
        <f>IF(A423="","",IF(AND(J423="P4",F423="causal"),"P4-CAUSAL",""))</f>
        <v/>
      </c>
    </row>
    <row r="424" ht="15" customHeight="1" s="1">
      <c r="P424">
        <f>IF(OR(F424="",H424="",J424=""),"",J424&amp;"|"&amp;F424&amp;"|"&amp;IF(H424="W3","W3_"&amp;IF(I424="","unknown",I424),H424))</f>
        <v/>
      </c>
      <c r="Q424">
        <f>IF(P424="","",IFERROR(IF(AND(H424="W7",OR(F424="causal",F424="predictive")),IF(AND(OR(K424=1,K424="1"),OR(L424=1,L424="1"),OR(M424=1,M424="1")),"adequate","partial"),IF(AND(H424="W4",F424="predictive",OR(J424="P2",J424="P3",J424="P4")),IF(OR(U424=1,U424="1"),"adequate","partial"),INDEX(Fit_Matrix!$B:$B,MATCH(P424,Fit_Matrix!$A:$A,0)))),"CHECK KEY"))</f>
        <v/>
      </c>
      <c r="U424" s="10" t="n"/>
      <c r="V424" s="10" t="n"/>
      <c r="W424" s="10" t="n"/>
      <c r="X424" s="10" t="n"/>
      <c r="Y424" s="10" t="n"/>
      <c r="Z424" s="10" t="n"/>
      <c r="AA424" s="11">
        <f>IF(A424="","",IF(AND(J424="P4",F424="causal"),"P4-CAUSAL",""))</f>
        <v/>
      </c>
    </row>
    <row r="425" ht="15" customHeight="1" s="1">
      <c r="P425">
        <f>IF(OR(F425="",H425="",J425=""),"",J425&amp;"|"&amp;F425&amp;"|"&amp;IF(H425="W3","W3_"&amp;IF(I425="","unknown",I425),H425))</f>
        <v/>
      </c>
      <c r="Q425">
        <f>IF(P425="","",IFERROR(IF(AND(H425="W7",OR(F425="causal",F425="predictive")),IF(AND(OR(K425=1,K425="1"),OR(L425=1,L425="1"),OR(M425=1,M425="1")),"adequate","partial"),IF(AND(H425="W4",F425="predictive",OR(J425="P2",J425="P3",J425="P4")),IF(OR(U425=1,U425="1"),"adequate","partial"),INDEX(Fit_Matrix!$B:$B,MATCH(P425,Fit_Matrix!$A:$A,0)))),"CHECK KEY"))</f>
        <v/>
      </c>
      <c r="U425" s="10" t="n"/>
      <c r="V425" s="10" t="n"/>
      <c r="W425" s="10" t="n"/>
      <c r="X425" s="10" t="n"/>
      <c r="Y425" s="10" t="n"/>
      <c r="Z425" s="10" t="n"/>
      <c r="AA425" s="11">
        <f>IF(A425="","",IF(AND(J425="P4",F425="causal"),"P4-CAUSAL",""))</f>
        <v/>
      </c>
    </row>
    <row r="426" ht="15" customHeight="1" s="1">
      <c r="P426">
        <f>IF(OR(F426="",H426="",J426=""),"",J426&amp;"|"&amp;F426&amp;"|"&amp;IF(H426="W3","W3_"&amp;IF(I426="","unknown",I426),H426))</f>
        <v/>
      </c>
      <c r="Q426">
        <f>IF(P426="","",IFERROR(IF(AND(H426="W7",OR(F426="causal",F426="predictive")),IF(AND(OR(K426=1,K426="1"),OR(L426=1,L426="1"),OR(M426=1,M426="1")),"adequate","partial"),IF(AND(H426="W4",F426="predictive",OR(J426="P2",J426="P3",J426="P4")),IF(OR(U426=1,U426="1"),"adequate","partial"),INDEX(Fit_Matrix!$B:$B,MATCH(P426,Fit_Matrix!$A:$A,0)))),"CHECK KEY"))</f>
        <v/>
      </c>
      <c r="U426" s="10" t="n"/>
      <c r="V426" s="10" t="n"/>
      <c r="W426" s="10" t="n"/>
      <c r="X426" s="10" t="n"/>
      <c r="Y426" s="10" t="n"/>
      <c r="Z426" s="10" t="n"/>
      <c r="AA426" s="11">
        <f>IF(A426="","",IF(AND(J426="P4",F426="causal"),"P4-CAUSAL",""))</f>
        <v/>
      </c>
    </row>
    <row r="427" ht="15" customHeight="1" s="1">
      <c r="P427">
        <f>IF(OR(F427="",H427="",J427=""),"",J427&amp;"|"&amp;F427&amp;"|"&amp;IF(H427="W3","W3_"&amp;IF(I427="","unknown",I427),H427))</f>
        <v/>
      </c>
      <c r="Q427">
        <f>IF(P427="","",IFERROR(IF(AND(H427="W7",OR(F427="causal",F427="predictive")),IF(AND(OR(K427=1,K427="1"),OR(L427=1,L427="1"),OR(M427=1,M427="1")),"adequate","partial"),IF(AND(H427="W4",F427="predictive",OR(J427="P2",J427="P3",J427="P4")),IF(OR(U427=1,U427="1"),"adequate","partial"),INDEX(Fit_Matrix!$B:$B,MATCH(P427,Fit_Matrix!$A:$A,0)))),"CHECK KEY"))</f>
        <v/>
      </c>
      <c r="U427" s="10" t="n"/>
      <c r="V427" s="10" t="n"/>
      <c r="W427" s="10" t="n"/>
      <c r="X427" s="10" t="n"/>
      <c r="Y427" s="10" t="n"/>
      <c r="Z427" s="10" t="n"/>
      <c r="AA427" s="11">
        <f>IF(A427="","",IF(AND(J427="P4",F427="causal"),"P4-CAUSAL",""))</f>
        <v/>
      </c>
    </row>
    <row r="428" ht="15" customHeight="1" s="1">
      <c r="P428">
        <f>IF(OR(F428="",H428="",J428=""),"",J428&amp;"|"&amp;F428&amp;"|"&amp;IF(H428="W3","W3_"&amp;IF(I428="","unknown",I428),H428))</f>
        <v/>
      </c>
      <c r="Q428">
        <f>IF(P428="","",IFERROR(IF(AND(H428="W7",OR(F428="causal",F428="predictive")),IF(AND(OR(K428=1,K428="1"),OR(L428=1,L428="1"),OR(M428=1,M428="1")),"adequate","partial"),IF(AND(H428="W4",F428="predictive",OR(J428="P2",J428="P3",J428="P4")),IF(OR(U428=1,U428="1"),"adequate","partial"),INDEX(Fit_Matrix!$B:$B,MATCH(P428,Fit_Matrix!$A:$A,0)))),"CHECK KEY"))</f>
        <v/>
      </c>
      <c r="U428" s="10" t="n"/>
      <c r="V428" s="10" t="n"/>
      <c r="W428" s="10" t="n"/>
      <c r="X428" s="10" t="n"/>
      <c r="Y428" s="10" t="n"/>
      <c r="Z428" s="10" t="n"/>
      <c r="AA428" s="11">
        <f>IF(A428="","",IF(AND(J428="P4",F428="causal"),"P4-CAUSAL",""))</f>
        <v/>
      </c>
    </row>
    <row r="429" ht="15" customHeight="1" s="1">
      <c r="P429">
        <f>IF(OR(F429="",H429="",J429=""),"",J429&amp;"|"&amp;F429&amp;"|"&amp;IF(H429="W3","W3_"&amp;IF(I429="","unknown",I429),H429))</f>
        <v/>
      </c>
      <c r="Q429">
        <f>IF(P429="","",IFERROR(IF(AND(H429="W7",OR(F429="causal",F429="predictive")),IF(AND(OR(K429=1,K429="1"),OR(L429=1,L429="1"),OR(M429=1,M429="1")),"adequate","partial"),IF(AND(H429="W4",F429="predictive",OR(J429="P2",J429="P3",J429="P4")),IF(OR(U429=1,U429="1"),"adequate","partial"),INDEX(Fit_Matrix!$B:$B,MATCH(P429,Fit_Matrix!$A:$A,0)))),"CHECK KEY"))</f>
        <v/>
      </c>
      <c r="U429" s="10" t="n"/>
      <c r="V429" s="10" t="n"/>
      <c r="W429" s="10" t="n"/>
      <c r="X429" s="10" t="n"/>
      <c r="Y429" s="10" t="n"/>
      <c r="Z429" s="10" t="n"/>
      <c r="AA429" s="11">
        <f>IF(A429="","",IF(AND(J429="P4",F429="causal"),"P4-CAUSAL",""))</f>
        <v/>
      </c>
    </row>
    <row r="430" ht="15" customHeight="1" s="1">
      <c r="P430">
        <f>IF(OR(F430="",H430="",J430=""),"",J430&amp;"|"&amp;F430&amp;"|"&amp;IF(H430="W3","W3_"&amp;IF(I430="","unknown",I430),H430))</f>
        <v/>
      </c>
      <c r="Q430">
        <f>IF(P430="","",IFERROR(IF(AND(H430="W7",OR(F430="causal",F430="predictive")),IF(AND(OR(K430=1,K430="1"),OR(L430=1,L430="1"),OR(M430=1,M430="1")),"adequate","partial"),IF(AND(H430="W4",F430="predictive",OR(J430="P2",J430="P3",J430="P4")),IF(OR(U430=1,U430="1"),"adequate","partial"),INDEX(Fit_Matrix!$B:$B,MATCH(P430,Fit_Matrix!$A:$A,0)))),"CHECK KEY"))</f>
        <v/>
      </c>
      <c r="U430" s="10" t="n"/>
      <c r="V430" s="10" t="n"/>
      <c r="W430" s="10" t="n"/>
      <c r="X430" s="10" t="n"/>
      <c r="Y430" s="10" t="n"/>
      <c r="Z430" s="10" t="n"/>
      <c r="AA430" s="11">
        <f>IF(A430="","",IF(AND(J430="P4",F430="causal"),"P4-CAUSAL",""))</f>
        <v/>
      </c>
    </row>
    <row r="431" ht="15" customHeight="1" s="1">
      <c r="P431">
        <f>IF(OR(F431="",H431="",J431=""),"",J431&amp;"|"&amp;F431&amp;"|"&amp;IF(H431="W3","W3_"&amp;IF(I431="","unknown",I431),H431))</f>
        <v/>
      </c>
      <c r="Q431">
        <f>IF(P431="","",IFERROR(IF(AND(H431="W7",OR(F431="causal",F431="predictive")),IF(AND(OR(K431=1,K431="1"),OR(L431=1,L431="1"),OR(M431=1,M431="1")),"adequate","partial"),IF(AND(H431="W4",F431="predictive",OR(J431="P2",J431="P3",J431="P4")),IF(OR(U431=1,U431="1"),"adequate","partial"),INDEX(Fit_Matrix!$B:$B,MATCH(P431,Fit_Matrix!$A:$A,0)))),"CHECK KEY"))</f>
        <v/>
      </c>
      <c r="U431" s="10" t="n"/>
      <c r="V431" s="10" t="n"/>
      <c r="W431" s="10" t="n"/>
      <c r="X431" s="10" t="n"/>
      <c r="Y431" s="10" t="n"/>
      <c r="Z431" s="10" t="n"/>
      <c r="AA431" s="11">
        <f>IF(A431="","",IF(AND(J431="P4",F431="causal"),"P4-CAUSAL",""))</f>
        <v/>
      </c>
    </row>
    <row r="432" ht="15" customHeight="1" s="1">
      <c r="P432">
        <f>IF(OR(F432="",H432="",J432=""),"",J432&amp;"|"&amp;F432&amp;"|"&amp;IF(H432="W3","W3_"&amp;IF(I432="","unknown",I432),H432))</f>
        <v/>
      </c>
      <c r="Q432">
        <f>IF(P432="","",IFERROR(IF(AND(H432="W7",OR(F432="causal",F432="predictive")),IF(AND(OR(K432=1,K432="1"),OR(L432=1,L432="1"),OR(M432=1,M432="1")),"adequate","partial"),IF(AND(H432="W4",F432="predictive",OR(J432="P2",J432="P3",J432="P4")),IF(OR(U432=1,U432="1"),"adequate","partial"),INDEX(Fit_Matrix!$B:$B,MATCH(P432,Fit_Matrix!$A:$A,0)))),"CHECK KEY"))</f>
        <v/>
      </c>
      <c r="U432" s="10" t="n"/>
      <c r="V432" s="10" t="n"/>
      <c r="W432" s="10" t="n"/>
      <c r="X432" s="10" t="n"/>
      <c r="Y432" s="10" t="n"/>
      <c r="Z432" s="10" t="n"/>
      <c r="AA432" s="11">
        <f>IF(A432="","",IF(AND(J432="P4",F432="causal"),"P4-CAUSAL",""))</f>
        <v/>
      </c>
    </row>
    <row r="433" ht="15" customHeight="1" s="1">
      <c r="P433">
        <f>IF(OR(F433="",H433="",J433=""),"",J433&amp;"|"&amp;F433&amp;"|"&amp;IF(H433="W3","W3_"&amp;IF(I433="","unknown",I433),H433))</f>
        <v/>
      </c>
      <c r="Q433">
        <f>IF(P433="","",IFERROR(IF(AND(H433="W7",OR(F433="causal",F433="predictive")),IF(AND(OR(K433=1,K433="1"),OR(L433=1,L433="1"),OR(M433=1,M433="1")),"adequate","partial"),IF(AND(H433="W4",F433="predictive",OR(J433="P2",J433="P3",J433="P4")),IF(OR(U433=1,U433="1"),"adequate","partial"),INDEX(Fit_Matrix!$B:$B,MATCH(P433,Fit_Matrix!$A:$A,0)))),"CHECK KEY"))</f>
        <v/>
      </c>
      <c r="U433" s="10" t="n"/>
      <c r="V433" s="10" t="n"/>
      <c r="W433" s="10" t="n"/>
      <c r="X433" s="10" t="n"/>
      <c r="Y433" s="10" t="n"/>
      <c r="Z433" s="10" t="n"/>
      <c r="AA433" s="11">
        <f>IF(A433="","",IF(AND(J433="P4",F433="causal"),"P4-CAUSAL",""))</f>
        <v/>
      </c>
    </row>
    <row r="434" ht="15" customHeight="1" s="1">
      <c r="P434">
        <f>IF(OR(F434="",H434="",J434=""),"",J434&amp;"|"&amp;F434&amp;"|"&amp;IF(H434="W3","W3_"&amp;IF(I434="","unknown",I434),H434))</f>
        <v/>
      </c>
      <c r="Q434">
        <f>IF(P434="","",IFERROR(IF(AND(H434="W7",OR(F434="causal",F434="predictive")),IF(AND(OR(K434=1,K434="1"),OR(L434=1,L434="1"),OR(M434=1,M434="1")),"adequate","partial"),IF(AND(H434="W4",F434="predictive",OR(J434="P2",J434="P3",J434="P4")),IF(OR(U434=1,U434="1"),"adequate","partial"),INDEX(Fit_Matrix!$B:$B,MATCH(P434,Fit_Matrix!$A:$A,0)))),"CHECK KEY"))</f>
        <v/>
      </c>
      <c r="U434" s="10" t="n"/>
      <c r="V434" s="10" t="n"/>
      <c r="W434" s="10" t="n"/>
      <c r="X434" s="10" t="n"/>
      <c r="Y434" s="10" t="n"/>
      <c r="Z434" s="10" t="n"/>
      <c r="AA434" s="11">
        <f>IF(A434="","",IF(AND(J434="P4",F434="causal"),"P4-CAUSAL",""))</f>
        <v/>
      </c>
    </row>
    <row r="435" ht="15" customHeight="1" s="1">
      <c r="P435">
        <f>IF(OR(F435="",H435="",J435=""),"",J435&amp;"|"&amp;F435&amp;"|"&amp;IF(H435="W3","W3_"&amp;IF(I435="","unknown",I435),H435))</f>
        <v/>
      </c>
      <c r="Q435">
        <f>IF(P435="","",IFERROR(IF(AND(H435="W7",OR(F435="causal",F435="predictive")),IF(AND(OR(K435=1,K435="1"),OR(L435=1,L435="1"),OR(M435=1,M435="1")),"adequate","partial"),IF(AND(H435="W4",F435="predictive",OR(J435="P2",J435="P3",J435="P4")),IF(OR(U435=1,U435="1"),"adequate","partial"),INDEX(Fit_Matrix!$B:$B,MATCH(P435,Fit_Matrix!$A:$A,0)))),"CHECK KEY"))</f>
        <v/>
      </c>
      <c r="U435" s="10" t="n"/>
      <c r="V435" s="10" t="n"/>
      <c r="W435" s="10" t="n"/>
      <c r="X435" s="10" t="n"/>
      <c r="Y435" s="10" t="n"/>
      <c r="Z435" s="10" t="n"/>
      <c r="AA435" s="11">
        <f>IF(A435="","",IF(AND(J435="P4",F435="causal"),"P4-CAUSAL",""))</f>
        <v/>
      </c>
    </row>
    <row r="436" ht="15" customHeight="1" s="1">
      <c r="P436">
        <f>IF(OR(F436="",H436="",J436=""),"",J436&amp;"|"&amp;F436&amp;"|"&amp;IF(H436="W3","W3_"&amp;IF(I436="","unknown",I436),H436))</f>
        <v/>
      </c>
      <c r="Q436">
        <f>IF(P436="","",IFERROR(IF(AND(H436="W7",OR(F436="causal",F436="predictive")),IF(AND(OR(K436=1,K436="1"),OR(L436=1,L436="1"),OR(M436=1,M436="1")),"adequate","partial"),IF(AND(H436="W4",F436="predictive",OR(J436="P2",J436="P3",J436="P4")),IF(OR(U436=1,U436="1"),"adequate","partial"),INDEX(Fit_Matrix!$B:$B,MATCH(P436,Fit_Matrix!$A:$A,0)))),"CHECK KEY"))</f>
        <v/>
      </c>
      <c r="U436" s="10" t="n"/>
      <c r="V436" s="10" t="n"/>
      <c r="W436" s="10" t="n"/>
      <c r="X436" s="10" t="n"/>
      <c r="Y436" s="10" t="n"/>
      <c r="Z436" s="10" t="n"/>
      <c r="AA436" s="11">
        <f>IF(A436="","",IF(AND(J436="P4",F436="causal"),"P4-CAUSAL",""))</f>
        <v/>
      </c>
    </row>
    <row r="437" ht="15" customHeight="1" s="1">
      <c r="P437">
        <f>IF(OR(F437="",H437="",J437=""),"",J437&amp;"|"&amp;F437&amp;"|"&amp;IF(H437="W3","W3_"&amp;IF(I437="","unknown",I437),H437))</f>
        <v/>
      </c>
      <c r="Q437">
        <f>IF(P437="","",IFERROR(IF(AND(H437="W7",OR(F437="causal",F437="predictive")),IF(AND(OR(K437=1,K437="1"),OR(L437=1,L437="1"),OR(M437=1,M437="1")),"adequate","partial"),IF(AND(H437="W4",F437="predictive",OR(J437="P2",J437="P3",J437="P4")),IF(OR(U437=1,U437="1"),"adequate","partial"),INDEX(Fit_Matrix!$B:$B,MATCH(P437,Fit_Matrix!$A:$A,0)))),"CHECK KEY"))</f>
        <v/>
      </c>
      <c r="U437" s="10" t="n"/>
      <c r="V437" s="10" t="n"/>
      <c r="W437" s="10" t="n"/>
      <c r="X437" s="10" t="n"/>
      <c r="Y437" s="10" t="n"/>
      <c r="Z437" s="10" t="n"/>
      <c r="AA437" s="11">
        <f>IF(A437="","",IF(AND(J437="P4",F437="causal"),"P4-CAUSAL",""))</f>
        <v/>
      </c>
    </row>
    <row r="438" ht="15" customHeight="1" s="1">
      <c r="P438">
        <f>IF(OR(F438="",H438="",J438=""),"",J438&amp;"|"&amp;F438&amp;"|"&amp;IF(H438="W3","W3_"&amp;IF(I438="","unknown",I438),H438))</f>
        <v/>
      </c>
      <c r="Q438">
        <f>IF(P438="","",IFERROR(IF(AND(H438="W7",OR(F438="causal",F438="predictive")),IF(AND(OR(K438=1,K438="1"),OR(L438=1,L438="1"),OR(M438=1,M438="1")),"adequate","partial"),IF(AND(H438="W4",F438="predictive",OR(J438="P2",J438="P3",J438="P4")),IF(OR(U438=1,U438="1"),"adequate","partial"),INDEX(Fit_Matrix!$B:$B,MATCH(P438,Fit_Matrix!$A:$A,0)))),"CHECK KEY"))</f>
        <v/>
      </c>
      <c r="U438" s="10" t="n"/>
      <c r="V438" s="10" t="n"/>
      <c r="W438" s="10" t="n"/>
      <c r="X438" s="10" t="n"/>
      <c r="Y438" s="10" t="n"/>
      <c r="Z438" s="10" t="n"/>
      <c r="AA438" s="11">
        <f>IF(A438="","",IF(AND(J438="P4",F438="causal"),"P4-CAUSAL",""))</f>
        <v/>
      </c>
    </row>
    <row r="439" ht="15" customHeight="1" s="1">
      <c r="P439">
        <f>IF(OR(F439="",H439="",J439=""),"",J439&amp;"|"&amp;F439&amp;"|"&amp;IF(H439="W3","W3_"&amp;IF(I439="","unknown",I439),H439))</f>
        <v/>
      </c>
      <c r="Q439">
        <f>IF(P439="","",IFERROR(IF(AND(H439="W7",OR(F439="causal",F439="predictive")),IF(AND(OR(K439=1,K439="1"),OR(L439=1,L439="1"),OR(M439=1,M439="1")),"adequate","partial"),IF(AND(H439="W4",F439="predictive",OR(J439="P2",J439="P3",J439="P4")),IF(OR(U439=1,U439="1"),"adequate","partial"),INDEX(Fit_Matrix!$B:$B,MATCH(P439,Fit_Matrix!$A:$A,0)))),"CHECK KEY"))</f>
        <v/>
      </c>
      <c r="U439" s="10" t="n"/>
      <c r="V439" s="10" t="n"/>
      <c r="W439" s="10" t="n"/>
      <c r="X439" s="10" t="n"/>
      <c r="Y439" s="10" t="n"/>
      <c r="Z439" s="10" t="n"/>
      <c r="AA439" s="11">
        <f>IF(A439="","",IF(AND(J439="P4",F439="causal"),"P4-CAUSAL",""))</f>
        <v/>
      </c>
    </row>
    <row r="440" ht="15" customHeight="1" s="1">
      <c r="P440">
        <f>IF(OR(F440="",H440="",J440=""),"",J440&amp;"|"&amp;F440&amp;"|"&amp;IF(H440="W3","W3_"&amp;IF(I440="","unknown",I440),H440))</f>
        <v/>
      </c>
      <c r="Q440">
        <f>IF(P440="","",IFERROR(IF(AND(H440="W7",OR(F440="causal",F440="predictive")),IF(AND(OR(K440=1,K440="1"),OR(L440=1,L440="1"),OR(M440=1,M440="1")),"adequate","partial"),IF(AND(H440="W4",F440="predictive",OR(J440="P2",J440="P3",J440="P4")),IF(OR(U440=1,U440="1"),"adequate","partial"),INDEX(Fit_Matrix!$B:$B,MATCH(P440,Fit_Matrix!$A:$A,0)))),"CHECK KEY"))</f>
        <v/>
      </c>
      <c r="U440" s="10" t="n"/>
      <c r="V440" s="10" t="n"/>
      <c r="W440" s="10" t="n"/>
      <c r="X440" s="10" t="n"/>
      <c r="Y440" s="10" t="n"/>
      <c r="Z440" s="10" t="n"/>
      <c r="AA440" s="11">
        <f>IF(A440="","",IF(AND(J440="P4",F440="causal"),"P4-CAUSAL",""))</f>
        <v/>
      </c>
    </row>
    <row r="441" ht="15" customHeight="1" s="1">
      <c r="P441">
        <f>IF(OR(F441="",H441="",J441=""),"",J441&amp;"|"&amp;F441&amp;"|"&amp;IF(H441="W3","W3_"&amp;IF(I441="","unknown",I441),H441))</f>
        <v/>
      </c>
      <c r="Q441">
        <f>IF(P441="","",IFERROR(IF(AND(H441="W7",OR(F441="causal",F441="predictive")),IF(AND(OR(K441=1,K441="1"),OR(L441=1,L441="1"),OR(M441=1,M441="1")),"adequate","partial"),IF(AND(H441="W4",F441="predictive",OR(J441="P2",J441="P3",J441="P4")),IF(OR(U441=1,U441="1"),"adequate","partial"),INDEX(Fit_Matrix!$B:$B,MATCH(P441,Fit_Matrix!$A:$A,0)))),"CHECK KEY"))</f>
        <v/>
      </c>
      <c r="U441" s="10" t="n"/>
      <c r="V441" s="10" t="n"/>
      <c r="W441" s="10" t="n"/>
      <c r="X441" s="10" t="n"/>
      <c r="Y441" s="10" t="n"/>
      <c r="Z441" s="10" t="n"/>
      <c r="AA441" s="11">
        <f>IF(A441="","",IF(AND(J441="P4",F441="causal"),"P4-CAUSAL",""))</f>
        <v/>
      </c>
    </row>
    <row r="442" ht="15" customHeight="1" s="1">
      <c r="P442">
        <f>IF(OR(F442="",H442="",J442=""),"",J442&amp;"|"&amp;F442&amp;"|"&amp;IF(H442="W3","W3_"&amp;IF(I442="","unknown",I442),H442))</f>
        <v/>
      </c>
      <c r="Q442">
        <f>IF(P442="","",IFERROR(IF(AND(H442="W7",OR(F442="causal",F442="predictive")),IF(AND(OR(K442=1,K442="1"),OR(L442=1,L442="1"),OR(M442=1,M442="1")),"adequate","partial"),IF(AND(H442="W4",F442="predictive",OR(J442="P2",J442="P3",J442="P4")),IF(OR(U442=1,U442="1"),"adequate","partial"),INDEX(Fit_Matrix!$B:$B,MATCH(P442,Fit_Matrix!$A:$A,0)))),"CHECK KEY"))</f>
        <v/>
      </c>
      <c r="U442" s="10" t="n"/>
      <c r="V442" s="10" t="n"/>
      <c r="W442" s="10" t="n"/>
      <c r="X442" s="10" t="n"/>
      <c r="Y442" s="10" t="n"/>
      <c r="Z442" s="10" t="n"/>
      <c r="AA442" s="11">
        <f>IF(A442="","",IF(AND(J442="P4",F442="causal"),"P4-CAUSAL",""))</f>
        <v/>
      </c>
    </row>
    <row r="443" ht="15" customHeight="1" s="1">
      <c r="P443">
        <f>IF(OR(F443="",H443="",J443=""),"",J443&amp;"|"&amp;F443&amp;"|"&amp;IF(H443="W3","W3_"&amp;IF(I443="","unknown",I443),H443))</f>
        <v/>
      </c>
      <c r="Q443">
        <f>IF(P443="","",IFERROR(IF(AND(H443="W7",OR(F443="causal",F443="predictive")),IF(AND(OR(K443=1,K443="1"),OR(L443=1,L443="1"),OR(M443=1,M443="1")),"adequate","partial"),IF(AND(H443="W4",F443="predictive",OR(J443="P2",J443="P3",J443="P4")),IF(OR(U443=1,U443="1"),"adequate","partial"),INDEX(Fit_Matrix!$B:$B,MATCH(P443,Fit_Matrix!$A:$A,0)))),"CHECK KEY"))</f>
        <v/>
      </c>
      <c r="U443" s="10" t="n"/>
      <c r="V443" s="10" t="n"/>
      <c r="W443" s="10" t="n"/>
      <c r="X443" s="10" t="n"/>
      <c r="Y443" s="10" t="n"/>
      <c r="Z443" s="10" t="n"/>
      <c r="AA443" s="11">
        <f>IF(A443="","",IF(AND(J443="P4",F443="causal"),"P4-CAUSAL",""))</f>
        <v/>
      </c>
    </row>
    <row r="444" ht="15" customHeight="1" s="1">
      <c r="P444">
        <f>IF(OR(F444="",H444="",J444=""),"",J444&amp;"|"&amp;F444&amp;"|"&amp;IF(H444="W3","W3_"&amp;IF(I444="","unknown",I444),H444))</f>
        <v/>
      </c>
      <c r="Q444">
        <f>IF(P444="","",IFERROR(IF(AND(H444="W7",OR(F444="causal",F444="predictive")),IF(AND(OR(K444=1,K444="1"),OR(L444=1,L444="1"),OR(M444=1,M444="1")),"adequate","partial"),IF(AND(H444="W4",F444="predictive",OR(J444="P2",J444="P3",J444="P4")),IF(OR(U444=1,U444="1"),"adequate","partial"),INDEX(Fit_Matrix!$B:$B,MATCH(P444,Fit_Matrix!$A:$A,0)))),"CHECK KEY"))</f>
        <v/>
      </c>
      <c r="U444" s="10" t="n"/>
      <c r="V444" s="10" t="n"/>
      <c r="W444" s="10" t="n"/>
      <c r="X444" s="10" t="n"/>
      <c r="Y444" s="10" t="n"/>
      <c r="Z444" s="10" t="n"/>
      <c r="AA444" s="11">
        <f>IF(A444="","",IF(AND(J444="P4",F444="causal"),"P4-CAUSAL",""))</f>
        <v/>
      </c>
    </row>
    <row r="445" ht="15" customHeight="1" s="1">
      <c r="P445">
        <f>IF(OR(F445="",H445="",J445=""),"",J445&amp;"|"&amp;F445&amp;"|"&amp;IF(H445="W3","W3_"&amp;IF(I445="","unknown",I445),H445))</f>
        <v/>
      </c>
      <c r="Q445">
        <f>IF(P445="","",IFERROR(IF(AND(H445="W7",OR(F445="causal",F445="predictive")),IF(AND(OR(K445=1,K445="1"),OR(L445=1,L445="1"),OR(M445=1,M445="1")),"adequate","partial"),IF(AND(H445="W4",F445="predictive",OR(J445="P2",J445="P3",J445="P4")),IF(OR(U445=1,U445="1"),"adequate","partial"),INDEX(Fit_Matrix!$B:$B,MATCH(P445,Fit_Matrix!$A:$A,0)))),"CHECK KEY"))</f>
        <v/>
      </c>
      <c r="U445" s="10" t="n"/>
      <c r="V445" s="10" t="n"/>
      <c r="W445" s="10" t="n"/>
      <c r="X445" s="10" t="n"/>
      <c r="Y445" s="10" t="n"/>
      <c r="Z445" s="10" t="n"/>
      <c r="AA445" s="11">
        <f>IF(A445="","",IF(AND(J445="P4",F445="causal"),"P4-CAUSAL",""))</f>
        <v/>
      </c>
    </row>
    <row r="446" ht="15" customHeight="1" s="1">
      <c r="P446">
        <f>IF(OR(F446="",H446="",J446=""),"",J446&amp;"|"&amp;F446&amp;"|"&amp;IF(H446="W3","W3_"&amp;IF(I446="","unknown",I446),H446))</f>
        <v/>
      </c>
      <c r="Q446">
        <f>IF(P446="","",IFERROR(IF(AND(H446="W7",OR(F446="causal",F446="predictive")),IF(AND(OR(K446=1,K446="1"),OR(L446=1,L446="1"),OR(M446=1,M446="1")),"adequate","partial"),IF(AND(H446="W4",F446="predictive",OR(J446="P2",J446="P3",J446="P4")),IF(OR(U446=1,U446="1"),"adequate","partial"),INDEX(Fit_Matrix!$B:$B,MATCH(P446,Fit_Matrix!$A:$A,0)))),"CHECK KEY"))</f>
        <v/>
      </c>
      <c r="U446" s="10" t="n"/>
      <c r="V446" s="10" t="n"/>
      <c r="W446" s="10" t="n"/>
      <c r="X446" s="10" t="n"/>
      <c r="Y446" s="10" t="n"/>
      <c r="Z446" s="10" t="n"/>
      <c r="AA446" s="11">
        <f>IF(A446="","",IF(AND(J446="P4",F446="causal"),"P4-CAUSAL",""))</f>
        <v/>
      </c>
    </row>
    <row r="447" ht="15" customHeight="1" s="1">
      <c r="P447">
        <f>IF(OR(F447="",H447="",J447=""),"",J447&amp;"|"&amp;F447&amp;"|"&amp;IF(H447="W3","W3_"&amp;IF(I447="","unknown",I447),H447))</f>
        <v/>
      </c>
      <c r="Q447">
        <f>IF(P447="","",IFERROR(IF(AND(H447="W7",OR(F447="causal",F447="predictive")),IF(AND(OR(K447=1,K447="1"),OR(L447=1,L447="1"),OR(M447=1,M447="1")),"adequate","partial"),IF(AND(H447="W4",F447="predictive",OR(J447="P2",J447="P3",J447="P4")),IF(OR(U447=1,U447="1"),"adequate","partial"),INDEX(Fit_Matrix!$B:$B,MATCH(P447,Fit_Matrix!$A:$A,0)))),"CHECK KEY"))</f>
        <v/>
      </c>
      <c r="U447" s="10" t="n"/>
      <c r="V447" s="10" t="n"/>
      <c r="W447" s="10" t="n"/>
      <c r="X447" s="10" t="n"/>
      <c r="Y447" s="10" t="n"/>
      <c r="Z447" s="10" t="n"/>
      <c r="AA447" s="11">
        <f>IF(A447="","",IF(AND(J447="P4",F447="causal"),"P4-CAUSAL",""))</f>
        <v/>
      </c>
    </row>
    <row r="448" ht="15" customHeight="1" s="1">
      <c r="P448">
        <f>IF(OR(F448="",H448="",J448=""),"",J448&amp;"|"&amp;F448&amp;"|"&amp;IF(H448="W3","W3_"&amp;IF(I448="","unknown",I448),H448))</f>
        <v/>
      </c>
      <c r="Q448">
        <f>IF(P448="","",IFERROR(IF(AND(H448="W7",OR(F448="causal",F448="predictive")),IF(AND(OR(K448=1,K448="1"),OR(L448=1,L448="1"),OR(M448=1,M448="1")),"adequate","partial"),IF(AND(H448="W4",F448="predictive",OR(J448="P2",J448="P3",J448="P4")),IF(OR(U448=1,U448="1"),"adequate","partial"),INDEX(Fit_Matrix!$B:$B,MATCH(P448,Fit_Matrix!$A:$A,0)))),"CHECK KEY"))</f>
        <v/>
      </c>
      <c r="U448" s="10" t="n"/>
      <c r="V448" s="10" t="n"/>
      <c r="W448" s="10" t="n"/>
      <c r="X448" s="10" t="n"/>
      <c r="Y448" s="10" t="n"/>
      <c r="Z448" s="10" t="n"/>
      <c r="AA448" s="11">
        <f>IF(A448="","",IF(AND(J448="P4",F448="causal"),"P4-CAUSAL",""))</f>
        <v/>
      </c>
    </row>
    <row r="449" ht="15" customHeight="1" s="1">
      <c r="P449">
        <f>IF(OR(F449="",H449="",J449=""),"",J449&amp;"|"&amp;F449&amp;"|"&amp;IF(H449="W3","W3_"&amp;IF(I449="","unknown",I449),H449))</f>
        <v/>
      </c>
      <c r="Q449">
        <f>IF(P449="","",IFERROR(IF(AND(H449="W7",OR(F449="causal",F449="predictive")),IF(AND(OR(K449=1,K449="1"),OR(L449=1,L449="1"),OR(M449=1,M449="1")),"adequate","partial"),IF(AND(H449="W4",F449="predictive",OR(J449="P2",J449="P3",J449="P4")),IF(OR(U449=1,U449="1"),"adequate","partial"),INDEX(Fit_Matrix!$B:$B,MATCH(P449,Fit_Matrix!$A:$A,0)))),"CHECK KEY"))</f>
        <v/>
      </c>
      <c r="U449" s="10" t="n"/>
      <c r="V449" s="10" t="n"/>
      <c r="W449" s="10" t="n"/>
      <c r="X449" s="10" t="n"/>
      <c r="Y449" s="10" t="n"/>
      <c r="Z449" s="10" t="n"/>
      <c r="AA449" s="11">
        <f>IF(A449="","",IF(AND(J449="P4",F449="causal"),"P4-CAUSAL",""))</f>
        <v/>
      </c>
    </row>
    <row r="450" ht="15" customHeight="1" s="1">
      <c r="P450">
        <f>IF(OR(F450="",H450="",J450=""),"",J450&amp;"|"&amp;F450&amp;"|"&amp;IF(H450="W3","W3_"&amp;IF(I450="","unknown",I450),H450))</f>
        <v/>
      </c>
      <c r="Q450">
        <f>IF(P450="","",IFERROR(IF(AND(H450="W7",OR(F450="causal",F450="predictive")),IF(AND(OR(K450=1,K450="1"),OR(L450=1,L450="1"),OR(M450=1,M450="1")),"adequate","partial"),IF(AND(H450="W4",F450="predictive",OR(J450="P2",J450="P3",J450="P4")),IF(OR(U450=1,U450="1"),"adequate","partial"),INDEX(Fit_Matrix!$B:$B,MATCH(P450,Fit_Matrix!$A:$A,0)))),"CHECK KEY"))</f>
        <v/>
      </c>
      <c r="U450" s="10" t="n"/>
      <c r="V450" s="10" t="n"/>
      <c r="W450" s="10" t="n"/>
      <c r="X450" s="10" t="n"/>
      <c r="Y450" s="10" t="n"/>
      <c r="Z450" s="10" t="n"/>
      <c r="AA450" s="11">
        <f>IF(A450="","",IF(AND(J450="P4",F450="causal"),"P4-CAUSAL",""))</f>
        <v/>
      </c>
    </row>
    <row r="451" ht="15" customHeight="1" s="1">
      <c r="P451">
        <f>IF(OR(F451="",H451="",J451=""),"",J451&amp;"|"&amp;F451&amp;"|"&amp;IF(H451="W3","W3_"&amp;IF(I451="","unknown",I451),H451))</f>
        <v/>
      </c>
      <c r="Q451">
        <f>IF(P451="","",IFERROR(IF(AND(H451="W7",OR(F451="causal",F451="predictive")),IF(AND(OR(K451=1,K451="1"),OR(L451=1,L451="1"),OR(M451=1,M451="1")),"adequate","partial"),IF(AND(H451="W4",F451="predictive",OR(J451="P2",J451="P3",J451="P4")),IF(OR(U451=1,U451="1"),"adequate","partial"),INDEX(Fit_Matrix!$B:$B,MATCH(P451,Fit_Matrix!$A:$A,0)))),"CHECK KEY"))</f>
        <v/>
      </c>
      <c r="U451" s="10" t="n"/>
      <c r="V451" s="10" t="n"/>
      <c r="W451" s="10" t="n"/>
      <c r="X451" s="10" t="n"/>
      <c r="Y451" s="10" t="n"/>
      <c r="Z451" s="10" t="n"/>
      <c r="AA451" s="11">
        <f>IF(A451="","",IF(AND(J451="P4",F451="causal"),"P4-CAUSAL",""))</f>
        <v/>
      </c>
    </row>
    <row r="452" ht="15" customHeight="1" s="1">
      <c r="P452">
        <f>IF(OR(F452="",H452="",J452=""),"",J452&amp;"|"&amp;F452&amp;"|"&amp;IF(H452="W3","W3_"&amp;IF(I452="","unknown",I452),H452))</f>
        <v/>
      </c>
      <c r="Q452">
        <f>IF(P452="","",IFERROR(IF(AND(H452="W7",OR(F452="causal",F452="predictive")),IF(AND(OR(K452=1,K452="1"),OR(L452=1,L452="1"),OR(M452=1,M452="1")),"adequate","partial"),IF(AND(H452="W4",F452="predictive",OR(J452="P2",J452="P3",J452="P4")),IF(OR(U452=1,U452="1"),"adequate","partial"),INDEX(Fit_Matrix!$B:$B,MATCH(P452,Fit_Matrix!$A:$A,0)))),"CHECK KEY"))</f>
        <v/>
      </c>
      <c r="U452" s="10" t="n"/>
      <c r="V452" s="10" t="n"/>
      <c r="W452" s="10" t="n"/>
      <c r="X452" s="10" t="n"/>
      <c r="Y452" s="10" t="n"/>
      <c r="Z452" s="10" t="n"/>
      <c r="AA452" s="11">
        <f>IF(A452="","",IF(AND(J452="P4",F452="causal"),"P4-CAUSAL",""))</f>
        <v/>
      </c>
    </row>
    <row r="453" ht="15" customHeight="1" s="1">
      <c r="P453">
        <f>IF(OR(F453="",H453="",J453=""),"",J453&amp;"|"&amp;F453&amp;"|"&amp;IF(H453="W3","W3_"&amp;IF(I453="","unknown",I453),H453))</f>
        <v/>
      </c>
      <c r="Q453">
        <f>IF(P453="","",IFERROR(IF(AND(H453="W7",OR(F453="causal",F453="predictive")),IF(AND(OR(K453=1,K453="1"),OR(L453=1,L453="1"),OR(M453=1,M453="1")),"adequate","partial"),IF(AND(H453="W4",F453="predictive",OR(J453="P2",J453="P3",J453="P4")),IF(OR(U453=1,U453="1"),"adequate","partial"),INDEX(Fit_Matrix!$B:$B,MATCH(P453,Fit_Matrix!$A:$A,0)))),"CHECK KEY"))</f>
        <v/>
      </c>
      <c r="U453" s="10" t="n"/>
      <c r="V453" s="10" t="n"/>
      <c r="W453" s="10" t="n"/>
      <c r="X453" s="10" t="n"/>
      <c r="Y453" s="10" t="n"/>
      <c r="Z453" s="10" t="n"/>
      <c r="AA453" s="11">
        <f>IF(A453="","",IF(AND(J453="P4",F453="causal"),"P4-CAUSAL",""))</f>
        <v/>
      </c>
    </row>
    <row r="454" ht="15" customHeight="1" s="1">
      <c r="P454">
        <f>IF(OR(F454="",H454="",J454=""),"",J454&amp;"|"&amp;F454&amp;"|"&amp;IF(H454="W3","W3_"&amp;IF(I454="","unknown",I454),H454))</f>
        <v/>
      </c>
      <c r="Q454">
        <f>IF(P454="","",IFERROR(IF(AND(H454="W7",OR(F454="causal",F454="predictive")),IF(AND(OR(K454=1,K454="1"),OR(L454=1,L454="1"),OR(M454=1,M454="1")),"adequate","partial"),IF(AND(H454="W4",F454="predictive",OR(J454="P2",J454="P3",J454="P4")),IF(OR(U454=1,U454="1"),"adequate","partial"),INDEX(Fit_Matrix!$B:$B,MATCH(P454,Fit_Matrix!$A:$A,0)))),"CHECK KEY"))</f>
        <v/>
      </c>
      <c r="U454" s="10" t="n"/>
      <c r="V454" s="10" t="n"/>
      <c r="W454" s="10" t="n"/>
      <c r="X454" s="10" t="n"/>
      <c r="Y454" s="10" t="n"/>
      <c r="Z454" s="10" t="n"/>
      <c r="AA454" s="11">
        <f>IF(A454="","",IF(AND(J454="P4",F454="causal"),"P4-CAUSAL",""))</f>
        <v/>
      </c>
    </row>
    <row r="455" ht="15" customHeight="1" s="1">
      <c r="P455">
        <f>IF(OR(F455="",H455="",J455=""),"",J455&amp;"|"&amp;F455&amp;"|"&amp;IF(H455="W3","W3_"&amp;IF(I455="","unknown",I455),H455))</f>
        <v/>
      </c>
      <c r="Q455">
        <f>IF(P455="","",IFERROR(IF(AND(H455="W7",OR(F455="causal",F455="predictive")),IF(AND(OR(K455=1,K455="1"),OR(L455=1,L455="1"),OR(M455=1,M455="1")),"adequate","partial"),IF(AND(H455="W4",F455="predictive",OR(J455="P2",J455="P3",J455="P4")),IF(OR(U455=1,U455="1"),"adequate","partial"),INDEX(Fit_Matrix!$B:$B,MATCH(P455,Fit_Matrix!$A:$A,0)))),"CHECK KEY"))</f>
        <v/>
      </c>
      <c r="U455" s="10" t="n"/>
      <c r="V455" s="10" t="n"/>
      <c r="W455" s="10" t="n"/>
      <c r="X455" s="10" t="n"/>
      <c r="Y455" s="10" t="n"/>
      <c r="Z455" s="10" t="n"/>
      <c r="AA455" s="11">
        <f>IF(A455="","",IF(AND(J455="P4",F455="causal"),"P4-CAUSAL",""))</f>
        <v/>
      </c>
    </row>
    <row r="456" ht="15" customHeight="1" s="1">
      <c r="P456">
        <f>IF(OR(F456="",H456="",J456=""),"",J456&amp;"|"&amp;F456&amp;"|"&amp;IF(H456="W3","W3_"&amp;IF(I456="","unknown",I456),H456))</f>
        <v/>
      </c>
      <c r="Q456">
        <f>IF(P456="","",IFERROR(IF(AND(H456="W7",OR(F456="causal",F456="predictive")),IF(AND(OR(K456=1,K456="1"),OR(L456=1,L456="1"),OR(M456=1,M456="1")),"adequate","partial"),IF(AND(H456="W4",F456="predictive",OR(J456="P2",J456="P3",J456="P4")),IF(OR(U456=1,U456="1"),"adequate","partial"),INDEX(Fit_Matrix!$B:$B,MATCH(P456,Fit_Matrix!$A:$A,0)))),"CHECK KEY"))</f>
        <v/>
      </c>
      <c r="U456" s="10" t="n"/>
      <c r="V456" s="10" t="n"/>
      <c r="W456" s="10" t="n"/>
      <c r="X456" s="10" t="n"/>
      <c r="Y456" s="10" t="n"/>
      <c r="Z456" s="10" t="n"/>
      <c r="AA456" s="11">
        <f>IF(A456="","",IF(AND(J456="P4",F456="causal"),"P4-CAUSAL",""))</f>
        <v/>
      </c>
    </row>
    <row r="457" ht="15" customHeight="1" s="1">
      <c r="P457">
        <f>IF(OR(F457="",H457="",J457=""),"",J457&amp;"|"&amp;F457&amp;"|"&amp;IF(H457="W3","W3_"&amp;IF(I457="","unknown",I457),H457))</f>
        <v/>
      </c>
      <c r="Q457">
        <f>IF(P457="","",IFERROR(IF(AND(H457="W7",OR(F457="causal",F457="predictive")),IF(AND(OR(K457=1,K457="1"),OR(L457=1,L457="1"),OR(M457=1,M457="1")),"adequate","partial"),IF(AND(H457="W4",F457="predictive",OR(J457="P2",J457="P3",J457="P4")),IF(OR(U457=1,U457="1"),"adequate","partial"),INDEX(Fit_Matrix!$B:$B,MATCH(P457,Fit_Matrix!$A:$A,0)))),"CHECK KEY"))</f>
        <v/>
      </c>
      <c r="U457" s="10" t="n"/>
      <c r="V457" s="10" t="n"/>
      <c r="W457" s="10" t="n"/>
      <c r="X457" s="10" t="n"/>
      <c r="Y457" s="10" t="n"/>
      <c r="Z457" s="10" t="n"/>
      <c r="AA457" s="11">
        <f>IF(A457="","",IF(AND(J457="P4",F457="causal"),"P4-CAUSAL",""))</f>
        <v/>
      </c>
    </row>
    <row r="458" ht="15" customHeight="1" s="1">
      <c r="P458">
        <f>IF(OR(F458="",H458="",J458=""),"",J458&amp;"|"&amp;F458&amp;"|"&amp;IF(H458="W3","W3_"&amp;IF(I458="","unknown",I458),H458))</f>
        <v/>
      </c>
      <c r="Q458">
        <f>IF(P458="","",IFERROR(IF(AND(H458="W7",OR(F458="causal",F458="predictive")),IF(AND(OR(K458=1,K458="1"),OR(L458=1,L458="1"),OR(M458=1,M458="1")),"adequate","partial"),IF(AND(H458="W4",F458="predictive",OR(J458="P2",J458="P3",J458="P4")),IF(OR(U458=1,U458="1"),"adequate","partial"),INDEX(Fit_Matrix!$B:$B,MATCH(P458,Fit_Matrix!$A:$A,0)))),"CHECK KEY"))</f>
        <v/>
      </c>
      <c r="U458" s="10" t="n"/>
      <c r="V458" s="10" t="n"/>
      <c r="W458" s="10" t="n"/>
      <c r="X458" s="10" t="n"/>
      <c r="Y458" s="10" t="n"/>
      <c r="Z458" s="10" t="n"/>
      <c r="AA458" s="11">
        <f>IF(A458="","",IF(AND(J458="P4",F458="causal"),"P4-CAUSAL",""))</f>
        <v/>
      </c>
    </row>
    <row r="459" ht="15" customHeight="1" s="1">
      <c r="P459">
        <f>IF(OR(F459="",H459="",J459=""),"",J459&amp;"|"&amp;F459&amp;"|"&amp;IF(H459="W3","W3_"&amp;IF(I459="","unknown",I459),H459))</f>
        <v/>
      </c>
      <c r="Q459">
        <f>IF(P459="","",IFERROR(IF(AND(H459="W7",OR(F459="causal",F459="predictive")),IF(AND(OR(K459=1,K459="1"),OR(L459=1,L459="1"),OR(M459=1,M459="1")),"adequate","partial"),IF(AND(H459="W4",F459="predictive",OR(J459="P2",J459="P3",J459="P4")),IF(OR(U459=1,U459="1"),"adequate","partial"),INDEX(Fit_Matrix!$B:$B,MATCH(P459,Fit_Matrix!$A:$A,0)))),"CHECK KEY"))</f>
        <v/>
      </c>
      <c r="U459" s="10" t="n"/>
      <c r="V459" s="10" t="n"/>
      <c r="W459" s="10" t="n"/>
      <c r="X459" s="10" t="n"/>
      <c r="Y459" s="10" t="n"/>
      <c r="Z459" s="10" t="n"/>
      <c r="AA459" s="11">
        <f>IF(A459="","",IF(AND(J459="P4",F459="causal"),"P4-CAUSAL",""))</f>
        <v/>
      </c>
    </row>
    <row r="460" ht="15" customHeight="1" s="1">
      <c r="P460">
        <f>IF(OR(F460="",H460="",J460=""),"",J460&amp;"|"&amp;F460&amp;"|"&amp;IF(H460="W3","W3_"&amp;IF(I460="","unknown",I460),H460))</f>
        <v/>
      </c>
      <c r="Q460">
        <f>IF(P460="","",IFERROR(IF(AND(H460="W7",OR(F460="causal",F460="predictive")),IF(AND(OR(K460=1,K460="1"),OR(L460=1,L460="1"),OR(M460=1,M460="1")),"adequate","partial"),IF(AND(H460="W4",F460="predictive",OR(J460="P2",J460="P3",J460="P4")),IF(OR(U460=1,U460="1"),"adequate","partial"),INDEX(Fit_Matrix!$B:$B,MATCH(P460,Fit_Matrix!$A:$A,0)))),"CHECK KEY"))</f>
        <v/>
      </c>
      <c r="U460" s="10" t="n"/>
      <c r="V460" s="10" t="n"/>
      <c r="W460" s="10" t="n"/>
      <c r="X460" s="10" t="n"/>
      <c r="Y460" s="10" t="n"/>
      <c r="Z460" s="10" t="n"/>
      <c r="AA460" s="11">
        <f>IF(A460="","",IF(AND(J460="P4",F460="causal"),"P4-CAUSAL",""))</f>
        <v/>
      </c>
    </row>
    <row r="461" ht="15" customHeight="1" s="1">
      <c r="P461">
        <f>IF(OR(F461="",H461="",J461=""),"",J461&amp;"|"&amp;F461&amp;"|"&amp;IF(H461="W3","W3_"&amp;IF(I461="","unknown",I461),H461))</f>
        <v/>
      </c>
      <c r="Q461">
        <f>IF(P461="","",IFERROR(IF(AND(H461="W7",OR(F461="causal",F461="predictive")),IF(AND(OR(K461=1,K461="1"),OR(L461=1,L461="1"),OR(M461=1,M461="1")),"adequate","partial"),IF(AND(H461="W4",F461="predictive",OR(J461="P2",J461="P3",J461="P4")),IF(OR(U461=1,U461="1"),"adequate","partial"),INDEX(Fit_Matrix!$B:$B,MATCH(P461,Fit_Matrix!$A:$A,0)))),"CHECK KEY"))</f>
        <v/>
      </c>
      <c r="U461" s="10" t="n"/>
      <c r="V461" s="10" t="n"/>
      <c r="W461" s="10" t="n"/>
      <c r="X461" s="10" t="n"/>
      <c r="Y461" s="10" t="n"/>
      <c r="Z461" s="10" t="n"/>
      <c r="AA461" s="11">
        <f>IF(A461="","",IF(AND(J461="P4",F461="causal"),"P4-CAUSAL",""))</f>
        <v/>
      </c>
    </row>
    <row r="462" ht="15" customHeight="1" s="1">
      <c r="P462">
        <f>IF(OR(F462="",H462="",J462=""),"",J462&amp;"|"&amp;F462&amp;"|"&amp;IF(H462="W3","W3_"&amp;IF(I462="","unknown",I462),H462))</f>
        <v/>
      </c>
      <c r="Q462">
        <f>IF(P462="","",IFERROR(IF(AND(H462="W7",OR(F462="causal",F462="predictive")),IF(AND(OR(K462=1,K462="1"),OR(L462=1,L462="1"),OR(M462=1,M462="1")),"adequate","partial"),IF(AND(H462="W4",F462="predictive",OR(J462="P2",J462="P3",J462="P4")),IF(OR(U462=1,U462="1"),"adequate","partial"),INDEX(Fit_Matrix!$B:$B,MATCH(P462,Fit_Matrix!$A:$A,0)))),"CHECK KEY"))</f>
        <v/>
      </c>
      <c r="U462" s="10" t="n"/>
      <c r="V462" s="10" t="n"/>
      <c r="W462" s="10" t="n"/>
      <c r="X462" s="10" t="n"/>
      <c r="Y462" s="10" t="n"/>
      <c r="Z462" s="10" t="n"/>
      <c r="AA462" s="11">
        <f>IF(A462="","",IF(AND(J462="P4",F462="causal"),"P4-CAUSAL",""))</f>
        <v/>
      </c>
    </row>
    <row r="463" ht="15" customHeight="1" s="1">
      <c r="P463">
        <f>IF(OR(F463="",H463="",J463=""),"",J463&amp;"|"&amp;F463&amp;"|"&amp;IF(H463="W3","W3_"&amp;IF(I463="","unknown",I463),H463))</f>
        <v/>
      </c>
      <c r="Q463">
        <f>IF(P463="","",IFERROR(IF(AND(H463="W7",OR(F463="causal",F463="predictive")),IF(AND(OR(K463=1,K463="1"),OR(L463=1,L463="1"),OR(M463=1,M463="1")),"adequate","partial"),IF(AND(H463="W4",F463="predictive",OR(J463="P2",J463="P3",J463="P4")),IF(OR(U463=1,U463="1"),"adequate","partial"),INDEX(Fit_Matrix!$B:$B,MATCH(P463,Fit_Matrix!$A:$A,0)))),"CHECK KEY"))</f>
        <v/>
      </c>
      <c r="U463" s="10" t="n"/>
      <c r="V463" s="10" t="n"/>
      <c r="W463" s="10" t="n"/>
      <c r="X463" s="10" t="n"/>
      <c r="Y463" s="10" t="n"/>
      <c r="Z463" s="10" t="n"/>
      <c r="AA463" s="11">
        <f>IF(A463="","",IF(AND(J463="P4",F463="causal"),"P4-CAUSAL",""))</f>
        <v/>
      </c>
    </row>
    <row r="464" ht="15" customHeight="1" s="1">
      <c r="P464">
        <f>IF(OR(F464="",H464="",J464=""),"",J464&amp;"|"&amp;F464&amp;"|"&amp;IF(H464="W3","W3_"&amp;IF(I464="","unknown",I464),H464))</f>
        <v/>
      </c>
      <c r="Q464">
        <f>IF(P464="","",IFERROR(IF(AND(H464="W7",OR(F464="causal",F464="predictive")),IF(AND(OR(K464=1,K464="1"),OR(L464=1,L464="1"),OR(M464=1,M464="1")),"adequate","partial"),IF(AND(H464="W4",F464="predictive",OR(J464="P2",J464="P3",J464="P4")),IF(OR(U464=1,U464="1"),"adequate","partial"),INDEX(Fit_Matrix!$B:$B,MATCH(P464,Fit_Matrix!$A:$A,0)))),"CHECK KEY"))</f>
        <v/>
      </c>
      <c r="U464" s="10" t="n"/>
      <c r="V464" s="10" t="n"/>
      <c r="W464" s="10" t="n"/>
      <c r="X464" s="10" t="n"/>
      <c r="Y464" s="10" t="n"/>
      <c r="Z464" s="10" t="n"/>
      <c r="AA464" s="11">
        <f>IF(A464="","",IF(AND(J464="P4",F464="causal"),"P4-CAUSAL",""))</f>
        <v/>
      </c>
    </row>
    <row r="465" ht="15" customHeight="1" s="1">
      <c r="P465">
        <f>IF(OR(F465="",H465="",J465=""),"",J465&amp;"|"&amp;F465&amp;"|"&amp;IF(H465="W3","W3_"&amp;IF(I465="","unknown",I465),H465))</f>
        <v/>
      </c>
      <c r="Q465">
        <f>IF(P465="","",IFERROR(IF(AND(H465="W7",OR(F465="causal",F465="predictive")),IF(AND(OR(K465=1,K465="1"),OR(L465=1,L465="1"),OR(M465=1,M465="1")),"adequate","partial"),IF(AND(H465="W4",F465="predictive",OR(J465="P2",J465="P3",J465="P4")),IF(OR(U465=1,U465="1"),"adequate","partial"),INDEX(Fit_Matrix!$B:$B,MATCH(P465,Fit_Matrix!$A:$A,0)))),"CHECK KEY"))</f>
        <v/>
      </c>
      <c r="U465" s="10" t="n"/>
      <c r="V465" s="10" t="n"/>
      <c r="W465" s="10" t="n"/>
      <c r="X465" s="10" t="n"/>
      <c r="Y465" s="10" t="n"/>
      <c r="Z465" s="10" t="n"/>
      <c r="AA465" s="11">
        <f>IF(A465="","",IF(AND(J465="P4",F465="causal"),"P4-CAUSAL",""))</f>
        <v/>
      </c>
    </row>
    <row r="466" ht="15" customHeight="1" s="1">
      <c r="P466">
        <f>IF(OR(F466="",H466="",J466=""),"",J466&amp;"|"&amp;F466&amp;"|"&amp;IF(H466="W3","W3_"&amp;IF(I466="","unknown",I466),H466))</f>
        <v/>
      </c>
      <c r="Q466">
        <f>IF(P466="","",IFERROR(IF(AND(H466="W7",OR(F466="causal",F466="predictive")),IF(AND(OR(K466=1,K466="1"),OR(L466=1,L466="1"),OR(M466=1,M466="1")),"adequate","partial"),IF(AND(H466="W4",F466="predictive",OR(J466="P2",J466="P3",J466="P4")),IF(OR(U466=1,U466="1"),"adequate","partial"),INDEX(Fit_Matrix!$B:$B,MATCH(P466,Fit_Matrix!$A:$A,0)))),"CHECK KEY"))</f>
        <v/>
      </c>
      <c r="U466" s="10" t="n"/>
      <c r="V466" s="10" t="n"/>
      <c r="W466" s="10" t="n"/>
      <c r="X466" s="10" t="n"/>
      <c r="Y466" s="10" t="n"/>
      <c r="Z466" s="10" t="n"/>
      <c r="AA466" s="11">
        <f>IF(A466="","",IF(AND(J466="P4",F466="causal"),"P4-CAUSAL",""))</f>
        <v/>
      </c>
    </row>
    <row r="467" ht="15" customHeight="1" s="1">
      <c r="P467">
        <f>IF(OR(F467="",H467="",J467=""),"",J467&amp;"|"&amp;F467&amp;"|"&amp;IF(H467="W3","W3_"&amp;IF(I467="","unknown",I467),H467))</f>
        <v/>
      </c>
      <c r="Q467">
        <f>IF(P467="","",IFERROR(IF(AND(H467="W7",OR(F467="causal",F467="predictive")),IF(AND(OR(K467=1,K467="1"),OR(L467=1,L467="1"),OR(M467=1,M467="1")),"adequate","partial"),IF(AND(H467="W4",F467="predictive",OR(J467="P2",J467="P3",J467="P4")),IF(OR(U467=1,U467="1"),"adequate","partial"),INDEX(Fit_Matrix!$B:$B,MATCH(P467,Fit_Matrix!$A:$A,0)))),"CHECK KEY"))</f>
        <v/>
      </c>
      <c r="U467" s="10" t="n"/>
      <c r="V467" s="10" t="n"/>
      <c r="W467" s="10" t="n"/>
      <c r="X467" s="10" t="n"/>
      <c r="Y467" s="10" t="n"/>
      <c r="Z467" s="10" t="n"/>
      <c r="AA467" s="11">
        <f>IF(A467="","",IF(AND(J467="P4",F467="causal"),"P4-CAUSAL",""))</f>
        <v/>
      </c>
    </row>
    <row r="468" ht="15" customHeight="1" s="1">
      <c r="P468">
        <f>IF(OR(F468="",H468="",J468=""),"",J468&amp;"|"&amp;F468&amp;"|"&amp;IF(H468="W3","W3_"&amp;IF(I468="","unknown",I468),H468))</f>
        <v/>
      </c>
      <c r="Q468">
        <f>IF(P468="","",IFERROR(IF(AND(H468="W7",OR(F468="causal",F468="predictive")),IF(AND(OR(K468=1,K468="1"),OR(L468=1,L468="1"),OR(M468=1,M468="1")),"adequate","partial"),IF(AND(H468="W4",F468="predictive",OR(J468="P2",J468="P3",J468="P4")),IF(OR(U468=1,U468="1"),"adequate","partial"),INDEX(Fit_Matrix!$B:$B,MATCH(P468,Fit_Matrix!$A:$A,0)))),"CHECK KEY"))</f>
        <v/>
      </c>
      <c r="U468" s="10" t="n"/>
      <c r="V468" s="10" t="n"/>
      <c r="W468" s="10" t="n"/>
      <c r="X468" s="10" t="n"/>
      <c r="Y468" s="10" t="n"/>
      <c r="Z468" s="10" t="n"/>
      <c r="AA468" s="11">
        <f>IF(A468="","",IF(AND(J468="P4",F468="causal"),"P4-CAUSAL",""))</f>
        <v/>
      </c>
    </row>
    <row r="469" ht="15" customHeight="1" s="1">
      <c r="P469">
        <f>IF(OR(F469="",H469="",J469=""),"",J469&amp;"|"&amp;F469&amp;"|"&amp;IF(H469="W3","W3_"&amp;IF(I469="","unknown",I469),H469))</f>
        <v/>
      </c>
      <c r="Q469">
        <f>IF(P469="","",IFERROR(IF(AND(H469="W7",OR(F469="causal",F469="predictive")),IF(AND(OR(K469=1,K469="1"),OR(L469=1,L469="1"),OR(M469=1,M469="1")),"adequate","partial"),IF(AND(H469="W4",F469="predictive",OR(J469="P2",J469="P3",J469="P4")),IF(OR(U469=1,U469="1"),"adequate","partial"),INDEX(Fit_Matrix!$B:$B,MATCH(P469,Fit_Matrix!$A:$A,0)))),"CHECK KEY"))</f>
        <v/>
      </c>
      <c r="U469" s="10" t="n"/>
      <c r="V469" s="10" t="n"/>
      <c r="W469" s="10" t="n"/>
      <c r="X469" s="10" t="n"/>
      <c r="Y469" s="10" t="n"/>
      <c r="Z469" s="10" t="n"/>
      <c r="AA469" s="11">
        <f>IF(A469="","",IF(AND(J469="P4",F469="causal"),"P4-CAUSAL",""))</f>
        <v/>
      </c>
    </row>
    <row r="470" ht="15" customHeight="1" s="1">
      <c r="P470">
        <f>IF(OR(F470="",H470="",J470=""),"",J470&amp;"|"&amp;F470&amp;"|"&amp;IF(H470="W3","W3_"&amp;IF(I470="","unknown",I470),H470))</f>
        <v/>
      </c>
      <c r="Q470">
        <f>IF(P470="","",IFERROR(IF(AND(H470="W7",OR(F470="causal",F470="predictive")),IF(AND(OR(K470=1,K470="1"),OR(L470=1,L470="1"),OR(M470=1,M470="1")),"adequate","partial"),IF(AND(H470="W4",F470="predictive",OR(J470="P2",J470="P3",J470="P4")),IF(OR(U470=1,U470="1"),"adequate","partial"),INDEX(Fit_Matrix!$B:$B,MATCH(P470,Fit_Matrix!$A:$A,0)))),"CHECK KEY"))</f>
        <v/>
      </c>
      <c r="U470" s="10" t="n"/>
      <c r="V470" s="10" t="n"/>
      <c r="W470" s="10" t="n"/>
      <c r="X470" s="10" t="n"/>
      <c r="Y470" s="10" t="n"/>
      <c r="Z470" s="10" t="n"/>
      <c r="AA470" s="11">
        <f>IF(A470="","",IF(AND(J470="P4",F470="causal"),"P4-CAUSAL",""))</f>
        <v/>
      </c>
    </row>
    <row r="471" ht="15" customHeight="1" s="1">
      <c r="P471">
        <f>IF(OR(F471="",H471="",J471=""),"",J471&amp;"|"&amp;F471&amp;"|"&amp;IF(H471="W3","W3_"&amp;IF(I471="","unknown",I471),H471))</f>
        <v/>
      </c>
      <c r="Q471">
        <f>IF(P471="","",IFERROR(IF(AND(H471="W7",OR(F471="causal",F471="predictive")),IF(AND(OR(K471=1,K471="1"),OR(L471=1,L471="1"),OR(M471=1,M471="1")),"adequate","partial"),IF(AND(H471="W4",F471="predictive",OR(J471="P2",J471="P3",J471="P4")),IF(OR(U471=1,U471="1"),"adequate","partial"),INDEX(Fit_Matrix!$B:$B,MATCH(P471,Fit_Matrix!$A:$A,0)))),"CHECK KEY"))</f>
        <v/>
      </c>
      <c r="U471" s="10" t="n"/>
      <c r="V471" s="10" t="n"/>
      <c r="W471" s="10" t="n"/>
      <c r="X471" s="10" t="n"/>
      <c r="Y471" s="10" t="n"/>
      <c r="Z471" s="10" t="n"/>
      <c r="AA471" s="11">
        <f>IF(A471="","",IF(AND(J471="P4",F471="causal"),"P4-CAUSAL",""))</f>
        <v/>
      </c>
    </row>
    <row r="472" ht="15" customHeight="1" s="1">
      <c r="P472">
        <f>IF(OR(F472="",H472="",J472=""),"",J472&amp;"|"&amp;F472&amp;"|"&amp;IF(H472="W3","W3_"&amp;IF(I472="","unknown",I472),H472))</f>
        <v/>
      </c>
      <c r="Q472">
        <f>IF(P472="","",IFERROR(IF(AND(H472="W7",OR(F472="causal",F472="predictive")),IF(AND(OR(K472=1,K472="1"),OR(L472=1,L472="1"),OR(M472=1,M472="1")),"adequate","partial"),IF(AND(H472="W4",F472="predictive",OR(J472="P2",J472="P3",J472="P4")),IF(OR(U472=1,U472="1"),"adequate","partial"),INDEX(Fit_Matrix!$B:$B,MATCH(P472,Fit_Matrix!$A:$A,0)))),"CHECK KEY"))</f>
        <v/>
      </c>
      <c r="U472" s="10" t="n"/>
      <c r="V472" s="10" t="n"/>
      <c r="W472" s="10" t="n"/>
      <c r="X472" s="10" t="n"/>
      <c r="Y472" s="10" t="n"/>
      <c r="Z472" s="10" t="n"/>
      <c r="AA472" s="11">
        <f>IF(A472="","",IF(AND(J472="P4",F472="causal"),"P4-CAUSAL",""))</f>
        <v/>
      </c>
    </row>
    <row r="473" ht="15" customHeight="1" s="1">
      <c r="P473">
        <f>IF(OR(F473="",H473="",J473=""),"",J473&amp;"|"&amp;F473&amp;"|"&amp;IF(H473="W3","W3_"&amp;IF(I473="","unknown",I473),H473))</f>
        <v/>
      </c>
      <c r="Q473">
        <f>IF(P473="","",IFERROR(IF(AND(H473="W7",OR(F473="causal",F473="predictive")),IF(AND(OR(K473=1,K473="1"),OR(L473=1,L473="1"),OR(M473=1,M473="1")),"adequate","partial"),IF(AND(H473="W4",F473="predictive",OR(J473="P2",J473="P3",J473="P4")),IF(OR(U473=1,U473="1"),"adequate","partial"),INDEX(Fit_Matrix!$B:$B,MATCH(P473,Fit_Matrix!$A:$A,0)))),"CHECK KEY"))</f>
        <v/>
      </c>
      <c r="U473" s="10" t="n"/>
      <c r="V473" s="10" t="n"/>
      <c r="W473" s="10" t="n"/>
      <c r="X473" s="10" t="n"/>
      <c r="Y473" s="10" t="n"/>
      <c r="Z473" s="10" t="n"/>
      <c r="AA473" s="11">
        <f>IF(A473="","",IF(AND(J473="P4",F473="causal"),"P4-CAUSAL",""))</f>
        <v/>
      </c>
    </row>
    <row r="474" ht="15" customHeight="1" s="1">
      <c r="P474">
        <f>IF(OR(F474="",H474="",J474=""),"",J474&amp;"|"&amp;F474&amp;"|"&amp;IF(H474="W3","W3_"&amp;IF(I474="","unknown",I474),H474))</f>
        <v/>
      </c>
      <c r="Q474">
        <f>IF(P474="","",IFERROR(IF(AND(H474="W7",OR(F474="causal",F474="predictive")),IF(AND(OR(K474=1,K474="1"),OR(L474=1,L474="1"),OR(M474=1,M474="1")),"adequate","partial"),IF(AND(H474="W4",F474="predictive",OR(J474="P2",J474="P3",J474="P4")),IF(OR(U474=1,U474="1"),"adequate","partial"),INDEX(Fit_Matrix!$B:$B,MATCH(P474,Fit_Matrix!$A:$A,0)))),"CHECK KEY"))</f>
        <v/>
      </c>
      <c r="U474" s="10" t="n"/>
      <c r="V474" s="10" t="n"/>
      <c r="W474" s="10" t="n"/>
      <c r="X474" s="10" t="n"/>
      <c r="Y474" s="10" t="n"/>
      <c r="Z474" s="10" t="n"/>
      <c r="AA474" s="11">
        <f>IF(A474="","",IF(AND(J474="P4",F474="causal"),"P4-CAUSAL",""))</f>
        <v/>
      </c>
    </row>
    <row r="475" ht="15" customHeight="1" s="1">
      <c r="P475">
        <f>IF(OR(F475="",H475="",J475=""),"",J475&amp;"|"&amp;F475&amp;"|"&amp;IF(H475="W3","W3_"&amp;IF(I475="","unknown",I475),H475))</f>
        <v/>
      </c>
      <c r="Q475">
        <f>IF(P475="","",IFERROR(IF(AND(H475="W7",OR(F475="causal",F475="predictive")),IF(AND(OR(K475=1,K475="1"),OR(L475=1,L475="1"),OR(M475=1,M475="1")),"adequate","partial"),IF(AND(H475="W4",F475="predictive",OR(J475="P2",J475="P3",J475="P4")),IF(OR(U475=1,U475="1"),"adequate","partial"),INDEX(Fit_Matrix!$B:$B,MATCH(P475,Fit_Matrix!$A:$A,0)))),"CHECK KEY"))</f>
        <v/>
      </c>
      <c r="U475" s="10" t="n"/>
      <c r="V475" s="10" t="n"/>
      <c r="W475" s="10" t="n"/>
      <c r="X475" s="10" t="n"/>
      <c r="Y475" s="10" t="n"/>
      <c r="Z475" s="10" t="n"/>
      <c r="AA475" s="11">
        <f>IF(A475="","",IF(AND(J475="P4",F475="causal"),"P4-CAUSAL",""))</f>
        <v/>
      </c>
    </row>
    <row r="476" ht="15" customHeight="1" s="1">
      <c r="P476">
        <f>IF(OR(F476="",H476="",J476=""),"",J476&amp;"|"&amp;F476&amp;"|"&amp;IF(H476="W3","W3_"&amp;IF(I476="","unknown",I476),H476))</f>
        <v/>
      </c>
      <c r="Q476">
        <f>IF(P476="","",IFERROR(IF(AND(H476="W7",OR(F476="causal",F476="predictive")),IF(AND(OR(K476=1,K476="1"),OR(L476=1,L476="1"),OR(M476=1,M476="1")),"adequate","partial"),IF(AND(H476="W4",F476="predictive",OR(J476="P2",J476="P3",J476="P4")),IF(OR(U476=1,U476="1"),"adequate","partial"),INDEX(Fit_Matrix!$B:$B,MATCH(P476,Fit_Matrix!$A:$A,0)))),"CHECK KEY"))</f>
        <v/>
      </c>
      <c r="U476" s="10" t="n"/>
      <c r="V476" s="10" t="n"/>
      <c r="W476" s="10" t="n"/>
      <c r="X476" s="10" t="n"/>
      <c r="Y476" s="10" t="n"/>
      <c r="Z476" s="10" t="n"/>
      <c r="AA476" s="11">
        <f>IF(A476="","",IF(AND(J476="P4",F476="causal"),"P4-CAUSAL",""))</f>
        <v/>
      </c>
    </row>
    <row r="477" ht="15" customHeight="1" s="1">
      <c r="P477">
        <f>IF(OR(F477="",H477="",J477=""),"",J477&amp;"|"&amp;F477&amp;"|"&amp;IF(H477="W3","W3_"&amp;IF(I477="","unknown",I477),H477))</f>
        <v/>
      </c>
      <c r="Q477">
        <f>IF(P477="","",IFERROR(IF(AND(H477="W7",OR(F477="causal",F477="predictive")),IF(AND(OR(K477=1,K477="1"),OR(L477=1,L477="1"),OR(M477=1,M477="1")),"adequate","partial"),IF(AND(H477="W4",F477="predictive",OR(J477="P2",J477="P3",J477="P4")),IF(OR(U477=1,U477="1"),"adequate","partial"),INDEX(Fit_Matrix!$B:$B,MATCH(P477,Fit_Matrix!$A:$A,0)))),"CHECK KEY"))</f>
        <v/>
      </c>
      <c r="U477" s="10" t="n"/>
      <c r="V477" s="10" t="n"/>
      <c r="W477" s="10" t="n"/>
      <c r="X477" s="10" t="n"/>
      <c r="Y477" s="10" t="n"/>
      <c r="Z477" s="10" t="n"/>
      <c r="AA477" s="11">
        <f>IF(A477="","",IF(AND(J477="P4",F477="causal"),"P4-CAUSAL",""))</f>
        <v/>
      </c>
    </row>
    <row r="478" ht="15" customHeight="1" s="1">
      <c r="P478">
        <f>IF(OR(F478="",H478="",J478=""),"",J478&amp;"|"&amp;F478&amp;"|"&amp;IF(H478="W3","W3_"&amp;IF(I478="","unknown",I478),H478))</f>
        <v/>
      </c>
      <c r="Q478">
        <f>IF(P478="","",IFERROR(IF(AND(H478="W7",OR(F478="causal",F478="predictive")),IF(AND(OR(K478=1,K478="1"),OR(L478=1,L478="1"),OR(M478=1,M478="1")),"adequate","partial"),IF(AND(H478="W4",F478="predictive",OR(J478="P2",J478="P3",J478="P4")),IF(OR(U478=1,U478="1"),"adequate","partial"),INDEX(Fit_Matrix!$B:$B,MATCH(P478,Fit_Matrix!$A:$A,0)))),"CHECK KEY"))</f>
        <v/>
      </c>
      <c r="U478" s="10" t="n"/>
      <c r="V478" s="10" t="n"/>
      <c r="W478" s="10" t="n"/>
      <c r="X478" s="10" t="n"/>
      <c r="Y478" s="10" t="n"/>
      <c r="Z478" s="10" t="n"/>
      <c r="AA478" s="11">
        <f>IF(A478="","",IF(AND(J478="P4",F478="causal"),"P4-CAUSAL",""))</f>
        <v/>
      </c>
    </row>
    <row r="479" ht="15" customHeight="1" s="1">
      <c r="P479">
        <f>IF(OR(F479="",H479="",J479=""),"",J479&amp;"|"&amp;F479&amp;"|"&amp;IF(H479="W3","W3_"&amp;IF(I479="","unknown",I479),H479))</f>
        <v/>
      </c>
      <c r="Q479">
        <f>IF(P479="","",IFERROR(IF(AND(H479="W7",OR(F479="causal",F479="predictive")),IF(AND(OR(K479=1,K479="1"),OR(L479=1,L479="1"),OR(M479=1,M479="1")),"adequate","partial"),IF(AND(H479="W4",F479="predictive",OR(J479="P2",J479="P3",J479="P4")),IF(OR(U479=1,U479="1"),"adequate","partial"),INDEX(Fit_Matrix!$B:$B,MATCH(P479,Fit_Matrix!$A:$A,0)))),"CHECK KEY"))</f>
        <v/>
      </c>
      <c r="U479" s="10" t="n"/>
      <c r="V479" s="10" t="n"/>
      <c r="W479" s="10" t="n"/>
      <c r="X479" s="10" t="n"/>
      <c r="Y479" s="10" t="n"/>
      <c r="Z479" s="10" t="n"/>
      <c r="AA479" s="11">
        <f>IF(A479="","",IF(AND(J479="P4",F479="causal"),"P4-CAUSAL",""))</f>
        <v/>
      </c>
    </row>
    <row r="480" ht="15" customHeight="1" s="1">
      <c r="P480">
        <f>IF(OR(F480="",H480="",J480=""),"",J480&amp;"|"&amp;F480&amp;"|"&amp;IF(H480="W3","W3_"&amp;IF(I480="","unknown",I480),H480))</f>
        <v/>
      </c>
      <c r="Q480">
        <f>IF(P480="","",IFERROR(IF(AND(H480="W7",OR(F480="causal",F480="predictive")),IF(AND(OR(K480=1,K480="1"),OR(L480=1,L480="1"),OR(M480=1,M480="1")),"adequate","partial"),IF(AND(H480="W4",F480="predictive",OR(J480="P2",J480="P3",J480="P4")),IF(OR(U480=1,U480="1"),"adequate","partial"),INDEX(Fit_Matrix!$B:$B,MATCH(P480,Fit_Matrix!$A:$A,0)))),"CHECK KEY"))</f>
        <v/>
      </c>
      <c r="U480" s="10" t="n"/>
      <c r="V480" s="10" t="n"/>
      <c r="W480" s="10" t="n"/>
      <c r="X480" s="10" t="n"/>
      <c r="Y480" s="10" t="n"/>
      <c r="Z480" s="10" t="n"/>
      <c r="AA480" s="11">
        <f>IF(A480="","",IF(AND(J480="P4",F480="causal"),"P4-CAUSAL",""))</f>
        <v/>
      </c>
    </row>
    <row r="481" ht="15" customHeight="1" s="1">
      <c r="P481">
        <f>IF(OR(F481="",H481="",J481=""),"",J481&amp;"|"&amp;F481&amp;"|"&amp;IF(H481="W3","W3_"&amp;IF(I481="","unknown",I481),H481))</f>
        <v/>
      </c>
      <c r="Q481">
        <f>IF(P481="","",IFERROR(IF(AND(H481="W7",OR(F481="causal",F481="predictive")),IF(AND(OR(K481=1,K481="1"),OR(L481=1,L481="1"),OR(M481=1,M481="1")),"adequate","partial"),IF(AND(H481="W4",F481="predictive",OR(J481="P2",J481="P3",J481="P4")),IF(OR(U481=1,U481="1"),"adequate","partial"),INDEX(Fit_Matrix!$B:$B,MATCH(P481,Fit_Matrix!$A:$A,0)))),"CHECK KEY"))</f>
        <v/>
      </c>
      <c r="U481" s="10" t="n"/>
      <c r="V481" s="10" t="n"/>
      <c r="W481" s="10" t="n"/>
      <c r="X481" s="10" t="n"/>
      <c r="Y481" s="10" t="n"/>
      <c r="Z481" s="10" t="n"/>
      <c r="AA481" s="11">
        <f>IF(A481="","",IF(AND(J481="P4",F481="causal"),"P4-CAUSAL",""))</f>
        <v/>
      </c>
    </row>
    <row r="482" ht="15" customHeight="1" s="1">
      <c r="P482">
        <f>IF(OR(F482="",H482="",J482=""),"",J482&amp;"|"&amp;F482&amp;"|"&amp;IF(H482="W3","W3_"&amp;IF(I482="","unknown",I482),H482))</f>
        <v/>
      </c>
      <c r="Q482">
        <f>IF(P482="","",IFERROR(IF(AND(H482="W7",OR(F482="causal",F482="predictive")),IF(AND(OR(K482=1,K482="1"),OR(L482=1,L482="1"),OR(M482=1,M482="1")),"adequate","partial"),IF(AND(H482="W4",F482="predictive",OR(J482="P2",J482="P3",J482="P4")),IF(OR(U482=1,U482="1"),"adequate","partial"),INDEX(Fit_Matrix!$B:$B,MATCH(P482,Fit_Matrix!$A:$A,0)))),"CHECK KEY"))</f>
        <v/>
      </c>
      <c r="U482" s="10" t="n"/>
      <c r="V482" s="10" t="n"/>
      <c r="W482" s="10" t="n"/>
      <c r="X482" s="10" t="n"/>
      <c r="Y482" s="10" t="n"/>
      <c r="Z482" s="10" t="n"/>
      <c r="AA482" s="11">
        <f>IF(A482="","",IF(AND(J482="P4",F482="causal"),"P4-CAUSAL",""))</f>
        <v/>
      </c>
    </row>
    <row r="483" ht="15" customHeight="1" s="1">
      <c r="P483">
        <f>IF(OR(F483="",H483="",J483=""),"",J483&amp;"|"&amp;F483&amp;"|"&amp;IF(H483="W3","W3_"&amp;IF(I483="","unknown",I483),H483))</f>
        <v/>
      </c>
      <c r="Q483">
        <f>IF(P483="","",IFERROR(IF(AND(H483="W7",OR(F483="causal",F483="predictive")),IF(AND(OR(K483=1,K483="1"),OR(L483=1,L483="1"),OR(M483=1,M483="1")),"adequate","partial"),IF(AND(H483="W4",F483="predictive",OR(J483="P2",J483="P3",J483="P4")),IF(OR(U483=1,U483="1"),"adequate","partial"),INDEX(Fit_Matrix!$B:$B,MATCH(P483,Fit_Matrix!$A:$A,0)))),"CHECK KEY"))</f>
        <v/>
      </c>
      <c r="U483" s="10" t="n"/>
      <c r="V483" s="10" t="n"/>
      <c r="W483" s="10" t="n"/>
      <c r="X483" s="10" t="n"/>
      <c r="Y483" s="10" t="n"/>
      <c r="Z483" s="10" t="n"/>
      <c r="AA483" s="11">
        <f>IF(A483="","",IF(AND(J483="P4",F483="causal"),"P4-CAUSAL",""))</f>
        <v/>
      </c>
    </row>
    <row r="484" ht="15" customHeight="1" s="1">
      <c r="P484">
        <f>IF(OR(F484="",H484="",J484=""),"",J484&amp;"|"&amp;F484&amp;"|"&amp;IF(H484="W3","W3_"&amp;IF(I484="","unknown",I484),H484))</f>
        <v/>
      </c>
      <c r="Q484">
        <f>IF(P484="","",IFERROR(IF(AND(H484="W7",OR(F484="causal",F484="predictive")),IF(AND(OR(K484=1,K484="1"),OR(L484=1,L484="1"),OR(M484=1,M484="1")),"adequate","partial"),IF(AND(H484="W4",F484="predictive",OR(J484="P2",J484="P3",J484="P4")),IF(OR(U484=1,U484="1"),"adequate","partial"),INDEX(Fit_Matrix!$B:$B,MATCH(P484,Fit_Matrix!$A:$A,0)))),"CHECK KEY"))</f>
        <v/>
      </c>
      <c r="U484" s="10" t="n"/>
      <c r="V484" s="10" t="n"/>
      <c r="W484" s="10" t="n"/>
      <c r="X484" s="10" t="n"/>
      <c r="Y484" s="10" t="n"/>
      <c r="Z484" s="10" t="n"/>
      <c r="AA484" s="11">
        <f>IF(A484="","",IF(AND(J484="P4",F484="causal"),"P4-CAUSAL",""))</f>
        <v/>
      </c>
    </row>
    <row r="485" ht="15" customHeight="1" s="1">
      <c r="P485">
        <f>IF(OR(F485="",H485="",J485=""),"",J485&amp;"|"&amp;F485&amp;"|"&amp;IF(H485="W3","W3_"&amp;IF(I485="","unknown",I485),H485))</f>
        <v/>
      </c>
      <c r="Q485">
        <f>IF(P485="","",IFERROR(IF(AND(H485="W7",OR(F485="causal",F485="predictive")),IF(AND(OR(K485=1,K485="1"),OR(L485=1,L485="1"),OR(M485=1,M485="1")),"adequate","partial"),IF(AND(H485="W4",F485="predictive",OR(J485="P2",J485="P3",J485="P4")),IF(OR(U485=1,U485="1"),"adequate","partial"),INDEX(Fit_Matrix!$B:$B,MATCH(P485,Fit_Matrix!$A:$A,0)))),"CHECK KEY"))</f>
        <v/>
      </c>
      <c r="U485" s="10" t="n"/>
      <c r="V485" s="10" t="n"/>
      <c r="W485" s="10" t="n"/>
      <c r="X485" s="10" t="n"/>
      <c r="Y485" s="10" t="n"/>
      <c r="Z485" s="10" t="n"/>
      <c r="AA485" s="11">
        <f>IF(A485="","",IF(AND(J485="P4",F485="causal"),"P4-CAUSAL",""))</f>
        <v/>
      </c>
    </row>
    <row r="486" ht="15" customHeight="1" s="1">
      <c r="P486">
        <f>IF(OR(F486="",H486="",J486=""),"",J486&amp;"|"&amp;F486&amp;"|"&amp;IF(H486="W3","W3_"&amp;IF(I486="","unknown",I486),H486))</f>
        <v/>
      </c>
      <c r="Q486">
        <f>IF(P486="","",IFERROR(IF(AND(H486="W7",OR(F486="causal",F486="predictive")),IF(AND(OR(K486=1,K486="1"),OR(L486=1,L486="1"),OR(M486=1,M486="1")),"adequate","partial"),IF(AND(H486="W4",F486="predictive",OR(J486="P2",J486="P3",J486="P4")),IF(OR(U486=1,U486="1"),"adequate","partial"),INDEX(Fit_Matrix!$B:$B,MATCH(P486,Fit_Matrix!$A:$A,0)))),"CHECK KEY"))</f>
        <v/>
      </c>
      <c r="U486" s="10" t="n"/>
      <c r="V486" s="10" t="n"/>
      <c r="W486" s="10" t="n"/>
      <c r="X486" s="10" t="n"/>
      <c r="Y486" s="10" t="n"/>
      <c r="Z486" s="10" t="n"/>
      <c r="AA486" s="11">
        <f>IF(A486="","",IF(AND(J486="P4",F486="causal"),"P4-CAUSAL",""))</f>
        <v/>
      </c>
    </row>
    <row r="487" ht="15" customHeight="1" s="1">
      <c r="P487">
        <f>IF(OR(F487="",H487="",J487=""),"",J487&amp;"|"&amp;F487&amp;"|"&amp;IF(H487="W3","W3_"&amp;IF(I487="","unknown",I487),H487))</f>
        <v/>
      </c>
      <c r="Q487">
        <f>IF(P487="","",IFERROR(IF(AND(H487="W7",OR(F487="causal",F487="predictive")),IF(AND(OR(K487=1,K487="1"),OR(L487=1,L487="1"),OR(M487=1,M487="1")),"adequate","partial"),IF(AND(H487="W4",F487="predictive",OR(J487="P2",J487="P3",J487="P4")),IF(OR(U487=1,U487="1"),"adequate","partial"),INDEX(Fit_Matrix!$B:$B,MATCH(P487,Fit_Matrix!$A:$A,0)))),"CHECK KEY"))</f>
        <v/>
      </c>
      <c r="U487" s="10" t="n"/>
      <c r="V487" s="10" t="n"/>
      <c r="W487" s="10" t="n"/>
      <c r="X487" s="10" t="n"/>
      <c r="Y487" s="10" t="n"/>
      <c r="Z487" s="10" t="n"/>
      <c r="AA487" s="11">
        <f>IF(A487="","",IF(AND(J487="P4",F487="causal"),"P4-CAUSAL",""))</f>
        <v/>
      </c>
    </row>
    <row r="488" ht="15" customHeight="1" s="1">
      <c r="P488">
        <f>IF(OR(F488="",H488="",J488=""),"",J488&amp;"|"&amp;F488&amp;"|"&amp;IF(H488="W3","W3_"&amp;IF(I488="","unknown",I488),H488))</f>
        <v/>
      </c>
      <c r="Q488">
        <f>IF(P488="","",IFERROR(IF(AND(H488="W7",OR(F488="causal",F488="predictive")),IF(AND(OR(K488=1,K488="1"),OR(L488=1,L488="1"),OR(M488=1,M488="1")),"adequate","partial"),IF(AND(H488="W4",F488="predictive",OR(J488="P2",J488="P3",J488="P4")),IF(OR(U488=1,U488="1"),"adequate","partial"),INDEX(Fit_Matrix!$B:$B,MATCH(P488,Fit_Matrix!$A:$A,0)))),"CHECK KEY"))</f>
        <v/>
      </c>
      <c r="U488" s="10" t="n"/>
      <c r="V488" s="10" t="n"/>
      <c r="W488" s="10" t="n"/>
      <c r="X488" s="10" t="n"/>
      <c r="Y488" s="10" t="n"/>
      <c r="Z488" s="10" t="n"/>
      <c r="AA488" s="11">
        <f>IF(A488="","",IF(AND(J488="P4",F488="causal"),"P4-CAUSAL",""))</f>
        <v/>
      </c>
    </row>
    <row r="489" ht="15" customHeight="1" s="1">
      <c r="P489">
        <f>IF(OR(F489="",H489="",J489=""),"",J489&amp;"|"&amp;F489&amp;"|"&amp;IF(H489="W3","W3_"&amp;IF(I489="","unknown",I489),H489))</f>
        <v/>
      </c>
      <c r="Q489">
        <f>IF(P489="","",IFERROR(IF(AND(H489="W7",OR(F489="causal",F489="predictive")),IF(AND(OR(K489=1,K489="1"),OR(L489=1,L489="1"),OR(M489=1,M489="1")),"adequate","partial"),IF(AND(H489="W4",F489="predictive",OR(J489="P2",J489="P3",J489="P4")),IF(OR(U489=1,U489="1"),"adequate","partial"),INDEX(Fit_Matrix!$B:$B,MATCH(P489,Fit_Matrix!$A:$A,0)))),"CHECK KEY"))</f>
        <v/>
      </c>
      <c r="U489" s="10" t="n"/>
      <c r="V489" s="10" t="n"/>
      <c r="W489" s="10" t="n"/>
      <c r="X489" s="10" t="n"/>
      <c r="Y489" s="10" t="n"/>
      <c r="Z489" s="10" t="n"/>
      <c r="AA489" s="11">
        <f>IF(A489="","",IF(AND(J489="P4",F489="causal"),"P4-CAUSAL",""))</f>
        <v/>
      </c>
    </row>
    <row r="490" ht="15" customHeight="1" s="1">
      <c r="P490">
        <f>IF(OR(F490="",H490="",J490=""),"",J490&amp;"|"&amp;F490&amp;"|"&amp;IF(H490="W3","W3_"&amp;IF(I490="","unknown",I490),H490))</f>
        <v/>
      </c>
      <c r="Q490">
        <f>IF(P490="","",IFERROR(IF(AND(H490="W7",OR(F490="causal",F490="predictive")),IF(AND(OR(K490=1,K490="1"),OR(L490=1,L490="1"),OR(M490=1,M490="1")),"adequate","partial"),IF(AND(H490="W4",F490="predictive",OR(J490="P2",J490="P3",J490="P4")),IF(OR(U490=1,U490="1"),"adequate","partial"),INDEX(Fit_Matrix!$B:$B,MATCH(P490,Fit_Matrix!$A:$A,0)))),"CHECK KEY"))</f>
        <v/>
      </c>
      <c r="U490" s="10" t="n"/>
      <c r="V490" s="10" t="n"/>
      <c r="W490" s="10" t="n"/>
      <c r="X490" s="10" t="n"/>
      <c r="Y490" s="10" t="n"/>
      <c r="Z490" s="10" t="n"/>
      <c r="AA490" s="11">
        <f>IF(A490="","",IF(AND(J490="P4",F490="causal"),"P4-CAUSAL",""))</f>
        <v/>
      </c>
    </row>
    <row r="491" ht="15" customHeight="1" s="1">
      <c r="P491">
        <f>IF(OR(F491="",H491="",J491=""),"",J491&amp;"|"&amp;F491&amp;"|"&amp;IF(H491="W3","W3_"&amp;IF(I491="","unknown",I491),H491))</f>
        <v/>
      </c>
      <c r="Q491">
        <f>IF(P491="","",IFERROR(IF(AND(H491="W7",OR(F491="causal",F491="predictive")),IF(AND(OR(K491=1,K491="1"),OR(L491=1,L491="1"),OR(M491=1,M491="1")),"adequate","partial"),IF(AND(H491="W4",F491="predictive",OR(J491="P2",J491="P3",J491="P4")),IF(OR(U491=1,U491="1"),"adequate","partial"),INDEX(Fit_Matrix!$B:$B,MATCH(P491,Fit_Matrix!$A:$A,0)))),"CHECK KEY"))</f>
        <v/>
      </c>
      <c r="U491" s="10" t="n"/>
      <c r="V491" s="10" t="n"/>
      <c r="W491" s="10" t="n"/>
      <c r="X491" s="10" t="n"/>
      <c r="Y491" s="10" t="n"/>
      <c r="Z491" s="10" t="n"/>
      <c r="AA491" s="11">
        <f>IF(A491="","",IF(AND(J491="P4",F491="causal"),"P4-CAUSAL",""))</f>
        <v/>
      </c>
    </row>
    <row r="492" ht="15" customHeight="1" s="1">
      <c r="P492">
        <f>IF(OR(F492="",H492="",J492=""),"",J492&amp;"|"&amp;F492&amp;"|"&amp;IF(H492="W3","W3_"&amp;IF(I492="","unknown",I492),H492))</f>
        <v/>
      </c>
      <c r="Q492">
        <f>IF(P492="","",IFERROR(IF(AND(H492="W7",OR(F492="causal",F492="predictive")),IF(AND(OR(K492=1,K492="1"),OR(L492=1,L492="1"),OR(M492=1,M492="1")),"adequate","partial"),IF(AND(H492="W4",F492="predictive",OR(J492="P2",J492="P3",J492="P4")),IF(OR(U492=1,U492="1"),"adequate","partial"),INDEX(Fit_Matrix!$B:$B,MATCH(P492,Fit_Matrix!$A:$A,0)))),"CHECK KEY"))</f>
        <v/>
      </c>
      <c r="U492" s="10" t="n"/>
      <c r="V492" s="10" t="n"/>
      <c r="W492" s="10" t="n"/>
      <c r="X492" s="10" t="n"/>
      <c r="Y492" s="10" t="n"/>
      <c r="Z492" s="10" t="n"/>
      <c r="AA492" s="11">
        <f>IF(A492="","",IF(AND(J492="P4",F492="causal"),"P4-CAUSAL",""))</f>
        <v/>
      </c>
    </row>
    <row r="493" ht="15" customHeight="1" s="1">
      <c r="P493">
        <f>IF(OR(F493="",H493="",J493=""),"",J493&amp;"|"&amp;F493&amp;"|"&amp;IF(H493="W3","W3_"&amp;IF(I493="","unknown",I493),H493))</f>
        <v/>
      </c>
      <c r="Q493">
        <f>IF(P493="","",IFERROR(IF(AND(H493="W7",OR(F493="causal",F493="predictive")),IF(AND(OR(K493=1,K493="1"),OR(L493=1,L493="1"),OR(M493=1,M493="1")),"adequate","partial"),IF(AND(H493="W4",F493="predictive",OR(J493="P2",J493="P3",J493="P4")),IF(OR(U493=1,U493="1"),"adequate","partial"),INDEX(Fit_Matrix!$B:$B,MATCH(P493,Fit_Matrix!$A:$A,0)))),"CHECK KEY"))</f>
        <v/>
      </c>
      <c r="U493" s="10" t="n"/>
      <c r="V493" s="10" t="n"/>
      <c r="W493" s="10" t="n"/>
      <c r="X493" s="10" t="n"/>
      <c r="Y493" s="10" t="n"/>
      <c r="Z493" s="10" t="n"/>
      <c r="AA493" s="11">
        <f>IF(A493="","",IF(AND(J493="P4",F493="causal"),"P4-CAUSAL",""))</f>
        <v/>
      </c>
    </row>
    <row r="494" ht="15" customHeight="1" s="1">
      <c r="P494">
        <f>IF(OR(F494="",H494="",J494=""),"",J494&amp;"|"&amp;F494&amp;"|"&amp;IF(H494="W3","W3_"&amp;IF(I494="","unknown",I494),H494))</f>
        <v/>
      </c>
      <c r="Q494">
        <f>IF(P494="","",IFERROR(IF(AND(H494="W7",OR(F494="causal",F494="predictive")),IF(AND(OR(K494=1,K494="1"),OR(L494=1,L494="1"),OR(M494=1,M494="1")),"adequate","partial"),IF(AND(H494="W4",F494="predictive",OR(J494="P2",J494="P3",J494="P4")),IF(OR(U494=1,U494="1"),"adequate","partial"),INDEX(Fit_Matrix!$B:$B,MATCH(P494,Fit_Matrix!$A:$A,0)))),"CHECK KEY"))</f>
        <v/>
      </c>
      <c r="U494" s="10" t="n"/>
      <c r="V494" s="10" t="n"/>
      <c r="W494" s="10" t="n"/>
      <c r="X494" s="10" t="n"/>
      <c r="Y494" s="10" t="n"/>
      <c r="Z494" s="10" t="n"/>
      <c r="AA494" s="11">
        <f>IF(A494="","",IF(AND(J494="P4",F494="causal"),"P4-CAUSAL",""))</f>
        <v/>
      </c>
    </row>
    <row r="495" ht="15" customHeight="1" s="1">
      <c r="P495">
        <f>IF(OR(F495="",H495="",J495=""),"",J495&amp;"|"&amp;F495&amp;"|"&amp;IF(H495="W3","W3_"&amp;IF(I495="","unknown",I495),H495))</f>
        <v/>
      </c>
      <c r="Q495">
        <f>IF(P495="","",IFERROR(IF(AND(H495="W7",OR(F495="causal",F495="predictive")),IF(AND(OR(K495=1,K495="1"),OR(L495=1,L495="1"),OR(M495=1,M495="1")),"adequate","partial"),IF(AND(H495="W4",F495="predictive",OR(J495="P2",J495="P3",J495="P4")),IF(OR(U495=1,U495="1"),"adequate","partial"),INDEX(Fit_Matrix!$B:$B,MATCH(P495,Fit_Matrix!$A:$A,0)))),"CHECK KEY"))</f>
        <v/>
      </c>
      <c r="U495" s="10" t="n"/>
      <c r="V495" s="10" t="n"/>
      <c r="W495" s="10" t="n"/>
      <c r="X495" s="10" t="n"/>
      <c r="Y495" s="10" t="n"/>
      <c r="Z495" s="10" t="n"/>
      <c r="AA495" s="11">
        <f>IF(A495="","",IF(AND(J495="P4",F495="causal"),"P4-CAUSAL",""))</f>
        <v/>
      </c>
    </row>
    <row r="496" ht="15" customHeight="1" s="1">
      <c r="P496">
        <f>IF(OR(F496="",H496="",J496=""),"",J496&amp;"|"&amp;F496&amp;"|"&amp;IF(H496="W3","W3_"&amp;IF(I496="","unknown",I496),H496))</f>
        <v/>
      </c>
      <c r="Q496">
        <f>IF(P496="","",IFERROR(IF(AND(H496="W7",OR(F496="causal",F496="predictive")),IF(AND(OR(K496=1,K496="1"),OR(L496=1,L496="1"),OR(M496=1,M496="1")),"adequate","partial"),IF(AND(H496="W4",F496="predictive",OR(J496="P2",J496="P3",J496="P4")),IF(OR(U496=1,U496="1"),"adequate","partial"),INDEX(Fit_Matrix!$B:$B,MATCH(P496,Fit_Matrix!$A:$A,0)))),"CHECK KEY"))</f>
        <v/>
      </c>
      <c r="U496" s="10" t="n"/>
      <c r="V496" s="10" t="n"/>
      <c r="W496" s="10" t="n"/>
      <c r="X496" s="10" t="n"/>
      <c r="Y496" s="10" t="n"/>
      <c r="Z496" s="10" t="n"/>
      <c r="AA496" s="11">
        <f>IF(A496="","",IF(AND(J496="P4",F496="causal"),"P4-CAUSAL",""))</f>
        <v/>
      </c>
    </row>
    <row r="497" ht="15" customHeight="1" s="1">
      <c r="P497">
        <f>IF(OR(F497="",H497="",J497=""),"",J497&amp;"|"&amp;F497&amp;"|"&amp;IF(H497="W3","W3_"&amp;IF(I497="","unknown",I497),H497))</f>
        <v/>
      </c>
      <c r="Q497">
        <f>IF(P497="","",IFERROR(IF(AND(H497="W7",OR(F497="causal",F497="predictive")),IF(AND(OR(K497=1,K497="1"),OR(L497=1,L497="1"),OR(M497=1,M497="1")),"adequate","partial"),IF(AND(H497="W4",F497="predictive",OR(J497="P2",J497="P3",J497="P4")),IF(OR(U497=1,U497="1"),"adequate","partial"),INDEX(Fit_Matrix!$B:$B,MATCH(P497,Fit_Matrix!$A:$A,0)))),"CHECK KEY"))</f>
        <v/>
      </c>
      <c r="U497" s="10" t="n"/>
      <c r="V497" s="10" t="n"/>
      <c r="W497" s="10" t="n"/>
      <c r="X497" s="10" t="n"/>
      <c r="Y497" s="10" t="n"/>
      <c r="Z497" s="10" t="n"/>
      <c r="AA497" s="11">
        <f>IF(A497="","",IF(AND(J497="P4",F497="causal"),"P4-CAUSAL",""))</f>
        <v/>
      </c>
    </row>
    <row r="498" ht="15" customHeight="1" s="1">
      <c r="P498">
        <f>IF(OR(F498="",H498="",J498=""),"",J498&amp;"|"&amp;F498&amp;"|"&amp;IF(H498="W3","W3_"&amp;IF(I498="","unknown",I498),H498))</f>
        <v/>
      </c>
      <c r="Q498">
        <f>IF(P498="","",IFERROR(IF(AND(H498="W7",OR(F498="causal",F498="predictive")),IF(AND(OR(K498=1,K498="1"),OR(L498=1,L498="1"),OR(M498=1,M498="1")),"adequate","partial"),IF(AND(H498="W4",F498="predictive",OR(J498="P2",J498="P3",J498="P4")),IF(OR(U498=1,U498="1"),"adequate","partial"),INDEX(Fit_Matrix!$B:$B,MATCH(P498,Fit_Matrix!$A:$A,0)))),"CHECK KEY"))</f>
        <v/>
      </c>
      <c r="U498" s="10" t="n"/>
      <c r="V498" s="10" t="n"/>
      <c r="W498" s="10" t="n"/>
      <c r="X498" s="10" t="n"/>
      <c r="Y498" s="10" t="n"/>
      <c r="Z498" s="10" t="n"/>
      <c r="AA498" s="11">
        <f>IF(A498="","",IF(AND(J498="P4",F498="causal"),"P4-CAUSAL",""))</f>
        <v/>
      </c>
    </row>
    <row r="499" ht="15" customHeight="1" s="1">
      <c r="P499">
        <f>IF(OR(F499="",H499="",J499=""),"",J499&amp;"|"&amp;F499&amp;"|"&amp;IF(H499="W3","W3_"&amp;IF(I499="","unknown",I499),H499))</f>
        <v/>
      </c>
      <c r="Q499">
        <f>IF(P499="","",IFERROR(IF(AND(H499="W7",OR(F499="causal",F499="predictive")),IF(AND(OR(K499=1,K499="1"),OR(L499=1,L499="1"),OR(M499=1,M499="1")),"adequate","partial"),IF(AND(H499="W4",F499="predictive",OR(J499="P2",J499="P3",J499="P4")),IF(OR(U499=1,U499="1"),"adequate","partial"),INDEX(Fit_Matrix!$B:$B,MATCH(P499,Fit_Matrix!$A:$A,0)))),"CHECK KEY"))</f>
        <v/>
      </c>
      <c r="U499" s="10" t="n"/>
      <c r="V499" s="10" t="n"/>
      <c r="W499" s="10" t="n"/>
      <c r="X499" s="10" t="n"/>
      <c r="Y499" s="10" t="n"/>
      <c r="Z499" s="10" t="n"/>
      <c r="AA499" s="11">
        <f>IF(A499="","",IF(AND(J499="P4",F499="causal"),"P4-CAUSAL",""))</f>
        <v/>
      </c>
    </row>
    <row r="500" ht="15" customHeight="1" s="1">
      <c r="P500">
        <f>IF(OR(F500="",H500="",J500=""),"",J500&amp;"|"&amp;F500&amp;"|"&amp;IF(H500="W3","W3_"&amp;IF(I500="","unknown",I500),H500))</f>
        <v/>
      </c>
      <c r="Q500">
        <f>IF(P500="","",IFERROR(IF(AND(H500="W7",OR(F500="causal",F500="predictive")),IF(AND(OR(K500=1,K500="1"),OR(L500=1,L500="1"),OR(M500=1,M500="1")),"adequate","partial"),IF(AND(H500="W4",F500="predictive",OR(J500="P2",J500="P3",J500="P4")),IF(OR(U500=1,U500="1"),"adequate","partial"),INDEX(Fit_Matrix!$B:$B,MATCH(P500,Fit_Matrix!$A:$A,0)))),"CHECK KEY"))</f>
        <v/>
      </c>
      <c r="U500" s="10" t="n"/>
      <c r="V500" s="10" t="n"/>
      <c r="W500" s="10" t="n"/>
      <c r="X500" s="10" t="n"/>
      <c r="Y500" s="10" t="n"/>
      <c r="Z500" s="10" t="n"/>
      <c r="AA500" s="11">
        <f>IF(A500="","",IF(AND(J500="P4",F500="causal"),"P4-CAUSAL",""))</f>
        <v/>
      </c>
    </row>
    <row r="501" ht="15" customHeight="1" s="1">
      <c r="P501">
        <f>IF(OR(F501="",H501="",J501=""),"",J501&amp;"|"&amp;F501&amp;"|"&amp;IF(H501="W3","W3_"&amp;IF(I501="","unknown",I501),H501))</f>
        <v/>
      </c>
      <c r="Q501">
        <f>IF(P501="","",IFERROR(IF(AND(H501="W7",OR(F501="causal",F501="predictive")),IF(AND(OR(K501=1,K501="1"),OR(L501=1,L501="1"),OR(M501=1,M501="1")),"adequate","partial"),IF(AND(H501="W4",F501="predictive",OR(J501="P2",J501="P3",J501="P4")),IF(OR(U501=1,U501="1"),"adequate","partial"),INDEX(Fit_Matrix!$B:$B,MATCH(P501,Fit_Matrix!$A:$A,0)))),"CHECK KEY"))</f>
        <v/>
      </c>
      <c r="U501" s="10" t="n"/>
      <c r="V501" s="10" t="n"/>
      <c r="W501" s="10" t="n"/>
      <c r="X501" s="10" t="n"/>
      <c r="Y501" s="10" t="n"/>
      <c r="Z501" s="10" t="n"/>
      <c r="AA501" s="11">
        <f>IF(A501="","",IF(AND(J501="P4",F501="causal"),"P4-CAUSAL",""))</f>
        <v/>
      </c>
    </row>
    <row r="502" ht="15" customHeight="1" s="1">
      <c r="P502">
        <f>IF(OR(F502="",H502="",J502=""),"",J502&amp;"|"&amp;F502&amp;"|"&amp;IF(H502="W3","W3_"&amp;IF(I502="","unknown",I502),H502))</f>
        <v/>
      </c>
      <c r="Q502">
        <f>IF(P502="","",IFERROR(IF(AND(H502="W7",OR(F502="causal",F502="predictive")),IF(AND(OR(K502=1,K502="1"),OR(L502=1,L502="1"),OR(M502=1,M502="1")),"adequate","partial"),IF(AND(H502="W4",F502="predictive",OR(J502="P2",J502="P3",J502="P4")),IF(OR(U502=1,U502="1"),"adequate","partial"),INDEX(Fit_Matrix!$B:$B,MATCH(P502,Fit_Matrix!$A:$A,0)))),"CHECK KEY"))</f>
        <v/>
      </c>
      <c r="U502" s="10" t="n"/>
      <c r="V502" s="10" t="n"/>
      <c r="W502" s="10" t="n"/>
      <c r="X502" s="10" t="n"/>
      <c r="Y502" s="10" t="n"/>
      <c r="Z502" s="10" t="n"/>
      <c r="AA502" s="11">
        <f>IF(A502="","",IF(AND(J502="P4",F502="causal"),"P4-CAUSAL",""))</f>
        <v/>
      </c>
    </row>
    <row r="503" ht="15" customHeight="1" s="1">
      <c r="P503">
        <f>IF(OR(F503="",H503="",J503=""),"",J503&amp;"|"&amp;F503&amp;"|"&amp;IF(H503="W3","W3_"&amp;IF(I503="","unknown",I503),H503))</f>
        <v/>
      </c>
      <c r="Q503">
        <f>IF(P503="","",IFERROR(IF(AND(H503="W7",OR(F503="causal",F503="predictive")),IF(AND(OR(K503=1,K503="1"),OR(L503=1,L503="1"),OR(M503=1,M503="1")),"adequate","partial"),IF(AND(H503="W4",F503="predictive",OR(J503="P2",J503="P3",J503="P4")),IF(OR(U503=1,U503="1"),"adequate","partial"),INDEX(Fit_Matrix!$B:$B,MATCH(P503,Fit_Matrix!$A:$A,0)))),"CHECK KEY"))</f>
        <v/>
      </c>
      <c r="U503" s="10" t="n"/>
      <c r="V503" s="10" t="n"/>
      <c r="W503" s="10" t="n"/>
      <c r="X503" s="10" t="n"/>
      <c r="Y503" s="10" t="n"/>
      <c r="Z503" s="10" t="n"/>
      <c r="AA503" s="11">
        <f>IF(A503="","",IF(AND(J503="P4",F503="causal"),"P4-CAUSAL",""))</f>
        <v/>
      </c>
    </row>
    <row r="504" ht="15" customHeight="1" s="1">
      <c r="P504">
        <f>IF(OR(F504="",H504="",J504=""),"",J504&amp;"|"&amp;F504&amp;"|"&amp;IF(H504="W3","W3_"&amp;IF(I504="","unknown",I504),H504))</f>
        <v/>
      </c>
      <c r="Q504">
        <f>IF(P504="","",IFERROR(IF(AND(H504="W7",OR(F504="causal",F504="predictive")),IF(AND(OR(K504=1,K504="1"),OR(L504=1,L504="1"),OR(M504=1,M504="1")),"adequate","partial"),IF(AND(H504="W4",F504="predictive",OR(J504="P2",J504="P3",J504="P4")),IF(OR(U504=1,U504="1"),"adequate","partial"),INDEX(Fit_Matrix!$B:$B,MATCH(P504,Fit_Matrix!$A:$A,0)))),"CHECK KEY"))</f>
        <v/>
      </c>
      <c r="U504" s="10" t="n"/>
      <c r="V504" s="10" t="n"/>
      <c r="W504" s="10" t="n"/>
      <c r="X504" s="10" t="n"/>
      <c r="Y504" s="10" t="n"/>
      <c r="Z504" s="10" t="n"/>
      <c r="AA504" s="11">
        <f>IF(A504="","",IF(AND(J504="P4",F504="causal"),"P4-CAUSAL",""))</f>
        <v/>
      </c>
    </row>
    <row r="505" ht="15" customHeight="1" s="1">
      <c r="P505">
        <f>IF(OR(F505="",H505="",J505=""),"",J505&amp;"|"&amp;F505&amp;"|"&amp;IF(H505="W3","W3_"&amp;IF(I505="","unknown",I505),H505))</f>
        <v/>
      </c>
      <c r="Q505">
        <f>IF(P505="","",IFERROR(IF(AND(H505="W7",OR(F505="causal",F505="predictive")),IF(AND(OR(K505=1,K505="1"),OR(L505=1,L505="1"),OR(M505=1,M505="1")),"adequate","partial"),IF(AND(H505="W4",F505="predictive",OR(J505="P2",J505="P3",J505="P4")),IF(OR(U505=1,U505="1"),"adequate","partial"),INDEX(Fit_Matrix!$B:$B,MATCH(P505,Fit_Matrix!$A:$A,0)))),"CHECK KEY"))</f>
        <v/>
      </c>
      <c r="U505" s="10" t="n"/>
      <c r="V505" s="10" t="n"/>
      <c r="W505" s="10" t="n"/>
      <c r="X505" s="10" t="n"/>
      <c r="Y505" s="10" t="n"/>
      <c r="Z505" s="10" t="n"/>
      <c r="AA505" s="11">
        <f>IF(A505="","",IF(AND(J505="P4",F505="causal"),"P4-CAUSAL",""))</f>
        <v/>
      </c>
    </row>
    <row r="506" ht="15" customHeight="1" s="1">
      <c r="P506">
        <f>IF(OR(F506="",H506="",J506=""),"",J506&amp;"|"&amp;F506&amp;"|"&amp;IF(H506="W3","W3_"&amp;IF(I506="","unknown",I506),H506))</f>
        <v/>
      </c>
      <c r="Q506">
        <f>IF(P506="","",IFERROR(IF(AND(H506="W7",OR(F506="causal",F506="predictive")),IF(AND(OR(K506=1,K506="1"),OR(L506=1,L506="1"),OR(M506=1,M506="1")),"adequate","partial"),IF(AND(H506="W4",F506="predictive",OR(J506="P2",J506="P3",J506="P4")),IF(OR(U506=1,U506="1"),"adequate","partial"),INDEX(Fit_Matrix!$B:$B,MATCH(P506,Fit_Matrix!$A:$A,0)))),"CHECK KEY"))</f>
        <v/>
      </c>
      <c r="U506" s="10" t="n"/>
      <c r="V506" s="10" t="n"/>
      <c r="W506" s="10" t="n"/>
      <c r="X506" s="10" t="n"/>
      <c r="Y506" s="10" t="n"/>
      <c r="Z506" s="10" t="n"/>
      <c r="AA506" s="11">
        <f>IF(A506="","",IF(AND(J506="P4",F506="causal"),"P4-CAUSAL",""))</f>
        <v/>
      </c>
    </row>
    <row r="507" ht="15" customHeight="1" s="1">
      <c r="P507">
        <f>IF(OR(F507="",H507="",J507=""),"",J507&amp;"|"&amp;F507&amp;"|"&amp;IF(H507="W3","W3_"&amp;IF(I507="","unknown",I507),H507))</f>
        <v/>
      </c>
      <c r="Q507">
        <f>IF(P507="","",IFERROR(IF(AND(H507="W7",OR(F507="causal",F507="predictive")),IF(AND(OR(K507=1,K507="1"),OR(L507=1,L507="1"),OR(M507=1,M507="1")),"adequate","partial"),IF(AND(H507="W4",F507="predictive",OR(J507="P2",J507="P3",J507="P4")),IF(OR(U507=1,U507="1"),"adequate","partial"),INDEX(Fit_Matrix!$B:$B,MATCH(P507,Fit_Matrix!$A:$A,0)))),"CHECK KEY"))</f>
        <v/>
      </c>
      <c r="U507" s="10" t="n"/>
      <c r="V507" s="10" t="n"/>
      <c r="W507" s="10" t="n"/>
      <c r="X507" s="10" t="n"/>
      <c r="Y507" s="10" t="n"/>
      <c r="Z507" s="10" t="n"/>
      <c r="AA507" s="11">
        <f>IF(A507="","",IF(AND(J507="P4",F507="causal"),"P4-CAUSAL",""))</f>
        <v/>
      </c>
    </row>
    <row r="508" ht="15" customHeight="1" s="1">
      <c r="P508">
        <f>IF(OR(F508="",H508="",J508=""),"",J508&amp;"|"&amp;F508&amp;"|"&amp;IF(H508="W3","W3_"&amp;IF(I508="","unknown",I508),H508))</f>
        <v/>
      </c>
      <c r="Q508">
        <f>IF(P508="","",IFERROR(IF(AND(H508="W7",OR(F508="causal",F508="predictive")),IF(AND(OR(K508=1,K508="1"),OR(L508=1,L508="1"),OR(M508=1,M508="1")),"adequate","partial"),IF(AND(H508="W4",F508="predictive",OR(J508="P2",J508="P3",J508="P4")),IF(OR(U508=1,U508="1"),"adequate","partial"),INDEX(Fit_Matrix!$B:$B,MATCH(P508,Fit_Matrix!$A:$A,0)))),"CHECK KEY"))</f>
        <v/>
      </c>
      <c r="U508" s="10" t="n"/>
      <c r="V508" s="10" t="n"/>
      <c r="W508" s="10" t="n"/>
      <c r="X508" s="10" t="n"/>
      <c r="Y508" s="10" t="n"/>
      <c r="Z508" s="10" t="n"/>
      <c r="AA508" s="11">
        <f>IF(A508="","",IF(AND(J508="P4",F508="causal"),"P4-CAUSAL",""))</f>
        <v/>
      </c>
    </row>
    <row r="509" ht="15" customHeight="1" s="1">
      <c r="P509">
        <f>IF(OR(F509="",H509="",J509=""),"",J509&amp;"|"&amp;F509&amp;"|"&amp;IF(H509="W3","W3_"&amp;IF(I509="","unknown",I509),H509))</f>
        <v/>
      </c>
      <c r="Q509">
        <f>IF(P509="","",IFERROR(IF(AND(H509="W7",OR(F509="causal",F509="predictive")),IF(AND(OR(K509=1,K509="1"),OR(L509=1,L509="1"),OR(M509=1,M509="1")),"adequate","partial"),IF(AND(H509="W4",F509="predictive",OR(J509="P2",J509="P3",J509="P4")),IF(OR(U509=1,U509="1"),"adequate","partial"),INDEX(Fit_Matrix!$B:$B,MATCH(P509,Fit_Matrix!$A:$A,0)))),"CHECK KEY"))</f>
        <v/>
      </c>
      <c r="U509" s="10" t="n"/>
      <c r="V509" s="10" t="n"/>
      <c r="W509" s="10" t="n"/>
      <c r="X509" s="10" t="n"/>
      <c r="Y509" s="10" t="n"/>
      <c r="Z509" s="10" t="n"/>
      <c r="AA509" s="11">
        <f>IF(A509="","",IF(AND(J509="P4",F509="causal"),"P4-CAUSAL",""))</f>
        <v/>
      </c>
    </row>
    <row r="510" ht="15" customHeight="1" s="1">
      <c r="P510">
        <f>IF(OR(F510="",H510="",J510=""),"",J510&amp;"|"&amp;F510&amp;"|"&amp;IF(H510="W3","W3_"&amp;IF(I510="","unknown",I510),H510))</f>
        <v/>
      </c>
      <c r="Q510">
        <f>IF(P510="","",IFERROR(IF(AND(H510="W7",OR(F510="causal",F510="predictive")),IF(AND(OR(K510=1,K510="1"),OR(L510=1,L510="1"),OR(M510=1,M510="1")),"adequate","partial"),IF(AND(H510="W4",F510="predictive",OR(J510="P2",J510="P3",J510="P4")),IF(OR(U510=1,U510="1"),"adequate","partial"),INDEX(Fit_Matrix!$B:$B,MATCH(P510,Fit_Matrix!$A:$A,0)))),"CHECK KEY"))</f>
        <v/>
      </c>
      <c r="U510" s="10" t="n"/>
      <c r="V510" s="10" t="n"/>
      <c r="W510" s="10" t="n"/>
      <c r="X510" s="10" t="n"/>
      <c r="Y510" s="10" t="n"/>
      <c r="Z510" s="10" t="n"/>
      <c r="AA510" s="11">
        <f>IF(A510="","",IF(AND(J510="P4",F510="causal"),"P4-CAUSAL",""))</f>
        <v/>
      </c>
    </row>
    <row r="511" ht="15" customHeight="1" s="1">
      <c r="P511">
        <f>IF(OR(F511="",H511="",J511=""),"",J511&amp;"|"&amp;F511&amp;"|"&amp;IF(H511="W3","W3_"&amp;IF(I511="","unknown",I511),H511))</f>
        <v/>
      </c>
      <c r="Q511">
        <f>IF(P511="","",IFERROR(IF(AND(H511="W7",OR(F511="causal",F511="predictive")),IF(AND(OR(K511=1,K511="1"),OR(L511=1,L511="1"),OR(M511=1,M511="1")),"adequate","partial"),IF(AND(H511="W4",F511="predictive",OR(J511="P2",J511="P3",J511="P4")),IF(OR(U511=1,U511="1"),"adequate","partial"),INDEX(Fit_Matrix!$B:$B,MATCH(P511,Fit_Matrix!$A:$A,0)))),"CHECK KEY"))</f>
        <v/>
      </c>
      <c r="U511" s="10" t="n"/>
      <c r="V511" s="10" t="n"/>
      <c r="W511" s="10" t="n"/>
      <c r="X511" s="10" t="n"/>
      <c r="Y511" s="10" t="n"/>
      <c r="Z511" s="10" t="n"/>
      <c r="AA511" s="11">
        <f>IF(A511="","",IF(AND(J511="P4",F511="causal"),"P4-CAUSAL",""))</f>
        <v/>
      </c>
    </row>
    <row r="512" ht="15" customHeight="1" s="1">
      <c r="P512">
        <f>IF(OR(F512="",H512="",J512=""),"",J512&amp;"|"&amp;F512&amp;"|"&amp;IF(H512="W3","W3_"&amp;IF(I512="","unknown",I512),H512))</f>
        <v/>
      </c>
      <c r="Q512">
        <f>IF(P512="","",IFERROR(IF(AND(H512="W7",OR(F512="causal",F512="predictive")),IF(AND(OR(K512=1,K512="1"),OR(L512=1,L512="1"),OR(M512=1,M512="1")),"adequate","partial"),IF(AND(H512="W4",F512="predictive",OR(J512="P2",J512="P3",J512="P4")),IF(OR(U512=1,U512="1"),"adequate","partial"),INDEX(Fit_Matrix!$B:$B,MATCH(P512,Fit_Matrix!$A:$A,0)))),"CHECK KEY"))</f>
        <v/>
      </c>
      <c r="U512" s="10" t="n"/>
      <c r="V512" s="10" t="n"/>
      <c r="W512" s="10" t="n"/>
      <c r="X512" s="10" t="n"/>
      <c r="Y512" s="10" t="n"/>
      <c r="Z512" s="10" t="n"/>
      <c r="AA512" s="11">
        <f>IF(A512="","",IF(AND(J512="P4",F512="causal"),"P4-CAUSAL",""))</f>
        <v/>
      </c>
    </row>
    <row r="513" ht="15" customHeight="1" s="1">
      <c r="P513">
        <f>IF(OR(F513="",H513="",J513=""),"",J513&amp;"|"&amp;F513&amp;"|"&amp;IF(H513="W3","W3_"&amp;IF(I513="","unknown",I513),H513))</f>
        <v/>
      </c>
      <c r="Q513">
        <f>IF(P513="","",IFERROR(IF(AND(H513="W7",OR(F513="causal",F513="predictive")),IF(AND(OR(K513=1,K513="1"),OR(L513=1,L513="1"),OR(M513=1,M513="1")),"adequate","partial"),IF(AND(H513="W4",F513="predictive",OR(J513="P2",J513="P3",J513="P4")),IF(OR(U513=1,U513="1"),"adequate","partial"),INDEX(Fit_Matrix!$B:$B,MATCH(P513,Fit_Matrix!$A:$A,0)))),"CHECK KEY"))</f>
        <v/>
      </c>
      <c r="U513" s="10" t="n"/>
      <c r="V513" s="10" t="n"/>
      <c r="W513" s="10" t="n"/>
      <c r="X513" s="10" t="n"/>
      <c r="Y513" s="10" t="n"/>
      <c r="Z513" s="10" t="n"/>
      <c r="AA513" s="11">
        <f>IF(A513="","",IF(AND(J513="P4",F513="causal"),"P4-CAUSAL",""))</f>
        <v/>
      </c>
    </row>
    <row r="514" ht="15" customHeight="1" s="1">
      <c r="P514">
        <f>IF(OR(F514="",H514="",J514=""),"",J514&amp;"|"&amp;F514&amp;"|"&amp;IF(H514="W3","W3_"&amp;IF(I514="","unknown",I514),H514))</f>
        <v/>
      </c>
      <c r="Q514">
        <f>IF(P514="","",IFERROR(IF(AND(H514="W7",OR(F514="causal",F514="predictive")),IF(AND(OR(K514=1,K514="1"),OR(L514=1,L514="1"),OR(M514=1,M514="1")),"adequate","partial"),IF(AND(H514="W4",F514="predictive",OR(J514="P2",J514="P3",J514="P4")),IF(OR(U514=1,U514="1"),"adequate","partial"),INDEX(Fit_Matrix!$B:$B,MATCH(P514,Fit_Matrix!$A:$A,0)))),"CHECK KEY"))</f>
        <v/>
      </c>
      <c r="U514" s="10" t="n"/>
      <c r="V514" s="10" t="n"/>
      <c r="W514" s="10" t="n"/>
      <c r="X514" s="10" t="n"/>
      <c r="Y514" s="10" t="n"/>
      <c r="Z514" s="10" t="n"/>
      <c r="AA514" s="11">
        <f>IF(A514="","",IF(AND(J514="P4",F514="causal"),"P4-CAUSAL",""))</f>
        <v/>
      </c>
    </row>
    <row r="515" ht="15" customHeight="1" s="1">
      <c r="P515">
        <f>IF(OR(F515="",H515="",J515=""),"",J515&amp;"|"&amp;F515&amp;"|"&amp;IF(H515="W3","W3_"&amp;IF(I515="","unknown",I515),H515))</f>
        <v/>
      </c>
      <c r="Q515">
        <f>IF(P515="","",IFERROR(IF(AND(H515="W7",OR(F515="causal",F515="predictive")),IF(AND(OR(K515=1,K515="1"),OR(L515=1,L515="1"),OR(M515=1,M515="1")),"adequate","partial"),IF(AND(H515="W4",F515="predictive",OR(J515="P2",J515="P3",J515="P4")),IF(OR(U515=1,U515="1"),"adequate","partial"),INDEX(Fit_Matrix!$B:$B,MATCH(P515,Fit_Matrix!$A:$A,0)))),"CHECK KEY"))</f>
        <v/>
      </c>
      <c r="U515" s="10" t="n"/>
      <c r="V515" s="10" t="n"/>
      <c r="W515" s="10" t="n"/>
      <c r="X515" s="10" t="n"/>
      <c r="Y515" s="10" t="n"/>
      <c r="Z515" s="10" t="n"/>
      <c r="AA515" s="11">
        <f>IF(A515="","",IF(AND(J515="P4",F515="causal"),"P4-CAUSAL",""))</f>
        <v/>
      </c>
    </row>
    <row r="516" ht="15" customHeight="1" s="1">
      <c r="P516">
        <f>IF(OR(F516="",H516="",J516=""),"",J516&amp;"|"&amp;F516&amp;"|"&amp;IF(H516="W3","W3_"&amp;IF(I516="","unknown",I516),H516))</f>
        <v/>
      </c>
      <c r="Q516">
        <f>IF(P516="","",IFERROR(IF(AND(H516="W7",OR(F516="causal",F516="predictive")),IF(AND(OR(K516=1,K516="1"),OR(L516=1,L516="1"),OR(M516=1,M516="1")),"adequate","partial"),IF(AND(H516="W4",F516="predictive",OR(J516="P2",J516="P3",J516="P4")),IF(OR(U516=1,U516="1"),"adequate","partial"),INDEX(Fit_Matrix!$B:$B,MATCH(P516,Fit_Matrix!$A:$A,0)))),"CHECK KEY"))</f>
        <v/>
      </c>
      <c r="U516" s="10" t="n"/>
      <c r="V516" s="10" t="n"/>
      <c r="W516" s="10" t="n"/>
      <c r="X516" s="10" t="n"/>
      <c r="Y516" s="10" t="n"/>
      <c r="Z516" s="10" t="n"/>
      <c r="AA516" s="11">
        <f>IF(A516="","",IF(AND(J516="P4",F516="causal"),"P4-CAUSAL",""))</f>
        <v/>
      </c>
    </row>
    <row r="517" ht="15" customHeight="1" s="1">
      <c r="P517">
        <f>IF(OR(F517="",H517="",J517=""),"",J517&amp;"|"&amp;F517&amp;"|"&amp;IF(H517="W3","W3_"&amp;IF(I517="","unknown",I517),H517))</f>
        <v/>
      </c>
      <c r="Q517">
        <f>IF(P517="","",IFERROR(IF(AND(H517="W7",OR(F517="causal",F517="predictive")),IF(AND(OR(K517=1,K517="1"),OR(L517=1,L517="1"),OR(M517=1,M517="1")),"adequate","partial"),IF(AND(H517="W4",F517="predictive",OR(J517="P2",J517="P3",J517="P4")),IF(OR(U517=1,U517="1"),"adequate","partial"),INDEX(Fit_Matrix!$B:$B,MATCH(P517,Fit_Matrix!$A:$A,0)))),"CHECK KEY"))</f>
        <v/>
      </c>
      <c r="U517" s="10" t="n"/>
      <c r="V517" s="10" t="n"/>
      <c r="W517" s="10" t="n"/>
      <c r="X517" s="10" t="n"/>
      <c r="Y517" s="10" t="n"/>
      <c r="Z517" s="10" t="n"/>
      <c r="AA517" s="11">
        <f>IF(A517="","",IF(AND(J517="P4",F517="causal"),"P4-CAUSAL",""))</f>
        <v/>
      </c>
    </row>
    <row r="518" ht="15" customHeight="1" s="1">
      <c r="P518">
        <f>IF(OR(F518="",H518="",J518=""),"",J518&amp;"|"&amp;F518&amp;"|"&amp;IF(H518="W3","W3_"&amp;IF(I518="","unknown",I518),H518))</f>
        <v/>
      </c>
      <c r="Q518">
        <f>IF(P518="","",IFERROR(IF(AND(H518="W7",OR(F518="causal",F518="predictive")),IF(AND(OR(K518=1,K518="1"),OR(L518=1,L518="1"),OR(M518=1,M518="1")),"adequate","partial"),IF(AND(H518="W4",F518="predictive",OR(J518="P2",J518="P3",J518="P4")),IF(OR(U518=1,U518="1"),"adequate","partial"),INDEX(Fit_Matrix!$B:$B,MATCH(P518,Fit_Matrix!$A:$A,0)))),"CHECK KEY"))</f>
        <v/>
      </c>
      <c r="U518" s="10" t="n"/>
      <c r="V518" s="10" t="n"/>
      <c r="W518" s="10" t="n"/>
      <c r="X518" s="10" t="n"/>
      <c r="Y518" s="10" t="n"/>
      <c r="Z518" s="10" t="n"/>
      <c r="AA518" s="11">
        <f>IF(A518="","",IF(AND(J518="P4",F518="causal"),"P4-CAUSAL",""))</f>
        <v/>
      </c>
    </row>
    <row r="519" ht="15" customHeight="1" s="1">
      <c r="P519">
        <f>IF(OR(F519="",H519="",J519=""),"",J519&amp;"|"&amp;F519&amp;"|"&amp;IF(H519="W3","W3_"&amp;IF(I519="","unknown",I519),H519))</f>
        <v/>
      </c>
      <c r="Q519">
        <f>IF(P519="","",IFERROR(IF(AND(H519="W7",OR(F519="causal",F519="predictive")),IF(AND(OR(K519=1,K519="1"),OR(L519=1,L519="1"),OR(M519=1,M519="1")),"adequate","partial"),IF(AND(H519="W4",F519="predictive",OR(J519="P2",J519="P3",J519="P4")),IF(OR(U519=1,U519="1"),"adequate","partial"),INDEX(Fit_Matrix!$B:$B,MATCH(P519,Fit_Matrix!$A:$A,0)))),"CHECK KEY"))</f>
        <v/>
      </c>
      <c r="U519" s="10" t="n"/>
      <c r="V519" s="10" t="n"/>
      <c r="W519" s="10" t="n"/>
      <c r="X519" s="10" t="n"/>
      <c r="Y519" s="10" t="n"/>
      <c r="Z519" s="10" t="n"/>
      <c r="AA519" s="11">
        <f>IF(A519="","",IF(AND(J519="P4",F519="causal"),"P4-CAUSAL",""))</f>
        <v/>
      </c>
    </row>
    <row r="520" ht="15" customHeight="1" s="1">
      <c r="P520">
        <f>IF(OR(F520="",H520="",J520=""),"",J520&amp;"|"&amp;F520&amp;"|"&amp;IF(H520="W3","W3_"&amp;IF(I520="","unknown",I520),H520))</f>
        <v/>
      </c>
      <c r="Q520">
        <f>IF(P520="","",IFERROR(IF(AND(H520="W7",OR(F520="causal",F520="predictive")),IF(AND(OR(K520=1,K520="1"),OR(L520=1,L520="1"),OR(M520=1,M520="1")),"adequate","partial"),IF(AND(H520="W4",F520="predictive",OR(J520="P2",J520="P3",J520="P4")),IF(OR(U520=1,U520="1"),"adequate","partial"),INDEX(Fit_Matrix!$B:$B,MATCH(P520,Fit_Matrix!$A:$A,0)))),"CHECK KEY"))</f>
        <v/>
      </c>
      <c r="U520" s="10" t="n"/>
      <c r="V520" s="10" t="n"/>
      <c r="W520" s="10" t="n"/>
      <c r="X520" s="10" t="n"/>
      <c r="Y520" s="10" t="n"/>
      <c r="Z520" s="10" t="n"/>
      <c r="AA520" s="11">
        <f>IF(A520="","",IF(AND(J520="P4",F520="causal"),"P4-CAUSAL",""))</f>
        <v/>
      </c>
    </row>
    <row r="521" ht="15" customHeight="1" s="1">
      <c r="P521">
        <f>IF(OR(F521="",H521="",J521=""),"",J521&amp;"|"&amp;F521&amp;"|"&amp;IF(H521="W3","W3_"&amp;IF(I521="","unknown",I521),H521))</f>
        <v/>
      </c>
      <c r="Q521">
        <f>IF(P521="","",IFERROR(IF(AND(H521="W7",OR(F521="causal",F521="predictive")),IF(AND(OR(K521=1,K521="1"),OR(L521=1,L521="1"),OR(M521=1,M521="1")),"adequate","partial"),IF(AND(H521="W4",F521="predictive",OR(J521="P2",J521="P3",J521="P4")),IF(OR(U521=1,U521="1"),"adequate","partial"),INDEX(Fit_Matrix!$B:$B,MATCH(P521,Fit_Matrix!$A:$A,0)))),"CHECK KEY"))</f>
        <v/>
      </c>
      <c r="U521" s="10" t="n"/>
      <c r="V521" s="10" t="n"/>
      <c r="W521" s="10" t="n"/>
      <c r="X521" s="10" t="n"/>
      <c r="Y521" s="10" t="n"/>
      <c r="Z521" s="10" t="n"/>
      <c r="AA521" s="11">
        <f>IF(A521="","",IF(AND(J521="P4",F521="causal"),"P4-CAUSAL",""))</f>
        <v/>
      </c>
    </row>
    <row r="522" ht="15" customHeight="1" s="1">
      <c r="P522">
        <f>IF(OR(F522="",H522="",J522=""),"",J522&amp;"|"&amp;F522&amp;"|"&amp;IF(H522="W3","W3_"&amp;IF(I522="","unknown",I522),H522))</f>
        <v/>
      </c>
      <c r="Q522">
        <f>IF(P522="","",IFERROR(IF(AND(H522="W7",OR(F522="causal",F522="predictive")),IF(AND(OR(K522=1,K522="1"),OR(L522=1,L522="1"),OR(M522=1,M522="1")),"adequate","partial"),IF(AND(H522="W4",F522="predictive",OR(J522="P2",J522="P3",J522="P4")),IF(OR(U522=1,U522="1"),"adequate","partial"),INDEX(Fit_Matrix!$B:$B,MATCH(P522,Fit_Matrix!$A:$A,0)))),"CHECK KEY"))</f>
        <v/>
      </c>
      <c r="U522" s="10" t="n"/>
      <c r="V522" s="10" t="n"/>
      <c r="W522" s="10" t="n"/>
      <c r="X522" s="10" t="n"/>
      <c r="Y522" s="10" t="n"/>
      <c r="Z522" s="10" t="n"/>
      <c r="AA522" s="11">
        <f>IF(A522="","",IF(AND(J522="P4",F522="causal"),"P4-CAUSAL",""))</f>
        <v/>
      </c>
    </row>
    <row r="523" ht="15" customHeight="1" s="1">
      <c r="P523">
        <f>IF(OR(F523="",H523="",J523=""),"",J523&amp;"|"&amp;F523&amp;"|"&amp;IF(H523="W3","W3_"&amp;IF(I523="","unknown",I523),H523))</f>
        <v/>
      </c>
      <c r="Q523">
        <f>IF(P523="","",IFERROR(IF(AND(H523="W7",OR(F523="causal",F523="predictive")),IF(AND(OR(K523=1,K523="1"),OR(L523=1,L523="1"),OR(M523=1,M523="1")),"adequate","partial"),IF(AND(H523="W4",F523="predictive",OR(J523="P2",J523="P3",J523="P4")),IF(OR(U523=1,U523="1"),"adequate","partial"),INDEX(Fit_Matrix!$B:$B,MATCH(P523,Fit_Matrix!$A:$A,0)))),"CHECK KEY"))</f>
        <v/>
      </c>
      <c r="U523" s="10" t="n"/>
      <c r="V523" s="10" t="n"/>
      <c r="W523" s="10" t="n"/>
      <c r="X523" s="10" t="n"/>
      <c r="Y523" s="10" t="n"/>
      <c r="Z523" s="10" t="n"/>
      <c r="AA523" s="11">
        <f>IF(A523="","",IF(AND(J523="P4",F523="causal"),"P4-CAUSAL",""))</f>
        <v/>
      </c>
    </row>
    <row r="524" ht="15" customHeight="1" s="1">
      <c r="P524">
        <f>IF(OR(F524="",H524="",J524=""),"",J524&amp;"|"&amp;F524&amp;"|"&amp;IF(H524="W3","W3_"&amp;IF(I524="","unknown",I524),H524))</f>
        <v/>
      </c>
      <c r="Q524">
        <f>IF(P524="","",IFERROR(IF(AND(H524="W7",OR(F524="causal",F524="predictive")),IF(AND(OR(K524=1,K524="1"),OR(L524=1,L524="1"),OR(M524=1,M524="1")),"adequate","partial"),IF(AND(H524="W4",F524="predictive",OR(J524="P2",J524="P3",J524="P4")),IF(OR(U524=1,U524="1"),"adequate","partial"),INDEX(Fit_Matrix!$B:$B,MATCH(P524,Fit_Matrix!$A:$A,0)))),"CHECK KEY"))</f>
        <v/>
      </c>
      <c r="U524" s="10" t="n"/>
      <c r="V524" s="10" t="n"/>
      <c r="W524" s="10" t="n"/>
      <c r="X524" s="10" t="n"/>
      <c r="Y524" s="10" t="n"/>
      <c r="Z524" s="10" t="n"/>
      <c r="AA524" s="11">
        <f>IF(A524="","",IF(AND(J524="P4",F524="causal"),"P4-CAUSAL",""))</f>
        <v/>
      </c>
    </row>
    <row r="525" ht="15" customHeight="1" s="1">
      <c r="P525">
        <f>IF(OR(F525="",H525="",J525=""),"",J525&amp;"|"&amp;F525&amp;"|"&amp;IF(H525="W3","W3_"&amp;IF(I525="","unknown",I525),H525))</f>
        <v/>
      </c>
      <c r="Q525">
        <f>IF(P525="","",IFERROR(IF(AND(H525="W7",OR(F525="causal",F525="predictive")),IF(AND(OR(K525=1,K525="1"),OR(L525=1,L525="1"),OR(M525=1,M525="1")),"adequate","partial"),IF(AND(H525="W4",F525="predictive",OR(J525="P2",J525="P3",J525="P4")),IF(OR(U525=1,U525="1"),"adequate","partial"),INDEX(Fit_Matrix!$B:$B,MATCH(P525,Fit_Matrix!$A:$A,0)))),"CHECK KEY"))</f>
        <v/>
      </c>
      <c r="U525" s="10" t="n"/>
      <c r="V525" s="10" t="n"/>
      <c r="W525" s="10" t="n"/>
      <c r="X525" s="10" t="n"/>
      <c r="Y525" s="10" t="n"/>
      <c r="Z525" s="10" t="n"/>
      <c r="AA525" s="11">
        <f>IF(A525="","",IF(AND(J525="P4",F525="causal"),"P4-CAUSAL",""))</f>
        <v/>
      </c>
    </row>
    <row r="526" ht="15" customHeight="1" s="1">
      <c r="P526">
        <f>IF(OR(F526="",H526="",J526=""),"",J526&amp;"|"&amp;F526&amp;"|"&amp;IF(H526="W3","W3_"&amp;IF(I526="","unknown",I526),H526))</f>
        <v/>
      </c>
      <c r="Q526">
        <f>IF(P526="","",IFERROR(IF(AND(H526="W7",OR(F526="causal",F526="predictive")),IF(AND(OR(K526=1,K526="1"),OR(L526=1,L526="1"),OR(M526=1,M526="1")),"adequate","partial"),IF(AND(H526="W4",F526="predictive",OR(J526="P2",J526="P3",J526="P4")),IF(OR(U526=1,U526="1"),"adequate","partial"),INDEX(Fit_Matrix!$B:$B,MATCH(P526,Fit_Matrix!$A:$A,0)))),"CHECK KEY"))</f>
        <v/>
      </c>
      <c r="U526" s="10" t="n"/>
      <c r="V526" s="10" t="n"/>
      <c r="W526" s="10" t="n"/>
      <c r="X526" s="10" t="n"/>
      <c r="Y526" s="10" t="n"/>
      <c r="Z526" s="10" t="n"/>
      <c r="AA526" s="11">
        <f>IF(A526="","",IF(AND(J526="P4",F526="causal"),"P4-CAUSAL",""))</f>
        <v/>
      </c>
    </row>
    <row r="527" ht="15" customHeight="1" s="1">
      <c r="P527">
        <f>IF(OR(F527="",H527="",J527=""),"",J527&amp;"|"&amp;F527&amp;"|"&amp;IF(H527="W3","W3_"&amp;IF(I527="","unknown",I527),H527))</f>
        <v/>
      </c>
      <c r="Q527">
        <f>IF(P527="","",IFERROR(IF(AND(H527="W7",OR(F527="causal",F527="predictive")),IF(AND(OR(K527=1,K527="1"),OR(L527=1,L527="1"),OR(M527=1,M527="1")),"adequate","partial"),IF(AND(H527="W4",F527="predictive",OR(J527="P2",J527="P3",J527="P4")),IF(OR(U527=1,U527="1"),"adequate","partial"),INDEX(Fit_Matrix!$B:$B,MATCH(P527,Fit_Matrix!$A:$A,0)))),"CHECK KEY"))</f>
        <v/>
      </c>
      <c r="U527" s="10" t="n"/>
      <c r="V527" s="10" t="n"/>
      <c r="W527" s="10" t="n"/>
      <c r="X527" s="10" t="n"/>
      <c r="Y527" s="10" t="n"/>
      <c r="Z527" s="10" t="n"/>
      <c r="AA527" s="11">
        <f>IF(A527="","",IF(AND(J527="P4",F527="causal"),"P4-CAUSAL",""))</f>
        <v/>
      </c>
    </row>
    <row r="528" ht="15" customHeight="1" s="1">
      <c r="P528">
        <f>IF(OR(F528="",H528="",J528=""),"",J528&amp;"|"&amp;F528&amp;"|"&amp;IF(H528="W3","W3_"&amp;IF(I528="","unknown",I528),H528))</f>
        <v/>
      </c>
      <c r="Q528">
        <f>IF(P528="","",IFERROR(IF(AND(H528="W7",OR(F528="causal",F528="predictive")),IF(AND(OR(K528=1,K528="1"),OR(L528=1,L528="1"),OR(M528=1,M528="1")),"adequate","partial"),IF(AND(H528="W4",F528="predictive",OR(J528="P2",J528="P3",J528="P4")),IF(OR(U528=1,U528="1"),"adequate","partial"),INDEX(Fit_Matrix!$B:$B,MATCH(P528,Fit_Matrix!$A:$A,0)))),"CHECK KEY"))</f>
        <v/>
      </c>
      <c r="U528" s="10" t="n"/>
      <c r="V528" s="10" t="n"/>
      <c r="W528" s="10" t="n"/>
      <c r="X528" s="10" t="n"/>
      <c r="Y528" s="10" t="n"/>
      <c r="Z528" s="10" t="n"/>
      <c r="AA528" s="11">
        <f>IF(A528="","",IF(AND(J528="P4",F528="causal"),"P4-CAUSAL",""))</f>
        <v/>
      </c>
    </row>
    <row r="529" ht="15" customHeight="1" s="1">
      <c r="P529">
        <f>IF(OR(F529="",H529="",J529=""),"",J529&amp;"|"&amp;F529&amp;"|"&amp;IF(H529="W3","W3_"&amp;IF(I529="","unknown",I529),H529))</f>
        <v/>
      </c>
      <c r="Q529">
        <f>IF(P529="","",IFERROR(IF(AND(H529="W7",OR(F529="causal",F529="predictive")),IF(AND(OR(K529=1,K529="1"),OR(L529=1,L529="1"),OR(M529=1,M529="1")),"adequate","partial"),IF(AND(H529="W4",F529="predictive",OR(J529="P2",J529="P3",J529="P4")),IF(OR(U529=1,U529="1"),"adequate","partial"),INDEX(Fit_Matrix!$B:$B,MATCH(P529,Fit_Matrix!$A:$A,0)))),"CHECK KEY"))</f>
        <v/>
      </c>
      <c r="U529" s="10" t="n"/>
      <c r="V529" s="10" t="n"/>
      <c r="W529" s="10" t="n"/>
      <c r="X529" s="10" t="n"/>
      <c r="Y529" s="10" t="n"/>
      <c r="Z529" s="10" t="n"/>
      <c r="AA529" s="11">
        <f>IF(A529="","",IF(AND(J529="P4",F529="causal"),"P4-CAUSAL",""))</f>
        <v/>
      </c>
    </row>
    <row r="530" ht="15" customHeight="1" s="1">
      <c r="P530">
        <f>IF(OR(F530="",H530="",J530=""),"",J530&amp;"|"&amp;F530&amp;"|"&amp;IF(H530="W3","W3_"&amp;IF(I530="","unknown",I530),H530))</f>
        <v/>
      </c>
      <c r="Q530">
        <f>IF(P530="","",IFERROR(IF(AND(H530="W7",OR(F530="causal",F530="predictive")),IF(AND(OR(K530=1,K530="1"),OR(L530=1,L530="1"),OR(M530=1,M530="1")),"adequate","partial"),IF(AND(H530="W4",F530="predictive",OR(J530="P2",J530="P3",J530="P4")),IF(OR(U530=1,U530="1"),"adequate","partial"),INDEX(Fit_Matrix!$B:$B,MATCH(P530,Fit_Matrix!$A:$A,0)))),"CHECK KEY"))</f>
        <v/>
      </c>
      <c r="U530" s="10" t="n"/>
      <c r="V530" s="10" t="n"/>
      <c r="W530" s="10" t="n"/>
      <c r="X530" s="10" t="n"/>
      <c r="Y530" s="10" t="n"/>
      <c r="Z530" s="10" t="n"/>
      <c r="AA530" s="11">
        <f>IF(A530="","",IF(AND(J530="P4",F530="causal"),"P4-CAUSAL",""))</f>
        <v/>
      </c>
    </row>
    <row r="531" ht="15" customHeight="1" s="1">
      <c r="P531">
        <f>IF(OR(F531="",H531="",J531=""),"",J531&amp;"|"&amp;F531&amp;"|"&amp;IF(H531="W3","W3_"&amp;IF(I531="","unknown",I531),H531))</f>
        <v/>
      </c>
      <c r="Q531">
        <f>IF(P531="","",IFERROR(IF(AND(H531="W7",OR(F531="causal",F531="predictive")),IF(AND(OR(K531=1,K531="1"),OR(L531=1,L531="1"),OR(M531=1,M531="1")),"adequate","partial"),IF(AND(H531="W4",F531="predictive",OR(J531="P2",J531="P3",J531="P4")),IF(OR(U531=1,U531="1"),"adequate","partial"),INDEX(Fit_Matrix!$B:$B,MATCH(P531,Fit_Matrix!$A:$A,0)))),"CHECK KEY"))</f>
        <v/>
      </c>
      <c r="U531" s="10" t="n"/>
      <c r="V531" s="10" t="n"/>
      <c r="W531" s="10" t="n"/>
      <c r="X531" s="10" t="n"/>
      <c r="Y531" s="10" t="n"/>
      <c r="Z531" s="10" t="n"/>
      <c r="AA531" s="11">
        <f>IF(A531="","",IF(AND(J531="P4",F531="causal"),"P4-CAUSAL",""))</f>
        <v/>
      </c>
    </row>
    <row r="532" ht="15" customHeight="1" s="1">
      <c r="P532">
        <f>IF(OR(F532="",H532="",J532=""),"",J532&amp;"|"&amp;F532&amp;"|"&amp;IF(H532="W3","W3_"&amp;IF(I532="","unknown",I532),H532))</f>
        <v/>
      </c>
      <c r="Q532">
        <f>IF(P532="","",IFERROR(IF(AND(H532="W7",OR(F532="causal",F532="predictive")),IF(AND(OR(K532=1,K532="1"),OR(L532=1,L532="1"),OR(M532=1,M532="1")),"adequate","partial"),IF(AND(H532="W4",F532="predictive",OR(J532="P2",J532="P3",J532="P4")),IF(OR(U532=1,U532="1"),"adequate","partial"),INDEX(Fit_Matrix!$B:$B,MATCH(P532,Fit_Matrix!$A:$A,0)))),"CHECK KEY"))</f>
        <v/>
      </c>
      <c r="U532" s="10" t="n"/>
      <c r="V532" s="10" t="n"/>
      <c r="W532" s="10" t="n"/>
      <c r="X532" s="10" t="n"/>
      <c r="Y532" s="10" t="n"/>
      <c r="Z532" s="10" t="n"/>
      <c r="AA532" s="11">
        <f>IF(A532="","",IF(AND(J532="P4",F532="causal"),"P4-CAUSAL",""))</f>
        <v/>
      </c>
    </row>
    <row r="533" ht="15" customHeight="1" s="1">
      <c r="P533">
        <f>IF(OR(F533="",H533="",J533=""),"",J533&amp;"|"&amp;F533&amp;"|"&amp;IF(H533="W3","W3_"&amp;IF(I533="","unknown",I533),H533))</f>
        <v/>
      </c>
      <c r="Q533">
        <f>IF(P533="","",IFERROR(IF(AND(H533="W7",OR(F533="causal",F533="predictive")),IF(AND(OR(K533=1,K533="1"),OR(L533=1,L533="1"),OR(M533=1,M533="1")),"adequate","partial"),IF(AND(H533="W4",F533="predictive",OR(J533="P2",J533="P3",J533="P4")),IF(OR(U533=1,U533="1"),"adequate","partial"),INDEX(Fit_Matrix!$B:$B,MATCH(P533,Fit_Matrix!$A:$A,0)))),"CHECK KEY"))</f>
        <v/>
      </c>
      <c r="U533" s="10" t="n"/>
      <c r="V533" s="10" t="n"/>
      <c r="W533" s="10" t="n"/>
      <c r="X533" s="10" t="n"/>
      <c r="Y533" s="10" t="n"/>
      <c r="Z533" s="10" t="n"/>
      <c r="AA533" s="11">
        <f>IF(A533="","",IF(AND(J533="P4",F533="causal"),"P4-CAUSAL",""))</f>
        <v/>
      </c>
    </row>
    <row r="534" ht="15" customHeight="1" s="1">
      <c r="P534">
        <f>IF(OR(F534="",H534="",J534=""),"",J534&amp;"|"&amp;F534&amp;"|"&amp;IF(H534="W3","W3_"&amp;IF(I534="","unknown",I534),H534))</f>
        <v/>
      </c>
      <c r="Q534">
        <f>IF(P534="","",IFERROR(IF(AND(H534="W7",OR(F534="causal",F534="predictive")),IF(AND(OR(K534=1,K534="1"),OR(L534=1,L534="1"),OR(M534=1,M534="1")),"adequate","partial"),IF(AND(H534="W4",F534="predictive",OR(J534="P2",J534="P3",J534="P4")),IF(OR(U534=1,U534="1"),"adequate","partial"),INDEX(Fit_Matrix!$B:$B,MATCH(P534,Fit_Matrix!$A:$A,0)))),"CHECK KEY"))</f>
        <v/>
      </c>
      <c r="U534" s="10" t="n"/>
      <c r="V534" s="10" t="n"/>
      <c r="W534" s="10" t="n"/>
      <c r="X534" s="10" t="n"/>
      <c r="Y534" s="10" t="n"/>
      <c r="Z534" s="10" t="n"/>
      <c r="AA534" s="11">
        <f>IF(A534="","",IF(AND(J534="P4",F534="causal"),"P4-CAUSAL",""))</f>
        <v/>
      </c>
    </row>
    <row r="535" ht="15" customHeight="1" s="1">
      <c r="P535">
        <f>IF(OR(F535="",H535="",J535=""),"",J535&amp;"|"&amp;F535&amp;"|"&amp;IF(H535="W3","W3_"&amp;IF(I535="","unknown",I535),H535))</f>
        <v/>
      </c>
      <c r="Q535">
        <f>IF(P535="","",IFERROR(IF(AND(H535="W7",OR(F535="causal",F535="predictive")),IF(AND(OR(K535=1,K535="1"),OR(L535=1,L535="1"),OR(M535=1,M535="1")),"adequate","partial"),IF(AND(H535="W4",F535="predictive",OR(J535="P2",J535="P3",J535="P4")),IF(OR(U535=1,U535="1"),"adequate","partial"),INDEX(Fit_Matrix!$B:$B,MATCH(P535,Fit_Matrix!$A:$A,0)))),"CHECK KEY"))</f>
        <v/>
      </c>
      <c r="U535" s="10" t="n"/>
      <c r="V535" s="10" t="n"/>
      <c r="W535" s="10" t="n"/>
      <c r="X535" s="10" t="n"/>
      <c r="Y535" s="10" t="n"/>
      <c r="Z535" s="10" t="n"/>
      <c r="AA535" s="11">
        <f>IF(A535="","",IF(AND(J535="P4",F535="causal"),"P4-CAUSAL",""))</f>
        <v/>
      </c>
    </row>
    <row r="536" ht="15" customHeight="1" s="1">
      <c r="P536">
        <f>IF(OR(F536="",H536="",J536=""),"",J536&amp;"|"&amp;F536&amp;"|"&amp;IF(H536="W3","W3_"&amp;IF(I536="","unknown",I536),H536))</f>
        <v/>
      </c>
      <c r="Q536">
        <f>IF(P536="","",IFERROR(IF(AND(H536="W7",OR(F536="causal",F536="predictive")),IF(AND(OR(K536=1,K536="1"),OR(L536=1,L536="1"),OR(M536=1,M536="1")),"adequate","partial"),IF(AND(H536="W4",F536="predictive",OR(J536="P2",J536="P3",J536="P4")),IF(OR(U536=1,U536="1"),"adequate","partial"),INDEX(Fit_Matrix!$B:$B,MATCH(P536,Fit_Matrix!$A:$A,0)))),"CHECK KEY"))</f>
        <v/>
      </c>
      <c r="U536" s="10" t="n"/>
      <c r="V536" s="10" t="n"/>
      <c r="W536" s="10" t="n"/>
      <c r="X536" s="10" t="n"/>
      <c r="Y536" s="10" t="n"/>
      <c r="Z536" s="10" t="n"/>
      <c r="AA536" s="11">
        <f>IF(A536="","",IF(AND(J536="P4",F536="causal"),"P4-CAUSAL",""))</f>
        <v/>
      </c>
    </row>
    <row r="537" ht="15" customHeight="1" s="1">
      <c r="P537">
        <f>IF(OR(F537="",H537="",J537=""),"",J537&amp;"|"&amp;F537&amp;"|"&amp;IF(H537="W3","W3_"&amp;IF(I537="","unknown",I537),H537))</f>
        <v/>
      </c>
      <c r="Q537">
        <f>IF(P537="","",IFERROR(IF(AND(H537="W7",OR(F537="causal",F537="predictive")),IF(AND(OR(K537=1,K537="1"),OR(L537=1,L537="1"),OR(M537=1,M537="1")),"adequate","partial"),IF(AND(H537="W4",F537="predictive",OR(J537="P2",J537="P3",J537="P4")),IF(OR(U537=1,U537="1"),"adequate","partial"),INDEX(Fit_Matrix!$B:$B,MATCH(P537,Fit_Matrix!$A:$A,0)))),"CHECK KEY"))</f>
        <v/>
      </c>
      <c r="U537" s="10" t="n"/>
      <c r="V537" s="10" t="n"/>
      <c r="W537" s="10" t="n"/>
      <c r="X537" s="10" t="n"/>
      <c r="Y537" s="10" t="n"/>
      <c r="Z537" s="10" t="n"/>
      <c r="AA537" s="11">
        <f>IF(A537="","",IF(AND(J537="P4",F537="causal"),"P4-CAUSAL",""))</f>
        <v/>
      </c>
    </row>
    <row r="538" ht="15" customHeight="1" s="1">
      <c r="P538">
        <f>IF(OR(F538="",H538="",J538=""),"",J538&amp;"|"&amp;F538&amp;"|"&amp;IF(H538="W3","W3_"&amp;IF(I538="","unknown",I538),H538))</f>
        <v/>
      </c>
      <c r="Q538">
        <f>IF(P538="","",IFERROR(IF(AND(H538="W7",OR(F538="causal",F538="predictive")),IF(AND(OR(K538=1,K538="1"),OR(L538=1,L538="1"),OR(M538=1,M538="1")),"adequate","partial"),IF(AND(H538="W4",F538="predictive",OR(J538="P2",J538="P3",J538="P4")),IF(OR(U538=1,U538="1"),"adequate","partial"),INDEX(Fit_Matrix!$B:$B,MATCH(P538,Fit_Matrix!$A:$A,0)))),"CHECK KEY"))</f>
        <v/>
      </c>
      <c r="U538" s="10" t="n"/>
      <c r="V538" s="10" t="n"/>
      <c r="W538" s="10" t="n"/>
      <c r="X538" s="10" t="n"/>
      <c r="Y538" s="10" t="n"/>
      <c r="Z538" s="10" t="n"/>
      <c r="AA538" s="11">
        <f>IF(A538="","",IF(AND(J538="P4",F538="causal"),"P4-CAUSAL",""))</f>
        <v/>
      </c>
    </row>
    <row r="539" ht="15" customHeight="1" s="1">
      <c r="P539">
        <f>IF(OR(F539="",H539="",J539=""),"",J539&amp;"|"&amp;F539&amp;"|"&amp;IF(H539="W3","W3_"&amp;IF(I539="","unknown",I539),H539))</f>
        <v/>
      </c>
      <c r="Q539">
        <f>IF(P539="","",IFERROR(IF(AND(H539="W7",OR(F539="causal",F539="predictive")),IF(AND(OR(K539=1,K539="1"),OR(L539=1,L539="1"),OR(M539=1,M539="1")),"adequate","partial"),IF(AND(H539="W4",F539="predictive",OR(J539="P2",J539="P3",J539="P4")),IF(OR(U539=1,U539="1"),"adequate","partial"),INDEX(Fit_Matrix!$B:$B,MATCH(P539,Fit_Matrix!$A:$A,0)))),"CHECK KEY"))</f>
        <v/>
      </c>
      <c r="U539" s="10" t="n"/>
      <c r="V539" s="10" t="n"/>
      <c r="W539" s="10" t="n"/>
      <c r="X539" s="10" t="n"/>
      <c r="Y539" s="10" t="n"/>
      <c r="Z539" s="10" t="n"/>
      <c r="AA539" s="11">
        <f>IF(A539="","",IF(AND(J539="P4",F539="causal"),"P4-CAUSAL",""))</f>
        <v/>
      </c>
    </row>
    <row r="540" ht="15" customHeight="1" s="1">
      <c r="P540">
        <f>IF(OR(F540="",H540="",J540=""),"",J540&amp;"|"&amp;F540&amp;"|"&amp;IF(H540="W3","W3_"&amp;IF(I540="","unknown",I540),H540))</f>
        <v/>
      </c>
      <c r="Q540">
        <f>IF(P540="","",IFERROR(IF(AND(H540="W7",OR(F540="causal",F540="predictive")),IF(AND(OR(K540=1,K540="1"),OR(L540=1,L540="1"),OR(M540=1,M540="1")),"adequate","partial"),IF(AND(H540="W4",F540="predictive",OR(J540="P2",J540="P3",J540="P4")),IF(OR(U540=1,U540="1"),"adequate","partial"),INDEX(Fit_Matrix!$B:$B,MATCH(P540,Fit_Matrix!$A:$A,0)))),"CHECK KEY"))</f>
        <v/>
      </c>
      <c r="U540" s="10" t="n"/>
      <c r="V540" s="10" t="n"/>
      <c r="W540" s="10" t="n"/>
      <c r="X540" s="10" t="n"/>
      <c r="Y540" s="10" t="n"/>
      <c r="Z540" s="10" t="n"/>
      <c r="AA540" s="11">
        <f>IF(A540="","",IF(AND(J540="P4",F540="causal"),"P4-CAUSAL",""))</f>
        <v/>
      </c>
    </row>
    <row r="541" ht="15" customHeight="1" s="1">
      <c r="P541">
        <f>IF(OR(F541="",H541="",J541=""),"",J541&amp;"|"&amp;F541&amp;"|"&amp;IF(H541="W3","W3_"&amp;IF(I541="","unknown",I541),H541))</f>
        <v/>
      </c>
      <c r="Q541">
        <f>IF(P541="","",IFERROR(IF(AND(H541="W7",OR(F541="causal",F541="predictive")),IF(AND(OR(K541=1,K541="1"),OR(L541=1,L541="1"),OR(M541=1,M541="1")),"adequate","partial"),IF(AND(H541="W4",F541="predictive",OR(J541="P2",J541="P3",J541="P4")),IF(OR(U541=1,U541="1"),"adequate","partial"),INDEX(Fit_Matrix!$B:$B,MATCH(P541,Fit_Matrix!$A:$A,0)))),"CHECK KEY"))</f>
        <v/>
      </c>
      <c r="U541" s="10" t="n"/>
      <c r="V541" s="10" t="n"/>
      <c r="W541" s="10" t="n"/>
      <c r="X541" s="10" t="n"/>
      <c r="Y541" s="10" t="n"/>
      <c r="Z541" s="10" t="n"/>
      <c r="AA541" s="11">
        <f>IF(A541="","",IF(AND(J541="P4",F541="causal"),"P4-CAUSAL",""))</f>
        <v/>
      </c>
    </row>
    <row r="542" ht="15" customHeight="1" s="1">
      <c r="P542">
        <f>IF(OR(F542="",H542="",J542=""),"",J542&amp;"|"&amp;F542&amp;"|"&amp;IF(H542="W3","W3_"&amp;IF(I542="","unknown",I542),H542))</f>
        <v/>
      </c>
      <c r="Q542">
        <f>IF(P542="","",IFERROR(IF(AND(H542="W7",OR(F542="causal",F542="predictive")),IF(AND(OR(K542=1,K542="1"),OR(L542=1,L542="1"),OR(M542=1,M542="1")),"adequate","partial"),IF(AND(H542="W4",F542="predictive",OR(J542="P2",J542="P3",J542="P4")),IF(OR(U542=1,U542="1"),"adequate","partial"),INDEX(Fit_Matrix!$B:$B,MATCH(P542,Fit_Matrix!$A:$A,0)))),"CHECK KEY"))</f>
        <v/>
      </c>
      <c r="U542" s="10" t="n"/>
      <c r="V542" s="10" t="n"/>
      <c r="W542" s="10" t="n"/>
      <c r="X542" s="10" t="n"/>
      <c r="Y542" s="10" t="n"/>
      <c r="Z542" s="10" t="n"/>
      <c r="AA542" s="11">
        <f>IF(A542="","",IF(AND(J542="P4",F542="causal"),"P4-CAUSAL",""))</f>
        <v/>
      </c>
    </row>
    <row r="543" ht="15" customHeight="1" s="1">
      <c r="P543">
        <f>IF(OR(F543="",H543="",J543=""),"",J543&amp;"|"&amp;F543&amp;"|"&amp;IF(H543="W3","W3_"&amp;IF(I543="","unknown",I543),H543))</f>
        <v/>
      </c>
      <c r="Q543">
        <f>IF(P543="","",IFERROR(IF(AND(H543="W7",OR(F543="causal",F543="predictive")),IF(AND(OR(K543=1,K543="1"),OR(L543=1,L543="1"),OR(M543=1,M543="1")),"adequate","partial"),IF(AND(H543="W4",F543="predictive",OR(J543="P2",J543="P3",J543="P4")),IF(OR(U543=1,U543="1"),"adequate","partial"),INDEX(Fit_Matrix!$B:$B,MATCH(P543,Fit_Matrix!$A:$A,0)))),"CHECK KEY"))</f>
        <v/>
      </c>
      <c r="U543" s="10" t="n"/>
      <c r="V543" s="10" t="n"/>
      <c r="W543" s="10" t="n"/>
      <c r="X543" s="10" t="n"/>
      <c r="Y543" s="10" t="n"/>
      <c r="Z543" s="10" t="n"/>
      <c r="AA543" s="11">
        <f>IF(A543="","",IF(AND(J543="P4",F543="causal"),"P4-CAUSAL",""))</f>
        <v/>
      </c>
    </row>
    <row r="544" ht="15" customHeight="1" s="1">
      <c r="P544">
        <f>IF(OR(F544="",H544="",J544=""),"",J544&amp;"|"&amp;F544&amp;"|"&amp;IF(H544="W3","W3_"&amp;IF(I544="","unknown",I544),H544))</f>
        <v/>
      </c>
      <c r="Q544">
        <f>IF(P544="","",IFERROR(IF(AND(H544="W7",OR(F544="causal",F544="predictive")),IF(AND(OR(K544=1,K544="1"),OR(L544=1,L544="1"),OR(M544=1,M544="1")),"adequate","partial"),IF(AND(H544="W4",F544="predictive",OR(J544="P2",J544="P3",J544="P4")),IF(OR(U544=1,U544="1"),"adequate","partial"),INDEX(Fit_Matrix!$B:$B,MATCH(P544,Fit_Matrix!$A:$A,0)))),"CHECK KEY"))</f>
        <v/>
      </c>
      <c r="U544" s="10" t="n"/>
      <c r="V544" s="10" t="n"/>
      <c r="W544" s="10" t="n"/>
      <c r="X544" s="10" t="n"/>
      <c r="Y544" s="10" t="n"/>
      <c r="Z544" s="10" t="n"/>
      <c r="AA544" s="11">
        <f>IF(A544="","",IF(AND(J544="P4",F544="causal"),"P4-CAUSAL",""))</f>
        <v/>
      </c>
    </row>
    <row r="545" ht="15" customHeight="1" s="1">
      <c r="P545">
        <f>IF(OR(F545="",H545="",J545=""),"",J545&amp;"|"&amp;F545&amp;"|"&amp;IF(H545="W3","W3_"&amp;IF(I545="","unknown",I545),H545))</f>
        <v/>
      </c>
      <c r="Q545">
        <f>IF(P545="","",IFERROR(IF(AND(H545="W7",OR(F545="causal",F545="predictive")),IF(AND(OR(K545=1,K545="1"),OR(L545=1,L545="1"),OR(M545=1,M545="1")),"adequate","partial"),IF(AND(H545="W4",F545="predictive",OR(J545="P2",J545="P3",J545="P4")),IF(OR(U545=1,U545="1"),"adequate","partial"),INDEX(Fit_Matrix!$B:$B,MATCH(P545,Fit_Matrix!$A:$A,0)))),"CHECK KEY"))</f>
        <v/>
      </c>
      <c r="U545" s="10" t="n"/>
      <c r="V545" s="10" t="n"/>
      <c r="W545" s="10" t="n"/>
      <c r="X545" s="10" t="n"/>
      <c r="Y545" s="10" t="n"/>
      <c r="Z545" s="10" t="n"/>
      <c r="AA545" s="11">
        <f>IF(A545="","",IF(AND(J545="P4",F545="causal"),"P4-CAUSAL",""))</f>
        <v/>
      </c>
    </row>
    <row r="546" ht="15" customHeight="1" s="1">
      <c r="P546">
        <f>IF(OR(F546="",H546="",J546=""),"",J546&amp;"|"&amp;F546&amp;"|"&amp;IF(H546="W3","W3_"&amp;IF(I546="","unknown",I546),H546))</f>
        <v/>
      </c>
      <c r="Q546">
        <f>IF(P546="","",IFERROR(IF(AND(H546="W7",OR(F546="causal",F546="predictive")),IF(AND(OR(K546=1,K546="1"),OR(L546=1,L546="1"),OR(M546=1,M546="1")),"adequate","partial"),IF(AND(H546="W4",F546="predictive",OR(J546="P2",J546="P3",J546="P4")),IF(OR(U546=1,U546="1"),"adequate","partial"),INDEX(Fit_Matrix!$B:$B,MATCH(P546,Fit_Matrix!$A:$A,0)))),"CHECK KEY"))</f>
        <v/>
      </c>
      <c r="U546" s="10" t="n"/>
      <c r="V546" s="10" t="n"/>
      <c r="W546" s="10" t="n"/>
      <c r="X546" s="10" t="n"/>
      <c r="Y546" s="10" t="n"/>
      <c r="Z546" s="10" t="n"/>
      <c r="AA546" s="11">
        <f>IF(A546="","",IF(AND(J546="P4",F546="causal"),"P4-CAUSAL",""))</f>
        <v/>
      </c>
    </row>
    <row r="547" ht="15" customHeight="1" s="1">
      <c r="P547">
        <f>IF(OR(F547="",H547="",J547=""),"",J547&amp;"|"&amp;F547&amp;"|"&amp;IF(H547="W3","W3_"&amp;IF(I547="","unknown",I547),H547))</f>
        <v/>
      </c>
      <c r="Q547">
        <f>IF(P547="","",IFERROR(IF(AND(H547="W7",OR(F547="causal",F547="predictive")),IF(AND(OR(K547=1,K547="1"),OR(L547=1,L547="1"),OR(M547=1,M547="1")),"adequate","partial"),IF(AND(H547="W4",F547="predictive",OR(J547="P2",J547="P3",J547="P4")),IF(OR(U547=1,U547="1"),"adequate","partial"),INDEX(Fit_Matrix!$B:$B,MATCH(P547,Fit_Matrix!$A:$A,0)))),"CHECK KEY"))</f>
        <v/>
      </c>
      <c r="U547" s="10" t="n"/>
      <c r="V547" s="10" t="n"/>
      <c r="W547" s="10" t="n"/>
      <c r="X547" s="10" t="n"/>
      <c r="Y547" s="10" t="n"/>
      <c r="Z547" s="10" t="n"/>
      <c r="AA547" s="11">
        <f>IF(A547="","",IF(AND(J547="P4",F547="causal"),"P4-CAUSAL",""))</f>
        <v/>
      </c>
    </row>
    <row r="548" ht="15" customHeight="1" s="1">
      <c r="P548">
        <f>IF(OR(F548="",H548="",J548=""),"",J548&amp;"|"&amp;F548&amp;"|"&amp;IF(H548="W3","W3_"&amp;IF(I548="","unknown",I548),H548))</f>
        <v/>
      </c>
      <c r="Q548">
        <f>IF(P548="","",IFERROR(IF(AND(H548="W7",OR(F548="causal",F548="predictive")),IF(AND(OR(K548=1,K548="1"),OR(L548=1,L548="1"),OR(M548=1,M548="1")),"adequate","partial"),IF(AND(H548="W4",F548="predictive",OR(J548="P2",J548="P3",J548="P4")),IF(OR(U548=1,U548="1"),"adequate","partial"),INDEX(Fit_Matrix!$B:$B,MATCH(P548,Fit_Matrix!$A:$A,0)))),"CHECK KEY"))</f>
        <v/>
      </c>
      <c r="U548" s="10" t="n"/>
      <c r="V548" s="10" t="n"/>
      <c r="W548" s="10" t="n"/>
      <c r="X548" s="10" t="n"/>
      <c r="Y548" s="10" t="n"/>
      <c r="Z548" s="10" t="n"/>
      <c r="AA548" s="11">
        <f>IF(A548="","",IF(AND(J548="P4",F548="causal"),"P4-CAUSAL",""))</f>
        <v/>
      </c>
    </row>
    <row r="549" ht="15" customHeight="1" s="1">
      <c r="P549">
        <f>IF(OR(F549="",H549="",J549=""),"",J549&amp;"|"&amp;F549&amp;"|"&amp;IF(H549="W3","W3_"&amp;IF(I549="","unknown",I549),H549))</f>
        <v/>
      </c>
      <c r="Q549">
        <f>IF(P549="","",IFERROR(IF(AND(H549="W7",OR(F549="causal",F549="predictive")),IF(AND(OR(K549=1,K549="1"),OR(L549=1,L549="1"),OR(M549=1,M549="1")),"adequate","partial"),IF(AND(H549="W4",F549="predictive",OR(J549="P2",J549="P3",J549="P4")),IF(OR(U549=1,U549="1"),"adequate","partial"),INDEX(Fit_Matrix!$B:$B,MATCH(P549,Fit_Matrix!$A:$A,0)))),"CHECK KEY"))</f>
        <v/>
      </c>
      <c r="U549" s="10" t="n"/>
      <c r="V549" s="10" t="n"/>
      <c r="W549" s="10" t="n"/>
      <c r="X549" s="10" t="n"/>
      <c r="Y549" s="10" t="n"/>
      <c r="Z549" s="10" t="n"/>
      <c r="AA549" s="11">
        <f>IF(A549="","",IF(AND(J549="P4",F549="causal"),"P4-CAUSAL",""))</f>
        <v/>
      </c>
    </row>
    <row r="550" ht="15" customHeight="1" s="1">
      <c r="P550">
        <f>IF(OR(F550="",H550="",J550=""),"",J550&amp;"|"&amp;F550&amp;"|"&amp;IF(H550="W3","W3_"&amp;IF(I550="","unknown",I550),H550))</f>
        <v/>
      </c>
      <c r="Q550">
        <f>IF(P550="","",IFERROR(IF(AND(H550="W7",OR(F550="causal",F550="predictive")),IF(AND(OR(K550=1,K550="1"),OR(L550=1,L550="1"),OR(M550=1,M550="1")),"adequate","partial"),IF(AND(H550="W4",F550="predictive",OR(J550="P2",J550="P3",J550="P4")),IF(OR(U550=1,U550="1"),"adequate","partial"),INDEX(Fit_Matrix!$B:$B,MATCH(P550,Fit_Matrix!$A:$A,0)))),"CHECK KEY"))</f>
        <v/>
      </c>
      <c r="U550" s="10" t="n"/>
      <c r="V550" s="10" t="n"/>
      <c r="W550" s="10" t="n"/>
      <c r="X550" s="10" t="n"/>
      <c r="Y550" s="10" t="n"/>
      <c r="Z550" s="10" t="n"/>
      <c r="AA550" s="11">
        <f>IF(A550="","",IF(AND(J550="P4",F550="causal"),"P4-CAUSAL",""))</f>
        <v/>
      </c>
    </row>
    <row r="551" ht="15" customHeight="1" s="1">
      <c r="P551">
        <f>IF(OR(F551="",H551="",J551=""),"",J551&amp;"|"&amp;F551&amp;"|"&amp;IF(H551="W3","W3_"&amp;IF(I551="","unknown",I551),H551))</f>
        <v/>
      </c>
      <c r="Q551">
        <f>IF(P551="","",IFERROR(IF(AND(H551="W7",OR(F551="causal",F551="predictive")),IF(AND(OR(K551=1,K551="1"),OR(L551=1,L551="1"),OR(M551=1,M551="1")),"adequate","partial"),IF(AND(H551="W4",F551="predictive",OR(J551="P2",J551="P3",J551="P4")),IF(OR(U551=1,U551="1"),"adequate","partial"),INDEX(Fit_Matrix!$B:$B,MATCH(P551,Fit_Matrix!$A:$A,0)))),"CHECK KEY"))</f>
        <v/>
      </c>
      <c r="U551" s="10" t="n"/>
      <c r="V551" s="10" t="n"/>
      <c r="W551" s="10" t="n"/>
      <c r="X551" s="10" t="n"/>
      <c r="Y551" s="10" t="n"/>
      <c r="Z551" s="10" t="n"/>
      <c r="AA551" s="11">
        <f>IF(A551="","",IF(AND(J551="P4",F551="causal"),"P4-CAUSAL",""))</f>
        <v/>
      </c>
    </row>
    <row r="552" ht="15" customHeight="1" s="1">
      <c r="P552">
        <f>IF(OR(F552="",H552="",J552=""),"",J552&amp;"|"&amp;F552&amp;"|"&amp;IF(H552="W3","W3_"&amp;IF(I552="","unknown",I552),H552))</f>
        <v/>
      </c>
      <c r="Q552">
        <f>IF(P552="","",IFERROR(IF(AND(H552="W7",OR(F552="causal",F552="predictive")),IF(AND(OR(K552=1,K552="1"),OR(L552=1,L552="1"),OR(M552=1,M552="1")),"adequate","partial"),IF(AND(H552="W4",F552="predictive",OR(J552="P2",J552="P3",J552="P4")),IF(OR(U552=1,U552="1"),"adequate","partial"),INDEX(Fit_Matrix!$B:$B,MATCH(P552,Fit_Matrix!$A:$A,0)))),"CHECK KEY"))</f>
        <v/>
      </c>
      <c r="U552" s="10" t="n"/>
      <c r="V552" s="10" t="n"/>
      <c r="W552" s="10" t="n"/>
      <c r="X552" s="10" t="n"/>
      <c r="Y552" s="10" t="n"/>
      <c r="Z552" s="10" t="n"/>
      <c r="AA552" s="11">
        <f>IF(A552="","",IF(AND(J552="P4",F552="causal"),"P4-CAUSAL",""))</f>
        <v/>
      </c>
    </row>
    <row r="553" ht="15" customHeight="1" s="1">
      <c r="P553">
        <f>IF(OR(F553="",H553="",J553=""),"",J553&amp;"|"&amp;F553&amp;"|"&amp;IF(H553="W3","W3_"&amp;IF(I553="","unknown",I553),H553))</f>
        <v/>
      </c>
      <c r="Q553">
        <f>IF(P553="","",IFERROR(IF(AND(H553="W7",OR(F553="causal",F553="predictive")),IF(AND(OR(K553=1,K553="1"),OR(L553=1,L553="1"),OR(M553=1,M553="1")),"adequate","partial"),IF(AND(H553="W4",F553="predictive",OR(J553="P2",J553="P3",J553="P4")),IF(OR(U553=1,U553="1"),"adequate","partial"),INDEX(Fit_Matrix!$B:$B,MATCH(P553,Fit_Matrix!$A:$A,0)))),"CHECK KEY"))</f>
        <v/>
      </c>
      <c r="U553" s="10" t="n"/>
      <c r="V553" s="10" t="n"/>
      <c r="W553" s="10" t="n"/>
      <c r="X553" s="10" t="n"/>
      <c r="Y553" s="10" t="n"/>
      <c r="Z553" s="10" t="n"/>
      <c r="AA553" s="11">
        <f>IF(A553="","",IF(AND(J553="P4",F553="causal"),"P4-CAUSAL",""))</f>
        <v/>
      </c>
    </row>
    <row r="554" ht="15" customHeight="1" s="1">
      <c r="P554">
        <f>IF(OR(F554="",H554="",J554=""),"",J554&amp;"|"&amp;F554&amp;"|"&amp;IF(H554="W3","W3_"&amp;IF(I554="","unknown",I554),H554))</f>
        <v/>
      </c>
      <c r="Q554">
        <f>IF(P554="","",IFERROR(IF(AND(H554="W7",OR(F554="causal",F554="predictive")),IF(AND(OR(K554=1,K554="1"),OR(L554=1,L554="1"),OR(M554=1,M554="1")),"adequate","partial"),IF(AND(H554="W4",F554="predictive",OR(J554="P2",J554="P3",J554="P4")),IF(OR(U554=1,U554="1"),"adequate","partial"),INDEX(Fit_Matrix!$B:$B,MATCH(P554,Fit_Matrix!$A:$A,0)))),"CHECK KEY"))</f>
        <v/>
      </c>
      <c r="U554" s="10" t="n"/>
      <c r="V554" s="10" t="n"/>
      <c r="W554" s="10" t="n"/>
      <c r="X554" s="10" t="n"/>
      <c r="Y554" s="10" t="n"/>
      <c r="Z554" s="10" t="n"/>
      <c r="AA554" s="11">
        <f>IF(A554="","",IF(AND(J554="P4",F554="causal"),"P4-CAUSAL",""))</f>
        <v/>
      </c>
    </row>
    <row r="555" ht="15" customHeight="1" s="1">
      <c r="P555">
        <f>IF(OR(F555="",H555="",J555=""),"",J555&amp;"|"&amp;F555&amp;"|"&amp;IF(H555="W3","W3_"&amp;IF(I555="","unknown",I555),H555))</f>
        <v/>
      </c>
      <c r="Q555">
        <f>IF(P555="","",IFERROR(IF(AND(H555="W7",OR(F555="causal",F555="predictive")),IF(AND(OR(K555=1,K555="1"),OR(L555=1,L555="1"),OR(M555=1,M555="1")),"adequate","partial"),IF(AND(H555="W4",F555="predictive",OR(J555="P2",J555="P3",J555="P4")),IF(OR(U555=1,U555="1"),"adequate","partial"),INDEX(Fit_Matrix!$B:$B,MATCH(P555,Fit_Matrix!$A:$A,0)))),"CHECK KEY"))</f>
        <v/>
      </c>
      <c r="U555" s="10" t="n"/>
      <c r="V555" s="10" t="n"/>
      <c r="W555" s="10" t="n"/>
      <c r="X555" s="10" t="n"/>
      <c r="Y555" s="10" t="n"/>
      <c r="Z555" s="10" t="n"/>
      <c r="AA555" s="11">
        <f>IF(A555="","",IF(AND(J555="P4",F555="causal"),"P4-CAUSAL",""))</f>
        <v/>
      </c>
    </row>
    <row r="556" ht="15" customHeight="1" s="1">
      <c r="P556">
        <f>IF(OR(F556="",H556="",J556=""),"",J556&amp;"|"&amp;F556&amp;"|"&amp;IF(H556="W3","W3_"&amp;IF(I556="","unknown",I556),H556))</f>
        <v/>
      </c>
      <c r="Q556">
        <f>IF(P556="","",IFERROR(IF(AND(H556="W7",OR(F556="causal",F556="predictive")),IF(AND(OR(K556=1,K556="1"),OR(L556=1,L556="1"),OR(M556=1,M556="1")),"adequate","partial"),IF(AND(H556="W4",F556="predictive",OR(J556="P2",J556="P3",J556="P4")),IF(OR(U556=1,U556="1"),"adequate","partial"),INDEX(Fit_Matrix!$B:$B,MATCH(P556,Fit_Matrix!$A:$A,0)))),"CHECK KEY"))</f>
        <v/>
      </c>
      <c r="U556" s="10" t="n"/>
      <c r="V556" s="10" t="n"/>
      <c r="W556" s="10" t="n"/>
      <c r="X556" s="10" t="n"/>
      <c r="Y556" s="10" t="n"/>
      <c r="Z556" s="10" t="n"/>
      <c r="AA556" s="11">
        <f>IF(A556="","",IF(AND(J556="P4",F556="causal"),"P4-CAUSAL",""))</f>
        <v/>
      </c>
    </row>
    <row r="557" ht="15" customHeight="1" s="1">
      <c r="P557">
        <f>IF(OR(F557="",H557="",J557=""),"",J557&amp;"|"&amp;F557&amp;"|"&amp;IF(H557="W3","W3_"&amp;IF(I557="","unknown",I557),H557))</f>
        <v/>
      </c>
      <c r="Q557">
        <f>IF(P557="","",IFERROR(IF(AND(H557="W7",OR(F557="causal",F557="predictive")),IF(AND(OR(K557=1,K557="1"),OR(L557=1,L557="1"),OR(M557=1,M557="1")),"adequate","partial"),IF(AND(H557="W4",F557="predictive",OR(J557="P2",J557="P3",J557="P4")),IF(OR(U557=1,U557="1"),"adequate","partial"),INDEX(Fit_Matrix!$B:$B,MATCH(P557,Fit_Matrix!$A:$A,0)))),"CHECK KEY"))</f>
        <v/>
      </c>
      <c r="U557" s="10" t="n"/>
      <c r="V557" s="10" t="n"/>
      <c r="W557" s="10" t="n"/>
      <c r="X557" s="10" t="n"/>
      <c r="Y557" s="10" t="n"/>
      <c r="Z557" s="10" t="n"/>
      <c r="AA557" s="11">
        <f>IF(A557="","",IF(AND(J557="P4",F557="causal"),"P4-CAUSAL",""))</f>
        <v/>
      </c>
    </row>
    <row r="558" ht="15" customHeight="1" s="1">
      <c r="P558">
        <f>IF(OR(F558="",H558="",J558=""),"",J558&amp;"|"&amp;F558&amp;"|"&amp;IF(H558="W3","W3_"&amp;IF(I558="","unknown",I558),H558))</f>
        <v/>
      </c>
      <c r="Q558">
        <f>IF(P558="","",IFERROR(IF(AND(H558="W7",OR(F558="causal",F558="predictive")),IF(AND(OR(K558=1,K558="1"),OR(L558=1,L558="1"),OR(M558=1,M558="1")),"adequate","partial"),IF(AND(H558="W4",F558="predictive",OR(J558="P2",J558="P3",J558="P4")),IF(OR(U558=1,U558="1"),"adequate","partial"),INDEX(Fit_Matrix!$B:$B,MATCH(P558,Fit_Matrix!$A:$A,0)))),"CHECK KEY"))</f>
        <v/>
      </c>
      <c r="U558" s="10" t="n"/>
      <c r="V558" s="10" t="n"/>
      <c r="W558" s="10" t="n"/>
      <c r="X558" s="10" t="n"/>
      <c r="Y558" s="10" t="n"/>
      <c r="Z558" s="10" t="n"/>
      <c r="AA558" s="11">
        <f>IF(A558="","",IF(AND(J558="P4",F558="causal"),"P4-CAUSAL",""))</f>
        <v/>
      </c>
    </row>
    <row r="559" ht="15" customHeight="1" s="1">
      <c r="P559">
        <f>IF(OR(F559="",H559="",J559=""),"",J559&amp;"|"&amp;F559&amp;"|"&amp;IF(H559="W3","W3_"&amp;IF(I559="","unknown",I559),H559))</f>
        <v/>
      </c>
      <c r="Q559">
        <f>IF(P559="","",IFERROR(IF(AND(H559="W7",OR(F559="causal",F559="predictive")),IF(AND(OR(K559=1,K559="1"),OR(L559=1,L559="1"),OR(M559=1,M559="1")),"adequate","partial"),IF(AND(H559="W4",F559="predictive",OR(J559="P2",J559="P3",J559="P4")),IF(OR(U559=1,U559="1"),"adequate","partial"),INDEX(Fit_Matrix!$B:$B,MATCH(P559,Fit_Matrix!$A:$A,0)))),"CHECK KEY"))</f>
        <v/>
      </c>
      <c r="U559" s="10" t="n"/>
      <c r="V559" s="10" t="n"/>
      <c r="W559" s="10" t="n"/>
      <c r="X559" s="10" t="n"/>
      <c r="Y559" s="10" t="n"/>
      <c r="Z559" s="10" t="n"/>
      <c r="AA559" s="11">
        <f>IF(A559="","",IF(AND(J559="P4",F559="causal"),"P4-CAUSAL",""))</f>
        <v/>
      </c>
    </row>
    <row r="560" ht="15" customHeight="1" s="1">
      <c r="P560">
        <f>IF(OR(F560="",H560="",J560=""),"",J560&amp;"|"&amp;F560&amp;"|"&amp;IF(H560="W3","W3_"&amp;IF(I560="","unknown",I560),H560))</f>
        <v/>
      </c>
      <c r="Q560">
        <f>IF(P560="","",IFERROR(IF(AND(H560="W7",OR(F560="causal",F560="predictive")),IF(AND(OR(K560=1,K560="1"),OR(L560=1,L560="1"),OR(M560=1,M560="1")),"adequate","partial"),IF(AND(H560="W4",F560="predictive",OR(J560="P2",J560="P3",J560="P4")),IF(OR(U560=1,U560="1"),"adequate","partial"),INDEX(Fit_Matrix!$B:$B,MATCH(P560,Fit_Matrix!$A:$A,0)))),"CHECK KEY"))</f>
        <v/>
      </c>
      <c r="U560" s="10" t="n"/>
      <c r="V560" s="10" t="n"/>
      <c r="W560" s="10" t="n"/>
      <c r="X560" s="10" t="n"/>
      <c r="Y560" s="10" t="n"/>
      <c r="Z560" s="10" t="n"/>
      <c r="AA560" s="11">
        <f>IF(A560="","",IF(AND(J560="P4",F560="causal"),"P4-CAUSAL",""))</f>
        <v/>
      </c>
    </row>
    <row r="561" ht="15" customHeight="1" s="1">
      <c r="P561">
        <f>IF(OR(F561="",H561="",J561=""),"",J561&amp;"|"&amp;F561&amp;"|"&amp;IF(H561="W3","W3_"&amp;IF(I561="","unknown",I561),H561))</f>
        <v/>
      </c>
      <c r="Q561">
        <f>IF(P561="","",IFERROR(IF(AND(H561="W7",OR(F561="causal",F561="predictive")),IF(AND(OR(K561=1,K561="1"),OR(L561=1,L561="1"),OR(M561=1,M561="1")),"adequate","partial"),IF(AND(H561="W4",F561="predictive",OR(J561="P2",J561="P3",J561="P4")),IF(OR(U561=1,U561="1"),"adequate","partial"),INDEX(Fit_Matrix!$B:$B,MATCH(P561,Fit_Matrix!$A:$A,0)))),"CHECK KEY"))</f>
        <v/>
      </c>
      <c r="U561" s="10" t="n"/>
      <c r="V561" s="10" t="n"/>
      <c r="W561" s="10" t="n"/>
      <c r="X561" s="10" t="n"/>
      <c r="Y561" s="10" t="n"/>
      <c r="Z561" s="10" t="n"/>
      <c r="AA561" s="11">
        <f>IF(A561="","",IF(AND(J561="P4",F561="causal"),"P4-CAUSAL",""))</f>
        <v/>
      </c>
    </row>
    <row r="562" ht="15" customHeight="1" s="1">
      <c r="P562">
        <f>IF(OR(F562="",H562="",J562=""),"",J562&amp;"|"&amp;F562&amp;"|"&amp;IF(H562="W3","W3_"&amp;IF(I562="","unknown",I562),H562))</f>
        <v/>
      </c>
      <c r="Q562">
        <f>IF(P562="","",IFERROR(IF(AND(H562="W7",OR(F562="causal",F562="predictive")),IF(AND(OR(K562=1,K562="1"),OR(L562=1,L562="1"),OR(M562=1,M562="1")),"adequate","partial"),IF(AND(H562="W4",F562="predictive",OR(J562="P2",J562="P3",J562="P4")),IF(OR(U562=1,U562="1"),"adequate","partial"),INDEX(Fit_Matrix!$B:$B,MATCH(P562,Fit_Matrix!$A:$A,0)))),"CHECK KEY"))</f>
        <v/>
      </c>
      <c r="U562" s="10" t="n"/>
      <c r="V562" s="10" t="n"/>
      <c r="W562" s="10" t="n"/>
      <c r="X562" s="10" t="n"/>
      <c r="Y562" s="10" t="n"/>
      <c r="Z562" s="10" t="n"/>
      <c r="AA562" s="11">
        <f>IF(A562="","",IF(AND(J562="P4",F562="causal"),"P4-CAUSAL",""))</f>
        <v/>
      </c>
    </row>
    <row r="563" ht="15" customHeight="1" s="1">
      <c r="P563">
        <f>IF(OR(F563="",H563="",J563=""),"",J563&amp;"|"&amp;F563&amp;"|"&amp;IF(H563="W3","W3_"&amp;IF(I563="","unknown",I563),H563))</f>
        <v/>
      </c>
      <c r="Q563">
        <f>IF(P563="","",IFERROR(IF(AND(H563="W7",OR(F563="causal",F563="predictive")),IF(AND(OR(K563=1,K563="1"),OR(L563=1,L563="1"),OR(M563=1,M563="1")),"adequate","partial"),IF(AND(H563="W4",F563="predictive",OR(J563="P2",J563="P3",J563="P4")),IF(OR(U563=1,U563="1"),"adequate","partial"),INDEX(Fit_Matrix!$B:$B,MATCH(P563,Fit_Matrix!$A:$A,0)))),"CHECK KEY"))</f>
        <v/>
      </c>
      <c r="U563" s="10" t="n"/>
      <c r="V563" s="10" t="n"/>
      <c r="W563" s="10" t="n"/>
      <c r="X563" s="10" t="n"/>
      <c r="Y563" s="10" t="n"/>
      <c r="Z563" s="10" t="n"/>
      <c r="AA563" s="11">
        <f>IF(A563="","",IF(AND(J563="P4",F563="causal"),"P4-CAUSAL",""))</f>
        <v/>
      </c>
    </row>
    <row r="564" ht="15" customHeight="1" s="1">
      <c r="P564">
        <f>IF(OR(F564="",H564="",J564=""),"",J564&amp;"|"&amp;F564&amp;"|"&amp;IF(H564="W3","W3_"&amp;IF(I564="","unknown",I564),H564))</f>
        <v/>
      </c>
      <c r="Q564">
        <f>IF(P564="","",IFERROR(IF(AND(H564="W7",OR(F564="causal",F564="predictive")),IF(AND(OR(K564=1,K564="1"),OR(L564=1,L564="1"),OR(M564=1,M564="1")),"adequate","partial"),IF(AND(H564="W4",F564="predictive",OR(J564="P2",J564="P3",J564="P4")),IF(OR(U564=1,U564="1"),"adequate","partial"),INDEX(Fit_Matrix!$B:$B,MATCH(P564,Fit_Matrix!$A:$A,0)))),"CHECK KEY"))</f>
        <v/>
      </c>
      <c r="U564" s="10" t="n"/>
      <c r="V564" s="10" t="n"/>
      <c r="W564" s="10" t="n"/>
      <c r="X564" s="10" t="n"/>
      <c r="Y564" s="10" t="n"/>
      <c r="Z564" s="10" t="n"/>
      <c r="AA564" s="11">
        <f>IF(A564="","",IF(AND(J564="P4",F564="causal"),"P4-CAUSAL",""))</f>
        <v/>
      </c>
    </row>
    <row r="565" ht="15" customHeight="1" s="1">
      <c r="P565">
        <f>IF(OR(F565="",H565="",J565=""),"",J565&amp;"|"&amp;F565&amp;"|"&amp;IF(H565="W3","W3_"&amp;IF(I565="","unknown",I565),H565))</f>
        <v/>
      </c>
      <c r="Q565">
        <f>IF(P565="","",IFERROR(IF(AND(H565="W7",OR(F565="causal",F565="predictive")),IF(AND(OR(K565=1,K565="1"),OR(L565=1,L565="1"),OR(M565=1,M565="1")),"adequate","partial"),IF(AND(H565="W4",F565="predictive",OR(J565="P2",J565="P3",J565="P4")),IF(OR(U565=1,U565="1"),"adequate","partial"),INDEX(Fit_Matrix!$B:$B,MATCH(P565,Fit_Matrix!$A:$A,0)))),"CHECK KEY"))</f>
        <v/>
      </c>
      <c r="U565" s="10" t="n"/>
      <c r="V565" s="10" t="n"/>
      <c r="W565" s="10" t="n"/>
      <c r="X565" s="10" t="n"/>
      <c r="Y565" s="10" t="n"/>
      <c r="Z565" s="10" t="n"/>
      <c r="AA565" s="11">
        <f>IF(A565="","",IF(AND(J565="P4",F565="causal"),"P4-CAUSAL",""))</f>
        <v/>
      </c>
    </row>
    <row r="566" ht="15" customHeight="1" s="1">
      <c r="P566">
        <f>IF(OR(F566="",H566="",J566=""),"",J566&amp;"|"&amp;F566&amp;"|"&amp;IF(H566="W3","W3_"&amp;IF(I566="","unknown",I566),H566))</f>
        <v/>
      </c>
      <c r="Q566">
        <f>IF(P566="","",IFERROR(IF(AND(H566="W7",OR(F566="causal",F566="predictive")),IF(AND(OR(K566=1,K566="1"),OR(L566=1,L566="1"),OR(M566=1,M566="1")),"adequate","partial"),IF(AND(H566="W4",F566="predictive",OR(J566="P2",J566="P3",J566="P4")),IF(OR(U566=1,U566="1"),"adequate","partial"),INDEX(Fit_Matrix!$B:$B,MATCH(P566,Fit_Matrix!$A:$A,0)))),"CHECK KEY"))</f>
        <v/>
      </c>
      <c r="U566" s="10" t="n"/>
      <c r="V566" s="10" t="n"/>
      <c r="W566" s="10" t="n"/>
      <c r="X566" s="10" t="n"/>
      <c r="Y566" s="10" t="n"/>
      <c r="Z566" s="10" t="n"/>
      <c r="AA566" s="11">
        <f>IF(A566="","",IF(AND(J566="P4",F566="causal"),"P4-CAUSAL",""))</f>
        <v/>
      </c>
    </row>
    <row r="567" ht="15" customHeight="1" s="1">
      <c r="P567">
        <f>IF(OR(F567="",H567="",J567=""),"",J567&amp;"|"&amp;F567&amp;"|"&amp;IF(H567="W3","W3_"&amp;IF(I567="","unknown",I567),H567))</f>
        <v/>
      </c>
      <c r="Q567">
        <f>IF(P567="","",IFERROR(IF(AND(H567="W7",OR(F567="causal",F567="predictive")),IF(AND(OR(K567=1,K567="1"),OR(L567=1,L567="1"),OR(M567=1,M567="1")),"adequate","partial"),IF(AND(H567="W4",F567="predictive",OR(J567="P2",J567="P3",J567="P4")),IF(OR(U567=1,U567="1"),"adequate","partial"),INDEX(Fit_Matrix!$B:$B,MATCH(P567,Fit_Matrix!$A:$A,0)))),"CHECK KEY"))</f>
        <v/>
      </c>
      <c r="U567" s="10" t="n"/>
      <c r="V567" s="10" t="n"/>
      <c r="W567" s="10" t="n"/>
      <c r="X567" s="10" t="n"/>
      <c r="Y567" s="10" t="n"/>
      <c r="Z567" s="10" t="n"/>
      <c r="AA567" s="11">
        <f>IF(A567="","",IF(AND(J567="P4",F567="causal"),"P4-CAUSAL",""))</f>
        <v/>
      </c>
    </row>
    <row r="568" ht="15" customHeight="1" s="1">
      <c r="P568">
        <f>IF(OR(F568="",H568="",J568=""),"",J568&amp;"|"&amp;F568&amp;"|"&amp;IF(H568="W3","W3_"&amp;IF(I568="","unknown",I568),H568))</f>
        <v/>
      </c>
      <c r="Q568">
        <f>IF(P568="","",IFERROR(IF(AND(H568="W7",OR(F568="causal",F568="predictive")),IF(AND(OR(K568=1,K568="1"),OR(L568=1,L568="1"),OR(M568=1,M568="1")),"adequate","partial"),IF(AND(H568="W4",F568="predictive",OR(J568="P2",J568="P3",J568="P4")),IF(OR(U568=1,U568="1"),"adequate","partial"),INDEX(Fit_Matrix!$B:$B,MATCH(P568,Fit_Matrix!$A:$A,0)))),"CHECK KEY"))</f>
        <v/>
      </c>
      <c r="U568" s="10" t="n"/>
      <c r="V568" s="10" t="n"/>
      <c r="W568" s="10" t="n"/>
      <c r="X568" s="10" t="n"/>
      <c r="Y568" s="10" t="n"/>
      <c r="Z568" s="10" t="n"/>
      <c r="AA568" s="11">
        <f>IF(A568="","",IF(AND(J568="P4",F568="causal"),"P4-CAUSAL",""))</f>
        <v/>
      </c>
    </row>
    <row r="569" ht="15" customHeight="1" s="1">
      <c r="P569">
        <f>IF(OR(F569="",H569="",J569=""),"",J569&amp;"|"&amp;F569&amp;"|"&amp;IF(H569="W3","W3_"&amp;IF(I569="","unknown",I569),H569))</f>
        <v/>
      </c>
      <c r="Q569">
        <f>IF(P569="","",IFERROR(IF(AND(H569="W7",OR(F569="causal",F569="predictive")),IF(AND(OR(K569=1,K569="1"),OR(L569=1,L569="1"),OR(M569=1,M569="1")),"adequate","partial"),IF(AND(H569="W4",F569="predictive",OR(J569="P2",J569="P3",J569="P4")),IF(OR(U569=1,U569="1"),"adequate","partial"),INDEX(Fit_Matrix!$B:$B,MATCH(P569,Fit_Matrix!$A:$A,0)))),"CHECK KEY"))</f>
        <v/>
      </c>
      <c r="U569" s="10" t="n"/>
      <c r="V569" s="10" t="n"/>
      <c r="W569" s="10" t="n"/>
      <c r="X569" s="10" t="n"/>
      <c r="Y569" s="10" t="n"/>
      <c r="Z569" s="10" t="n"/>
      <c r="AA569" s="11">
        <f>IF(A569="","",IF(AND(J569="P4",F569="causal"),"P4-CAUSAL",""))</f>
        <v/>
      </c>
    </row>
    <row r="570" ht="15" customHeight="1" s="1">
      <c r="P570">
        <f>IF(OR(F570="",H570="",J570=""),"",J570&amp;"|"&amp;F570&amp;"|"&amp;IF(H570="W3","W3_"&amp;IF(I570="","unknown",I570),H570))</f>
        <v/>
      </c>
      <c r="Q570">
        <f>IF(P570="","",IFERROR(IF(AND(H570="W7",OR(F570="causal",F570="predictive")),IF(AND(OR(K570=1,K570="1"),OR(L570=1,L570="1"),OR(M570=1,M570="1")),"adequate","partial"),IF(AND(H570="W4",F570="predictive",OR(J570="P2",J570="P3",J570="P4")),IF(OR(U570=1,U570="1"),"adequate","partial"),INDEX(Fit_Matrix!$B:$B,MATCH(P570,Fit_Matrix!$A:$A,0)))),"CHECK KEY"))</f>
        <v/>
      </c>
      <c r="U570" s="10" t="n"/>
      <c r="V570" s="10" t="n"/>
      <c r="W570" s="10" t="n"/>
      <c r="X570" s="10" t="n"/>
      <c r="Y570" s="10" t="n"/>
      <c r="Z570" s="10" t="n"/>
      <c r="AA570" s="11">
        <f>IF(A570="","",IF(AND(J570="P4",F570="causal"),"P4-CAUSAL",""))</f>
        <v/>
      </c>
    </row>
    <row r="571" ht="15" customHeight="1" s="1">
      <c r="P571">
        <f>IF(OR(F571="",H571="",J571=""),"",J571&amp;"|"&amp;F571&amp;"|"&amp;IF(H571="W3","W3_"&amp;IF(I571="","unknown",I571),H571))</f>
        <v/>
      </c>
      <c r="Q571">
        <f>IF(P571="","",IFERROR(IF(AND(H571="W7",OR(F571="causal",F571="predictive")),IF(AND(OR(K571=1,K571="1"),OR(L571=1,L571="1"),OR(M571=1,M571="1")),"adequate","partial"),IF(AND(H571="W4",F571="predictive",OR(J571="P2",J571="P3",J571="P4")),IF(OR(U571=1,U571="1"),"adequate","partial"),INDEX(Fit_Matrix!$B:$B,MATCH(P571,Fit_Matrix!$A:$A,0)))),"CHECK KEY"))</f>
        <v/>
      </c>
      <c r="U571" s="10" t="n"/>
      <c r="V571" s="10" t="n"/>
      <c r="W571" s="10" t="n"/>
      <c r="X571" s="10" t="n"/>
      <c r="Y571" s="10" t="n"/>
      <c r="Z571" s="10" t="n"/>
      <c r="AA571" s="11">
        <f>IF(A571="","",IF(AND(J571="P4",F571="causal"),"P4-CAUSAL",""))</f>
        <v/>
      </c>
    </row>
    <row r="572" ht="15" customHeight="1" s="1">
      <c r="P572">
        <f>IF(OR(F572="",H572="",J572=""),"",J572&amp;"|"&amp;F572&amp;"|"&amp;IF(H572="W3","W3_"&amp;IF(I572="","unknown",I572),H572))</f>
        <v/>
      </c>
      <c r="Q572">
        <f>IF(P572="","",IFERROR(IF(AND(H572="W7",OR(F572="causal",F572="predictive")),IF(AND(OR(K572=1,K572="1"),OR(L572=1,L572="1"),OR(M572=1,M572="1")),"adequate","partial"),IF(AND(H572="W4",F572="predictive",OR(J572="P2",J572="P3",J572="P4")),IF(OR(U572=1,U572="1"),"adequate","partial"),INDEX(Fit_Matrix!$B:$B,MATCH(P572,Fit_Matrix!$A:$A,0)))),"CHECK KEY"))</f>
        <v/>
      </c>
      <c r="U572" s="10" t="n"/>
      <c r="V572" s="10" t="n"/>
      <c r="W572" s="10" t="n"/>
      <c r="X572" s="10" t="n"/>
      <c r="Y572" s="10" t="n"/>
      <c r="Z572" s="10" t="n"/>
      <c r="AA572" s="11">
        <f>IF(A572="","",IF(AND(J572="P4",F572="causal"),"P4-CAUSAL",""))</f>
        <v/>
      </c>
    </row>
    <row r="573" ht="15" customHeight="1" s="1">
      <c r="P573">
        <f>IF(OR(F573="",H573="",J573=""),"",J573&amp;"|"&amp;F573&amp;"|"&amp;IF(H573="W3","W3_"&amp;IF(I573="","unknown",I573),H573))</f>
        <v/>
      </c>
      <c r="Q573">
        <f>IF(P573="","",IFERROR(IF(AND(H573="W7",OR(F573="causal",F573="predictive")),IF(AND(OR(K573=1,K573="1"),OR(L573=1,L573="1"),OR(M573=1,M573="1")),"adequate","partial"),IF(AND(H573="W4",F573="predictive",OR(J573="P2",J573="P3",J573="P4")),IF(OR(U573=1,U573="1"),"adequate","partial"),INDEX(Fit_Matrix!$B:$B,MATCH(P573,Fit_Matrix!$A:$A,0)))),"CHECK KEY"))</f>
        <v/>
      </c>
      <c r="U573" s="10" t="n"/>
      <c r="V573" s="10" t="n"/>
      <c r="W573" s="10" t="n"/>
      <c r="X573" s="10" t="n"/>
      <c r="Y573" s="10" t="n"/>
      <c r="Z573" s="10" t="n"/>
      <c r="AA573" s="11">
        <f>IF(A573="","",IF(AND(J573="P4",F573="causal"),"P4-CAUSAL",""))</f>
        <v/>
      </c>
    </row>
    <row r="574" ht="15" customHeight="1" s="1">
      <c r="P574">
        <f>IF(OR(F574="",H574="",J574=""),"",J574&amp;"|"&amp;F574&amp;"|"&amp;IF(H574="W3","W3_"&amp;IF(I574="","unknown",I574),H574))</f>
        <v/>
      </c>
      <c r="Q574">
        <f>IF(P574="","",IFERROR(IF(AND(H574="W7",OR(F574="causal",F574="predictive")),IF(AND(OR(K574=1,K574="1"),OR(L574=1,L574="1"),OR(M574=1,M574="1")),"adequate","partial"),IF(AND(H574="W4",F574="predictive",OR(J574="P2",J574="P3",J574="P4")),IF(OR(U574=1,U574="1"),"adequate","partial"),INDEX(Fit_Matrix!$B:$B,MATCH(P574,Fit_Matrix!$A:$A,0)))),"CHECK KEY"))</f>
        <v/>
      </c>
      <c r="U574" s="10" t="n"/>
      <c r="V574" s="10" t="n"/>
      <c r="W574" s="10" t="n"/>
      <c r="X574" s="10" t="n"/>
      <c r="Y574" s="10" t="n"/>
      <c r="Z574" s="10" t="n"/>
      <c r="AA574" s="11">
        <f>IF(A574="","",IF(AND(J574="P4",F574="causal"),"P4-CAUSAL",""))</f>
        <v/>
      </c>
    </row>
    <row r="575" ht="15" customHeight="1" s="1">
      <c r="P575">
        <f>IF(OR(F575="",H575="",J575=""),"",J575&amp;"|"&amp;F575&amp;"|"&amp;IF(H575="W3","W3_"&amp;IF(I575="","unknown",I575),H575))</f>
        <v/>
      </c>
      <c r="Q575">
        <f>IF(P575="","",IFERROR(IF(AND(H575="W7",OR(F575="causal",F575="predictive")),IF(AND(OR(K575=1,K575="1"),OR(L575=1,L575="1"),OR(M575=1,M575="1")),"adequate","partial"),IF(AND(H575="W4",F575="predictive",OR(J575="P2",J575="P3",J575="P4")),IF(OR(U575=1,U575="1"),"adequate","partial"),INDEX(Fit_Matrix!$B:$B,MATCH(P575,Fit_Matrix!$A:$A,0)))),"CHECK KEY"))</f>
        <v/>
      </c>
      <c r="U575" s="10" t="n"/>
      <c r="V575" s="10" t="n"/>
      <c r="W575" s="10" t="n"/>
      <c r="X575" s="10" t="n"/>
      <c r="Y575" s="10" t="n"/>
      <c r="Z575" s="10" t="n"/>
      <c r="AA575" s="11">
        <f>IF(A575="","",IF(AND(J575="P4",F575="causal"),"P4-CAUSAL",""))</f>
        <v/>
      </c>
    </row>
    <row r="576" ht="15" customHeight="1" s="1">
      <c r="P576">
        <f>IF(OR(F576="",H576="",J576=""),"",J576&amp;"|"&amp;F576&amp;"|"&amp;IF(H576="W3","W3_"&amp;IF(I576="","unknown",I576),H576))</f>
        <v/>
      </c>
      <c r="Q576">
        <f>IF(P576="","",IFERROR(IF(AND(H576="W7",OR(F576="causal",F576="predictive")),IF(AND(OR(K576=1,K576="1"),OR(L576=1,L576="1"),OR(M576=1,M576="1")),"adequate","partial"),IF(AND(H576="W4",F576="predictive",OR(J576="P2",J576="P3",J576="P4")),IF(OR(U576=1,U576="1"),"adequate","partial"),INDEX(Fit_Matrix!$B:$B,MATCH(P576,Fit_Matrix!$A:$A,0)))),"CHECK KEY"))</f>
        <v/>
      </c>
      <c r="U576" s="10" t="n"/>
      <c r="V576" s="10" t="n"/>
      <c r="W576" s="10" t="n"/>
      <c r="X576" s="10" t="n"/>
      <c r="Y576" s="10" t="n"/>
      <c r="Z576" s="10" t="n"/>
      <c r="AA576" s="11">
        <f>IF(A576="","",IF(AND(J576="P4",F576="causal"),"P4-CAUSAL",""))</f>
        <v/>
      </c>
    </row>
    <row r="577" ht="15" customHeight="1" s="1">
      <c r="P577">
        <f>IF(OR(F577="",H577="",J577=""),"",J577&amp;"|"&amp;F577&amp;"|"&amp;IF(H577="W3","W3_"&amp;IF(I577="","unknown",I577),H577))</f>
        <v/>
      </c>
      <c r="Q577">
        <f>IF(P577="","",IFERROR(IF(AND(H577="W7",OR(F577="causal",F577="predictive")),IF(AND(OR(K577=1,K577="1"),OR(L577=1,L577="1"),OR(M577=1,M577="1")),"adequate","partial"),IF(AND(H577="W4",F577="predictive",OR(J577="P2",J577="P3",J577="P4")),IF(OR(U577=1,U577="1"),"adequate","partial"),INDEX(Fit_Matrix!$B:$B,MATCH(P577,Fit_Matrix!$A:$A,0)))),"CHECK KEY"))</f>
        <v/>
      </c>
      <c r="U577" s="10" t="n"/>
      <c r="V577" s="10" t="n"/>
      <c r="W577" s="10" t="n"/>
      <c r="X577" s="10" t="n"/>
      <c r="Y577" s="10" t="n"/>
      <c r="Z577" s="10" t="n"/>
      <c r="AA577" s="11">
        <f>IF(A577="","",IF(AND(J577="P4",F577="causal"),"P4-CAUSAL",""))</f>
        <v/>
      </c>
    </row>
    <row r="578" ht="15" customHeight="1" s="1">
      <c r="P578">
        <f>IF(OR(F578="",H578="",J578=""),"",J578&amp;"|"&amp;F578&amp;"|"&amp;IF(H578="W3","W3_"&amp;IF(I578="","unknown",I578),H578))</f>
        <v/>
      </c>
      <c r="Q578">
        <f>IF(P578="","",IFERROR(IF(AND(H578="W7",OR(F578="causal",F578="predictive")),IF(AND(OR(K578=1,K578="1"),OR(L578=1,L578="1"),OR(M578=1,M578="1")),"adequate","partial"),IF(AND(H578="W4",F578="predictive",OR(J578="P2",J578="P3",J578="P4")),IF(OR(U578=1,U578="1"),"adequate","partial"),INDEX(Fit_Matrix!$B:$B,MATCH(P578,Fit_Matrix!$A:$A,0)))),"CHECK KEY"))</f>
        <v/>
      </c>
      <c r="U578" s="10" t="n"/>
      <c r="V578" s="10" t="n"/>
      <c r="W578" s="10" t="n"/>
      <c r="X578" s="10" t="n"/>
      <c r="Y578" s="10" t="n"/>
      <c r="Z578" s="10" t="n"/>
      <c r="AA578" s="11">
        <f>IF(A578="","",IF(AND(J578="P4",F578="causal"),"P4-CAUSAL",""))</f>
        <v/>
      </c>
    </row>
    <row r="579" ht="15" customHeight="1" s="1">
      <c r="P579">
        <f>IF(OR(F579="",H579="",J579=""),"",J579&amp;"|"&amp;F579&amp;"|"&amp;IF(H579="W3","W3_"&amp;IF(I579="","unknown",I579),H579))</f>
        <v/>
      </c>
      <c r="Q579">
        <f>IF(P579="","",IFERROR(IF(AND(H579="W7",OR(F579="causal",F579="predictive")),IF(AND(OR(K579=1,K579="1"),OR(L579=1,L579="1"),OR(M579=1,M579="1")),"adequate","partial"),IF(AND(H579="W4",F579="predictive",OR(J579="P2",J579="P3",J579="P4")),IF(OR(U579=1,U579="1"),"adequate","partial"),INDEX(Fit_Matrix!$B:$B,MATCH(P579,Fit_Matrix!$A:$A,0)))),"CHECK KEY"))</f>
        <v/>
      </c>
      <c r="U579" s="10" t="n"/>
      <c r="V579" s="10" t="n"/>
      <c r="W579" s="10" t="n"/>
      <c r="X579" s="10" t="n"/>
      <c r="Y579" s="10" t="n"/>
      <c r="Z579" s="10" t="n"/>
      <c r="AA579" s="11">
        <f>IF(A579="","",IF(AND(J579="P4",F579="causal"),"P4-CAUSAL",""))</f>
        <v/>
      </c>
    </row>
    <row r="580" ht="15" customHeight="1" s="1">
      <c r="P580">
        <f>IF(OR(F580="",H580="",J580=""),"",J580&amp;"|"&amp;F580&amp;"|"&amp;IF(H580="W3","W3_"&amp;IF(I580="","unknown",I580),H580))</f>
        <v/>
      </c>
      <c r="Q580">
        <f>IF(P580="","",IFERROR(IF(AND(H580="W7",OR(F580="causal",F580="predictive")),IF(AND(OR(K580=1,K580="1"),OR(L580=1,L580="1"),OR(M580=1,M580="1")),"adequate","partial"),IF(AND(H580="W4",F580="predictive",OR(J580="P2",J580="P3",J580="P4")),IF(OR(U580=1,U580="1"),"adequate","partial"),INDEX(Fit_Matrix!$B:$B,MATCH(P580,Fit_Matrix!$A:$A,0)))),"CHECK KEY"))</f>
        <v/>
      </c>
      <c r="U580" s="10" t="n"/>
      <c r="V580" s="10" t="n"/>
      <c r="W580" s="10" t="n"/>
      <c r="X580" s="10" t="n"/>
      <c r="Y580" s="10" t="n"/>
      <c r="Z580" s="10" t="n"/>
      <c r="AA580" s="11">
        <f>IF(A580="","",IF(AND(J580="P4",F580="causal"),"P4-CAUSAL",""))</f>
        <v/>
      </c>
    </row>
    <row r="581" ht="15" customHeight="1" s="1">
      <c r="P581">
        <f>IF(OR(F581="",H581="",J581=""),"",J581&amp;"|"&amp;F581&amp;"|"&amp;IF(H581="W3","W3_"&amp;IF(I581="","unknown",I581),H581))</f>
        <v/>
      </c>
      <c r="Q581">
        <f>IF(P581="","",IFERROR(IF(AND(H581="W7",OR(F581="causal",F581="predictive")),IF(AND(OR(K581=1,K581="1"),OR(L581=1,L581="1"),OR(M581=1,M581="1")),"adequate","partial"),IF(AND(H581="W4",F581="predictive",OR(J581="P2",J581="P3",J581="P4")),IF(OR(U581=1,U581="1"),"adequate","partial"),INDEX(Fit_Matrix!$B:$B,MATCH(P581,Fit_Matrix!$A:$A,0)))),"CHECK KEY"))</f>
        <v/>
      </c>
      <c r="U581" s="10" t="n"/>
      <c r="V581" s="10" t="n"/>
      <c r="W581" s="10" t="n"/>
      <c r="X581" s="10" t="n"/>
      <c r="Y581" s="10" t="n"/>
      <c r="Z581" s="10" t="n"/>
      <c r="AA581" s="11">
        <f>IF(A581="","",IF(AND(J581="P4",F581="causal"),"P4-CAUSAL",""))</f>
        <v/>
      </c>
    </row>
    <row r="582" ht="15" customHeight="1" s="1">
      <c r="P582">
        <f>IF(OR(F582="",H582="",J582=""),"",J582&amp;"|"&amp;F582&amp;"|"&amp;IF(H582="W3","W3_"&amp;IF(I582="","unknown",I582),H582))</f>
        <v/>
      </c>
      <c r="Q582">
        <f>IF(P582="","",IFERROR(IF(AND(H582="W7",OR(F582="causal",F582="predictive")),IF(AND(OR(K582=1,K582="1"),OR(L582=1,L582="1"),OR(M582=1,M582="1")),"adequate","partial"),IF(AND(H582="W4",F582="predictive",OR(J582="P2",J582="P3",J582="P4")),IF(OR(U582=1,U582="1"),"adequate","partial"),INDEX(Fit_Matrix!$B:$B,MATCH(P582,Fit_Matrix!$A:$A,0)))),"CHECK KEY"))</f>
        <v/>
      </c>
      <c r="U582" s="10" t="n"/>
      <c r="V582" s="10" t="n"/>
      <c r="W582" s="10" t="n"/>
      <c r="X582" s="10" t="n"/>
      <c r="Y582" s="10" t="n"/>
      <c r="Z582" s="10" t="n"/>
      <c r="AA582" s="11">
        <f>IF(A582="","",IF(AND(J582="P4",F582="causal"),"P4-CAUSAL",""))</f>
        <v/>
      </c>
    </row>
    <row r="583" ht="15" customHeight="1" s="1">
      <c r="P583">
        <f>IF(OR(F583="",H583="",J583=""),"",J583&amp;"|"&amp;F583&amp;"|"&amp;IF(H583="W3","W3_"&amp;IF(I583="","unknown",I583),H583))</f>
        <v/>
      </c>
      <c r="Q583">
        <f>IF(P583="","",IFERROR(IF(AND(H583="W7",OR(F583="causal",F583="predictive")),IF(AND(OR(K583=1,K583="1"),OR(L583=1,L583="1"),OR(M583=1,M583="1")),"adequate","partial"),IF(AND(H583="W4",F583="predictive",OR(J583="P2",J583="P3",J583="P4")),IF(OR(U583=1,U583="1"),"adequate","partial"),INDEX(Fit_Matrix!$B:$B,MATCH(P583,Fit_Matrix!$A:$A,0)))),"CHECK KEY"))</f>
        <v/>
      </c>
      <c r="U583" s="10" t="n"/>
      <c r="V583" s="10" t="n"/>
      <c r="W583" s="10" t="n"/>
      <c r="X583" s="10" t="n"/>
      <c r="Y583" s="10" t="n"/>
      <c r="Z583" s="10" t="n"/>
      <c r="AA583" s="11">
        <f>IF(A583="","",IF(AND(J583="P4",F583="causal"),"P4-CAUSAL",""))</f>
        <v/>
      </c>
    </row>
    <row r="584" ht="15" customHeight="1" s="1">
      <c r="P584">
        <f>IF(OR(F584="",H584="",J584=""),"",J584&amp;"|"&amp;F584&amp;"|"&amp;IF(H584="W3","W3_"&amp;IF(I584="","unknown",I584),H584))</f>
        <v/>
      </c>
      <c r="Q584">
        <f>IF(P584="","",IFERROR(IF(AND(H584="W7",OR(F584="causal",F584="predictive")),IF(AND(OR(K584=1,K584="1"),OR(L584=1,L584="1"),OR(M584=1,M584="1")),"adequate","partial"),IF(AND(H584="W4",F584="predictive",OR(J584="P2",J584="P3",J584="P4")),IF(OR(U584=1,U584="1"),"adequate","partial"),INDEX(Fit_Matrix!$B:$B,MATCH(P584,Fit_Matrix!$A:$A,0)))),"CHECK KEY"))</f>
        <v/>
      </c>
      <c r="U584" s="10" t="n"/>
      <c r="V584" s="10" t="n"/>
      <c r="W584" s="10" t="n"/>
      <c r="X584" s="10" t="n"/>
      <c r="Y584" s="10" t="n"/>
      <c r="Z584" s="10" t="n"/>
      <c r="AA584" s="11">
        <f>IF(A584="","",IF(AND(J584="P4",F584="causal"),"P4-CAUSAL",""))</f>
        <v/>
      </c>
    </row>
    <row r="585" ht="15" customHeight="1" s="1">
      <c r="P585">
        <f>IF(OR(F585="",H585="",J585=""),"",J585&amp;"|"&amp;F585&amp;"|"&amp;IF(H585="W3","W3_"&amp;IF(I585="","unknown",I585),H585))</f>
        <v/>
      </c>
      <c r="Q585">
        <f>IF(P585="","",IFERROR(IF(AND(H585="W7",OR(F585="causal",F585="predictive")),IF(AND(OR(K585=1,K585="1"),OR(L585=1,L585="1"),OR(M585=1,M585="1")),"adequate","partial"),IF(AND(H585="W4",F585="predictive",OR(J585="P2",J585="P3",J585="P4")),IF(OR(U585=1,U585="1"),"adequate","partial"),INDEX(Fit_Matrix!$B:$B,MATCH(P585,Fit_Matrix!$A:$A,0)))),"CHECK KEY"))</f>
        <v/>
      </c>
      <c r="U585" s="10" t="n"/>
      <c r="V585" s="10" t="n"/>
      <c r="W585" s="10" t="n"/>
      <c r="X585" s="10" t="n"/>
      <c r="Y585" s="10" t="n"/>
      <c r="Z585" s="10" t="n"/>
      <c r="AA585" s="11">
        <f>IF(A585="","",IF(AND(J585="P4",F585="causal"),"P4-CAUSAL",""))</f>
        <v/>
      </c>
    </row>
    <row r="586" ht="15" customHeight="1" s="1">
      <c r="P586">
        <f>IF(OR(F586="",H586="",J586=""),"",J586&amp;"|"&amp;F586&amp;"|"&amp;IF(H586="W3","W3_"&amp;IF(I586="","unknown",I586),H586))</f>
        <v/>
      </c>
      <c r="Q586">
        <f>IF(P586="","",IFERROR(IF(AND(H586="W7",OR(F586="causal",F586="predictive")),IF(AND(OR(K586=1,K586="1"),OR(L586=1,L586="1"),OR(M586=1,M586="1")),"adequate","partial"),IF(AND(H586="W4",F586="predictive",OR(J586="P2",J586="P3",J586="P4")),IF(OR(U586=1,U586="1"),"adequate","partial"),INDEX(Fit_Matrix!$B:$B,MATCH(P586,Fit_Matrix!$A:$A,0)))),"CHECK KEY"))</f>
        <v/>
      </c>
      <c r="U586" s="10" t="n"/>
      <c r="V586" s="10" t="n"/>
      <c r="W586" s="10" t="n"/>
      <c r="X586" s="10" t="n"/>
      <c r="Y586" s="10" t="n"/>
      <c r="Z586" s="10" t="n"/>
      <c r="AA586" s="11">
        <f>IF(A586="","",IF(AND(J586="P4",F586="causal"),"P4-CAUSAL",""))</f>
        <v/>
      </c>
    </row>
    <row r="587" ht="15" customHeight="1" s="1">
      <c r="P587">
        <f>IF(OR(F587="",H587="",J587=""),"",J587&amp;"|"&amp;F587&amp;"|"&amp;IF(H587="W3","W3_"&amp;IF(I587="","unknown",I587),H587))</f>
        <v/>
      </c>
      <c r="Q587">
        <f>IF(P587="","",IFERROR(IF(AND(H587="W7",OR(F587="causal",F587="predictive")),IF(AND(OR(K587=1,K587="1"),OR(L587=1,L587="1"),OR(M587=1,M587="1")),"adequate","partial"),IF(AND(H587="W4",F587="predictive",OR(J587="P2",J587="P3",J587="P4")),IF(OR(U587=1,U587="1"),"adequate","partial"),INDEX(Fit_Matrix!$B:$B,MATCH(P587,Fit_Matrix!$A:$A,0)))),"CHECK KEY"))</f>
        <v/>
      </c>
      <c r="U587" s="10" t="n"/>
      <c r="V587" s="10" t="n"/>
      <c r="W587" s="10" t="n"/>
      <c r="X587" s="10" t="n"/>
      <c r="Y587" s="10" t="n"/>
      <c r="Z587" s="10" t="n"/>
      <c r="AA587" s="11">
        <f>IF(A587="","",IF(AND(J587="P4",F587="causal"),"P4-CAUSAL",""))</f>
        <v/>
      </c>
    </row>
    <row r="588" ht="15" customHeight="1" s="1">
      <c r="P588">
        <f>IF(OR(F588="",H588="",J588=""),"",J588&amp;"|"&amp;F588&amp;"|"&amp;IF(H588="W3","W3_"&amp;IF(I588="","unknown",I588),H588))</f>
        <v/>
      </c>
      <c r="Q588">
        <f>IF(P588="","",IFERROR(IF(AND(H588="W7",OR(F588="causal",F588="predictive")),IF(AND(OR(K588=1,K588="1"),OR(L588=1,L588="1"),OR(M588=1,M588="1")),"adequate","partial"),IF(AND(H588="W4",F588="predictive",OR(J588="P2",J588="P3",J588="P4")),IF(OR(U588=1,U588="1"),"adequate","partial"),INDEX(Fit_Matrix!$B:$B,MATCH(P588,Fit_Matrix!$A:$A,0)))),"CHECK KEY"))</f>
        <v/>
      </c>
      <c r="U588" s="10" t="n"/>
      <c r="V588" s="10" t="n"/>
      <c r="W588" s="10" t="n"/>
      <c r="X588" s="10" t="n"/>
      <c r="Y588" s="10" t="n"/>
      <c r="Z588" s="10" t="n"/>
      <c r="AA588" s="11">
        <f>IF(A588="","",IF(AND(J588="P4",F588="causal"),"P4-CAUSAL",""))</f>
        <v/>
      </c>
    </row>
    <row r="589" ht="15" customHeight="1" s="1">
      <c r="P589">
        <f>IF(OR(F589="",H589="",J589=""),"",J589&amp;"|"&amp;F589&amp;"|"&amp;IF(H589="W3","W3_"&amp;IF(I589="","unknown",I589),H589))</f>
        <v/>
      </c>
      <c r="Q589">
        <f>IF(P589="","",IFERROR(IF(AND(H589="W7",OR(F589="causal",F589="predictive")),IF(AND(OR(K589=1,K589="1"),OR(L589=1,L589="1"),OR(M589=1,M589="1")),"adequate","partial"),IF(AND(H589="W4",F589="predictive",OR(J589="P2",J589="P3",J589="P4")),IF(OR(U589=1,U589="1"),"adequate","partial"),INDEX(Fit_Matrix!$B:$B,MATCH(P589,Fit_Matrix!$A:$A,0)))),"CHECK KEY"))</f>
        <v/>
      </c>
      <c r="U589" s="10" t="n"/>
      <c r="V589" s="10" t="n"/>
      <c r="W589" s="10" t="n"/>
      <c r="X589" s="10" t="n"/>
      <c r="Y589" s="10" t="n"/>
      <c r="Z589" s="10" t="n"/>
      <c r="AA589" s="11">
        <f>IF(A589="","",IF(AND(J589="P4",F589="causal"),"P4-CAUSAL",""))</f>
        <v/>
      </c>
    </row>
    <row r="590" ht="15" customHeight="1" s="1">
      <c r="P590">
        <f>IF(OR(F590="",H590="",J590=""),"",J590&amp;"|"&amp;F590&amp;"|"&amp;IF(H590="W3","W3_"&amp;IF(I590="","unknown",I590),H590))</f>
        <v/>
      </c>
      <c r="Q590">
        <f>IF(P590="","",IFERROR(IF(AND(H590="W7",OR(F590="causal",F590="predictive")),IF(AND(OR(K590=1,K590="1"),OR(L590=1,L590="1"),OR(M590=1,M590="1")),"adequate","partial"),IF(AND(H590="W4",F590="predictive",OR(J590="P2",J590="P3",J590="P4")),IF(OR(U590=1,U590="1"),"adequate","partial"),INDEX(Fit_Matrix!$B:$B,MATCH(P590,Fit_Matrix!$A:$A,0)))),"CHECK KEY"))</f>
        <v/>
      </c>
      <c r="U590" s="10" t="n"/>
      <c r="V590" s="10" t="n"/>
      <c r="W590" s="10" t="n"/>
      <c r="X590" s="10" t="n"/>
      <c r="Y590" s="10" t="n"/>
      <c r="Z590" s="10" t="n"/>
      <c r="AA590" s="11">
        <f>IF(A590="","",IF(AND(J590="P4",F590="causal"),"P4-CAUSAL",""))</f>
        <v/>
      </c>
    </row>
    <row r="591" ht="15" customHeight="1" s="1">
      <c r="P591">
        <f>IF(OR(F591="",H591="",J591=""),"",J591&amp;"|"&amp;F591&amp;"|"&amp;IF(H591="W3","W3_"&amp;IF(I591="","unknown",I591),H591))</f>
        <v/>
      </c>
      <c r="Q591">
        <f>IF(P591="","",IFERROR(IF(AND(H591="W7",OR(F591="causal",F591="predictive")),IF(AND(OR(K591=1,K591="1"),OR(L591=1,L591="1"),OR(M591=1,M591="1")),"adequate","partial"),IF(AND(H591="W4",F591="predictive",OR(J591="P2",J591="P3",J591="P4")),IF(OR(U591=1,U591="1"),"adequate","partial"),INDEX(Fit_Matrix!$B:$B,MATCH(P591,Fit_Matrix!$A:$A,0)))),"CHECK KEY"))</f>
        <v/>
      </c>
      <c r="U591" s="10" t="n"/>
      <c r="V591" s="10" t="n"/>
      <c r="W591" s="10" t="n"/>
      <c r="X591" s="10" t="n"/>
      <c r="Y591" s="10" t="n"/>
      <c r="Z591" s="10" t="n"/>
      <c r="AA591" s="11">
        <f>IF(A591="","",IF(AND(J591="P4",F591="causal"),"P4-CAUSAL",""))</f>
        <v/>
      </c>
    </row>
    <row r="592" ht="15" customHeight="1" s="1">
      <c r="P592">
        <f>IF(OR(F592="",H592="",J592=""),"",J592&amp;"|"&amp;F592&amp;"|"&amp;IF(H592="W3","W3_"&amp;IF(I592="","unknown",I592),H592))</f>
        <v/>
      </c>
      <c r="Q592">
        <f>IF(P592="","",IFERROR(IF(AND(H592="W7",OR(F592="causal",F592="predictive")),IF(AND(OR(K592=1,K592="1"),OR(L592=1,L592="1"),OR(M592=1,M592="1")),"adequate","partial"),IF(AND(H592="W4",F592="predictive",OR(J592="P2",J592="P3",J592="P4")),IF(OR(U592=1,U592="1"),"adequate","partial"),INDEX(Fit_Matrix!$B:$B,MATCH(P592,Fit_Matrix!$A:$A,0)))),"CHECK KEY"))</f>
        <v/>
      </c>
      <c r="U592" s="10" t="n"/>
      <c r="V592" s="10" t="n"/>
      <c r="W592" s="10" t="n"/>
      <c r="X592" s="10" t="n"/>
      <c r="Y592" s="10" t="n"/>
      <c r="Z592" s="10" t="n"/>
      <c r="AA592" s="11">
        <f>IF(A592="","",IF(AND(J592="P4",F592="causal"),"P4-CAUSAL",""))</f>
        <v/>
      </c>
    </row>
    <row r="593" ht="15" customHeight="1" s="1">
      <c r="P593">
        <f>IF(OR(F593="",H593="",J593=""),"",J593&amp;"|"&amp;F593&amp;"|"&amp;IF(H593="W3","W3_"&amp;IF(I593="","unknown",I593),H593))</f>
        <v/>
      </c>
      <c r="Q593">
        <f>IF(P593="","",IFERROR(IF(AND(H593="W7",OR(F593="causal",F593="predictive")),IF(AND(OR(K593=1,K593="1"),OR(L593=1,L593="1"),OR(M593=1,M593="1")),"adequate","partial"),IF(AND(H593="W4",F593="predictive",OR(J593="P2",J593="P3",J593="P4")),IF(OR(U593=1,U593="1"),"adequate","partial"),INDEX(Fit_Matrix!$B:$B,MATCH(P593,Fit_Matrix!$A:$A,0)))),"CHECK KEY"))</f>
        <v/>
      </c>
      <c r="U593" s="10" t="n"/>
      <c r="V593" s="10" t="n"/>
      <c r="W593" s="10" t="n"/>
      <c r="X593" s="10" t="n"/>
      <c r="Y593" s="10" t="n"/>
      <c r="Z593" s="10" t="n"/>
      <c r="AA593" s="11">
        <f>IF(A593="","",IF(AND(J593="P4",F593="causal"),"P4-CAUSAL",""))</f>
        <v/>
      </c>
    </row>
    <row r="594" ht="15" customHeight="1" s="1">
      <c r="P594">
        <f>IF(OR(F594="",H594="",J594=""),"",J594&amp;"|"&amp;F594&amp;"|"&amp;IF(H594="W3","W3_"&amp;IF(I594="","unknown",I594),H594))</f>
        <v/>
      </c>
      <c r="Q594">
        <f>IF(P594="","",IFERROR(IF(AND(H594="W7",OR(F594="causal",F594="predictive")),IF(AND(OR(K594=1,K594="1"),OR(L594=1,L594="1"),OR(M594=1,M594="1")),"adequate","partial"),IF(AND(H594="W4",F594="predictive",OR(J594="P2",J594="P3",J594="P4")),IF(OR(U594=1,U594="1"),"adequate","partial"),INDEX(Fit_Matrix!$B:$B,MATCH(P594,Fit_Matrix!$A:$A,0)))),"CHECK KEY"))</f>
        <v/>
      </c>
      <c r="U594" s="10" t="n"/>
      <c r="V594" s="10" t="n"/>
      <c r="W594" s="10" t="n"/>
      <c r="X594" s="10" t="n"/>
      <c r="Y594" s="10" t="n"/>
      <c r="Z594" s="10" t="n"/>
      <c r="AA594" s="11">
        <f>IF(A594="","",IF(AND(J594="P4",F594="causal"),"P4-CAUSAL",""))</f>
        <v/>
      </c>
    </row>
    <row r="595" ht="15" customHeight="1" s="1">
      <c r="P595">
        <f>IF(OR(F595="",H595="",J595=""),"",J595&amp;"|"&amp;F595&amp;"|"&amp;IF(H595="W3","W3_"&amp;IF(I595="","unknown",I595),H595))</f>
        <v/>
      </c>
      <c r="Q595">
        <f>IF(P595="","",IFERROR(IF(AND(H595="W7",OR(F595="causal",F595="predictive")),IF(AND(OR(K595=1,K595="1"),OR(L595=1,L595="1"),OR(M595=1,M595="1")),"adequate","partial"),IF(AND(H595="W4",F595="predictive",OR(J595="P2",J595="P3",J595="P4")),IF(OR(U595=1,U595="1"),"adequate","partial"),INDEX(Fit_Matrix!$B:$B,MATCH(P595,Fit_Matrix!$A:$A,0)))),"CHECK KEY"))</f>
        <v/>
      </c>
      <c r="U595" s="10" t="n"/>
      <c r="V595" s="10" t="n"/>
      <c r="W595" s="10" t="n"/>
      <c r="X595" s="10" t="n"/>
      <c r="Y595" s="10" t="n"/>
      <c r="Z595" s="10" t="n"/>
      <c r="AA595" s="11">
        <f>IF(A595="","",IF(AND(J595="P4",F595="causal"),"P4-CAUSAL",""))</f>
        <v/>
      </c>
    </row>
    <row r="596" ht="15" customHeight="1" s="1">
      <c r="P596">
        <f>IF(OR(F596="",H596="",J596=""),"",J596&amp;"|"&amp;F596&amp;"|"&amp;IF(H596="W3","W3_"&amp;IF(I596="","unknown",I596),H596))</f>
        <v/>
      </c>
      <c r="Q596">
        <f>IF(P596="","",IFERROR(IF(AND(H596="W7",OR(F596="causal",F596="predictive")),IF(AND(OR(K596=1,K596="1"),OR(L596=1,L596="1"),OR(M596=1,M596="1")),"adequate","partial"),IF(AND(H596="W4",F596="predictive",OR(J596="P2",J596="P3",J596="P4")),IF(OR(U596=1,U596="1"),"adequate","partial"),INDEX(Fit_Matrix!$B:$B,MATCH(P596,Fit_Matrix!$A:$A,0)))),"CHECK KEY"))</f>
        <v/>
      </c>
      <c r="U596" s="10" t="n"/>
      <c r="V596" s="10" t="n"/>
      <c r="W596" s="10" t="n"/>
      <c r="X596" s="10" t="n"/>
      <c r="Y596" s="10" t="n"/>
      <c r="Z596" s="10" t="n"/>
      <c r="AA596" s="11">
        <f>IF(A596="","",IF(AND(J596="P4",F596="causal"),"P4-CAUSAL",""))</f>
        <v/>
      </c>
    </row>
    <row r="597" ht="15" customHeight="1" s="1">
      <c r="P597">
        <f>IF(OR(F597="",H597="",J597=""),"",J597&amp;"|"&amp;F597&amp;"|"&amp;IF(H597="W3","W3_"&amp;IF(I597="","unknown",I597),H597))</f>
        <v/>
      </c>
      <c r="Q597">
        <f>IF(P597="","",IFERROR(IF(AND(H597="W7",OR(F597="causal",F597="predictive")),IF(AND(OR(K597=1,K597="1"),OR(L597=1,L597="1"),OR(M597=1,M597="1")),"adequate","partial"),IF(AND(H597="W4",F597="predictive",OR(J597="P2",J597="P3",J597="P4")),IF(OR(U597=1,U597="1"),"adequate","partial"),INDEX(Fit_Matrix!$B:$B,MATCH(P597,Fit_Matrix!$A:$A,0)))),"CHECK KEY"))</f>
        <v/>
      </c>
      <c r="U597" s="10" t="n"/>
      <c r="V597" s="10" t="n"/>
      <c r="W597" s="10" t="n"/>
      <c r="X597" s="10" t="n"/>
      <c r="Y597" s="10" t="n"/>
      <c r="Z597" s="10" t="n"/>
      <c r="AA597" s="11">
        <f>IF(A597="","",IF(AND(J597="P4",F597="causal"),"P4-CAUSAL",""))</f>
        <v/>
      </c>
    </row>
    <row r="598" ht="15" customHeight="1" s="1">
      <c r="P598">
        <f>IF(OR(F598="",H598="",J598=""),"",J598&amp;"|"&amp;F598&amp;"|"&amp;IF(H598="W3","W3_"&amp;IF(I598="","unknown",I598),H598))</f>
        <v/>
      </c>
      <c r="Q598">
        <f>IF(P598="","",IFERROR(IF(AND(H598="W7",OR(F598="causal",F598="predictive")),IF(AND(OR(K598=1,K598="1"),OR(L598=1,L598="1"),OR(M598=1,M598="1")),"adequate","partial"),IF(AND(H598="W4",F598="predictive",OR(J598="P2",J598="P3",J598="P4")),IF(OR(U598=1,U598="1"),"adequate","partial"),INDEX(Fit_Matrix!$B:$B,MATCH(P598,Fit_Matrix!$A:$A,0)))),"CHECK KEY"))</f>
        <v/>
      </c>
      <c r="U598" s="10" t="n"/>
      <c r="V598" s="10" t="n"/>
      <c r="W598" s="10" t="n"/>
      <c r="X598" s="10" t="n"/>
      <c r="Y598" s="10" t="n"/>
      <c r="Z598" s="10" t="n"/>
      <c r="AA598" s="11">
        <f>IF(A598="","",IF(AND(J598="P4",F598="causal"),"P4-CAUSAL",""))</f>
        <v/>
      </c>
    </row>
    <row r="599" ht="15" customHeight="1" s="1">
      <c r="P599">
        <f>IF(OR(F599="",H599="",J599=""),"",J599&amp;"|"&amp;F599&amp;"|"&amp;IF(H599="W3","W3_"&amp;IF(I599="","unknown",I599),H599))</f>
        <v/>
      </c>
      <c r="Q599">
        <f>IF(P599="","",IFERROR(IF(AND(H599="W7",OR(F599="causal",F599="predictive")),IF(AND(OR(K599=1,K599="1"),OR(L599=1,L599="1"),OR(M599=1,M599="1")),"adequate","partial"),IF(AND(H599="W4",F599="predictive",OR(J599="P2",J599="P3",J599="P4")),IF(OR(U599=1,U599="1"),"adequate","partial"),INDEX(Fit_Matrix!$B:$B,MATCH(P599,Fit_Matrix!$A:$A,0)))),"CHECK KEY"))</f>
        <v/>
      </c>
      <c r="U599" s="10" t="n"/>
      <c r="V599" s="10" t="n"/>
      <c r="W599" s="10" t="n"/>
      <c r="X599" s="10" t="n"/>
      <c r="Y599" s="10" t="n"/>
      <c r="Z599" s="10" t="n"/>
      <c r="AA599" s="11">
        <f>IF(A599="","",IF(AND(J599="P4",F599="causal"),"P4-CAUSAL",""))</f>
        <v/>
      </c>
    </row>
    <row r="600" ht="15" customHeight="1" s="1">
      <c r="P600">
        <f>IF(OR(F600="",H600="",J600=""),"",J600&amp;"|"&amp;F600&amp;"|"&amp;IF(H600="W3","W3_"&amp;IF(I600="","unknown",I600),H600))</f>
        <v/>
      </c>
      <c r="Q600">
        <f>IF(P600="","",IFERROR(IF(AND(H600="W7",OR(F600="causal",F600="predictive")),IF(AND(OR(K600=1,K600="1"),OR(L600=1,L600="1"),OR(M600=1,M600="1")),"adequate","partial"),IF(AND(H600="W4",F600="predictive",OR(J600="P2",J600="P3",J600="P4")),IF(OR(U600=1,U600="1"),"adequate","partial"),INDEX(Fit_Matrix!$B:$B,MATCH(P600,Fit_Matrix!$A:$A,0)))),"CHECK KEY"))</f>
        <v/>
      </c>
      <c r="U600" s="10" t="n"/>
      <c r="V600" s="10" t="n"/>
      <c r="W600" s="10" t="n"/>
      <c r="X600" s="10" t="n"/>
      <c r="Y600" s="10" t="n"/>
      <c r="Z600" s="10" t="n"/>
      <c r="AA600" s="11">
        <f>IF(A600="","",IF(AND(J600="P4",F600="causal"),"P4-CAUSAL",""))</f>
        <v/>
      </c>
    </row>
    <row r="601" ht="15" customHeight="1" s="1">
      <c r="P601">
        <f>IF(OR(F601="",H601="",J601=""),"",J601&amp;"|"&amp;F601&amp;"|"&amp;IF(H601="W3","W3_"&amp;IF(I601="","unknown",I601),H601))</f>
        <v/>
      </c>
      <c r="Q601">
        <f>IF(P601="","",IFERROR(IF(AND(H601="W7",OR(F601="causal",F601="predictive")),IF(AND(OR(K601=1,K601="1"),OR(L601=1,L601="1"),OR(M601=1,M601="1")),"adequate","partial"),IF(AND(H601="W4",F601="predictive",OR(J601="P2",J601="P3",J601="P4")),IF(OR(U601=1,U601="1"),"adequate","partial"),INDEX(Fit_Matrix!$B:$B,MATCH(P601,Fit_Matrix!$A:$A,0)))),"CHECK KEY"))</f>
        <v/>
      </c>
      <c r="U601" s="10" t="n"/>
      <c r="V601" s="10" t="n"/>
      <c r="W601" s="10" t="n"/>
      <c r="X601" s="10" t="n"/>
      <c r="Y601" s="10" t="n"/>
      <c r="Z601" s="10" t="n"/>
      <c r="AA601" s="11">
        <f>IF(A601="","",IF(AND(J601="P4",F601="causal"),"P4-CAUSAL",""))</f>
        <v/>
      </c>
    </row>
    <row r="602" ht="15" customHeight="1" s="1">
      <c r="P602">
        <f>IF(OR(F602="",H602="",J602=""),"",J602&amp;"|"&amp;F602&amp;"|"&amp;IF(H602="W3","W3_"&amp;IF(I602="","unknown",I602),H602))</f>
        <v/>
      </c>
      <c r="Q602">
        <f>IF(P602="","",IFERROR(IF(AND(H602="W7",OR(F602="causal",F602="predictive")),IF(AND(OR(K602=1,K602="1"),OR(L602=1,L602="1"),OR(M602=1,M602="1")),"adequate","partial"),IF(AND(H602="W4",F602="predictive",OR(J602="P2",J602="P3",J602="P4")),IF(OR(U602=1,U602="1"),"adequate","partial"),INDEX(Fit_Matrix!$B:$B,MATCH(P602,Fit_Matrix!$A:$A,0)))),"CHECK KEY"))</f>
        <v/>
      </c>
      <c r="U602" s="10" t="n"/>
      <c r="V602" s="10" t="n"/>
      <c r="W602" s="10" t="n"/>
      <c r="X602" s="10" t="n"/>
      <c r="Y602" s="10" t="n"/>
      <c r="Z602" s="10" t="n"/>
      <c r="AA602" s="11">
        <f>IF(A602="","",IF(AND(J602="P4",F602="causal"),"P4-CAUSAL",""))</f>
        <v/>
      </c>
    </row>
    <row r="603" ht="15" customHeight="1" s="1">
      <c r="P603">
        <f>IF(OR(F603="",H603="",J603=""),"",J603&amp;"|"&amp;F603&amp;"|"&amp;IF(H603="W3","W3_"&amp;IF(I603="","unknown",I603),H603))</f>
        <v/>
      </c>
      <c r="Q603">
        <f>IF(P603="","",IFERROR(IF(AND(H603="W7",OR(F603="causal",F603="predictive")),IF(AND(OR(K603=1,K603="1"),OR(L603=1,L603="1"),OR(M603=1,M603="1")),"adequate","partial"),IF(AND(H603="W4",F603="predictive",OR(J603="P2",J603="P3",J603="P4")),IF(OR(U603=1,U603="1"),"adequate","partial"),INDEX(Fit_Matrix!$B:$B,MATCH(P603,Fit_Matrix!$A:$A,0)))),"CHECK KEY"))</f>
        <v/>
      </c>
      <c r="U603" s="10" t="n"/>
      <c r="V603" s="10" t="n"/>
      <c r="W603" s="10" t="n"/>
      <c r="X603" s="10" t="n"/>
      <c r="Y603" s="10" t="n"/>
      <c r="Z603" s="10" t="n"/>
      <c r="AA603" s="11">
        <f>IF(A603="","",IF(AND(J603="P4",F603="causal"),"P4-CAUSAL",""))</f>
        <v/>
      </c>
    </row>
    <row r="604" ht="15" customHeight="1" s="1">
      <c r="P604">
        <f>IF(OR(F604="",H604="",J604=""),"",J604&amp;"|"&amp;F604&amp;"|"&amp;IF(H604="W3","W3_"&amp;IF(I604="","unknown",I604),H604))</f>
        <v/>
      </c>
      <c r="Q604">
        <f>IF(P604="","",IFERROR(IF(AND(H604="W7",OR(F604="causal",F604="predictive")),IF(AND(OR(K604=1,K604="1"),OR(L604=1,L604="1"),OR(M604=1,M604="1")),"adequate","partial"),IF(AND(H604="W4",F604="predictive",OR(J604="P2",J604="P3",J604="P4")),IF(OR(U604=1,U604="1"),"adequate","partial"),INDEX(Fit_Matrix!$B:$B,MATCH(P604,Fit_Matrix!$A:$A,0)))),"CHECK KEY"))</f>
        <v/>
      </c>
      <c r="U604" s="10" t="n"/>
      <c r="V604" s="10" t="n"/>
      <c r="W604" s="10" t="n"/>
      <c r="X604" s="10" t="n"/>
      <c r="Y604" s="10" t="n"/>
      <c r="Z604" s="10" t="n"/>
      <c r="AA604" s="11">
        <f>IF(A604="","",IF(AND(J604="P4",F604="causal"),"P4-CAUSAL",""))</f>
        <v/>
      </c>
    </row>
    <row r="605" ht="15" customHeight="1" s="1">
      <c r="P605">
        <f>IF(OR(F605="",H605="",J605=""),"",J605&amp;"|"&amp;F605&amp;"|"&amp;IF(H605="W3","W3_"&amp;IF(I605="","unknown",I605),H605))</f>
        <v/>
      </c>
      <c r="Q605">
        <f>IF(P605="","",IFERROR(IF(AND(H605="W7",OR(F605="causal",F605="predictive")),IF(AND(OR(K605=1,K605="1"),OR(L605=1,L605="1"),OR(M605=1,M605="1")),"adequate","partial"),IF(AND(H605="W4",F605="predictive",OR(J605="P2",J605="P3",J605="P4")),IF(OR(U605=1,U605="1"),"adequate","partial"),INDEX(Fit_Matrix!$B:$B,MATCH(P605,Fit_Matrix!$A:$A,0)))),"CHECK KEY"))</f>
        <v/>
      </c>
      <c r="U605" s="10" t="n"/>
      <c r="V605" s="10" t="n"/>
      <c r="W605" s="10" t="n"/>
      <c r="X605" s="10" t="n"/>
      <c r="Y605" s="10" t="n"/>
      <c r="Z605" s="10" t="n"/>
      <c r="AA605" s="11">
        <f>IF(A605="","",IF(AND(J605="P4",F605="causal"),"P4-CAUSAL",""))</f>
        <v/>
      </c>
    </row>
    <row r="606" ht="15" customHeight="1" s="1">
      <c r="P606">
        <f>IF(OR(F606="",H606="",J606=""),"",J606&amp;"|"&amp;F606&amp;"|"&amp;IF(H606="W3","W3_"&amp;IF(I606="","unknown",I606),H606))</f>
        <v/>
      </c>
      <c r="Q606">
        <f>IF(P606="","",IFERROR(IF(AND(H606="W7",OR(F606="causal",F606="predictive")),IF(AND(OR(K606=1,K606="1"),OR(L606=1,L606="1"),OR(M606=1,M606="1")),"adequate","partial"),IF(AND(H606="W4",F606="predictive",OR(J606="P2",J606="P3",J606="P4")),IF(OR(U606=1,U606="1"),"adequate","partial"),INDEX(Fit_Matrix!$B:$B,MATCH(P606,Fit_Matrix!$A:$A,0)))),"CHECK KEY"))</f>
        <v/>
      </c>
      <c r="U606" s="10" t="n"/>
      <c r="V606" s="10" t="n"/>
      <c r="W606" s="10" t="n"/>
      <c r="X606" s="10" t="n"/>
      <c r="Y606" s="10" t="n"/>
      <c r="Z606" s="10" t="n"/>
      <c r="AA606" s="11">
        <f>IF(A606="","",IF(AND(J606="P4",F606="causal"),"P4-CAUSAL",""))</f>
        <v/>
      </c>
    </row>
    <row r="607" ht="15" customHeight="1" s="1">
      <c r="P607">
        <f>IF(OR(F607="",H607="",J607=""),"",J607&amp;"|"&amp;F607&amp;"|"&amp;IF(H607="W3","W3_"&amp;IF(I607="","unknown",I607),H607))</f>
        <v/>
      </c>
      <c r="Q607">
        <f>IF(P607="","",IFERROR(IF(AND(H607="W7",OR(F607="causal",F607="predictive")),IF(AND(OR(K607=1,K607="1"),OR(L607=1,L607="1"),OR(M607=1,M607="1")),"adequate","partial"),IF(AND(H607="W4",F607="predictive",OR(J607="P2",J607="P3",J607="P4")),IF(OR(U607=1,U607="1"),"adequate","partial"),INDEX(Fit_Matrix!$B:$B,MATCH(P607,Fit_Matrix!$A:$A,0)))),"CHECK KEY"))</f>
        <v/>
      </c>
      <c r="U607" s="10" t="n"/>
      <c r="V607" s="10" t="n"/>
      <c r="W607" s="10" t="n"/>
      <c r="X607" s="10" t="n"/>
      <c r="Y607" s="10" t="n"/>
      <c r="Z607" s="10" t="n"/>
      <c r="AA607" s="11">
        <f>IF(A607="","",IF(AND(J607="P4",F607="causal"),"P4-CAUSAL",""))</f>
        <v/>
      </c>
    </row>
    <row r="608" ht="15" customHeight="1" s="1">
      <c r="P608">
        <f>IF(OR(F608="",H608="",J608=""),"",J608&amp;"|"&amp;F608&amp;"|"&amp;IF(H608="W3","W3_"&amp;IF(I608="","unknown",I608),H608))</f>
        <v/>
      </c>
      <c r="Q608">
        <f>IF(P608="","",IFERROR(IF(AND(H608="W7",OR(F608="causal",F608="predictive")),IF(AND(OR(K608=1,K608="1"),OR(L608=1,L608="1"),OR(M608=1,M608="1")),"adequate","partial"),IF(AND(H608="W4",F608="predictive",OR(J608="P2",J608="P3",J608="P4")),IF(OR(U608=1,U608="1"),"adequate","partial"),INDEX(Fit_Matrix!$B:$B,MATCH(P608,Fit_Matrix!$A:$A,0)))),"CHECK KEY"))</f>
        <v/>
      </c>
      <c r="U608" s="10" t="n"/>
      <c r="V608" s="10" t="n"/>
      <c r="W608" s="10" t="n"/>
      <c r="X608" s="10" t="n"/>
      <c r="Y608" s="10" t="n"/>
      <c r="Z608" s="10" t="n"/>
      <c r="AA608" s="11">
        <f>IF(A608="","",IF(AND(J608="P4",F608="causal"),"P4-CAUSAL",""))</f>
        <v/>
      </c>
    </row>
    <row r="609" ht="15" customHeight="1" s="1">
      <c r="P609">
        <f>IF(OR(F609="",H609="",J609=""),"",J609&amp;"|"&amp;F609&amp;"|"&amp;IF(H609="W3","W3_"&amp;IF(I609="","unknown",I609),H609))</f>
        <v/>
      </c>
      <c r="Q609">
        <f>IF(P609="","",IFERROR(IF(AND(H609="W7",OR(F609="causal",F609="predictive")),IF(AND(OR(K609=1,K609="1"),OR(L609=1,L609="1"),OR(M609=1,M609="1")),"adequate","partial"),IF(AND(H609="W4",F609="predictive",OR(J609="P2",J609="P3",J609="P4")),IF(OR(U609=1,U609="1"),"adequate","partial"),INDEX(Fit_Matrix!$B:$B,MATCH(P609,Fit_Matrix!$A:$A,0)))),"CHECK KEY"))</f>
        <v/>
      </c>
      <c r="U609" s="10" t="n"/>
      <c r="V609" s="10" t="n"/>
      <c r="W609" s="10" t="n"/>
      <c r="X609" s="10" t="n"/>
      <c r="Y609" s="10" t="n"/>
      <c r="Z609" s="10" t="n"/>
      <c r="AA609" s="11">
        <f>IF(A609="","",IF(AND(J609="P4",F609="causal"),"P4-CAUSAL",""))</f>
        <v/>
      </c>
    </row>
    <row r="610" ht="15" customHeight="1" s="1">
      <c r="P610">
        <f>IF(OR(F610="",H610="",J610=""),"",J610&amp;"|"&amp;F610&amp;"|"&amp;IF(H610="W3","W3_"&amp;IF(I610="","unknown",I610),H610))</f>
        <v/>
      </c>
      <c r="Q610">
        <f>IF(P610="","",IFERROR(IF(AND(H610="W7",OR(F610="causal",F610="predictive")),IF(AND(OR(K610=1,K610="1"),OR(L610=1,L610="1"),OR(M610=1,M610="1")),"adequate","partial"),IF(AND(H610="W4",F610="predictive",OR(J610="P2",J610="P3",J610="P4")),IF(OR(U610=1,U610="1"),"adequate","partial"),INDEX(Fit_Matrix!$B:$B,MATCH(P610,Fit_Matrix!$A:$A,0)))),"CHECK KEY"))</f>
        <v/>
      </c>
      <c r="U610" s="10" t="n"/>
      <c r="V610" s="10" t="n"/>
      <c r="W610" s="10" t="n"/>
      <c r="X610" s="10" t="n"/>
      <c r="Y610" s="10" t="n"/>
      <c r="Z610" s="10" t="n"/>
      <c r="AA610" s="11">
        <f>IF(A610="","",IF(AND(J610="P4",F610="causal"),"P4-CAUSAL",""))</f>
        <v/>
      </c>
    </row>
    <row r="611" ht="15" customHeight="1" s="1">
      <c r="P611">
        <f>IF(OR(F611="",H611="",J611=""),"",J611&amp;"|"&amp;F611&amp;"|"&amp;IF(H611="W3","W3_"&amp;IF(I611="","unknown",I611),H611))</f>
        <v/>
      </c>
      <c r="Q611">
        <f>IF(P611="","",IFERROR(IF(AND(H611="W7",OR(F611="causal",F611="predictive")),IF(AND(OR(K611=1,K611="1"),OR(L611=1,L611="1"),OR(M611=1,M611="1")),"adequate","partial"),IF(AND(H611="W4",F611="predictive",OR(J611="P2",J611="P3",J611="P4")),IF(OR(U611=1,U611="1"),"adequate","partial"),INDEX(Fit_Matrix!$B:$B,MATCH(P611,Fit_Matrix!$A:$A,0)))),"CHECK KEY"))</f>
        <v/>
      </c>
      <c r="U611" s="10" t="n"/>
      <c r="V611" s="10" t="n"/>
      <c r="W611" s="10" t="n"/>
      <c r="X611" s="10" t="n"/>
      <c r="Y611" s="10" t="n"/>
      <c r="Z611" s="10" t="n"/>
      <c r="AA611" s="11">
        <f>IF(A611="","",IF(AND(J611="P4",F611="causal"),"P4-CAUSAL",""))</f>
        <v/>
      </c>
    </row>
    <row r="612" ht="15" customHeight="1" s="1">
      <c r="P612">
        <f>IF(OR(F612="",H612="",J612=""),"",J612&amp;"|"&amp;F612&amp;"|"&amp;IF(H612="W3","W3_"&amp;IF(I612="","unknown",I612),H612))</f>
        <v/>
      </c>
      <c r="Q612">
        <f>IF(P612="","",IFERROR(IF(AND(H612="W7",OR(F612="causal",F612="predictive")),IF(AND(OR(K612=1,K612="1"),OR(L612=1,L612="1"),OR(M612=1,M612="1")),"adequate","partial"),IF(AND(H612="W4",F612="predictive",OR(J612="P2",J612="P3",J612="P4")),IF(OR(U612=1,U612="1"),"adequate","partial"),INDEX(Fit_Matrix!$B:$B,MATCH(P612,Fit_Matrix!$A:$A,0)))),"CHECK KEY"))</f>
        <v/>
      </c>
      <c r="U612" s="10" t="n"/>
      <c r="V612" s="10" t="n"/>
      <c r="W612" s="10" t="n"/>
      <c r="X612" s="10" t="n"/>
      <c r="Y612" s="10" t="n"/>
      <c r="Z612" s="10" t="n"/>
      <c r="AA612" s="11">
        <f>IF(A612="","",IF(AND(J612="P4",F612="causal"),"P4-CAUSAL",""))</f>
        <v/>
      </c>
    </row>
    <row r="613" ht="15" customHeight="1" s="1">
      <c r="P613">
        <f>IF(OR(F613="",H613="",J613=""),"",J613&amp;"|"&amp;F613&amp;"|"&amp;IF(H613="W3","W3_"&amp;IF(I613="","unknown",I613),H613))</f>
        <v/>
      </c>
      <c r="Q613">
        <f>IF(P613="","",IFERROR(IF(AND(H613="W7",OR(F613="causal",F613="predictive")),IF(AND(OR(K613=1,K613="1"),OR(L613=1,L613="1"),OR(M613=1,M613="1")),"adequate","partial"),IF(AND(H613="W4",F613="predictive",OR(J613="P2",J613="P3",J613="P4")),IF(OR(U613=1,U613="1"),"adequate","partial"),INDEX(Fit_Matrix!$B:$B,MATCH(P613,Fit_Matrix!$A:$A,0)))),"CHECK KEY"))</f>
        <v/>
      </c>
      <c r="U613" s="10" t="n"/>
      <c r="V613" s="10" t="n"/>
      <c r="W613" s="10" t="n"/>
      <c r="X613" s="10" t="n"/>
      <c r="Y613" s="10" t="n"/>
      <c r="Z613" s="10" t="n"/>
      <c r="AA613" s="11">
        <f>IF(A613="","",IF(AND(J613="P4",F613="causal"),"P4-CAUSAL",""))</f>
        <v/>
      </c>
    </row>
    <row r="614" ht="15" customHeight="1" s="1">
      <c r="P614">
        <f>IF(OR(F614="",H614="",J614=""),"",J614&amp;"|"&amp;F614&amp;"|"&amp;IF(H614="W3","W3_"&amp;IF(I614="","unknown",I614),H614))</f>
        <v/>
      </c>
      <c r="Q614">
        <f>IF(P614="","",IFERROR(IF(AND(H614="W7",OR(F614="causal",F614="predictive")),IF(AND(OR(K614=1,K614="1"),OR(L614=1,L614="1"),OR(M614=1,M614="1")),"adequate","partial"),IF(AND(H614="W4",F614="predictive",OR(J614="P2",J614="P3",J614="P4")),IF(OR(U614=1,U614="1"),"adequate","partial"),INDEX(Fit_Matrix!$B:$B,MATCH(P614,Fit_Matrix!$A:$A,0)))),"CHECK KEY"))</f>
        <v/>
      </c>
      <c r="U614" s="10" t="n"/>
      <c r="V614" s="10" t="n"/>
      <c r="W614" s="10" t="n"/>
      <c r="X614" s="10" t="n"/>
      <c r="Y614" s="10" t="n"/>
      <c r="Z614" s="10" t="n"/>
      <c r="AA614" s="11">
        <f>IF(A614="","",IF(AND(J614="P4",F614="causal"),"P4-CAUSAL",""))</f>
        <v/>
      </c>
    </row>
    <row r="615" ht="15" customHeight="1" s="1">
      <c r="P615">
        <f>IF(OR(F615="",H615="",J615=""),"",J615&amp;"|"&amp;F615&amp;"|"&amp;IF(H615="W3","W3_"&amp;IF(I615="","unknown",I615),H615))</f>
        <v/>
      </c>
      <c r="Q615">
        <f>IF(P615="","",IFERROR(IF(AND(H615="W7",OR(F615="causal",F615="predictive")),IF(AND(OR(K615=1,K615="1"),OR(L615=1,L615="1"),OR(M615=1,M615="1")),"adequate","partial"),IF(AND(H615="W4",F615="predictive",OR(J615="P2",J615="P3",J615="P4")),IF(OR(U615=1,U615="1"),"adequate","partial"),INDEX(Fit_Matrix!$B:$B,MATCH(P615,Fit_Matrix!$A:$A,0)))),"CHECK KEY"))</f>
        <v/>
      </c>
      <c r="U615" s="10" t="n"/>
      <c r="V615" s="10" t="n"/>
      <c r="W615" s="10" t="n"/>
      <c r="X615" s="10" t="n"/>
      <c r="Y615" s="10" t="n"/>
      <c r="Z615" s="10" t="n"/>
      <c r="AA615" s="11">
        <f>IF(A615="","",IF(AND(J615="P4",F615="causal"),"P4-CAUSAL",""))</f>
        <v/>
      </c>
    </row>
    <row r="616" ht="15" customHeight="1" s="1">
      <c r="P616">
        <f>IF(OR(F616="",H616="",J616=""),"",J616&amp;"|"&amp;F616&amp;"|"&amp;IF(H616="W3","W3_"&amp;IF(I616="","unknown",I616),H616))</f>
        <v/>
      </c>
      <c r="Q616">
        <f>IF(P616="","",IFERROR(IF(AND(H616="W7",OR(F616="causal",F616="predictive")),IF(AND(OR(K616=1,K616="1"),OR(L616=1,L616="1"),OR(M616=1,M616="1")),"adequate","partial"),IF(AND(H616="W4",F616="predictive",OR(J616="P2",J616="P3",J616="P4")),IF(OR(U616=1,U616="1"),"adequate","partial"),INDEX(Fit_Matrix!$B:$B,MATCH(P616,Fit_Matrix!$A:$A,0)))),"CHECK KEY"))</f>
        <v/>
      </c>
      <c r="U616" s="10" t="n"/>
      <c r="V616" s="10" t="n"/>
      <c r="W616" s="10" t="n"/>
      <c r="X616" s="10" t="n"/>
      <c r="Y616" s="10" t="n"/>
      <c r="Z616" s="10" t="n"/>
      <c r="AA616" s="11">
        <f>IF(A616="","",IF(AND(J616="P4",F616="causal"),"P4-CAUSAL",""))</f>
        <v/>
      </c>
    </row>
    <row r="617" ht="15" customHeight="1" s="1">
      <c r="P617">
        <f>IF(OR(F617="",H617="",J617=""),"",J617&amp;"|"&amp;F617&amp;"|"&amp;IF(H617="W3","W3_"&amp;IF(I617="","unknown",I617),H617))</f>
        <v/>
      </c>
      <c r="Q617">
        <f>IF(P617="","",IFERROR(IF(AND(H617="W7",OR(F617="causal",F617="predictive")),IF(AND(OR(K617=1,K617="1"),OR(L617=1,L617="1"),OR(M617=1,M617="1")),"adequate","partial"),IF(AND(H617="W4",F617="predictive",OR(J617="P2",J617="P3",J617="P4")),IF(OR(U617=1,U617="1"),"adequate","partial"),INDEX(Fit_Matrix!$B:$B,MATCH(P617,Fit_Matrix!$A:$A,0)))),"CHECK KEY"))</f>
        <v/>
      </c>
      <c r="U617" s="10" t="n"/>
      <c r="V617" s="10" t="n"/>
      <c r="W617" s="10" t="n"/>
      <c r="X617" s="10" t="n"/>
      <c r="Y617" s="10" t="n"/>
      <c r="Z617" s="10" t="n"/>
      <c r="AA617" s="11">
        <f>IF(A617="","",IF(AND(J617="P4",F617="causal"),"P4-CAUSAL",""))</f>
        <v/>
      </c>
    </row>
    <row r="618" ht="15" customHeight="1" s="1">
      <c r="P618">
        <f>IF(OR(F618="",H618="",J618=""),"",J618&amp;"|"&amp;F618&amp;"|"&amp;IF(H618="W3","W3_"&amp;IF(I618="","unknown",I618),H618))</f>
        <v/>
      </c>
      <c r="Q618">
        <f>IF(P618="","",IFERROR(IF(AND(H618="W7",OR(F618="causal",F618="predictive")),IF(AND(OR(K618=1,K618="1"),OR(L618=1,L618="1"),OR(M618=1,M618="1")),"adequate","partial"),IF(AND(H618="W4",F618="predictive",OR(J618="P2",J618="P3",J618="P4")),IF(OR(U618=1,U618="1"),"adequate","partial"),INDEX(Fit_Matrix!$B:$B,MATCH(P618,Fit_Matrix!$A:$A,0)))),"CHECK KEY"))</f>
        <v/>
      </c>
      <c r="U618" s="10" t="n"/>
      <c r="V618" s="10" t="n"/>
      <c r="W618" s="10" t="n"/>
      <c r="X618" s="10" t="n"/>
      <c r="Y618" s="10" t="n"/>
      <c r="Z618" s="10" t="n"/>
      <c r="AA618" s="11">
        <f>IF(A618="","",IF(AND(J618="P4",F618="causal"),"P4-CAUSAL",""))</f>
        <v/>
      </c>
    </row>
    <row r="619" ht="15" customHeight="1" s="1">
      <c r="P619">
        <f>IF(OR(F619="",H619="",J619=""),"",J619&amp;"|"&amp;F619&amp;"|"&amp;IF(H619="W3","W3_"&amp;IF(I619="","unknown",I619),H619))</f>
        <v/>
      </c>
      <c r="Q619">
        <f>IF(P619="","",IFERROR(IF(AND(H619="W7",OR(F619="causal",F619="predictive")),IF(AND(OR(K619=1,K619="1"),OR(L619=1,L619="1"),OR(M619=1,M619="1")),"adequate","partial"),IF(AND(H619="W4",F619="predictive",OR(J619="P2",J619="P3",J619="P4")),IF(OR(U619=1,U619="1"),"adequate","partial"),INDEX(Fit_Matrix!$B:$B,MATCH(P619,Fit_Matrix!$A:$A,0)))),"CHECK KEY"))</f>
        <v/>
      </c>
      <c r="U619" s="10" t="n"/>
      <c r="V619" s="10" t="n"/>
      <c r="W619" s="10" t="n"/>
      <c r="X619" s="10" t="n"/>
      <c r="Y619" s="10" t="n"/>
      <c r="Z619" s="10" t="n"/>
      <c r="AA619" s="11">
        <f>IF(A619="","",IF(AND(J619="P4",F619="causal"),"P4-CAUSAL",""))</f>
        <v/>
      </c>
    </row>
    <row r="620" ht="15" customHeight="1" s="1">
      <c r="P620">
        <f>IF(OR(F620="",H620="",J620=""),"",J620&amp;"|"&amp;F620&amp;"|"&amp;IF(H620="W3","W3_"&amp;IF(I620="","unknown",I620),H620))</f>
        <v/>
      </c>
      <c r="Q620">
        <f>IF(P620="","",IFERROR(IF(AND(H620="W7",OR(F620="causal",F620="predictive")),IF(AND(OR(K620=1,K620="1"),OR(L620=1,L620="1"),OR(M620=1,M620="1")),"adequate","partial"),IF(AND(H620="W4",F620="predictive",OR(J620="P2",J620="P3",J620="P4")),IF(OR(U620=1,U620="1"),"adequate","partial"),INDEX(Fit_Matrix!$B:$B,MATCH(P620,Fit_Matrix!$A:$A,0)))),"CHECK KEY"))</f>
        <v/>
      </c>
      <c r="U620" s="10" t="n"/>
      <c r="V620" s="10" t="n"/>
      <c r="W620" s="10" t="n"/>
      <c r="X620" s="10" t="n"/>
      <c r="Y620" s="10" t="n"/>
      <c r="Z620" s="10" t="n"/>
      <c r="AA620" s="11">
        <f>IF(A620="","",IF(AND(J620="P4",F620="causal"),"P4-CAUSAL",""))</f>
        <v/>
      </c>
    </row>
    <row r="621" ht="15" customHeight="1" s="1">
      <c r="P621">
        <f>IF(OR(F621="",H621="",J621=""),"",J621&amp;"|"&amp;F621&amp;"|"&amp;IF(H621="W3","W3_"&amp;IF(I621="","unknown",I621),H621))</f>
        <v/>
      </c>
      <c r="Q621">
        <f>IF(P621="","",IFERROR(IF(AND(H621="W7",OR(F621="causal",F621="predictive")),IF(AND(OR(K621=1,K621="1"),OR(L621=1,L621="1"),OR(M621=1,M621="1")),"adequate","partial"),IF(AND(H621="W4",F621="predictive",OR(J621="P2",J621="P3",J621="P4")),IF(OR(U621=1,U621="1"),"adequate","partial"),INDEX(Fit_Matrix!$B:$B,MATCH(P621,Fit_Matrix!$A:$A,0)))),"CHECK KEY"))</f>
        <v/>
      </c>
      <c r="U621" s="10" t="n"/>
      <c r="V621" s="10" t="n"/>
      <c r="W621" s="10" t="n"/>
      <c r="X621" s="10" t="n"/>
      <c r="Y621" s="10" t="n"/>
      <c r="Z621" s="10" t="n"/>
      <c r="AA621" s="11">
        <f>IF(A621="","",IF(AND(J621="P4",F621="causal"),"P4-CAUSAL",""))</f>
        <v/>
      </c>
    </row>
    <row r="622" ht="15" customHeight="1" s="1">
      <c r="P622">
        <f>IF(OR(F622="",H622="",J622=""),"",J622&amp;"|"&amp;F622&amp;"|"&amp;IF(H622="W3","W3_"&amp;IF(I622="","unknown",I622),H622))</f>
        <v/>
      </c>
      <c r="Q622">
        <f>IF(P622="","",IFERROR(IF(AND(H622="W7",OR(F622="causal",F622="predictive")),IF(AND(OR(K622=1,K622="1"),OR(L622=1,L622="1"),OR(M622=1,M622="1")),"adequate","partial"),IF(AND(H622="W4",F622="predictive",OR(J622="P2",J622="P3",J622="P4")),IF(OR(U622=1,U622="1"),"adequate","partial"),INDEX(Fit_Matrix!$B:$B,MATCH(P622,Fit_Matrix!$A:$A,0)))),"CHECK KEY"))</f>
        <v/>
      </c>
      <c r="U622" s="10" t="n"/>
      <c r="V622" s="10" t="n"/>
      <c r="W622" s="10" t="n"/>
      <c r="X622" s="10" t="n"/>
      <c r="Y622" s="10" t="n"/>
      <c r="Z622" s="10" t="n"/>
      <c r="AA622" s="11">
        <f>IF(A622="","",IF(AND(J622="P4",F622="causal"),"P4-CAUSAL",""))</f>
        <v/>
      </c>
    </row>
    <row r="623" ht="15" customHeight="1" s="1">
      <c r="P623">
        <f>IF(OR(F623="",H623="",J623=""),"",J623&amp;"|"&amp;F623&amp;"|"&amp;IF(H623="W3","W3_"&amp;IF(I623="","unknown",I623),H623))</f>
        <v/>
      </c>
      <c r="Q623">
        <f>IF(P623="","",IFERROR(IF(AND(H623="W7",OR(F623="causal",F623="predictive")),IF(AND(OR(K623=1,K623="1"),OR(L623=1,L623="1"),OR(M623=1,M623="1")),"adequate","partial"),IF(AND(H623="W4",F623="predictive",OR(J623="P2",J623="P3",J623="P4")),IF(OR(U623=1,U623="1"),"adequate","partial"),INDEX(Fit_Matrix!$B:$B,MATCH(P623,Fit_Matrix!$A:$A,0)))),"CHECK KEY"))</f>
        <v/>
      </c>
      <c r="U623" s="10" t="n"/>
      <c r="V623" s="10" t="n"/>
      <c r="W623" s="10" t="n"/>
      <c r="X623" s="10" t="n"/>
      <c r="Y623" s="10" t="n"/>
      <c r="Z623" s="10" t="n"/>
      <c r="AA623" s="11">
        <f>IF(A623="","",IF(AND(J623="P4",F623="causal"),"P4-CAUSAL",""))</f>
        <v/>
      </c>
    </row>
    <row r="624" ht="15" customHeight="1" s="1">
      <c r="P624">
        <f>IF(OR(F624="",H624="",J624=""),"",J624&amp;"|"&amp;F624&amp;"|"&amp;IF(H624="W3","W3_"&amp;IF(I624="","unknown",I624),H624))</f>
        <v/>
      </c>
      <c r="Q624">
        <f>IF(P624="","",IFERROR(IF(AND(H624="W7",OR(F624="causal",F624="predictive")),IF(AND(OR(K624=1,K624="1"),OR(L624=1,L624="1"),OR(M624=1,M624="1")),"adequate","partial"),IF(AND(H624="W4",F624="predictive",OR(J624="P2",J624="P3",J624="P4")),IF(OR(U624=1,U624="1"),"adequate","partial"),INDEX(Fit_Matrix!$B:$B,MATCH(P624,Fit_Matrix!$A:$A,0)))),"CHECK KEY"))</f>
        <v/>
      </c>
      <c r="U624" s="10" t="n"/>
      <c r="V624" s="10" t="n"/>
      <c r="W624" s="10" t="n"/>
      <c r="X624" s="10" t="n"/>
      <c r="Y624" s="10" t="n"/>
      <c r="Z624" s="10" t="n"/>
      <c r="AA624" s="11">
        <f>IF(A624="","",IF(AND(J624="P4",F624="causal"),"P4-CAUSAL",""))</f>
        <v/>
      </c>
    </row>
    <row r="625" ht="15" customHeight="1" s="1">
      <c r="P625">
        <f>IF(OR(F625="",H625="",J625=""),"",J625&amp;"|"&amp;F625&amp;"|"&amp;IF(H625="W3","W3_"&amp;IF(I625="","unknown",I625),H625))</f>
        <v/>
      </c>
      <c r="Q625">
        <f>IF(P625="","",IFERROR(IF(AND(H625="W7",OR(F625="causal",F625="predictive")),IF(AND(OR(K625=1,K625="1"),OR(L625=1,L625="1"),OR(M625=1,M625="1")),"adequate","partial"),IF(AND(H625="W4",F625="predictive",OR(J625="P2",J625="P3",J625="P4")),IF(OR(U625=1,U625="1"),"adequate","partial"),INDEX(Fit_Matrix!$B:$B,MATCH(P625,Fit_Matrix!$A:$A,0)))),"CHECK KEY"))</f>
        <v/>
      </c>
      <c r="U625" s="10" t="n"/>
      <c r="V625" s="10" t="n"/>
      <c r="W625" s="10" t="n"/>
      <c r="X625" s="10" t="n"/>
      <c r="Y625" s="10" t="n"/>
      <c r="Z625" s="10" t="n"/>
      <c r="AA625" s="11">
        <f>IF(A625="","",IF(AND(J625="P4",F625="causal"),"P4-CAUSAL",""))</f>
        <v/>
      </c>
    </row>
    <row r="626" ht="15" customHeight="1" s="1">
      <c r="P626">
        <f>IF(OR(F626="",H626="",J626=""),"",J626&amp;"|"&amp;F626&amp;"|"&amp;IF(H626="W3","W3_"&amp;IF(I626="","unknown",I626),H626))</f>
        <v/>
      </c>
      <c r="Q626">
        <f>IF(P626="","",IFERROR(IF(AND(H626="W7",OR(F626="causal",F626="predictive")),IF(AND(OR(K626=1,K626="1"),OR(L626=1,L626="1"),OR(M626=1,M626="1")),"adequate","partial"),IF(AND(H626="W4",F626="predictive",OR(J626="P2",J626="P3",J626="P4")),IF(OR(U626=1,U626="1"),"adequate","partial"),INDEX(Fit_Matrix!$B:$B,MATCH(P626,Fit_Matrix!$A:$A,0)))),"CHECK KEY"))</f>
        <v/>
      </c>
      <c r="U626" s="10" t="n"/>
      <c r="V626" s="10" t="n"/>
      <c r="W626" s="10" t="n"/>
      <c r="X626" s="10" t="n"/>
      <c r="Y626" s="10" t="n"/>
      <c r="Z626" s="10" t="n"/>
      <c r="AA626" s="11">
        <f>IF(A626="","",IF(AND(J626="P4",F626="causal"),"P4-CAUSAL",""))</f>
        <v/>
      </c>
    </row>
    <row r="627" ht="15" customHeight="1" s="1">
      <c r="P627">
        <f>IF(OR(F627="",H627="",J627=""),"",J627&amp;"|"&amp;F627&amp;"|"&amp;IF(H627="W3","W3_"&amp;IF(I627="","unknown",I627),H627))</f>
        <v/>
      </c>
      <c r="Q627">
        <f>IF(P627="","",IFERROR(IF(AND(H627="W7",OR(F627="causal",F627="predictive")),IF(AND(OR(K627=1,K627="1"),OR(L627=1,L627="1"),OR(M627=1,M627="1")),"adequate","partial"),IF(AND(H627="W4",F627="predictive",OR(J627="P2",J627="P3",J627="P4")),IF(OR(U627=1,U627="1"),"adequate","partial"),INDEX(Fit_Matrix!$B:$B,MATCH(P627,Fit_Matrix!$A:$A,0)))),"CHECK KEY"))</f>
        <v/>
      </c>
      <c r="U627" s="10" t="n"/>
      <c r="V627" s="10" t="n"/>
      <c r="W627" s="10" t="n"/>
      <c r="X627" s="10" t="n"/>
      <c r="Y627" s="10" t="n"/>
      <c r="Z627" s="10" t="n"/>
      <c r="AA627" s="11">
        <f>IF(A627="","",IF(AND(J627="P4",F627="causal"),"P4-CAUSAL",""))</f>
        <v/>
      </c>
    </row>
    <row r="628" ht="15" customHeight="1" s="1">
      <c r="P628">
        <f>IF(OR(F628="",H628="",J628=""),"",J628&amp;"|"&amp;F628&amp;"|"&amp;IF(H628="W3","W3_"&amp;IF(I628="","unknown",I628),H628))</f>
        <v/>
      </c>
      <c r="Q628">
        <f>IF(P628="","",IFERROR(IF(AND(H628="W7",OR(F628="causal",F628="predictive")),IF(AND(OR(K628=1,K628="1"),OR(L628=1,L628="1"),OR(M628=1,M628="1")),"adequate","partial"),IF(AND(H628="W4",F628="predictive",OR(J628="P2",J628="P3",J628="P4")),IF(OR(U628=1,U628="1"),"adequate","partial"),INDEX(Fit_Matrix!$B:$B,MATCH(P628,Fit_Matrix!$A:$A,0)))),"CHECK KEY"))</f>
        <v/>
      </c>
      <c r="U628" s="10" t="n"/>
      <c r="V628" s="10" t="n"/>
      <c r="W628" s="10" t="n"/>
      <c r="X628" s="10" t="n"/>
      <c r="Y628" s="10" t="n"/>
      <c r="Z628" s="10" t="n"/>
      <c r="AA628" s="11">
        <f>IF(A628="","",IF(AND(J628="P4",F628="causal"),"P4-CAUSAL",""))</f>
        <v/>
      </c>
    </row>
    <row r="629" ht="15" customHeight="1" s="1">
      <c r="P629">
        <f>IF(OR(F629="",H629="",J629=""),"",J629&amp;"|"&amp;F629&amp;"|"&amp;IF(H629="W3","W3_"&amp;IF(I629="","unknown",I629),H629))</f>
        <v/>
      </c>
      <c r="Q629">
        <f>IF(P629="","",IFERROR(IF(AND(H629="W7",OR(F629="causal",F629="predictive")),IF(AND(OR(K629=1,K629="1"),OR(L629=1,L629="1"),OR(M629=1,M629="1")),"adequate","partial"),IF(AND(H629="W4",F629="predictive",OR(J629="P2",J629="P3",J629="P4")),IF(OR(U629=1,U629="1"),"adequate","partial"),INDEX(Fit_Matrix!$B:$B,MATCH(P629,Fit_Matrix!$A:$A,0)))),"CHECK KEY"))</f>
        <v/>
      </c>
      <c r="U629" s="10" t="n"/>
      <c r="V629" s="10" t="n"/>
      <c r="W629" s="10" t="n"/>
      <c r="X629" s="10" t="n"/>
      <c r="Y629" s="10" t="n"/>
      <c r="Z629" s="10" t="n"/>
      <c r="AA629" s="11">
        <f>IF(A629="","",IF(AND(J629="P4",F629="causal"),"P4-CAUSAL",""))</f>
        <v/>
      </c>
    </row>
    <row r="630" ht="15" customHeight="1" s="1">
      <c r="P630">
        <f>IF(OR(F630="",H630="",J630=""),"",J630&amp;"|"&amp;F630&amp;"|"&amp;IF(H630="W3","W3_"&amp;IF(I630="","unknown",I630),H630))</f>
        <v/>
      </c>
      <c r="Q630">
        <f>IF(P630="","",IFERROR(IF(AND(H630="W7",OR(F630="causal",F630="predictive")),IF(AND(OR(K630=1,K630="1"),OR(L630=1,L630="1"),OR(M630=1,M630="1")),"adequate","partial"),IF(AND(H630="W4",F630="predictive",OR(J630="P2",J630="P3",J630="P4")),IF(OR(U630=1,U630="1"),"adequate","partial"),INDEX(Fit_Matrix!$B:$B,MATCH(P630,Fit_Matrix!$A:$A,0)))),"CHECK KEY"))</f>
        <v/>
      </c>
      <c r="U630" s="10" t="n"/>
      <c r="V630" s="10" t="n"/>
      <c r="W630" s="10" t="n"/>
      <c r="X630" s="10" t="n"/>
      <c r="Y630" s="10" t="n"/>
      <c r="Z630" s="10" t="n"/>
      <c r="AA630" s="11">
        <f>IF(A630="","",IF(AND(J630="P4",F630="causal"),"P4-CAUSAL",""))</f>
        <v/>
      </c>
    </row>
    <row r="631" ht="15" customHeight="1" s="1">
      <c r="P631">
        <f>IF(OR(F631="",H631="",J631=""),"",J631&amp;"|"&amp;F631&amp;"|"&amp;IF(H631="W3","W3_"&amp;IF(I631="","unknown",I631),H631))</f>
        <v/>
      </c>
      <c r="Q631">
        <f>IF(P631="","",IFERROR(IF(AND(H631="W7",OR(F631="causal",F631="predictive")),IF(AND(OR(K631=1,K631="1"),OR(L631=1,L631="1"),OR(M631=1,M631="1")),"adequate","partial"),IF(AND(H631="W4",F631="predictive",OR(J631="P2",J631="P3",J631="P4")),IF(OR(U631=1,U631="1"),"adequate","partial"),INDEX(Fit_Matrix!$B:$B,MATCH(P631,Fit_Matrix!$A:$A,0)))),"CHECK KEY"))</f>
        <v/>
      </c>
      <c r="U631" s="10" t="n"/>
      <c r="V631" s="10" t="n"/>
      <c r="W631" s="10" t="n"/>
      <c r="X631" s="10" t="n"/>
      <c r="Y631" s="10" t="n"/>
      <c r="Z631" s="10" t="n"/>
      <c r="AA631" s="11">
        <f>IF(A631="","",IF(AND(J631="P4",F631="causal"),"P4-CAUSAL",""))</f>
        <v/>
      </c>
    </row>
    <row r="632" ht="15" customHeight="1" s="1">
      <c r="P632">
        <f>IF(OR(F632="",H632="",J632=""),"",J632&amp;"|"&amp;F632&amp;"|"&amp;IF(H632="W3","W3_"&amp;IF(I632="","unknown",I632),H632))</f>
        <v/>
      </c>
      <c r="Q632">
        <f>IF(P632="","",IFERROR(IF(AND(H632="W7",OR(F632="causal",F632="predictive")),IF(AND(OR(K632=1,K632="1"),OR(L632=1,L632="1"),OR(M632=1,M632="1")),"adequate","partial"),IF(AND(H632="W4",F632="predictive",OR(J632="P2",J632="P3",J632="P4")),IF(OR(U632=1,U632="1"),"adequate","partial"),INDEX(Fit_Matrix!$B:$B,MATCH(P632,Fit_Matrix!$A:$A,0)))),"CHECK KEY"))</f>
        <v/>
      </c>
      <c r="U632" s="10" t="n"/>
      <c r="V632" s="10" t="n"/>
      <c r="W632" s="10" t="n"/>
      <c r="X632" s="10" t="n"/>
      <c r="Y632" s="10" t="n"/>
      <c r="Z632" s="10" t="n"/>
      <c r="AA632" s="11">
        <f>IF(A632="","",IF(AND(J632="P4",F632="causal"),"P4-CAUSAL",""))</f>
        <v/>
      </c>
    </row>
    <row r="633" ht="15" customHeight="1" s="1">
      <c r="P633">
        <f>IF(OR(F633="",H633="",J633=""),"",J633&amp;"|"&amp;F633&amp;"|"&amp;IF(H633="W3","W3_"&amp;IF(I633="","unknown",I633),H633))</f>
        <v/>
      </c>
      <c r="Q633">
        <f>IF(P633="","",IFERROR(IF(AND(H633="W7",OR(F633="causal",F633="predictive")),IF(AND(OR(K633=1,K633="1"),OR(L633=1,L633="1"),OR(M633=1,M633="1")),"adequate","partial"),IF(AND(H633="W4",F633="predictive",OR(J633="P2",J633="P3",J633="P4")),IF(OR(U633=1,U633="1"),"adequate","partial"),INDEX(Fit_Matrix!$B:$B,MATCH(P633,Fit_Matrix!$A:$A,0)))),"CHECK KEY"))</f>
        <v/>
      </c>
      <c r="U633" s="10" t="n"/>
      <c r="V633" s="10" t="n"/>
      <c r="W633" s="10" t="n"/>
      <c r="X633" s="10" t="n"/>
      <c r="Y633" s="10" t="n"/>
      <c r="Z633" s="10" t="n"/>
      <c r="AA633" s="11">
        <f>IF(A633="","",IF(AND(J633="P4",F633="causal"),"P4-CAUSAL",""))</f>
        <v/>
      </c>
    </row>
    <row r="634" ht="15" customHeight="1" s="1">
      <c r="P634">
        <f>IF(OR(F634="",H634="",J634=""),"",J634&amp;"|"&amp;F634&amp;"|"&amp;IF(H634="W3","W3_"&amp;IF(I634="","unknown",I634),H634))</f>
        <v/>
      </c>
      <c r="Q634">
        <f>IF(P634="","",IFERROR(IF(AND(H634="W7",OR(F634="causal",F634="predictive")),IF(AND(OR(K634=1,K634="1"),OR(L634=1,L634="1"),OR(M634=1,M634="1")),"adequate","partial"),IF(AND(H634="W4",F634="predictive",OR(J634="P2",J634="P3",J634="P4")),IF(OR(U634=1,U634="1"),"adequate","partial"),INDEX(Fit_Matrix!$B:$B,MATCH(P634,Fit_Matrix!$A:$A,0)))),"CHECK KEY"))</f>
        <v/>
      </c>
      <c r="U634" s="10" t="n"/>
      <c r="V634" s="10" t="n"/>
      <c r="W634" s="10" t="n"/>
      <c r="X634" s="10" t="n"/>
      <c r="Y634" s="10" t="n"/>
      <c r="Z634" s="10" t="n"/>
      <c r="AA634" s="11">
        <f>IF(A634="","",IF(AND(J634="P4",F634="causal"),"P4-CAUSAL",""))</f>
        <v/>
      </c>
    </row>
    <row r="635" ht="15" customHeight="1" s="1">
      <c r="P635">
        <f>IF(OR(F635="",H635="",J635=""),"",J635&amp;"|"&amp;F635&amp;"|"&amp;IF(H635="W3","W3_"&amp;IF(I635="","unknown",I635),H635))</f>
        <v/>
      </c>
      <c r="Q635">
        <f>IF(P635="","",IFERROR(IF(AND(H635="W7",OR(F635="causal",F635="predictive")),IF(AND(OR(K635=1,K635="1"),OR(L635=1,L635="1"),OR(M635=1,M635="1")),"adequate","partial"),IF(AND(H635="W4",F635="predictive",OR(J635="P2",J635="P3",J635="P4")),IF(OR(U635=1,U635="1"),"adequate","partial"),INDEX(Fit_Matrix!$B:$B,MATCH(P635,Fit_Matrix!$A:$A,0)))),"CHECK KEY"))</f>
        <v/>
      </c>
      <c r="U635" s="10" t="n"/>
      <c r="V635" s="10" t="n"/>
      <c r="W635" s="10" t="n"/>
      <c r="X635" s="10" t="n"/>
      <c r="Y635" s="10" t="n"/>
      <c r="Z635" s="10" t="n"/>
      <c r="AA635" s="11">
        <f>IF(A635="","",IF(AND(J635="P4",F635="causal"),"P4-CAUSAL",""))</f>
        <v/>
      </c>
    </row>
    <row r="636" ht="15" customHeight="1" s="1">
      <c r="P636">
        <f>IF(OR(F636="",H636="",J636=""),"",J636&amp;"|"&amp;F636&amp;"|"&amp;IF(H636="W3","W3_"&amp;IF(I636="","unknown",I636),H636))</f>
        <v/>
      </c>
      <c r="Q636">
        <f>IF(P636="","",IFERROR(IF(AND(H636="W7",OR(F636="causal",F636="predictive")),IF(AND(OR(K636=1,K636="1"),OR(L636=1,L636="1"),OR(M636=1,M636="1")),"adequate","partial"),IF(AND(H636="W4",F636="predictive",OR(J636="P2",J636="P3",J636="P4")),IF(OR(U636=1,U636="1"),"adequate","partial"),INDEX(Fit_Matrix!$B:$B,MATCH(P636,Fit_Matrix!$A:$A,0)))),"CHECK KEY"))</f>
        <v/>
      </c>
      <c r="U636" s="10" t="n"/>
      <c r="V636" s="10" t="n"/>
      <c r="W636" s="10" t="n"/>
      <c r="X636" s="10" t="n"/>
      <c r="Y636" s="10" t="n"/>
      <c r="Z636" s="10" t="n"/>
      <c r="AA636" s="11">
        <f>IF(A636="","",IF(AND(J636="P4",F636="causal"),"P4-CAUSAL",""))</f>
        <v/>
      </c>
    </row>
    <row r="637" ht="15" customHeight="1" s="1">
      <c r="P637">
        <f>IF(OR(F637="",H637="",J637=""),"",J637&amp;"|"&amp;F637&amp;"|"&amp;IF(H637="W3","W3_"&amp;IF(I637="","unknown",I637),H637))</f>
        <v/>
      </c>
      <c r="Q637">
        <f>IF(P637="","",IFERROR(IF(AND(H637="W7",OR(F637="causal",F637="predictive")),IF(AND(OR(K637=1,K637="1"),OR(L637=1,L637="1"),OR(M637=1,M637="1")),"adequate","partial"),IF(AND(H637="W4",F637="predictive",OR(J637="P2",J637="P3",J637="P4")),IF(OR(U637=1,U637="1"),"adequate","partial"),INDEX(Fit_Matrix!$B:$B,MATCH(P637,Fit_Matrix!$A:$A,0)))),"CHECK KEY"))</f>
        <v/>
      </c>
      <c r="U637" s="10" t="n"/>
      <c r="V637" s="10" t="n"/>
      <c r="W637" s="10" t="n"/>
      <c r="X637" s="10" t="n"/>
      <c r="Y637" s="10" t="n"/>
      <c r="Z637" s="10" t="n"/>
      <c r="AA637" s="11">
        <f>IF(A637="","",IF(AND(J637="P4",F637="causal"),"P4-CAUSAL",""))</f>
        <v/>
      </c>
    </row>
    <row r="638" ht="15" customHeight="1" s="1">
      <c r="P638">
        <f>IF(OR(F638="",H638="",J638=""),"",J638&amp;"|"&amp;F638&amp;"|"&amp;IF(H638="W3","W3_"&amp;IF(I638="","unknown",I638),H638))</f>
        <v/>
      </c>
      <c r="Q638">
        <f>IF(P638="","",IFERROR(IF(AND(H638="W7",OR(F638="causal",F638="predictive")),IF(AND(OR(K638=1,K638="1"),OR(L638=1,L638="1"),OR(M638=1,M638="1")),"adequate","partial"),IF(AND(H638="W4",F638="predictive",OR(J638="P2",J638="P3",J638="P4")),IF(OR(U638=1,U638="1"),"adequate","partial"),INDEX(Fit_Matrix!$B:$B,MATCH(P638,Fit_Matrix!$A:$A,0)))),"CHECK KEY"))</f>
        <v/>
      </c>
      <c r="U638" s="10" t="n"/>
      <c r="V638" s="10" t="n"/>
      <c r="W638" s="10" t="n"/>
      <c r="X638" s="10" t="n"/>
      <c r="Y638" s="10" t="n"/>
      <c r="Z638" s="10" t="n"/>
      <c r="AA638" s="11">
        <f>IF(A638="","",IF(AND(J638="P4",F638="causal"),"P4-CAUSAL",""))</f>
        <v/>
      </c>
    </row>
    <row r="639" ht="15" customHeight="1" s="1">
      <c r="P639">
        <f>IF(OR(F639="",H639="",J639=""),"",J639&amp;"|"&amp;F639&amp;"|"&amp;IF(H639="W3","W3_"&amp;IF(I639="","unknown",I639),H639))</f>
        <v/>
      </c>
      <c r="Q639">
        <f>IF(P639="","",IFERROR(IF(AND(H639="W7",OR(F639="causal",F639="predictive")),IF(AND(OR(K639=1,K639="1"),OR(L639=1,L639="1"),OR(M639=1,M639="1")),"adequate","partial"),IF(AND(H639="W4",F639="predictive",OR(J639="P2",J639="P3",J639="P4")),IF(OR(U639=1,U639="1"),"adequate","partial"),INDEX(Fit_Matrix!$B:$B,MATCH(P639,Fit_Matrix!$A:$A,0)))),"CHECK KEY"))</f>
        <v/>
      </c>
      <c r="U639" s="10" t="n"/>
      <c r="V639" s="10" t="n"/>
      <c r="W639" s="10" t="n"/>
      <c r="X639" s="10" t="n"/>
      <c r="Y639" s="10" t="n"/>
      <c r="Z639" s="10" t="n"/>
      <c r="AA639" s="11">
        <f>IF(A639="","",IF(AND(J639="P4",F639="causal"),"P4-CAUSAL",""))</f>
        <v/>
      </c>
    </row>
    <row r="640" ht="15" customHeight="1" s="1">
      <c r="P640">
        <f>IF(OR(F640="",H640="",J640=""),"",J640&amp;"|"&amp;F640&amp;"|"&amp;IF(H640="W3","W3_"&amp;IF(I640="","unknown",I640),H640))</f>
        <v/>
      </c>
      <c r="Q640">
        <f>IF(P640="","",IFERROR(IF(AND(H640="W7",OR(F640="causal",F640="predictive")),IF(AND(OR(K640=1,K640="1"),OR(L640=1,L640="1"),OR(M640=1,M640="1")),"adequate","partial"),IF(AND(H640="W4",F640="predictive",OR(J640="P2",J640="P3",J640="P4")),IF(OR(U640=1,U640="1"),"adequate","partial"),INDEX(Fit_Matrix!$B:$B,MATCH(P640,Fit_Matrix!$A:$A,0)))),"CHECK KEY"))</f>
        <v/>
      </c>
      <c r="U640" s="10" t="n"/>
      <c r="V640" s="10" t="n"/>
      <c r="W640" s="10" t="n"/>
      <c r="X640" s="10" t="n"/>
      <c r="Y640" s="10" t="n"/>
      <c r="Z640" s="10" t="n"/>
      <c r="AA640" s="11">
        <f>IF(A640="","",IF(AND(J640="P4",F640="causal"),"P4-CAUSAL",""))</f>
        <v/>
      </c>
    </row>
    <row r="641" ht="15" customHeight="1" s="1">
      <c r="P641">
        <f>IF(OR(F641="",H641="",J641=""),"",J641&amp;"|"&amp;F641&amp;"|"&amp;IF(H641="W3","W3_"&amp;IF(I641="","unknown",I641),H641))</f>
        <v/>
      </c>
      <c r="Q641">
        <f>IF(P641="","",IFERROR(IF(AND(H641="W7",OR(F641="causal",F641="predictive")),IF(AND(OR(K641=1,K641="1"),OR(L641=1,L641="1"),OR(M641=1,M641="1")),"adequate","partial"),IF(AND(H641="W4",F641="predictive",OR(J641="P2",J641="P3",J641="P4")),IF(OR(U641=1,U641="1"),"adequate","partial"),INDEX(Fit_Matrix!$B:$B,MATCH(P641,Fit_Matrix!$A:$A,0)))),"CHECK KEY"))</f>
        <v/>
      </c>
      <c r="U641" s="10" t="n"/>
      <c r="V641" s="10" t="n"/>
      <c r="W641" s="10" t="n"/>
      <c r="X641" s="10" t="n"/>
      <c r="Y641" s="10" t="n"/>
      <c r="Z641" s="10" t="n"/>
      <c r="AA641" s="11">
        <f>IF(A641="","",IF(AND(J641="P4",F641="causal"),"P4-CAUSAL",""))</f>
        <v/>
      </c>
    </row>
    <row r="642" ht="15" customHeight="1" s="1">
      <c r="P642">
        <f>IF(OR(F642="",H642="",J642=""),"",J642&amp;"|"&amp;F642&amp;"|"&amp;IF(H642="W3","W3_"&amp;IF(I642="","unknown",I642),H642))</f>
        <v/>
      </c>
      <c r="Q642">
        <f>IF(P642="","",IFERROR(IF(AND(H642="W7",OR(F642="causal",F642="predictive")),IF(AND(OR(K642=1,K642="1"),OR(L642=1,L642="1"),OR(M642=1,M642="1")),"adequate","partial"),IF(AND(H642="W4",F642="predictive",OR(J642="P2",J642="P3",J642="P4")),IF(OR(U642=1,U642="1"),"adequate","partial"),INDEX(Fit_Matrix!$B:$B,MATCH(P642,Fit_Matrix!$A:$A,0)))),"CHECK KEY"))</f>
        <v/>
      </c>
      <c r="U642" s="10" t="n"/>
      <c r="V642" s="10" t="n"/>
      <c r="W642" s="10" t="n"/>
      <c r="X642" s="10" t="n"/>
      <c r="Y642" s="10" t="n"/>
      <c r="Z642" s="10" t="n"/>
      <c r="AA642" s="11">
        <f>IF(A642="","",IF(AND(J642="P4",F642="causal"),"P4-CAUSAL",""))</f>
        <v/>
      </c>
    </row>
    <row r="643" ht="15" customHeight="1" s="1">
      <c r="P643">
        <f>IF(OR(F643="",H643="",J643=""),"",J643&amp;"|"&amp;F643&amp;"|"&amp;IF(H643="W3","W3_"&amp;IF(I643="","unknown",I643),H643))</f>
        <v/>
      </c>
      <c r="Q643">
        <f>IF(P643="","",IFERROR(IF(AND(H643="W7",OR(F643="causal",F643="predictive")),IF(AND(OR(K643=1,K643="1"),OR(L643=1,L643="1"),OR(M643=1,M643="1")),"adequate","partial"),IF(AND(H643="W4",F643="predictive",OR(J643="P2",J643="P3",J643="P4")),IF(OR(U643=1,U643="1"),"adequate","partial"),INDEX(Fit_Matrix!$B:$B,MATCH(P643,Fit_Matrix!$A:$A,0)))),"CHECK KEY"))</f>
        <v/>
      </c>
      <c r="U643" s="10" t="n"/>
      <c r="V643" s="10" t="n"/>
      <c r="W643" s="10" t="n"/>
      <c r="X643" s="10" t="n"/>
      <c r="Y643" s="10" t="n"/>
      <c r="Z643" s="10" t="n"/>
      <c r="AA643" s="11">
        <f>IF(A643="","",IF(AND(J643="P4",F643="causal"),"P4-CAUSAL",""))</f>
        <v/>
      </c>
    </row>
    <row r="644" ht="15" customHeight="1" s="1">
      <c r="P644">
        <f>IF(OR(F644="",H644="",J644=""),"",J644&amp;"|"&amp;F644&amp;"|"&amp;IF(H644="W3","W3_"&amp;IF(I644="","unknown",I644),H644))</f>
        <v/>
      </c>
      <c r="Q644">
        <f>IF(P644="","",IFERROR(IF(AND(H644="W7",OR(F644="causal",F644="predictive")),IF(AND(OR(K644=1,K644="1"),OR(L644=1,L644="1"),OR(M644=1,M644="1")),"adequate","partial"),IF(AND(H644="W4",F644="predictive",OR(J644="P2",J644="P3",J644="P4")),IF(OR(U644=1,U644="1"),"adequate","partial"),INDEX(Fit_Matrix!$B:$B,MATCH(P644,Fit_Matrix!$A:$A,0)))),"CHECK KEY"))</f>
        <v/>
      </c>
      <c r="U644" s="10" t="n"/>
      <c r="V644" s="10" t="n"/>
      <c r="W644" s="10" t="n"/>
      <c r="X644" s="10" t="n"/>
      <c r="Y644" s="10" t="n"/>
      <c r="Z644" s="10" t="n"/>
      <c r="AA644" s="11">
        <f>IF(A644="","",IF(AND(J644="P4",F644="causal"),"P4-CAUSAL",""))</f>
        <v/>
      </c>
    </row>
    <row r="645" ht="15" customHeight="1" s="1">
      <c r="P645">
        <f>IF(OR(F645="",H645="",J645=""),"",J645&amp;"|"&amp;F645&amp;"|"&amp;IF(H645="W3","W3_"&amp;IF(I645="","unknown",I645),H645))</f>
        <v/>
      </c>
      <c r="Q645">
        <f>IF(P645="","",IFERROR(IF(AND(H645="W7",OR(F645="causal",F645="predictive")),IF(AND(OR(K645=1,K645="1"),OR(L645=1,L645="1"),OR(M645=1,M645="1")),"adequate","partial"),IF(AND(H645="W4",F645="predictive",OR(J645="P2",J645="P3",J645="P4")),IF(OR(U645=1,U645="1"),"adequate","partial"),INDEX(Fit_Matrix!$B:$B,MATCH(P645,Fit_Matrix!$A:$A,0)))),"CHECK KEY"))</f>
        <v/>
      </c>
      <c r="U645" s="10" t="n"/>
      <c r="V645" s="10" t="n"/>
      <c r="W645" s="10" t="n"/>
      <c r="X645" s="10" t="n"/>
      <c r="Y645" s="10" t="n"/>
      <c r="Z645" s="10" t="n"/>
      <c r="AA645" s="11">
        <f>IF(A645="","",IF(AND(J645="P4",F645="causal"),"P4-CAUSAL",""))</f>
        <v/>
      </c>
    </row>
    <row r="646" ht="15" customHeight="1" s="1">
      <c r="P646">
        <f>IF(OR(F646="",H646="",J646=""),"",J646&amp;"|"&amp;F646&amp;"|"&amp;IF(H646="W3","W3_"&amp;IF(I646="","unknown",I646),H646))</f>
        <v/>
      </c>
      <c r="Q646">
        <f>IF(P646="","",IFERROR(IF(AND(H646="W7",OR(F646="causal",F646="predictive")),IF(AND(OR(K646=1,K646="1"),OR(L646=1,L646="1"),OR(M646=1,M646="1")),"adequate","partial"),IF(AND(H646="W4",F646="predictive",OR(J646="P2",J646="P3",J646="P4")),IF(OR(U646=1,U646="1"),"adequate","partial"),INDEX(Fit_Matrix!$B:$B,MATCH(P646,Fit_Matrix!$A:$A,0)))),"CHECK KEY"))</f>
        <v/>
      </c>
      <c r="U646" s="10" t="n"/>
      <c r="V646" s="10" t="n"/>
      <c r="W646" s="10" t="n"/>
      <c r="X646" s="10" t="n"/>
      <c r="Y646" s="10" t="n"/>
      <c r="Z646" s="10" t="n"/>
      <c r="AA646" s="11">
        <f>IF(A646="","",IF(AND(J646="P4",F646="causal"),"P4-CAUSAL",""))</f>
        <v/>
      </c>
    </row>
    <row r="647" ht="15" customHeight="1" s="1">
      <c r="P647">
        <f>IF(OR(F647="",H647="",J647=""),"",J647&amp;"|"&amp;F647&amp;"|"&amp;IF(H647="W3","W3_"&amp;IF(I647="","unknown",I647),H647))</f>
        <v/>
      </c>
      <c r="Q647">
        <f>IF(P647="","",IFERROR(IF(AND(H647="W7",OR(F647="causal",F647="predictive")),IF(AND(OR(K647=1,K647="1"),OR(L647=1,L647="1"),OR(M647=1,M647="1")),"adequate","partial"),IF(AND(H647="W4",F647="predictive",OR(J647="P2",J647="P3",J647="P4")),IF(OR(U647=1,U647="1"),"adequate","partial"),INDEX(Fit_Matrix!$B:$B,MATCH(P647,Fit_Matrix!$A:$A,0)))),"CHECK KEY"))</f>
        <v/>
      </c>
      <c r="U647" s="10" t="n"/>
      <c r="V647" s="10" t="n"/>
      <c r="W647" s="10" t="n"/>
      <c r="X647" s="10" t="n"/>
      <c r="Y647" s="10" t="n"/>
      <c r="Z647" s="10" t="n"/>
      <c r="AA647" s="11">
        <f>IF(A647="","",IF(AND(J647="P4",F647="causal"),"P4-CAUSAL",""))</f>
        <v/>
      </c>
    </row>
    <row r="648" ht="15" customHeight="1" s="1">
      <c r="P648">
        <f>IF(OR(F648="",H648="",J648=""),"",J648&amp;"|"&amp;F648&amp;"|"&amp;IF(H648="W3","W3_"&amp;IF(I648="","unknown",I648),H648))</f>
        <v/>
      </c>
      <c r="Q648">
        <f>IF(P648="","",IFERROR(IF(AND(H648="W7",OR(F648="causal",F648="predictive")),IF(AND(OR(K648=1,K648="1"),OR(L648=1,L648="1"),OR(M648=1,M648="1")),"adequate","partial"),IF(AND(H648="W4",F648="predictive",OR(J648="P2",J648="P3",J648="P4")),IF(OR(U648=1,U648="1"),"adequate","partial"),INDEX(Fit_Matrix!$B:$B,MATCH(P648,Fit_Matrix!$A:$A,0)))),"CHECK KEY"))</f>
        <v/>
      </c>
      <c r="U648" s="10" t="n"/>
      <c r="V648" s="10" t="n"/>
      <c r="W648" s="10" t="n"/>
      <c r="X648" s="10" t="n"/>
      <c r="Y648" s="10" t="n"/>
      <c r="Z648" s="10" t="n"/>
      <c r="AA648" s="11">
        <f>IF(A648="","",IF(AND(J648="P4",F648="causal"),"P4-CAUSAL",""))</f>
        <v/>
      </c>
    </row>
    <row r="649" ht="15" customHeight="1" s="1">
      <c r="P649">
        <f>IF(OR(F649="",H649="",J649=""),"",J649&amp;"|"&amp;F649&amp;"|"&amp;IF(H649="W3","W3_"&amp;IF(I649="","unknown",I649),H649))</f>
        <v/>
      </c>
      <c r="Q649">
        <f>IF(P649="","",IFERROR(IF(AND(H649="W7",OR(F649="causal",F649="predictive")),IF(AND(OR(K649=1,K649="1"),OR(L649=1,L649="1"),OR(M649=1,M649="1")),"adequate","partial"),IF(AND(H649="W4",F649="predictive",OR(J649="P2",J649="P3",J649="P4")),IF(OR(U649=1,U649="1"),"adequate","partial"),INDEX(Fit_Matrix!$B:$B,MATCH(P649,Fit_Matrix!$A:$A,0)))),"CHECK KEY"))</f>
        <v/>
      </c>
      <c r="U649" s="10" t="n"/>
      <c r="V649" s="10" t="n"/>
      <c r="W649" s="10" t="n"/>
      <c r="X649" s="10" t="n"/>
      <c r="Y649" s="10" t="n"/>
      <c r="Z649" s="10" t="n"/>
      <c r="AA649" s="11">
        <f>IF(A649="","",IF(AND(J649="P4",F649="causal"),"P4-CAUSAL",""))</f>
        <v/>
      </c>
    </row>
    <row r="650" ht="15" customHeight="1" s="1">
      <c r="P650">
        <f>IF(OR(F650="",H650="",J650=""),"",J650&amp;"|"&amp;F650&amp;"|"&amp;IF(H650="W3","W3_"&amp;IF(I650="","unknown",I650),H650))</f>
        <v/>
      </c>
      <c r="Q650">
        <f>IF(P650="","",IFERROR(IF(AND(H650="W7",OR(F650="causal",F650="predictive")),IF(AND(OR(K650=1,K650="1"),OR(L650=1,L650="1"),OR(M650=1,M650="1")),"adequate","partial"),IF(AND(H650="W4",F650="predictive",OR(J650="P2",J650="P3",J650="P4")),IF(OR(U650=1,U650="1"),"adequate","partial"),INDEX(Fit_Matrix!$B:$B,MATCH(P650,Fit_Matrix!$A:$A,0)))),"CHECK KEY"))</f>
        <v/>
      </c>
      <c r="U650" s="10" t="n"/>
      <c r="V650" s="10" t="n"/>
      <c r="W650" s="10" t="n"/>
      <c r="X650" s="10" t="n"/>
      <c r="Y650" s="10" t="n"/>
      <c r="Z650" s="10" t="n"/>
      <c r="AA650" s="11">
        <f>IF(A650="","",IF(AND(J650="P4",F650="causal"),"P4-CAUSAL",""))</f>
        <v/>
      </c>
    </row>
    <row r="651" ht="15" customHeight="1" s="1">
      <c r="P651">
        <f>IF(OR(F651="",H651="",J651=""),"",J651&amp;"|"&amp;F651&amp;"|"&amp;IF(H651="W3","W3_"&amp;IF(I651="","unknown",I651),H651))</f>
        <v/>
      </c>
      <c r="Q651">
        <f>IF(P651="","",IFERROR(IF(AND(H651="W7",OR(F651="causal",F651="predictive")),IF(AND(OR(K651=1,K651="1"),OR(L651=1,L651="1"),OR(M651=1,M651="1")),"adequate","partial"),IF(AND(H651="W4",F651="predictive",OR(J651="P2",J651="P3",J651="P4")),IF(OR(U651=1,U651="1"),"adequate","partial"),INDEX(Fit_Matrix!$B:$B,MATCH(P651,Fit_Matrix!$A:$A,0)))),"CHECK KEY"))</f>
        <v/>
      </c>
      <c r="U651" s="10" t="n"/>
      <c r="V651" s="10" t="n"/>
      <c r="W651" s="10" t="n"/>
      <c r="X651" s="10" t="n"/>
      <c r="Y651" s="10" t="n"/>
      <c r="Z651" s="10" t="n"/>
      <c r="AA651" s="11">
        <f>IF(A651="","",IF(AND(J651="P4",F651="causal"),"P4-CAUSAL",""))</f>
        <v/>
      </c>
    </row>
    <row r="652" ht="15" customHeight="1" s="1">
      <c r="P652">
        <f>IF(OR(F652="",H652="",J652=""),"",J652&amp;"|"&amp;F652&amp;"|"&amp;IF(H652="W3","W3_"&amp;IF(I652="","unknown",I652),H652))</f>
        <v/>
      </c>
      <c r="Q652">
        <f>IF(P652="","",IFERROR(IF(AND(H652="W7",OR(F652="causal",F652="predictive")),IF(AND(OR(K652=1,K652="1"),OR(L652=1,L652="1"),OR(M652=1,M652="1")),"adequate","partial"),IF(AND(H652="W4",F652="predictive",OR(J652="P2",J652="P3",J652="P4")),IF(OR(U652=1,U652="1"),"adequate","partial"),INDEX(Fit_Matrix!$B:$B,MATCH(P652,Fit_Matrix!$A:$A,0)))),"CHECK KEY"))</f>
        <v/>
      </c>
      <c r="U652" s="10" t="n"/>
      <c r="V652" s="10" t="n"/>
      <c r="W652" s="10" t="n"/>
      <c r="X652" s="10" t="n"/>
      <c r="Y652" s="10" t="n"/>
      <c r="Z652" s="10" t="n"/>
      <c r="AA652" s="11">
        <f>IF(A652="","",IF(AND(J652="P4",F652="causal"),"P4-CAUSAL",""))</f>
        <v/>
      </c>
    </row>
    <row r="653" ht="15" customHeight="1" s="1">
      <c r="P653">
        <f>IF(OR(F653="",H653="",J653=""),"",J653&amp;"|"&amp;F653&amp;"|"&amp;IF(H653="W3","W3_"&amp;IF(I653="","unknown",I653),H653))</f>
        <v/>
      </c>
      <c r="Q653">
        <f>IF(P653="","",IFERROR(IF(AND(H653="W7",OR(F653="causal",F653="predictive")),IF(AND(OR(K653=1,K653="1"),OR(L653=1,L653="1"),OR(M653=1,M653="1")),"adequate","partial"),IF(AND(H653="W4",F653="predictive",OR(J653="P2",J653="P3",J653="P4")),IF(OR(U653=1,U653="1"),"adequate","partial"),INDEX(Fit_Matrix!$B:$B,MATCH(P653,Fit_Matrix!$A:$A,0)))),"CHECK KEY"))</f>
        <v/>
      </c>
      <c r="U653" s="10" t="n"/>
      <c r="V653" s="10" t="n"/>
      <c r="W653" s="10" t="n"/>
      <c r="X653" s="10" t="n"/>
      <c r="Y653" s="10" t="n"/>
      <c r="Z653" s="10" t="n"/>
      <c r="AA653" s="11">
        <f>IF(A653="","",IF(AND(J653="P4",F653="causal"),"P4-CAUSAL",""))</f>
        <v/>
      </c>
    </row>
    <row r="654" ht="15" customHeight="1" s="1">
      <c r="P654">
        <f>IF(OR(F654="",H654="",J654=""),"",J654&amp;"|"&amp;F654&amp;"|"&amp;IF(H654="W3","W3_"&amp;IF(I654="","unknown",I654),H654))</f>
        <v/>
      </c>
      <c r="Q654">
        <f>IF(P654="","",IFERROR(IF(AND(H654="W7",OR(F654="causal",F654="predictive")),IF(AND(OR(K654=1,K654="1"),OR(L654=1,L654="1"),OR(M654=1,M654="1")),"adequate","partial"),IF(AND(H654="W4",F654="predictive",OR(J654="P2",J654="P3",J654="P4")),IF(OR(U654=1,U654="1"),"adequate","partial"),INDEX(Fit_Matrix!$B:$B,MATCH(P654,Fit_Matrix!$A:$A,0)))),"CHECK KEY"))</f>
        <v/>
      </c>
      <c r="U654" s="10" t="n"/>
      <c r="V654" s="10" t="n"/>
      <c r="W654" s="10" t="n"/>
      <c r="X654" s="10" t="n"/>
      <c r="Y654" s="10" t="n"/>
      <c r="Z654" s="10" t="n"/>
      <c r="AA654" s="11">
        <f>IF(A654="","",IF(AND(J654="P4",F654="causal"),"P4-CAUSAL",""))</f>
        <v/>
      </c>
    </row>
    <row r="655" ht="15" customHeight="1" s="1">
      <c r="P655">
        <f>IF(OR(F655="",H655="",J655=""),"",J655&amp;"|"&amp;F655&amp;"|"&amp;IF(H655="W3","W3_"&amp;IF(I655="","unknown",I655),H655))</f>
        <v/>
      </c>
      <c r="Q655">
        <f>IF(P655="","",IFERROR(IF(AND(H655="W7",OR(F655="causal",F655="predictive")),IF(AND(OR(K655=1,K655="1"),OR(L655=1,L655="1"),OR(M655=1,M655="1")),"adequate","partial"),IF(AND(H655="W4",F655="predictive",OR(J655="P2",J655="P3",J655="P4")),IF(OR(U655=1,U655="1"),"adequate","partial"),INDEX(Fit_Matrix!$B:$B,MATCH(P655,Fit_Matrix!$A:$A,0)))),"CHECK KEY"))</f>
        <v/>
      </c>
      <c r="U655" s="10" t="n"/>
      <c r="V655" s="10" t="n"/>
      <c r="W655" s="10" t="n"/>
      <c r="X655" s="10" t="n"/>
      <c r="Y655" s="10" t="n"/>
      <c r="Z655" s="10" t="n"/>
      <c r="AA655" s="11">
        <f>IF(A655="","",IF(AND(J655="P4",F655="causal"),"P4-CAUSAL",""))</f>
        <v/>
      </c>
    </row>
    <row r="656" ht="15" customHeight="1" s="1">
      <c r="P656">
        <f>IF(OR(F656="",H656="",J656=""),"",J656&amp;"|"&amp;F656&amp;"|"&amp;IF(H656="W3","W3_"&amp;IF(I656="","unknown",I656),H656))</f>
        <v/>
      </c>
      <c r="Q656">
        <f>IF(P656="","",IFERROR(IF(AND(H656="W7",OR(F656="causal",F656="predictive")),IF(AND(OR(K656=1,K656="1"),OR(L656=1,L656="1"),OR(M656=1,M656="1")),"adequate","partial"),IF(AND(H656="W4",F656="predictive",OR(J656="P2",J656="P3",J656="P4")),IF(OR(U656=1,U656="1"),"adequate","partial"),INDEX(Fit_Matrix!$B:$B,MATCH(P656,Fit_Matrix!$A:$A,0)))),"CHECK KEY"))</f>
        <v/>
      </c>
      <c r="U656" s="10" t="n"/>
      <c r="V656" s="10" t="n"/>
      <c r="W656" s="10" t="n"/>
      <c r="X656" s="10" t="n"/>
      <c r="Y656" s="10" t="n"/>
      <c r="Z656" s="10" t="n"/>
      <c r="AA656" s="11">
        <f>IF(A656="","",IF(AND(J656="P4",F656="causal"),"P4-CAUSAL",""))</f>
        <v/>
      </c>
    </row>
    <row r="657" ht="15" customHeight="1" s="1">
      <c r="P657">
        <f>IF(OR(F657="",H657="",J657=""),"",J657&amp;"|"&amp;F657&amp;"|"&amp;IF(H657="W3","W3_"&amp;IF(I657="","unknown",I657),H657))</f>
        <v/>
      </c>
      <c r="Q657">
        <f>IF(P657="","",IFERROR(IF(AND(H657="W7",OR(F657="causal",F657="predictive")),IF(AND(OR(K657=1,K657="1"),OR(L657=1,L657="1"),OR(M657=1,M657="1")),"adequate","partial"),IF(AND(H657="W4",F657="predictive",OR(J657="P2",J657="P3",J657="P4")),IF(OR(U657=1,U657="1"),"adequate","partial"),INDEX(Fit_Matrix!$B:$B,MATCH(P657,Fit_Matrix!$A:$A,0)))),"CHECK KEY"))</f>
        <v/>
      </c>
      <c r="U657" s="10" t="n"/>
      <c r="V657" s="10" t="n"/>
      <c r="W657" s="10" t="n"/>
      <c r="X657" s="10" t="n"/>
      <c r="Y657" s="10" t="n"/>
      <c r="Z657" s="10" t="n"/>
      <c r="AA657" s="11">
        <f>IF(A657="","",IF(AND(J657="P4",F657="causal"),"P4-CAUSAL",""))</f>
        <v/>
      </c>
    </row>
    <row r="658" ht="15" customHeight="1" s="1">
      <c r="P658">
        <f>IF(OR(F658="",H658="",J658=""),"",J658&amp;"|"&amp;F658&amp;"|"&amp;IF(H658="W3","W3_"&amp;IF(I658="","unknown",I658),H658))</f>
        <v/>
      </c>
      <c r="Q658">
        <f>IF(P658="","",IFERROR(IF(AND(H658="W7",OR(F658="causal",F658="predictive")),IF(AND(OR(K658=1,K658="1"),OR(L658=1,L658="1"),OR(M658=1,M658="1")),"adequate","partial"),IF(AND(H658="W4",F658="predictive",OR(J658="P2",J658="P3",J658="P4")),IF(OR(U658=1,U658="1"),"adequate","partial"),INDEX(Fit_Matrix!$B:$B,MATCH(P658,Fit_Matrix!$A:$A,0)))),"CHECK KEY"))</f>
        <v/>
      </c>
      <c r="U658" s="10" t="n"/>
      <c r="V658" s="10" t="n"/>
      <c r="W658" s="10" t="n"/>
      <c r="X658" s="10" t="n"/>
      <c r="Y658" s="10" t="n"/>
      <c r="Z658" s="10" t="n"/>
      <c r="AA658" s="11">
        <f>IF(A658="","",IF(AND(J658="P4",F658="causal"),"P4-CAUSAL",""))</f>
        <v/>
      </c>
    </row>
    <row r="659" ht="15" customHeight="1" s="1">
      <c r="P659">
        <f>IF(OR(F659="",H659="",J659=""),"",J659&amp;"|"&amp;F659&amp;"|"&amp;IF(H659="W3","W3_"&amp;IF(I659="","unknown",I659),H659))</f>
        <v/>
      </c>
      <c r="Q659">
        <f>IF(P659="","",IFERROR(IF(AND(H659="W7",OR(F659="causal",F659="predictive")),IF(AND(OR(K659=1,K659="1"),OR(L659=1,L659="1"),OR(M659=1,M659="1")),"adequate","partial"),IF(AND(H659="W4",F659="predictive",OR(J659="P2",J659="P3",J659="P4")),IF(OR(U659=1,U659="1"),"adequate","partial"),INDEX(Fit_Matrix!$B:$B,MATCH(P659,Fit_Matrix!$A:$A,0)))),"CHECK KEY"))</f>
        <v/>
      </c>
      <c r="U659" s="10" t="n"/>
      <c r="V659" s="10" t="n"/>
      <c r="W659" s="10" t="n"/>
      <c r="X659" s="10" t="n"/>
      <c r="Y659" s="10" t="n"/>
      <c r="Z659" s="10" t="n"/>
      <c r="AA659" s="11">
        <f>IF(A659="","",IF(AND(J659="P4",F659="causal"),"P4-CAUSAL",""))</f>
        <v/>
      </c>
    </row>
    <row r="660" ht="15" customHeight="1" s="1">
      <c r="P660">
        <f>IF(OR(F660="",H660="",J660=""),"",J660&amp;"|"&amp;F660&amp;"|"&amp;IF(H660="W3","W3_"&amp;IF(I660="","unknown",I660),H660))</f>
        <v/>
      </c>
      <c r="Q660">
        <f>IF(P660="","",IFERROR(IF(AND(H660="W7",OR(F660="causal",F660="predictive")),IF(AND(OR(K660=1,K660="1"),OR(L660=1,L660="1"),OR(M660=1,M660="1")),"adequate","partial"),IF(AND(H660="W4",F660="predictive",OR(J660="P2",J660="P3",J660="P4")),IF(OR(U660=1,U660="1"),"adequate","partial"),INDEX(Fit_Matrix!$B:$B,MATCH(P660,Fit_Matrix!$A:$A,0)))),"CHECK KEY"))</f>
        <v/>
      </c>
      <c r="U660" s="10" t="n"/>
      <c r="V660" s="10" t="n"/>
      <c r="W660" s="10" t="n"/>
      <c r="X660" s="10" t="n"/>
      <c r="Y660" s="10" t="n"/>
      <c r="Z660" s="10" t="n"/>
      <c r="AA660" s="11">
        <f>IF(A660="","",IF(AND(J660="P4",F660="causal"),"P4-CAUSAL",""))</f>
        <v/>
      </c>
    </row>
    <row r="661" ht="15" customHeight="1" s="1">
      <c r="P661">
        <f>IF(OR(F661="",H661="",J661=""),"",J661&amp;"|"&amp;F661&amp;"|"&amp;IF(H661="W3","W3_"&amp;IF(I661="","unknown",I661),H661))</f>
        <v/>
      </c>
      <c r="Q661">
        <f>IF(P661="","",IFERROR(IF(AND(H661="W7",OR(F661="causal",F661="predictive")),IF(AND(OR(K661=1,K661="1"),OR(L661=1,L661="1"),OR(M661=1,M661="1")),"adequate","partial"),IF(AND(H661="W4",F661="predictive",OR(J661="P2",J661="P3",J661="P4")),IF(OR(U661=1,U661="1"),"adequate","partial"),INDEX(Fit_Matrix!$B:$B,MATCH(P661,Fit_Matrix!$A:$A,0)))),"CHECK KEY"))</f>
        <v/>
      </c>
      <c r="U661" s="10" t="n"/>
      <c r="V661" s="10" t="n"/>
      <c r="W661" s="10" t="n"/>
      <c r="X661" s="10" t="n"/>
      <c r="Y661" s="10" t="n"/>
      <c r="Z661" s="10" t="n"/>
      <c r="AA661" s="11">
        <f>IF(A661="","",IF(AND(J661="P4",F661="causal"),"P4-CAUSAL",""))</f>
        <v/>
      </c>
    </row>
    <row r="662" ht="15" customHeight="1" s="1">
      <c r="P662">
        <f>IF(OR(F662="",H662="",J662=""),"",J662&amp;"|"&amp;F662&amp;"|"&amp;IF(H662="W3","W3_"&amp;IF(I662="","unknown",I662),H662))</f>
        <v/>
      </c>
      <c r="Q662">
        <f>IF(P662="","",IFERROR(IF(AND(H662="W7",OR(F662="causal",F662="predictive")),IF(AND(OR(K662=1,K662="1"),OR(L662=1,L662="1"),OR(M662=1,M662="1")),"adequate","partial"),IF(AND(H662="W4",F662="predictive",OR(J662="P2",J662="P3",J662="P4")),IF(OR(U662=1,U662="1"),"adequate","partial"),INDEX(Fit_Matrix!$B:$B,MATCH(P662,Fit_Matrix!$A:$A,0)))),"CHECK KEY"))</f>
        <v/>
      </c>
      <c r="U662" s="10" t="n"/>
      <c r="V662" s="10" t="n"/>
      <c r="W662" s="10" t="n"/>
      <c r="X662" s="10" t="n"/>
      <c r="Y662" s="10" t="n"/>
      <c r="Z662" s="10" t="n"/>
      <c r="AA662" s="11">
        <f>IF(A662="","",IF(AND(J662="P4",F662="causal"),"P4-CAUSAL",""))</f>
        <v/>
      </c>
    </row>
    <row r="663" ht="15" customHeight="1" s="1">
      <c r="P663">
        <f>IF(OR(F663="",H663="",J663=""),"",J663&amp;"|"&amp;F663&amp;"|"&amp;IF(H663="W3","W3_"&amp;IF(I663="","unknown",I663),H663))</f>
        <v/>
      </c>
      <c r="Q663">
        <f>IF(P663="","",IFERROR(IF(AND(H663="W7",OR(F663="causal",F663="predictive")),IF(AND(OR(K663=1,K663="1"),OR(L663=1,L663="1"),OR(M663=1,M663="1")),"adequate","partial"),IF(AND(H663="W4",F663="predictive",OR(J663="P2",J663="P3",J663="P4")),IF(OR(U663=1,U663="1"),"adequate","partial"),INDEX(Fit_Matrix!$B:$B,MATCH(P663,Fit_Matrix!$A:$A,0)))),"CHECK KEY"))</f>
        <v/>
      </c>
      <c r="U663" s="10" t="n"/>
      <c r="V663" s="10" t="n"/>
      <c r="W663" s="10" t="n"/>
      <c r="X663" s="10" t="n"/>
      <c r="Y663" s="10" t="n"/>
      <c r="Z663" s="10" t="n"/>
      <c r="AA663" s="11">
        <f>IF(A663="","",IF(AND(J663="P4",F663="causal"),"P4-CAUSAL",""))</f>
        <v/>
      </c>
    </row>
    <row r="664" ht="15" customHeight="1" s="1">
      <c r="P664">
        <f>IF(OR(F664="",H664="",J664=""),"",J664&amp;"|"&amp;F664&amp;"|"&amp;IF(H664="W3","W3_"&amp;IF(I664="","unknown",I664),H664))</f>
        <v/>
      </c>
      <c r="Q664">
        <f>IF(P664="","",IFERROR(IF(AND(H664="W7",OR(F664="causal",F664="predictive")),IF(AND(OR(K664=1,K664="1"),OR(L664=1,L664="1"),OR(M664=1,M664="1")),"adequate","partial"),IF(AND(H664="W4",F664="predictive",OR(J664="P2",J664="P3",J664="P4")),IF(OR(U664=1,U664="1"),"adequate","partial"),INDEX(Fit_Matrix!$B:$B,MATCH(P664,Fit_Matrix!$A:$A,0)))),"CHECK KEY"))</f>
        <v/>
      </c>
      <c r="U664" s="10" t="n"/>
      <c r="V664" s="10" t="n"/>
      <c r="W664" s="10" t="n"/>
      <c r="X664" s="10" t="n"/>
      <c r="Y664" s="10" t="n"/>
      <c r="Z664" s="10" t="n"/>
      <c r="AA664" s="11">
        <f>IF(A664="","",IF(AND(J664="P4",F664="causal"),"P4-CAUSAL",""))</f>
        <v/>
      </c>
    </row>
    <row r="665" ht="15" customHeight="1" s="1">
      <c r="P665">
        <f>IF(OR(F665="",H665="",J665=""),"",J665&amp;"|"&amp;F665&amp;"|"&amp;IF(H665="W3","W3_"&amp;IF(I665="","unknown",I665),H665))</f>
        <v/>
      </c>
      <c r="Q665">
        <f>IF(P665="","",IFERROR(IF(AND(H665="W7",OR(F665="causal",F665="predictive")),IF(AND(OR(K665=1,K665="1"),OR(L665=1,L665="1"),OR(M665=1,M665="1")),"adequate","partial"),IF(AND(H665="W4",F665="predictive",OR(J665="P2",J665="P3",J665="P4")),IF(OR(U665=1,U665="1"),"adequate","partial"),INDEX(Fit_Matrix!$B:$B,MATCH(P665,Fit_Matrix!$A:$A,0)))),"CHECK KEY"))</f>
        <v/>
      </c>
      <c r="U665" s="10" t="n"/>
      <c r="V665" s="10" t="n"/>
      <c r="W665" s="10" t="n"/>
      <c r="X665" s="10" t="n"/>
      <c r="Y665" s="10" t="n"/>
      <c r="Z665" s="10" t="n"/>
      <c r="AA665" s="11">
        <f>IF(A665="","",IF(AND(J665="P4",F665="causal"),"P4-CAUSAL",""))</f>
        <v/>
      </c>
    </row>
    <row r="666" ht="15" customHeight="1" s="1">
      <c r="P666">
        <f>IF(OR(F666="",H666="",J666=""),"",J666&amp;"|"&amp;F666&amp;"|"&amp;IF(H666="W3","W3_"&amp;IF(I666="","unknown",I666),H666))</f>
        <v/>
      </c>
      <c r="Q666">
        <f>IF(P666="","",IFERROR(IF(AND(H666="W7",OR(F666="causal",F666="predictive")),IF(AND(OR(K666=1,K666="1"),OR(L666=1,L666="1"),OR(M666=1,M666="1")),"adequate","partial"),IF(AND(H666="W4",F666="predictive",OR(J666="P2",J666="P3",J666="P4")),IF(OR(U666=1,U666="1"),"adequate","partial"),INDEX(Fit_Matrix!$B:$B,MATCH(P666,Fit_Matrix!$A:$A,0)))),"CHECK KEY"))</f>
        <v/>
      </c>
      <c r="U666" s="10" t="n"/>
      <c r="V666" s="10" t="n"/>
      <c r="W666" s="10" t="n"/>
      <c r="X666" s="10" t="n"/>
      <c r="Y666" s="10" t="n"/>
      <c r="Z666" s="10" t="n"/>
      <c r="AA666" s="11">
        <f>IF(A666="","",IF(AND(J666="P4",F666="causal"),"P4-CAUSAL",""))</f>
        <v/>
      </c>
    </row>
    <row r="667" ht="15" customHeight="1" s="1">
      <c r="P667">
        <f>IF(OR(F667="",H667="",J667=""),"",J667&amp;"|"&amp;F667&amp;"|"&amp;IF(H667="W3","W3_"&amp;IF(I667="","unknown",I667),H667))</f>
        <v/>
      </c>
      <c r="Q667">
        <f>IF(P667="","",IFERROR(IF(AND(H667="W7",OR(F667="causal",F667="predictive")),IF(AND(OR(K667=1,K667="1"),OR(L667=1,L667="1"),OR(M667=1,M667="1")),"adequate","partial"),IF(AND(H667="W4",F667="predictive",OR(J667="P2",J667="P3",J667="P4")),IF(OR(U667=1,U667="1"),"adequate","partial"),INDEX(Fit_Matrix!$B:$B,MATCH(P667,Fit_Matrix!$A:$A,0)))),"CHECK KEY"))</f>
        <v/>
      </c>
      <c r="U667" s="10" t="n"/>
      <c r="V667" s="10" t="n"/>
      <c r="W667" s="10" t="n"/>
      <c r="X667" s="10" t="n"/>
      <c r="Y667" s="10" t="n"/>
      <c r="Z667" s="10" t="n"/>
      <c r="AA667" s="11">
        <f>IF(A667="","",IF(AND(J667="P4",F667="causal"),"P4-CAUSAL",""))</f>
        <v/>
      </c>
    </row>
    <row r="668" ht="15" customHeight="1" s="1">
      <c r="P668">
        <f>IF(OR(F668="",H668="",J668=""),"",J668&amp;"|"&amp;F668&amp;"|"&amp;IF(H668="W3","W3_"&amp;IF(I668="","unknown",I668),H668))</f>
        <v/>
      </c>
      <c r="Q668">
        <f>IF(P668="","",IFERROR(IF(AND(H668="W7",OR(F668="causal",F668="predictive")),IF(AND(OR(K668=1,K668="1"),OR(L668=1,L668="1"),OR(M668=1,M668="1")),"adequate","partial"),IF(AND(H668="W4",F668="predictive",OR(J668="P2",J668="P3",J668="P4")),IF(OR(U668=1,U668="1"),"adequate","partial"),INDEX(Fit_Matrix!$B:$B,MATCH(P668,Fit_Matrix!$A:$A,0)))),"CHECK KEY"))</f>
        <v/>
      </c>
      <c r="U668" s="10" t="n"/>
      <c r="V668" s="10" t="n"/>
      <c r="W668" s="10" t="n"/>
      <c r="X668" s="10" t="n"/>
      <c r="Y668" s="10" t="n"/>
      <c r="Z668" s="10" t="n"/>
      <c r="AA668" s="11">
        <f>IF(A668="","",IF(AND(J668="P4",F668="causal"),"P4-CAUSAL",""))</f>
        <v/>
      </c>
    </row>
    <row r="669" ht="15" customHeight="1" s="1">
      <c r="P669">
        <f>IF(OR(F669="",H669="",J669=""),"",J669&amp;"|"&amp;F669&amp;"|"&amp;IF(H669="W3","W3_"&amp;IF(I669="","unknown",I669),H669))</f>
        <v/>
      </c>
      <c r="Q669">
        <f>IF(P669="","",IFERROR(IF(AND(H669="W7",OR(F669="causal",F669="predictive")),IF(AND(OR(K669=1,K669="1"),OR(L669=1,L669="1"),OR(M669=1,M669="1")),"adequate","partial"),IF(AND(H669="W4",F669="predictive",OR(J669="P2",J669="P3",J669="P4")),IF(OR(U669=1,U669="1"),"adequate","partial"),INDEX(Fit_Matrix!$B:$B,MATCH(P669,Fit_Matrix!$A:$A,0)))),"CHECK KEY"))</f>
        <v/>
      </c>
      <c r="U669" s="10" t="n"/>
      <c r="V669" s="10" t="n"/>
      <c r="W669" s="10" t="n"/>
      <c r="X669" s="10" t="n"/>
      <c r="Y669" s="10" t="n"/>
      <c r="Z669" s="10" t="n"/>
      <c r="AA669" s="11">
        <f>IF(A669="","",IF(AND(J669="P4",F669="causal"),"P4-CAUSAL",""))</f>
        <v/>
      </c>
    </row>
    <row r="670" ht="15" customHeight="1" s="1">
      <c r="P670">
        <f>IF(OR(F670="",H670="",J670=""),"",J670&amp;"|"&amp;F670&amp;"|"&amp;IF(H670="W3","W3_"&amp;IF(I670="","unknown",I670),H670))</f>
        <v/>
      </c>
      <c r="Q670">
        <f>IF(P670="","",IFERROR(IF(AND(H670="W7",OR(F670="causal",F670="predictive")),IF(AND(OR(K670=1,K670="1"),OR(L670=1,L670="1"),OR(M670=1,M670="1")),"adequate","partial"),IF(AND(H670="W4",F670="predictive",OR(J670="P2",J670="P3",J670="P4")),IF(OR(U670=1,U670="1"),"adequate","partial"),INDEX(Fit_Matrix!$B:$B,MATCH(P670,Fit_Matrix!$A:$A,0)))),"CHECK KEY"))</f>
        <v/>
      </c>
      <c r="U670" s="10" t="n"/>
      <c r="V670" s="10" t="n"/>
      <c r="W670" s="10" t="n"/>
      <c r="X670" s="10" t="n"/>
      <c r="Y670" s="10" t="n"/>
      <c r="Z670" s="10" t="n"/>
      <c r="AA670" s="11">
        <f>IF(A670="","",IF(AND(J670="P4",F670="causal"),"P4-CAUSAL",""))</f>
        <v/>
      </c>
    </row>
    <row r="671" ht="15" customHeight="1" s="1">
      <c r="P671">
        <f>IF(OR(F671="",H671="",J671=""),"",J671&amp;"|"&amp;F671&amp;"|"&amp;IF(H671="W3","W3_"&amp;IF(I671="","unknown",I671),H671))</f>
        <v/>
      </c>
      <c r="Q671">
        <f>IF(P671="","",IFERROR(IF(AND(H671="W7",OR(F671="causal",F671="predictive")),IF(AND(OR(K671=1,K671="1"),OR(L671=1,L671="1"),OR(M671=1,M671="1")),"adequate","partial"),IF(AND(H671="W4",F671="predictive",OR(J671="P2",J671="P3",J671="P4")),IF(OR(U671=1,U671="1"),"adequate","partial"),INDEX(Fit_Matrix!$B:$B,MATCH(P671,Fit_Matrix!$A:$A,0)))),"CHECK KEY"))</f>
        <v/>
      </c>
      <c r="U671" s="10" t="n"/>
      <c r="V671" s="10" t="n"/>
      <c r="W671" s="10" t="n"/>
      <c r="X671" s="10" t="n"/>
      <c r="Y671" s="10" t="n"/>
      <c r="Z671" s="10" t="n"/>
      <c r="AA671" s="11">
        <f>IF(A671="","",IF(AND(J671="P4",F671="causal"),"P4-CAUSAL",""))</f>
        <v/>
      </c>
    </row>
    <row r="672" ht="15" customHeight="1" s="1">
      <c r="P672">
        <f>IF(OR(F672="",H672="",J672=""),"",J672&amp;"|"&amp;F672&amp;"|"&amp;IF(H672="W3","W3_"&amp;IF(I672="","unknown",I672),H672))</f>
        <v/>
      </c>
      <c r="Q672">
        <f>IF(P672="","",IFERROR(IF(AND(H672="W7",OR(F672="causal",F672="predictive")),IF(AND(OR(K672=1,K672="1"),OR(L672=1,L672="1"),OR(M672=1,M672="1")),"adequate","partial"),IF(AND(H672="W4",F672="predictive",OR(J672="P2",J672="P3",J672="P4")),IF(OR(U672=1,U672="1"),"adequate","partial"),INDEX(Fit_Matrix!$B:$B,MATCH(P672,Fit_Matrix!$A:$A,0)))),"CHECK KEY"))</f>
        <v/>
      </c>
      <c r="U672" s="10" t="n"/>
      <c r="V672" s="10" t="n"/>
      <c r="W672" s="10" t="n"/>
      <c r="X672" s="10" t="n"/>
      <c r="Y672" s="10" t="n"/>
      <c r="Z672" s="10" t="n"/>
      <c r="AA672" s="11">
        <f>IF(A672="","",IF(AND(J672="P4",F672="causal"),"P4-CAUSAL",""))</f>
        <v/>
      </c>
    </row>
    <row r="673" ht="15" customHeight="1" s="1">
      <c r="P673">
        <f>IF(OR(F673="",H673="",J673=""),"",J673&amp;"|"&amp;F673&amp;"|"&amp;IF(H673="W3","W3_"&amp;IF(I673="","unknown",I673),H673))</f>
        <v/>
      </c>
      <c r="Q673">
        <f>IF(P673="","",IFERROR(IF(AND(H673="W7",OR(F673="causal",F673="predictive")),IF(AND(OR(K673=1,K673="1"),OR(L673=1,L673="1"),OR(M673=1,M673="1")),"adequate","partial"),IF(AND(H673="W4",F673="predictive",OR(J673="P2",J673="P3",J673="P4")),IF(OR(U673=1,U673="1"),"adequate","partial"),INDEX(Fit_Matrix!$B:$B,MATCH(P673,Fit_Matrix!$A:$A,0)))),"CHECK KEY"))</f>
        <v/>
      </c>
      <c r="U673" s="10" t="n"/>
      <c r="V673" s="10" t="n"/>
      <c r="W673" s="10" t="n"/>
      <c r="X673" s="10" t="n"/>
      <c r="Y673" s="10" t="n"/>
      <c r="Z673" s="10" t="n"/>
      <c r="AA673" s="11">
        <f>IF(A673="","",IF(AND(J673="P4",F673="causal"),"P4-CAUSAL",""))</f>
        <v/>
      </c>
    </row>
    <row r="674" ht="15" customHeight="1" s="1">
      <c r="P674">
        <f>IF(OR(F674="",H674="",J674=""),"",J674&amp;"|"&amp;F674&amp;"|"&amp;IF(H674="W3","W3_"&amp;IF(I674="","unknown",I674),H674))</f>
        <v/>
      </c>
      <c r="Q674">
        <f>IF(P674="","",IFERROR(IF(AND(H674="W7",OR(F674="causal",F674="predictive")),IF(AND(OR(K674=1,K674="1"),OR(L674=1,L674="1"),OR(M674=1,M674="1")),"adequate","partial"),IF(AND(H674="W4",F674="predictive",OR(J674="P2",J674="P3",J674="P4")),IF(OR(U674=1,U674="1"),"adequate","partial"),INDEX(Fit_Matrix!$B:$B,MATCH(P674,Fit_Matrix!$A:$A,0)))),"CHECK KEY"))</f>
        <v/>
      </c>
      <c r="U674" s="10" t="n"/>
      <c r="V674" s="10" t="n"/>
      <c r="W674" s="10" t="n"/>
      <c r="X674" s="10" t="n"/>
      <c r="Y674" s="10" t="n"/>
      <c r="Z674" s="10" t="n"/>
      <c r="AA674" s="11">
        <f>IF(A674="","",IF(AND(J674="P4",F674="causal"),"P4-CAUSAL",""))</f>
        <v/>
      </c>
    </row>
    <row r="675" ht="15" customHeight="1" s="1">
      <c r="P675">
        <f>IF(OR(F675="",H675="",J675=""),"",J675&amp;"|"&amp;F675&amp;"|"&amp;IF(H675="W3","W3_"&amp;IF(I675="","unknown",I675),H675))</f>
        <v/>
      </c>
      <c r="Q675">
        <f>IF(P675="","",IFERROR(IF(AND(H675="W7",OR(F675="causal",F675="predictive")),IF(AND(OR(K675=1,K675="1"),OR(L675=1,L675="1"),OR(M675=1,M675="1")),"adequate","partial"),IF(AND(H675="W4",F675="predictive",OR(J675="P2",J675="P3",J675="P4")),IF(OR(U675=1,U675="1"),"adequate","partial"),INDEX(Fit_Matrix!$B:$B,MATCH(P675,Fit_Matrix!$A:$A,0)))),"CHECK KEY"))</f>
        <v/>
      </c>
      <c r="U675" s="10" t="n"/>
      <c r="V675" s="10" t="n"/>
      <c r="W675" s="10" t="n"/>
      <c r="X675" s="10" t="n"/>
      <c r="Y675" s="10" t="n"/>
      <c r="Z675" s="10" t="n"/>
      <c r="AA675" s="11">
        <f>IF(A675="","",IF(AND(J675="P4",F675="causal"),"P4-CAUSAL",""))</f>
        <v/>
      </c>
    </row>
    <row r="676" ht="15" customHeight="1" s="1">
      <c r="P676">
        <f>IF(OR(F676="",H676="",J676=""),"",J676&amp;"|"&amp;F676&amp;"|"&amp;IF(H676="W3","W3_"&amp;IF(I676="","unknown",I676),H676))</f>
        <v/>
      </c>
      <c r="Q676">
        <f>IF(P676="","",IFERROR(IF(AND(H676="W7",OR(F676="causal",F676="predictive")),IF(AND(OR(K676=1,K676="1"),OR(L676=1,L676="1"),OR(M676=1,M676="1")),"adequate","partial"),IF(AND(H676="W4",F676="predictive",OR(J676="P2",J676="P3",J676="P4")),IF(OR(U676=1,U676="1"),"adequate","partial"),INDEX(Fit_Matrix!$B:$B,MATCH(P676,Fit_Matrix!$A:$A,0)))),"CHECK KEY"))</f>
        <v/>
      </c>
      <c r="U676" s="10" t="n"/>
      <c r="V676" s="10" t="n"/>
      <c r="W676" s="10" t="n"/>
      <c r="X676" s="10" t="n"/>
      <c r="Y676" s="10" t="n"/>
      <c r="Z676" s="10" t="n"/>
      <c r="AA676" s="11">
        <f>IF(A676="","",IF(AND(J676="P4",F676="causal"),"P4-CAUSAL",""))</f>
        <v/>
      </c>
    </row>
    <row r="677" ht="15" customHeight="1" s="1">
      <c r="P677">
        <f>IF(OR(F677="",H677="",J677=""),"",J677&amp;"|"&amp;F677&amp;"|"&amp;IF(H677="W3","W3_"&amp;IF(I677="","unknown",I677),H677))</f>
        <v/>
      </c>
      <c r="Q677">
        <f>IF(P677="","",IFERROR(IF(AND(H677="W7",OR(F677="causal",F677="predictive")),IF(AND(OR(K677=1,K677="1"),OR(L677=1,L677="1"),OR(M677=1,M677="1")),"adequate","partial"),IF(AND(H677="W4",F677="predictive",OR(J677="P2",J677="P3",J677="P4")),IF(OR(U677=1,U677="1"),"adequate","partial"),INDEX(Fit_Matrix!$B:$B,MATCH(P677,Fit_Matrix!$A:$A,0)))),"CHECK KEY"))</f>
        <v/>
      </c>
      <c r="U677" s="10" t="n"/>
      <c r="V677" s="10" t="n"/>
      <c r="W677" s="10" t="n"/>
      <c r="X677" s="10" t="n"/>
      <c r="Y677" s="10" t="n"/>
      <c r="Z677" s="10" t="n"/>
      <c r="AA677" s="11">
        <f>IF(A677="","",IF(AND(J677="P4",F677="causal"),"P4-CAUSAL",""))</f>
        <v/>
      </c>
    </row>
    <row r="678" ht="15" customHeight="1" s="1">
      <c r="P678">
        <f>IF(OR(F678="",H678="",J678=""),"",J678&amp;"|"&amp;F678&amp;"|"&amp;IF(H678="W3","W3_"&amp;IF(I678="","unknown",I678),H678))</f>
        <v/>
      </c>
      <c r="Q678">
        <f>IF(P678="","",IFERROR(IF(AND(H678="W7",OR(F678="causal",F678="predictive")),IF(AND(OR(K678=1,K678="1"),OR(L678=1,L678="1"),OR(M678=1,M678="1")),"adequate","partial"),IF(AND(H678="W4",F678="predictive",OR(J678="P2",J678="P3",J678="P4")),IF(OR(U678=1,U678="1"),"adequate","partial"),INDEX(Fit_Matrix!$B:$B,MATCH(P678,Fit_Matrix!$A:$A,0)))),"CHECK KEY"))</f>
        <v/>
      </c>
      <c r="U678" s="10" t="n"/>
      <c r="V678" s="10" t="n"/>
      <c r="W678" s="10" t="n"/>
      <c r="X678" s="10" t="n"/>
      <c r="Y678" s="10" t="n"/>
      <c r="Z678" s="10" t="n"/>
      <c r="AA678" s="11">
        <f>IF(A678="","",IF(AND(J678="P4",F678="causal"),"P4-CAUSAL",""))</f>
        <v/>
      </c>
    </row>
    <row r="679" ht="15" customHeight="1" s="1">
      <c r="P679">
        <f>IF(OR(F679="",H679="",J679=""),"",J679&amp;"|"&amp;F679&amp;"|"&amp;IF(H679="W3","W3_"&amp;IF(I679="","unknown",I679),H679))</f>
        <v/>
      </c>
      <c r="Q679">
        <f>IF(P679="","",IFERROR(IF(AND(H679="W7",OR(F679="causal",F679="predictive")),IF(AND(OR(K679=1,K679="1"),OR(L679=1,L679="1"),OR(M679=1,M679="1")),"adequate","partial"),IF(AND(H679="W4",F679="predictive",OR(J679="P2",J679="P3",J679="P4")),IF(OR(U679=1,U679="1"),"adequate","partial"),INDEX(Fit_Matrix!$B:$B,MATCH(P679,Fit_Matrix!$A:$A,0)))),"CHECK KEY"))</f>
        <v/>
      </c>
      <c r="U679" s="10" t="n"/>
      <c r="V679" s="10" t="n"/>
      <c r="W679" s="10" t="n"/>
      <c r="X679" s="10" t="n"/>
      <c r="Y679" s="10" t="n"/>
      <c r="Z679" s="10" t="n"/>
      <c r="AA679" s="11">
        <f>IF(A679="","",IF(AND(J679="P4",F679="causal"),"P4-CAUSAL",""))</f>
        <v/>
      </c>
    </row>
    <row r="680" ht="15" customHeight="1" s="1">
      <c r="P680">
        <f>IF(OR(F680="",H680="",J680=""),"",J680&amp;"|"&amp;F680&amp;"|"&amp;IF(H680="W3","W3_"&amp;IF(I680="","unknown",I680),H680))</f>
        <v/>
      </c>
      <c r="Q680">
        <f>IF(P680="","",IFERROR(IF(AND(H680="W7",OR(F680="causal",F680="predictive")),IF(AND(OR(K680=1,K680="1"),OR(L680=1,L680="1"),OR(M680=1,M680="1")),"adequate","partial"),IF(AND(H680="W4",F680="predictive",OR(J680="P2",J680="P3",J680="P4")),IF(OR(U680=1,U680="1"),"adequate","partial"),INDEX(Fit_Matrix!$B:$B,MATCH(P680,Fit_Matrix!$A:$A,0)))),"CHECK KEY"))</f>
        <v/>
      </c>
      <c r="U680" s="10" t="n"/>
      <c r="V680" s="10" t="n"/>
      <c r="W680" s="10" t="n"/>
      <c r="X680" s="10" t="n"/>
      <c r="Y680" s="10" t="n"/>
      <c r="Z680" s="10" t="n"/>
      <c r="AA680" s="11">
        <f>IF(A680="","",IF(AND(J680="P4",F680="causal"),"P4-CAUSAL",""))</f>
        <v/>
      </c>
    </row>
    <row r="681" ht="15" customHeight="1" s="1">
      <c r="P681">
        <f>IF(OR(F681="",H681="",J681=""),"",J681&amp;"|"&amp;F681&amp;"|"&amp;IF(H681="W3","W3_"&amp;IF(I681="","unknown",I681),H681))</f>
        <v/>
      </c>
      <c r="Q681">
        <f>IF(P681="","",IFERROR(IF(AND(H681="W7",OR(F681="causal",F681="predictive")),IF(AND(OR(K681=1,K681="1"),OR(L681=1,L681="1"),OR(M681=1,M681="1")),"adequate","partial"),IF(AND(H681="W4",F681="predictive",OR(J681="P2",J681="P3",J681="P4")),IF(OR(U681=1,U681="1"),"adequate","partial"),INDEX(Fit_Matrix!$B:$B,MATCH(P681,Fit_Matrix!$A:$A,0)))),"CHECK KEY"))</f>
        <v/>
      </c>
      <c r="U681" s="10" t="n"/>
      <c r="V681" s="10" t="n"/>
      <c r="W681" s="10" t="n"/>
      <c r="X681" s="10" t="n"/>
      <c r="Y681" s="10" t="n"/>
      <c r="Z681" s="10" t="n"/>
      <c r="AA681" s="11">
        <f>IF(A681="","",IF(AND(J681="P4",F681="causal"),"P4-CAUSAL",""))</f>
        <v/>
      </c>
    </row>
    <row r="682" ht="15" customHeight="1" s="1">
      <c r="P682">
        <f>IF(OR(F682="",H682="",J682=""),"",J682&amp;"|"&amp;F682&amp;"|"&amp;IF(H682="W3","W3_"&amp;IF(I682="","unknown",I682),H682))</f>
        <v/>
      </c>
      <c r="Q682">
        <f>IF(P682="","",IFERROR(IF(AND(H682="W7",OR(F682="causal",F682="predictive")),IF(AND(OR(K682=1,K682="1"),OR(L682=1,L682="1"),OR(M682=1,M682="1")),"adequate","partial"),IF(AND(H682="W4",F682="predictive",OR(J682="P2",J682="P3",J682="P4")),IF(OR(U682=1,U682="1"),"adequate","partial"),INDEX(Fit_Matrix!$B:$B,MATCH(P682,Fit_Matrix!$A:$A,0)))),"CHECK KEY"))</f>
        <v/>
      </c>
      <c r="U682" s="10" t="n"/>
      <c r="V682" s="10" t="n"/>
      <c r="W682" s="10" t="n"/>
      <c r="X682" s="10" t="n"/>
      <c r="Y682" s="10" t="n"/>
      <c r="Z682" s="10" t="n"/>
      <c r="AA682" s="11">
        <f>IF(A682="","",IF(AND(J682="P4",F682="causal"),"P4-CAUSAL",""))</f>
        <v/>
      </c>
    </row>
    <row r="683" ht="15" customHeight="1" s="1">
      <c r="P683">
        <f>IF(OR(F683="",H683="",J683=""),"",J683&amp;"|"&amp;F683&amp;"|"&amp;IF(H683="W3","W3_"&amp;IF(I683="","unknown",I683),H683))</f>
        <v/>
      </c>
      <c r="Q683">
        <f>IF(P683="","",IFERROR(IF(AND(H683="W7",OR(F683="causal",F683="predictive")),IF(AND(OR(K683=1,K683="1"),OR(L683=1,L683="1"),OR(M683=1,M683="1")),"adequate","partial"),IF(AND(H683="W4",F683="predictive",OR(J683="P2",J683="P3",J683="P4")),IF(OR(U683=1,U683="1"),"adequate","partial"),INDEX(Fit_Matrix!$B:$B,MATCH(P683,Fit_Matrix!$A:$A,0)))),"CHECK KEY"))</f>
        <v/>
      </c>
      <c r="U683" s="10" t="n"/>
      <c r="V683" s="10" t="n"/>
      <c r="W683" s="10" t="n"/>
      <c r="X683" s="10" t="n"/>
      <c r="Y683" s="10" t="n"/>
      <c r="Z683" s="10" t="n"/>
      <c r="AA683" s="11">
        <f>IF(A683="","",IF(AND(J683="P4",F683="causal"),"P4-CAUSAL",""))</f>
        <v/>
      </c>
    </row>
    <row r="684" ht="15" customHeight="1" s="1">
      <c r="P684">
        <f>IF(OR(F684="",H684="",J684=""),"",J684&amp;"|"&amp;F684&amp;"|"&amp;IF(H684="W3","W3_"&amp;IF(I684="","unknown",I684),H684))</f>
        <v/>
      </c>
      <c r="Q684">
        <f>IF(P684="","",IFERROR(IF(AND(H684="W7",OR(F684="causal",F684="predictive")),IF(AND(OR(K684=1,K684="1"),OR(L684=1,L684="1"),OR(M684=1,M684="1")),"adequate","partial"),IF(AND(H684="W4",F684="predictive",OR(J684="P2",J684="P3",J684="P4")),IF(OR(U684=1,U684="1"),"adequate","partial"),INDEX(Fit_Matrix!$B:$B,MATCH(P684,Fit_Matrix!$A:$A,0)))),"CHECK KEY"))</f>
        <v/>
      </c>
      <c r="U684" s="10" t="n"/>
      <c r="V684" s="10" t="n"/>
      <c r="W684" s="10" t="n"/>
      <c r="X684" s="10" t="n"/>
      <c r="Y684" s="10" t="n"/>
      <c r="Z684" s="10" t="n"/>
      <c r="AA684" s="11">
        <f>IF(A684="","",IF(AND(J684="P4",F684="causal"),"P4-CAUSAL",""))</f>
        <v/>
      </c>
    </row>
    <row r="685" ht="15" customHeight="1" s="1">
      <c r="P685">
        <f>IF(OR(F685="",H685="",J685=""),"",J685&amp;"|"&amp;F685&amp;"|"&amp;IF(H685="W3","W3_"&amp;IF(I685="","unknown",I685),H685))</f>
        <v/>
      </c>
      <c r="Q685">
        <f>IF(P685="","",IFERROR(IF(AND(H685="W7",OR(F685="causal",F685="predictive")),IF(AND(OR(K685=1,K685="1"),OR(L685=1,L685="1"),OR(M685=1,M685="1")),"adequate","partial"),IF(AND(H685="W4",F685="predictive",OR(J685="P2",J685="P3",J685="P4")),IF(OR(U685=1,U685="1"),"adequate","partial"),INDEX(Fit_Matrix!$B:$B,MATCH(P685,Fit_Matrix!$A:$A,0)))),"CHECK KEY"))</f>
        <v/>
      </c>
      <c r="U685" s="10" t="n"/>
      <c r="V685" s="10" t="n"/>
      <c r="W685" s="10" t="n"/>
      <c r="X685" s="10" t="n"/>
      <c r="Y685" s="10" t="n"/>
      <c r="Z685" s="10" t="n"/>
      <c r="AA685" s="11">
        <f>IF(A685="","",IF(AND(J685="P4",F685="causal"),"P4-CAUSAL",""))</f>
        <v/>
      </c>
    </row>
    <row r="686" ht="15" customHeight="1" s="1">
      <c r="P686">
        <f>IF(OR(F686="",H686="",J686=""),"",J686&amp;"|"&amp;F686&amp;"|"&amp;IF(H686="W3","W3_"&amp;IF(I686="","unknown",I686),H686))</f>
        <v/>
      </c>
      <c r="Q686">
        <f>IF(P686="","",IFERROR(IF(AND(H686="W7",OR(F686="causal",F686="predictive")),IF(AND(OR(K686=1,K686="1"),OR(L686=1,L686="1"),OR(M686=1,M686="1")),"adequate","partial"),IF(AND(H686="W4",F686="predictive",OR(J686="P2",J686="P3",J686="P4")),IF(OR(U686=1,U686="1"),"adequate","partial"),INDEX(Fit_Matrix!$B:$B,MATCH(P686,Fit_Matrix!$A:$A,0)))),"CHECK KEY"))</f>
        <v/>
      </c>
      <c r="U686" s="10" t="n"/>
      <c r="V686" s="10" t="n"/>
      <c r="W686" s="10" t="n"/>
      <c r="X686" s="10" t="n"/>
      <c r="Y686" s="10" t="n"/>
      <c r="Z686" s="10" t="n"/>
      <c r="AA686" s="11">
        <f>IF(A686="","",IF(AND(J686="P4",F686="causal"),"P4-CAUSAL",""))</f>
        <v/>
      </c>
    </row>
    <row r="687" ht="15" customHeight="1" s="1">
      <c r="P687">
        <f>IF(OR(F687="",H687="",J687=""),"",J687&amp;"|"&amp;F687&amp;"|"&amp;IF(H687="W3","W3_"&amp;IF(I687="","unknown",I687),H687))</f>
        <v/>
      </c>
      <c r="Q687">
        <f>IF(P687="","",IFERROR(IF(AND(H687="W7",OR(F687="causal",F687="predictive")),IF(AND(OR(K687=1,K687="1"),OR(L687=1,L687="1"),OR(M687=1,M687="1")),"adequate","partial"),IF(AND(H687="W4",F687="predictive",OR(J687="P2",J687="P3",J687="P4")),IF(OR(U687=1,U687="1"),"adequate","partial"),INDEX(Fit_Matrix!$B:$B,MATCH(P687,Fit_Matrix!$A:$A,0)))),"CHECK KEY"))</f>
        <v/>
      </c>
      <c r="U687" s="10" t="n"/>
      <c r="V687" s="10" t="n"/>
      <c r="W687" s="10" t="n"/>
      <c r="X687" s="10" t="n"/>
      <c r="Y687" s="10" t="n"/>
      <c r="Z687" s="10" t="n"/>
      <c r="AA687" s="11">
        <f>IF(A687="","",IF(AND(J687="P4",F687="causal"),"P4-CAUSAL",""))</f>
        <v/>
      </c>
    </row>
    <row r="688" ht="15" customHeight="1" s="1">
      <c r="P688">
        <f>IF(OR(F688="",H688="",J688=""),"",J688&amp;"|"&amp;F688&amp;"|"&amp;IF(H688="W3","W3_"&amp;IF(I688="","unknown",I688),H688))</f>
        <v/>
      </c>
      <c r="Q688">
        <f>IF(P688="","",IFERROR(IF(AND(H688="W7",OR(F688="causal",F688="predictive")),IF(AND(OR(K688=1,K688="1"),OR(L688=1,L688="1"),OR(M688=1,M688="1")),"adequate","partial"),IF(AND(H688="W4",F688="predictive",OR(J688="P2",J688="P3",J688="P4")),IF(OR(U688=1,U688="1"),"adequate","partial"),INDEX(Fit_Matrix!$B:$B,MATCH(P688,Fit_Matrix!$A:$A,0)))),"CHECK KEY"))</f>
        <v/>
      </c>
      <c r="U688" s="10" t="n"/>
      <c r="V688" s="10" t="n"/>
      <c r="W688" s="10" t="n"/>
      <c r="X688" s="10" t="n"/>
      <c r="Y688" s="10" t="n"/>
      <c r="Z688" s="10" t="n"/>
      <c r="AA688" s="11">
        <f>IF(A688="","",IF(AND(J688="P4",F688="causal"),"P4-CAUSAL",""))</f>
        <v/>
      </c>
    </row>
    <row r="689" ht="15" customHeight="1" s="1">
      <c r="P689">
        <f>IF(OR(F689="",H689="",J689=""),"",J689&amp;"|"&amp;F689&amp;"|"&amp;IF(H689="W3","W3_"&amp;IF(I689="","unknown",I689),H689))</f>
        <v/>
      </c>
      <c r="Q689">
        <f>IF(P689="","",IFERROR(IF(AND(H689="W7",OR(F689="causal",F689="predictive")),IF(AND(OR(K689=1,K689="1"),OR(L689=1,L689="1"),OR(M689=1,M689="1")),"adequate","partial"),IF(AND(H689="W4",F689="predictive",OR(J689="P2",J689="P3",J689="P4")),IF(OR(U689=1,U689="1"),"adequate","partial"),INDEX(Fit_Matrix!$B:$B,MATCH(P689,Fit_Matrix!$A:$A,0)))),"CHECK KEY"))</f>
        <v/>
      </c>
      <c r="U689" s="10" t="n"/>
      <c r="V689" s="10" t="n"/>
      <c r="W689" s="10" t="n"/>
      <c r="X689" s="10" t="n"/>
      <c r="Y689" s="10" t="n"/>
      <c r="Z689" s="10" t="n"/>
      <c r="AA689" s="11">
        <f>IF(A689="","",IF(AND(J689="P4",F689="causal"),"P4-CAUSAL",""))</f>
        <v/>
      </c>
    </row>
    <row r="690" ht="15" customHeight="1" s="1">
      <c r="P690">
        <f>IF(OR(F690="",H690="",J690=""),"",J690&amp;"|"&amp;F690&amp;"|"&amp;IF(H690="W3","W3_"&amp;IF(I690="","unknown",I690),H690))</f>
        <v/>
      </c>
      <c r="Q690">
        <f>IF(P690="","",IFERROR(IF(AND(H690="W7",OR(F690="causal",F690="predictive")),IF(AND(OR(K690=1,K690="1"),OR(L690=1,L690="1"),OR(M690=1,M690="1")),"adequate","partial"),IF(AND(H690="W4",F690="predictive",OR(J690="P2",J690="P3",J690="P4")),IF(OR(U690=1,U690="1"),"adequate","partial"),INDEX(Fit_Matrix!$B:$B,MATCH(P690,Fit_Matrix!$A:$A,0)))),"CHECK KEY"))</f>
        <v/>
      </c>
      <c r="U690" s="10" t="n"/>
      <c r="V690" s="10" t="n"/>
      <c r="W690" s="10" t="n"/>
      <c r="X690" s="10" t="n"/>
      <c r="Y690" s="10" t="n"/>
      <c r="Z690" s="10" t="n"/>
      <c r="AA690" s="11">
        <f>IF(A690="","",IF(AND(J690="P4",F690="causal"),"P4-CAUSAL",""))</f>
        <v/>
      </c>
    </row>
    <row r="691" ht="15" customHeight="1" s="1">
      <c r="P691">
        <f>IF(OR(F691="",H691="",J691=""),"",J691&amp;"|"&amp;F691&amp;"|"&amp;IF(H691="W3","W3_"&amp;IF(I691="","unknown",I691),H691))</f>
        <v/>
      </c>
      <c r="Q691">
        <f>IF(P691="","",IFERROR(IF(AND(H691="W7",OR(F691="causal",F691="predictive")),IF(AND(OR(K691=1,K691="1"),OR(L691=1,L691="1"),OR(M691=1,M691="1")),"adequate","partial"),IF(AND(H691="W4",F691="predictive",OR(J691="P2",J691="P3",J691="P4")),IF(OR(U691=1,U691="1"),"adequate","partial"),INDEX(Fit_Matrix!$B:$B,MATCH(P691,Fit_Matrix!$A:$A,0)))),"CHECK KEY"))</f>
        <v/>
      </c>
      <c r="U691" s="10" t="n"/>
      <c r="V691" s="10" t="n"/>
      <c r="W691" s="10" t="n"/>
      <c r="X691" s="10" t="n"/>
      <c r="Y691" s="10" t="n"/>
      <c r="Z691" s="10" t="n"/>
      <c r="AA691" s="11">
        <f>IF(A691="","",IF(AND(J691="P4",F691="causal"),"P4-CAUSAL",""))</f>
        <v/>
      </c>
    </row>
    <row r="692" ht="15" customHeight="1" s="1">
      <c r="P692">
        <f>IF(OR(F692="",H692="",J692=""),"",J692&amp;"|"&amp;F692&amp;"|"&amp;IF(H692="W3","W3_"&amp;IF(I692="","unknown",I692),H692))</f>
        <v/>
      </c>
      <c r="Q692">
        <f>IF(P692="","",IFERROR(IF(AND(H692="W7",OR(F692="causal",F692="predictive")),IF(AND(OR(K692=1,K692="1"),OR(L692=1,L692="1"),OR(M692=1,M692="1")),"adequate","partial"),IF(AND(H692="W4",F692="predictive",OR(J692="P2",J692="P3",J692="P4")),IF(OR(U692=1,U692="1"),"adequate","partial"),INDEX(Fit_Matrix!$B:$B,MATCH(P692,Fit_Matrix!$A:$A,0)))),"CHECK KEY"))</f>
        <v/>
      </c>
      <c r="U692" s="10" t="n"/>
      <c r="V692" s="10" t="n"/>
      <c r="W692" s="10" t="n"/>
      <c r="X692" s="10" t="n"/>
      <c r="Y692" s="10" t="n"/>
      <c r="Z692" s="10" t="n"/>
      <c r="AA692" s="11">
        <f>IF(A692="","",IF(AND(J692="P4",F692="causal"),"P4-CAUSAL",""))</f>
        <v/>
      </c>
    </row>
    <row r="693" ht="15" customHeight="1" s="1">
      <c r="P693">
        <f>IF(OR(F693="",H693="",J693=""),"",J693&amp;"|"&amp;F693&amp;"|"&amp;IF(H693="W3","W3_"&amp;IF(I693="","unknown",I693),H693))</f>
        <v/>
      </c>
      <c r="Q693">
        <f>IF(P693="","",IFERROR(IF(AND(H693="W7",OR(F693="causal",F693="predictive")),IF(AND(OR(K693=1,K693="1"),OR(L693=1,L693="1"),OR(M693=1,M693="1")),"adequate","partial"),IF(AND(H693="W4",F693="predictive",OR(J693="P2",J693="P3",J693="P4")),IF(OR(U693=1,U693="1"),"adequate","partial"),INDEX(Fit_Matrix!$B:$B,MATCH(P693,Fit_Matrix!$A:$A,0)))),"CHECK KEY"))</f>
        <v/>
      </c>
      <c r="U693" s="10" t="n"/>
      <c r="V693" s="10" t="n"/>
      <c r="W693" s="10" t="n"/>
      <c r="X693" s="10" t="n"/>
      <c r="Y693" s="10" t="n"/>
      <c r="Z693" s="10" t="n"/>
      <c r="AA693" s="11">
        <f>IF(A693="","",IF(AND(J693="P4",F693="causal"),"P4-CAUSAL",""))</f>
        <v/>
      </c>
    </row>
    <row r="694" ht="15" customHeight="1" s="1">
      <c r="P694">
        <f>IF(OR(F694="",H694="",J694=""),"",J694&amp;"|"&amp;F694&amp;"|"&amp;IF(H694="W3","W3_"&amp;IF(I694="","unknown",I694),H694))</f>
        <v/>
      </c>
      <c r="Q694">
        <f>IF(P694="","",IFERROR(IF(AND(H694="W7",OR(F694="causal",F694="predictive")),IF(AND(OR(K694=1,K694="1"),OR(L694=1,L694="1"),OR(M694=1,M694="1")),"adequate","partial"),IF(AND(H694="W4",F694="predictive",OR(J694="P2",J694="P3",J694="P4")),IF(OR(U694=1,U694="1"),"adequate","partial"),INDEX(Fit_Matrix!$B:$B,MATCH(P694,Fit_Matrix!$A:$A,0)))),"CHECK KEY"))</f>
        <v/>
      </c>
      <c r="U694" s="10" t="n"/>
      <c r="V694" s="10" t="n"/>
      <c r="W694" s="10" t="n"/>
      <c r="X694" s="10" t="n"/>
      <c r="Y694" s="10" t="n"/>
      <c r="Z694" s="10" t="n"/>
      <c r="AA694" s="11">
        <f>IF(A694="","",IF(AND(J694="P4",F694="causal"),"P4-CAUSAL",""))</f>
        <v/>
      </c>
    </row>
    <row r="695" ht="15" customHeight="1" s="1">
      <c r="P695">
        <f>IF(OR(F695="",H695="",J695=""),"",J695&amp;"|"&amp;F695&amp;"|"&amp;IF(H695="W3","W3_"&amp;IF(I695="","unknown",I695),H695))</f>
        <v/>
      </c>
      <c r="Q695">
        <f>IF(P695="","",IFERROR(IF(AND(H695="W7",OR(F695="causal",F695="predictive")),IF(AND(OR(K695=1,K695="1"),OR(L695=1,L695="1"),OR(M695=1,M695="1")),"adequate","partial"),IF(AND(H695="W4",F695="predictive",OR(J695="P2",J695="P3",J695="P4")),IF(OR(U695=1,U695="1"),"adequate","partial"),INDEX(Fit_Matrix!$B:$B,MATCH(P695,Fit_Matrix!$A:$A,0)))),"CHECK KEY"))</f>
        <v/>
      </c>
      <c r="U695" s="10" t="n"/>
      <c r="V695" s="10" t="n"/>
      <c r="W695" s="10" t="n"/>
      <c r="X695" s="10" t="n"/>
      <c r="Y695" s="10" t="n"/>
      <c r="Z695" s="10" t="n"/>
      <c r="AA695" s="11">
        <f>IF(A695="","",IF(AND(J695="P4",F695="causal"),"P4-CAUSAL",""))</f>
        <v/>
      </c>
    </row>
    <row r="696" ht="15" customHeight="1" s="1">
      <c r="P696">
        <f>IF(OR(F696="",H696="",J696=""),"",J696&amp;"|"&amp;F696&amp;"|"&amp;IF(H696="W3","W3_"&amp;IF(I696="","unknown",I696),H696))</f>
        <v/>
      </c>
      <c r="Q696">
        <f>IF(P696="","",IFERROR(IF(AND(H696="W7",OR(F696="causal",F696="predictive")),IF(AND(OR(K696=1,K696="1"),OR(L696=1,L696="1"),OR(M696=1,M696="1")),"adequate","partial"),IF(AND(H696="W4",F696="predictive",OR(J696="P2",J696="P3",J696="P4")),IF(OR(U696=1,U696="1"),"adequate","partial"),INDEX(Fit_Matrix!$B:$B,MATCH(P696,Fit_Matrix!$A:$A,0)))),"CHECK KEY"))</f>
        <v/>
      </c>
      <c r="U696" s="10" t="n"/>
      <c r="V696" s="10" t="n"/>
      <c r="W696" s="10" t="n"/>
      <c r="X696" s="10" t="n"/>
      <c r="Y696" s="10" t="n"/>
      <c r="Z696" s="10" t="n"/>
      <c r="AA696" s="11">
        <f>IF(A696="","",IF(AND(J696="P4",F696="causal"),"P4-CAUSAL",""))</f>
        <v/>
      </c>
    </row>
    <row r="697" ht="15" customHeight="1" s="1">
      <c r="P697">
        <f>IF(OR(F697="",H697="",J697=""),"",J697&amp;"|"&amp;F697&amp;"|"&amp;IF(H697="W3","W3_"&amp;IF(I697="","unknown",I697),H697))</f>
        <v/>
      </c>
      <c r="Q697">
        <f>IF(P697="","",IFERROR(IF(AND(H697="W7",OR(F697="causal",F697="predictive")),IF(AND(OR(K697=1,K697="1"),OR(L697=1,L697="1"),OR(M697=1,M697="1")),"adequate","partial"),IF(AND(H697="W4",F697="predictive",OR(J697="P2",J697="P3",J697="P4")),IF(OR(U697=1,U697="1"),"adequate","partial"),INDEX(Fit_Matrix!$B:$B,MATCH(P697,Fit_Matrix!$A:$A,0)))),"CHECK KEY"))</f>
        <v/>
      </c>
      <c r="U697" s="10" t="n"/>
      <c r="V697" s="10" t="n"/>
      <c r="W697" s="10" t="n"/>
      <c r="X697" s="10" t="n"/>
      <c r="Y697" s="10" t="n"/>
      <c r="Z697" s="10" t="n"/>
      <c r="AA697" s="11">
        <f>IF(A697="","",IF(AND(J697="P4",F697="causal"),"P4-CAUSAL",""))</f>
        <v/>
      </c>
    </row>
    <row r="698" ht="15" customHeight="1" s="1">
      <c r="P698">
        <f>IF(OR(F698="",H698="",J698=""),"",J698&amp;"|"&amp;F698&amp;"|"&amp;IF(H698="W3","W3_"&amp;IF(I698="","unknown",I698),H698))</f>
        <v/>
      </c>
      <c r="Q698">
        <f>IF(P698="","",IFERROR(IF(AND(H698="W7",OR(F698="causal",F698="predictive")),IF(AND(OR(K698=1,K698="1"),OR(L698=1,L698="1"),OR(M698=1,M698="1")),"adequate","partial"),IF(AND(H698="W4",F698="predictive",OR(J698="P2",J698="P3",J698="P4")),IF(OR(U698=1,U698="1"),"adequate","partial"),INDEX(Fit_Matrix!$B:$B,MATCH(P698,Fit_Matrix!$A:$A,0)))),"CHECK KEY"))</f>
        <v/>
      </c>
      <c r="U698" s="10" t="n"/>
      <c r="V698" s="10" t="n"/>
      <c r="W698" s="10" t="n"/>
      <c r="X698" s="10" t="n"/>
      <c r="Y698" s="10" t="n"/>
      <c r="Z698" s="10" t="n"/>
      <c r="AA698" s="11">
        <f>IF(A698="","",IF(AND(J698="P4",F698="causal"),"P4-CAUSAL",""))</f>
        <v/>
      </c>
    </row>
    <row r="699" ht="15" customHeight="1" s="1">
      <c r="P699">
        <f>IF(OR(F699="",H699="",J699=""),"",J699&amp;"|"&amp;F699&amp;"|"&amp;IF(H699="W3","W3_"&amp;IF(I699="","unknown",I699),H699))</f>
        <v/>
      </c>
      <c r="Q699">
        <f>IF(P699="","",IFERROR(IF(AND(H699="W7",OR(F699="causal",F699="predictive")),IF(AND(OR(K699=1,K699="1"),OR(L699=1,L699="1"),OR(M699=1,M699="1")),"adequate","partial"),IF(AND(H699="W4",F699="predictive",OR(J699="P2",J699="P3",J699="P4")),IF(OR(U699=1,U699="1"),"adequate","partial"),INDEX(Fit_Matrix!$B:$B,MATCH(P699,Fit_Matrix!$A:$A,0)))),"CHECK KEY"))</f>
        <v/>
      </c>
      <c r="U699" s="10" t="n"/>
      <c r="V699" s="10" t="n"/>
      <c r="W699" s="10" t="n"/>
      <c r="X699" s="10" t="n"/>
      <c r="Y699" s="10" t="n"/>
      <c r="Z699" s="10" t="n"/>
      <c r="AA699" s="11">
        <f>IF(A699="","",IF(AND(J699="P4",F699="causal"),"P4-CAUSAL",""))</f>
        <v/>
      </c>
    </row>
    <row r="700" ht="15" customHeight="1" s="1">
      <c r="P700">
        <f>IF(OR(F700="",H700="",J700=""),"",J700&amp;"|"&amp;F700&amp;"|"&amp;IF(H700="W3","W3_"&amp;IF(I700="","unknown",I700),H700))</f>
        <v/>
      </c>
      <c r="Q700">
        <f>IF(P700="","",IFERROR(IF(AND(H700="W7",OR(F700="causal",F700="predictive")),IF(AND(OR(K700=1,K700="1"),OR(L700=1,L700="1"),OR(M700=1,M700="1")),"adequate","partial"),IF(AND(H700="W4",F700="predictive",OR(J700="P2",J700="P3",J700="P4")),IF(OR(U700=1,U700="1"),"adequate","partial"),INDEX(Fit_Matrix!$B:$B,MATCH(P700,Fit_Matrix!$A:$A,0)))),"CHECK KEY"))</f>
        <v/>
      </c>
      <c r="U700" s="10" t="n"/>
      <c r="V700" s="10" t="n"/>
      <c r="W700" s="10" t="n"/>
      <c r="X700" s="10" t="n"/>
      <c r="Y700" s="10" t="n"/>
      <c r="Z700" s="10" t="n"/>
      <c r="AA700" s="11">
        <f>IF(A700="","",IF(AND(J700="P4",F700="causal"),"P4-CAUSAL",""))</f>
        <v/>
      </c>
    </row>
    <row r="701" ht="15" customHeight="1" s="1">
      <c r="P701">
        <f>IF(OR(F701="",H701="",J701=""),"",J701&amp;"|"&amp;F701&amp;"|"&amp;IF(H701="W3","W3_"&amp;IF(I701="","unknown",I701),H701))</f>
        <v/>
      </c>
      <c r="Q701">
        <f>IF(P701="","",IFERROR(IF(AND(H701="W7",OR(F701="causal",F701="predictive")),IF(AND(OR(K701=1,K701="1"),OR(L701=1,L701="1"),OR(M701=1,M701="1")),"adequate","partial"),IF(AND(H701="W4",F701="predictive",OR(J701="P2",J701="P3",J701="P4")),IF(OR(U701=1,U701="1"),"adequate","partial"),INDEX(Fit_Matrix!$B:$B,MATCH(P701,Fit_Matrix!$A:$A,0)))),"CHECK KEY"))</f>
        <v/>
      </c>
      <c r="U701" s="10" t="n"/>
      <c r="V701" s="10" t="n"/>
      <c r="W701" s="10" t="n"/>
      <c r="X701" s="10" t="n"/>
      <c r="Y701" s="10" t="n"/>
      <c r="Z701" s="10" t="n"/>
      <c r="AA701" s="11">
        <f>IF(A701="","",IF(AND(J701="P4",F701="causal"),"P4-CAUSAL",""))</f>
        <v/>
      </c>
    </row>
    <row r="702" ht="15" customHeight="1" s="1">
      <c r="P702">
        <f>IF(OR(F702="",H702="",J702=""),"",J702&amp;"|"&amp;F702&amp;"|"&amp;IF(H702="W3","W3_"&amp;IF(I702="","unknown",I702),H702))</f>
        <v/>
      </c>
      <c r="Q702">
        <f>IF(P702="","",IFERROR(IF(AND(H702="W7",OR(F702="causal",F702="predictive")),IF(AND(OR(K702=1,K702="1"),OR(L702=1,L702="1"),OR(M702=1,M702="1")),"adequate","partial"),IF(AND(H702="W4",F702="predictive",OR(J702="P2",J702="P3",J702="P4")),IF(OR(U702=1,U702="1"),"adequate","partial"),INDEX(Fit_Matrix!$B:$B,MATCH(P702,Fit_Matrix!$A:$A,0)))),"CHECK KEY"))</f>
        <v/>
      </c>
      <c r="U702" s="10" t="n"/>
      <c r="V702" s="10" t="n"/>
      <c r="W702" s="10" t="n"/>
      <c r="X702" s="10" t="n"/>
      <c r="Y702" s="10" t="n"/>
      <c r="Z702" s="10" t="n"/>
      <c r="AA702" s="11">
        <f>IF(A702="","",IF(AND(J702="P4",F702="causal"),"P4-CAUSAL",""))</f>
        <v/>
      </c>
    </row>
    <row r="703" ht="15" customHeight="1" s="1">
      <c r="P703">
        <f>IF(OR(F703="",H703="",J703=""),"",J703&amp;"|"&amp;F703&amp;"|"&amp;IF(H703="W3","W3_"&amp;IF(I703="","unknown",I703),H703))</f>
        <v/>
      </c>
      <c r="Q703">
        <f>IF(P703="","",IFERROR(IF(AND(H703="W7",OR(F703="causal",F703="predictive")),IF(AND(OR(K703=1,K703="1"),OR(L703=1,L703="1"),OR(M703=1,M703="1")),"adequate","partial"),IF(AND(H703="W4",F703="predictive",OR(J703="P2",J703="P3",J703="P4")),IF(OR(U703=1,U703="1"),"adequate","partial"),INDEX(Fit_Matrix!$B:$B,MATCH(P703,Fit_Matrix!$A:$A,0)))),"CHECK KEY"))</f>
        <v/>
      </c>
      <c r="U703" s="10" t="n"/>
      <c r="V703" s="10" t="n"/>
      <c r="W703" s="10" t="n"/>
      <c r="X703" s="10" t="n"/>
      <c r="Y703" s="10" t="n"/>
      <c r="Z703" s="10" t="n"/>
      <c r="AA703" s="11">
        <f>IF(A703="","",IF(AND(J703="P4",F703="causal"),"P4-CAUSAL",""))</f>
        <v/>
      </c>
    </row>
    <row r="704" ht="15" customHeight="1" s="1">
      <c r="P704">
        <f>IF(OR(F704="",H704="",J704=""),"",J704&amp;"|"&amp;F704&amp;"|"&amp;IF(H704="W3","W3_"&amp;IF(I704="","unknown",I704),H704))</f>
        <v/>
      </c>
      <c r="Q704">
        <f>IF(P704="","",IFERROR(IF(AND(H704="W7",OR(F704="causal",F704="predictive")),IF(AND(OR(K704=1,K704="1"),OR(L704=1,L704="1"),OR(M704=1,M704="1")),"adequate","partial"),IF(AND(H704="W4",F704="predictive",OR(J704="P2",J704="P3",J704="P4")),IF(OR(U704=1,U704="1"),"adequate","partial"),INDEX(Fit_Matrix!$B:$B,MATCH(P704,Fit_Matrix!$A:$A,0)))),"CHECK KEY"))</f>
        <v/>
      </c>
      <c r="U704" s="10" t="n"/>
      <c r="V704" s="10" t="n"/>
      <c r="W704" s="10" t="n"/>
      <c r="X704" s="10" t="n"/>
      <c r="Y704" s="10" t="n"/>
      <c r="Z704" s="10" t="n"/>
      <c r="AA704" s="11">
        <f>IF(A704="","",IF(AND(J704="P4",F704="causal"),"P4-CAUSAL",""))</f>
        <v/>
      </c>
    </row>
    <row r="705" ht="15" customHeight="1" s="1">
      <c r="P705">
        <f>IF(OR(F705="",H705="",J705=""),"",J705&amp;"|"&amp;F705&amp;"|"&amp;IF(H705="W3","W3_"&amp;IF(I705="","unknown",I705),H705))</f>
        <v/>
      </c>
      <c r="Q705">
        <f>IF(P705="","",IFERROR(IF(AND(H705="W7",OR(F705="causal",F705="predictive")),IF(AND(OR(K705=1,K705="1"),OR(L705=1,L705="1"),OR(M705=1,M705="1")),"adequate","partial"),IF(AND(H705="W4",F705="predictive",OR(J705="P2",J705="P3",J705="P4")),IF(OR(U705=1,U705="1"),"adequate","partial"),INDEX(Fit_Matrix!$B:$B,MATCH(P705,Fit_Matrix!$A:$A,0)))),"CHECK KEY"))</f>
        <v/>
      </c>
      <c r="U705" s="10" t="n"/>
      <c r="V705" s="10" t="n"/>
      <c r="W705" s="10" t="n"/>
      <c r="X705" s="10" t="n"/>
      <c r="Y705" s="10" t="n"/>
      <c r="Z705" s="10" t="n"/>
      <c r="AA705" s="11">
        <f>IF(A705="","",IF(AND(J705="P4",F705="causal"),"P4-CAUSAL",""))</f>
        <v/>
      </c>
    </row>
    <row r="706" ht="15" customHeight="1" s="1">
      <c r="P706">
        <f>IF(OR(F706="",H706="",J706=""),"",J706&amp;"|"&amp;F706&amp;"|"&amp;IF(H706="W3","W3_"&amp;IF(I706="","unknown",I706),H706))</f>
        <v/>
      </c>
      <c r="Q706">
        <f>IF(P706="","",IFERROR(IF(AND(H706="W7",OR(F706="causal",F706="predictive")),IF(AND(OR(K706=1,K706="1"),OR(L706=1,L706="1"),OR(M706=1,M706="1")),"adequate","partial"),IF(AND(H706="W4",F706="predictive",OR(J706="P2",J706="P3",J706="P4")),IF(OR(U706=1,U706="1"),"adequate","partial"),INDEX(Fit_Matrix!$B:$B,MATCH(P706,Fit_Matrix!$A:$A,0)))),"CHECK KEY"))</f>
        <v/>
      </c>
      <c r="U706" s="10" t="n"/>
      <c r="V706" s="10" t="n"/>
      <c r="W706" s="10" t="n"/>
      <c r="X706" s="10" t="n"/>
      <c r="Y706" s="10" t="n"/>
      <c r="Z706" s="10" t="n"/>
      <c r="AA706" s="11">
        <f>IF(A706="","",IF(AND(J706="P4",F706="causal"),"P4-CAUSAL",""))</f>
        <v/>
      </c>
    </row>
    <row r="707" ht="15" customHeight="1" s="1">
      <c r="P707">
        <f>IF(OR(F707="",H707="",J707=""),"",J707&amp;"|"&amp;F707&amp;"|"&amp;IF(H707="W3","W3_"&amp;IF(I707="","unknown",I707),H707))</f>
        <v/>
      </c>
      <c r="Q707">
        <f>IF(P707="","",IFERROR(IF(AND(H707="W7",OR(F707="causal",F707="predictive")),IF(AND(OR(K707=1,K707="1"),OR(L707=1,L707="1"),OR(M707=1,M707="1")),"adequate","partial"),IF(AND(H707="W4",F707="predictive",OR(J707="P2",J707="P3",J707="P4")),IF(OR(U707=1,U707="1"),"adequate","partial"),INDEX(Fit_Matrix!$B:$B,MATCH(P707,Fit_Matrix!$A:$A,0)))),"CHECK KEY"))</f>
        <v/>
      </c>
      <c r="U707" s="10" t="n"/>
      <c r="V707" s="10" t="n"/>
      <c r="W707" s="10" t="n"/>
      <c r="X707" s="10" t="n"/>
      <c r="Y707" s="10" t="n"/>
      <c r="Z707" s="10" t="n"/>
      <c r="AA707" s="11">
        <f>IF(A707="","",IF(AND(J707="P4",F707="causal"),"P4-CAUSAL",""))</f>
        <v/>
      </c>
    </row>
    <row r="708" ht="15" customHeight="1" s="1">
      <c r="P708">
        <f>IF(OR(F708="",H708="",J708=""),"",J708&amp;"|"&amp;F708&amp;"|"&amp;IF(H708="W3","W3_"&amp;IF(I708="","unknown",I708),H708))</f>
        <v/>
      </c>
      <c r="Q708">
        <f>IF(P708="","",IFERROR(IF(AND(H708="W7",OR(F708="causal",F708="predictive")),IF(AND(OR(K708=1,K708="1"),OR(L708=1,L708="1"),OR(M708=1,M708="1")),"adequate","partial"),IF(AND(H708="W4",F708="predictive",OR(J708="P2",J708="P3",J708="P4")),IF(OR(U708=1,U708="1"),"adequate","partial"),INDEX(Fit_Matrix!$B:$B,MATCH(P708,Fit_Matrix!$A:$A,0)))),"CHECK KEY"))</f>
        <v/>
      </c>
      <c r="U708" s="10" t="n"/>
      <c r="V708" s="10" t="n"/>
      <c r="W708" s="10" t="n"/>
      <c r="X708" s="10" t="n"/>
      <c r="Y708" s="10" t="n"/>
      <c r="Z708" s="10" t="n"/>
      <c r="AA708" s="11">
        <f>IF(A708="","",IF(AND(J708="P4",F708="causal"),"P4-CAUSAL",""))</f>
        <v/>
      </c>
    </row>
    <row r="709" ht="15" customHeight="1" s="1">
      <c r="P709">
        <f>IF(OR(F709="",H709="",J709=""),"",J709&amp;"|"&amp;F709&amp;"|"&amp;IF(H709="W3","W3_"&amp;IF(I709="","unknown",I709),H709))</f>
        <v/>
      </c>
      <c r="Q709">
        <f>IF(P709="","",IFERROR(IF(AND(H709="W7",OR(F709="causal",F709="predictive")),IF(AND(OR(K709=1,K709="1"),OR(L709=1,L709="1"),OR(M709=1,M709="1")),"adequate","partial"),IF(AND(H709="W4",F709="predictive",OR(J709="P2",J709="P3",J709="P4")),IF(OR(U709=1,U709="1"),"adequate","partial"),INDEX(Fit_Matrix!$B:$B,MATCH(P709,Fit_Matrix!$A:$A,0)))),"CHECK KEY"))</f>
        <v/>
      </c>
      <c r="U709" s="10" t="n"/>
      <c r="V709" s="10" t="n"/>
      <c r="W709" s="10" t="n"/>
      <c r="X709" s="10" t="n"/>
      <c r="Y709" s="10" t="n"/>
      <c r="Z709" s="10" t="n"/>
      <c r="AA709" s="11">
        <f>IF(A709="","",IF(AND(J709="P4",F709="causal"),"P4-CAUSAL",""))</f>
        <v/>
      </c>
    </row>
    <row r="710" ht="15" customHeight="1" s="1">
      <c r="P710">
        <f>IF(OR(F710="",H710="",J710=""),"",J710&amp;"|"&amp;F710&amp;"|"&amp;IF(H710="W3","W3_"&amp;IF(I710="","unknown",I710),H710))</f>
        <v/>
      </c>
      <c r="Q710">
        <f>IF(P710="","",IFERROR(IF(AND(H710="W7",OR(F710="causal",F710="predictive")),IF(AND(OR(K710=1,K710="1"),OR(L710=1,L710="1"),OR(M710=1,M710="1")),"adequate","partial"),IF(AND(H710="W4",F710="predictive",OR(J710="P2",J710="P3",J710="P4")),IF(OR(U710=1,U710="1"),"adequate","partial"),INDEX(Fit_Matrix!$B:$B,MATCH(P710,Fit_Matrix!$A:$A,0)))),"CHECK KEY"))</f>
        <v/>
      </c>
      <c r="U710" s="10" t="n"/>
      <c r="V710" s="10" t="n"/>
      <c r="W710" s="10" t="n"/>
      <c r="X710" s="10" t="n"/>
      <c r="Y710" s="10" t="n"/>
      <c r="Z710" s="10" t="n"/>
      <c r="AA710" s="11">
        <f>IF(A710="","",IF(AND(J710="P4",F710="causal"),"P4-CAUSAL",""))</f>
        <v/>
      </c>
    </row>
    <row r="711" ht="15" customHeight="1" s="1">
      <c r="P711">
        <f>IF(OR(F711="",H711="",J711=""),"",J711&amp;"|"&amp;F711&amp;"|"&amp;IF(H711="W3","W3_"&amp;IF(I711="","unknown",I711),H711))</f>
        <v/>
      </c>
      <c r="Q711">
        <f>IF(P711="","",IFERROR(IF(AND(H711="W7",OR(F711="causal",F711="predictive")),IF(AND(OR(K711=1,K711="1"),OR(L711=1,L711="1"),OR(M711=1,M711="1")),"adequate","partial"),IF(AND(H711="W4",F711="predictive",OR(J711="P2",J711="P3",J711="P4")),IF(OR(U711=1,U711="1"),"adequate","partial"),INDEX(Fit_Matrix!$B:$B,MATCH(P711,Fit_Matrix!$A:$A,0)))),"CHECK KEY"))</f>
        <v/>
      </c>
      <c r="U711" s="10" t="n"/>
      <c r="V711" s="10" t="n"/>
      <c r="W711" s="10" t="n"/>
      <c r="X711" s="10" t="n"/>
      <c r="Y711" s="10" t="n"/>
      <c r="Z711" s="10" t="n"/>
      <c r="AA711" s="11">
        <f>IF(A711="","",IF(AND(J711="P4",F711="causal"),"P4-CAUSAL",""))</f>
        <v/>
      </c>
    </row>
    <row r="712" ht="15" customHeight="1" s="1">
      <c r="P712">
        <f>IF(OR(F712="",H712="",J712=""),"",J712&amp;"|"&amp;F712&amp;"|"&amp;IF(H712="W3","W3_"&amp;IF(I712="","unknown",I712),H712))</f>
        <v/>
      </c>
      <c r="Q712">
        <f>IF(P712="","",IFERROR(IF(AND(H712="W7",OR(F712="causal",F712="predictive")),IF(AND(OR(K712=1,K712="1"),OR(L712=1,L712="1"),OR(M712=1,M712="1")),"adequate","partial"),IF(AND(H712="W4",F712="predictive",OR(J712="P2",J712="P3",J712="P4")),IF(OR(U712=1,U712="1"),"adequate","partial"),INDEX(Fit_Matrix!$B:$B,MATCH(P712,Fit_Matrix!$A:$A,0)))),"CHECK KEY"))</f>
        <v/>
      </c>
      <c r="U712" s="10" t="n"/>
      <c r="V712" s="10" t="n"/>
      <c r="W712" s="10" t="n"/>
      <c r="X712" s="10" t="n"/>
      <c r="Y712" s="10" t="n"/>
      <c r="Z712" s="10" t="n"/>
      <c r="AA712" s="11">
        <f>IF(A712="","",IF(AND(J712="P4",F712="causal"),"P4-CAUSAL",""))</f>
        <v/>
      </c>
    </row>
    <row r="713" ht="15" customHeight="1" s="1">
      <c r="P713">
        <f>IF(OR(F713="",H713="",J713=""),"",J713&amp;"|"&amp;F713&amp;"|"&amp;IF(H713="W3","W3_"&amp;IF(I713="","unknown",I713),H713))</f>
        <v/>
      </c>
      <c r="Q713">
        <f>IF(P713="","",IFERROR(IF(AND(H713="W7",OR(F713="causal",F713="predictive")),IF(AND(OR(K713=1,K713="1"),OR(L713=1,L713="1"),OR(M713=1,M713="1")),"adequate","partial"),IF(AND(H713="W4",F713="predictive",OR(J713="P2",J713="P3",J713="P4")),IF(OR(U713=1,U713="1"),"adequate","partial"),INDEX(Fit_Matrix!$B:$B,MATCH(P713,Fit_Matrix!$A:$A,0)))),"CHECK KEY"))</f>
        <v/>
      </c>
      <c r="U713" s="10" t="n"/>
      <c r="V713" s="10" t="n"/>
      <c r="W713" s="10" t="n"/>
      <c r="X713" s="10" t="n"/>
      <c r="Y713" s="10" t="n"/>
      <c r="Z713" s="10" t="n"/>
      <c r="AA713" s="11">
        <f>IF(A713="","",IF(AND(J713="P4",F713="causal"),"P4-CAUSAL",""))</f>
        <v/>
      </c>
    </row>
    <row r="714" ht="15" customHeight="1" s="1">
      <c r="P714">
        <f>IF(OR(F714="",H714="",J714=""),"",J714&amp;"|"&amp;F714&amp;"|"&amp;IF(H714="W3","W3_"&amp;IF(I714="","unknown",I714),H714))</f>
        <v/>
      </c>
      <c r="Q714">
        <f>IF(P714="","",IFERROR(IF(AND(H714="W7",OR(F714="causal",F714="predictive")),IF(AND(OR(K714=1,K714="1"),OR(L714=1,L714="1"),OR(M714=1,M714="1")),"adequate","partial"),IF(AND(H714="W4",F714="predictive",OR(J714="P2",J714="P3",J714="P4")),IF(OR(U714=1,U714="1"),"adequate","partial"),INDEX(Fit_Matrix!$B:$B,MATCH(P714,Fit_Matrix!$A:$A,0)))),"CHECK KEY"))</f>
        <v/>
      </c>
      <c r="U714" s="10" t="n"/>
      <c r="V714" s="10" t="n"/>
      <c r="W714" s="10" t="n"/>
      <c r="X714" s="10" t="n"/>
      <c r="Y714" s="10" t="n"/>
      <c r="Z714" s="10" t="n"/>
      <c r="AA714" s="11">
        <f>IF(A714="","",IF(AND(J714="P4",F714="causal"),"P4-CAUSAL",""))</f>
        <v/>
      </c>
    </row>
    <row r="715" ht="15" customHeight="1" s="1">
      <c r="P715">
        <f>IF(OR(F715="",H715="",J715=""),"",J715&amp;"|"&amp;F715&amp;"|"&amp;IF(H715="W3","W3_"&amp;IF(I715="","unknown",I715),H715))</f>
        <v/>
      </c>
      <c r="Q715">
        <f>IF(P715="","",IFERROR(IF(AND(H715="W7",OR(F715="causal",F715="predictive")),IF(AND(OR(K715=1,K715="1"),OR(L715=1,L715="1"),OR(M715=1,M715="1")),"adequate","partial"),IF(AND(H715="W4",F715="predictive",OR(J715="P2",J715="P3",J715="P4")),IF(OR(U715=1,U715="1"),"adequate","partial"),INDEX(Fit_Matrix!$B:$B,MATCH(P715,Fit_Matrix!$A:$A,0)))),"CHECK KEY"))</f>
        <v/>
      </c>
      <c r="U715" s="10" t="n"/>
      <c r="V715" s="10" t="n"/>
      <c r="W715" s="10" t="n"/>
      <c r="X715" s="10" t="n"/>
      <c r="Y715" s="10" t="n"/>
      <c r="Z715" s="10" t="n"/>
      <c r="AA715" s="11">
        <f>IF(A715="","",IF(AND(J715="P4",F715="causal"),"P4-CAUSAL",""))</f>
        <v/>
      </c>
    </row>
    <row r="716" ht="15" customHeight="1" s="1">
      <c r="P716">
        <f>IF(OR(F716="",H716="",J716=""),"",J716&amp;"|"&amp;F716&amp;"|"&amp;IF(H716="W3","W3_"&amp;IF(I716="","unknown",I716),H716))</f>
        <v/>
      </c>
      <c r="Q716">
        <f>IF(P716="","",IFERROR(IF(AND(H716="W7",OR(F716="causal",F716="predictive")),IF(AND(OR(K716=1,K716="1"),OR(L716=1,L716="1"),OR(M716=1,M716="1")),"adequate","partial"),IF(AND(H716="W4",F716="predictive",OR(J716="P2",J716="P3",J716="P4")),IF(OR(U716=1,U716="1"),"adequate","partial"),INDEX(Fit_Matrix!$B:$B,MATCH(P716,Fit_Matrix!$A:$A,0)))),"CHECK KEY"))</f>
        <v/>
      </c>
      <c r="U716" s="10" t="n"/>
      <c r="V716" s="10" t="n"/>
      <c r="W716" s="10" t="n"/>
      <c r="X716" s="10" t="n"/>
      <c r="Y716" s="10" t="n"/>
      <c r="Z716" s="10" t="n"/>
      <c r="AA716" s="11">
        <f>IF(A716="","",IF(AND(J716="P4",F716="causal"),"P4-CAUSAL",""))</f>
        <v/>
      </c>
    </row>
    <row r="717" ht="15" customHeight="1" s="1">
      <c r="P717">
        <f>IF(OR(F717="",H717="",J717=""),"",J717&amp;"|"&amp;F717&amp;"|"&amp;IF(H717="W3","W3_"&amp;IF(I717="","unknown",I717),H717))</f>
        <v/>
      </c>
      <c r="Q717">
        <f>IF(P717="","",IFERROR(IF(AND(H717="W7",OR(F717="causal",F717="predictive")),IF(AND(OR(K717=1,K717="1"),OR(L717=1,L717="1"),OR(M717=1,M717="1")),"adequate","partial"),IF(AND(H717="W4",F717="predictive",OR(J717="P2",J717="P3",J717="P4")),IF(OR(U717=1,U717="1"),"adequate","partial"),INDEX(Fit_Matrix!$B:$B,MATCH(P717,Fit_Matrix!$A:$A,0)))),"CHECK KEY"))</f>
        <v/>
      </c>
      <c r="U717" s="10" t="n"/>
      <c r="V717" s="10" t="n"/>
      <c r="W717" s="10" t="n"/>
      <c r="X717" s="10" t="n"/>
      <c r="Y717" s="10" t="n"/>
      <c r="Z717" s="10" t="n"/>
      <c r="AA717" s="11">
        <f>IF(A717="","",IF(AND(J717="P4",F717="causal"),"P4-CAUSAL",""))</f>
        <v/>
      </c>
    </row>
    <row r="718" ht="15" customHeight="1" s="1">
      <c r="P718">
        <f>IF(OR(F718="",H718="",J718=""),"",J718&amp;"|"&amp;F718&amp;"|"&amp;IF(H718="W3","W3_"&amp;IF(I718="","unknown",I718),H718))</f>
        <v/>
      </c>
      <c r="Q718">
        <f>IF(P718="","",IFERROR(IF(AND(H718="W7",OR(F718="causal",F718="predictive")),IF(AND(OR(K718=1,K718="1"),OR(L718=1,L718="1"),OR(M718=1,M718="1")),"adequate","partial"),IF(AND(H718="W4",F718="predictive",OR(J718="P2",J718="P3",J718="P4")),IF(OR(U718=1,U718="1"),"adequate","partial"),INDEX(Fit_Matrix!$B:$B,MATCH(P718,Fit_Matrix!$A:$A,0)))),"CHECK KEY"))</f>
        <v/>
      </c>
      <c r="U718" s="10" t="n"/>
      <c r="V718" s="10" t="n"/>
      <c r="W718" s="10" t="n"/>
      <c r="X718" s="10" t="n"/>
      <c r="Y718" s="10" t="n"/>
      <c r="Z718" s="10" t="n"/>
      <c r="AA718" s="11">
        <f>IF(A718="","",IF(AND(J718="P4",F718="causal"),"P4-CAUSAL",""))</f>
        <v/>
      </c>
    </row>
    <row r="719" ht="15" customHeight="1" s="1">
      <c r="P719">
        <f>IF(OR(F719="",H719="",J719=""),"",J719&amp;"|"&amp;F719&amp;"|"&amp;IF(H719="W3","W3_"&amp;IF(I719="","unknown",I719),H719))</f>
        <v/>
      </c>
      <c r="Q719">
        <f>IF(P719="","",IFERROR(IF(AND(H719="W7",OR(F719="causal",F719="predictive")),IF(AND(OR(K719=1,K719="1"),OR(L719=1,L719="1"),OR(M719=1,M719="1")),"adequate","partial"),IF(AND(H719="W4",F719="predictive",OR(J719="P2",J719="P3",J719="P4")),IF(OR(U719=1,U719="1"),"adequate","partial"),INDEX(Fit_Matrix!$B:$B,MATCH(P719,Fit_Matrix!$A:$A,0)))),"CHECK KEY"))</f>
        <v/>
      </c>
      <c r="U719" s="10" t="n"/>
      <c r="V719" s="10" t="n"/>
      <c r="W719" s="10" t="n"/>
      <c r="X719" s="10" t="n"/>
      <c r="Y719" s="10" t="n"/>
      <c r="Z719" s="10" t="n"/>
      <c r="AA719" s="11">
        <f>IF(A719="","",IF(AND(J719="P4",F719="causal"),"P4-CAUSAL",""))</f>
        <v/>
      </c>
    </row>
    <row r="720" ht="15" customHeight="1" s="1">
      <c r="P720">
        <f>IF(OR(F720="",H720="",J720=""),"",J720&amp;"|"&amp;F720&amp;"|"&amp;IF(H720="W3","W3_"&amp;IF(I720="","unknown",I720),H720))</f>
        <v/>
      </c>
      <c r="Q720">
        <f>IF(P720="","",IFERROR(IF(AND(H720="W7",OR(F720="causal",F720="predictive")),IF(AND(OR(K720=1,K720="1"),OR(L720=1,L720="1"),OR(M720=1,M720="1")),"adequate","partial"),IF(AND(H720="W4",F720="predictive",OR(J720="P2",J720="P3",J720="P4")),IF(OR(U720=1,U720="1"),"adequate","partial"),INDEX(Fit_Matrix!$B:$B,MATCH(P720,Fit_Matrix!$A:$A,0)))),"CHECK KEY"))</f>
        <v/>
      </c>
      <c r="U720" s="10" t="n"/>
      <c r="V720" s="10" t="n"/>
      <c r="W720" s="10" t="n"/>
      <c r="X720" s="10" t="n"/>
      <c r="Y720" s="10" t="n"/>
      <c r="Z720" s="10" t="n"/>
      <c r="AA720" s="11">
        <f>IF(A720="","",IF(AND(J720="P4",F720="causal"),"P4-CAUSAL",""))</f>
        <v/>
      </c>
    </row>
    <row r="721" ht="15" customHeight="1" s="1">
      <c r="P721">
        <f>IF(OR(F721="",H721="",J721=""),"",J721&amp;"|"&amp;F721&amp;"|"&amp;IF(H721="W3","W3_"&amp;IF(I721="","unknown",I721),H721))</f>
        <v/>
      </c>
      <c r="Q721">
        <f>IF(P721="","",IFERROR(IF(AND(H721="W7",OR(F721="causal",F721="predictive")),IF(AND(OR(K721=1,K721="1"),OR(L721=1,L721="1"),OR(M721=1,M721="1")),"adequate","partial"),IF(AND(H721="W4",F721="predictive",OR(J721="P2",J721="P3",J721="P4")),IF(OR(U721=1,U721="1"),"adequate","partial"),INDEX(Fit_Matrix!$B:$B,MATCH(P721,Fit_Matrix!$A:$A,0)))),"CHECK KEY"))</f>
        <v/>
      </c>
      <c r="U721" s="10" t="n"/>
      <c r="V721" s="10" t="n"/>
      <c r="W721" s="10" t="n"/>
      <c r="X721" s="10" t="n"/>
      <c r="Y721" s="10" t="n"/>
      <c r="Z721" s="10" t="n"/>
      <c r="AA721" s="11">
        <f>IF(A721="","",IF(AND(J721="P4",F721="causal"),"P4-CAUSAL",""))</f>
        <v/>
      </c>
    </row>
    <row r="722" ht="15" customHeight="1" s="1">
      <c r="P722">
        <f>IF(OR(F722="",H722="",J722=""),"",J722&amp;"|"&amp;F722&amp;"|"&amp;IF(H722="W3","W3_"&amp;IF(I722="","unknown",I722),H722))</f>
        <v/>
      </c>
      <c r="Q722">
        <f>IF(P722="","",IFERROR(IF(AND(H722="W7",OR(F722="causal",F722="predictive")),IF(AND(OR(K722=1,K722="1"),OR(L722=1,L722="1"),OR(M722=1,M722="1")),"adequate","partial"),IF(AND(H722="W4",F722="predictive",OR(J722="P2",J722="P3",J722="P4")),IF(OR(U722=1,U722="1"),"adequate","partial"),INDEX(Fit_Matrix!$B:$B,MATCH(P722,Fit_Matrix!$A:$A,0)))),"CHECK KEY"))</f>
        <v/>
      </c>
      <c r="U722" s="10" t="n"/>
      <c r="V722" s="10" t="n"/>
      <c r="W722" s="10" t="n"/>
      <c r="X722" s="10" t="n"/>
      <c r="Y722" s="10" t="n"/>
      <c r="Z722" s="10" t="n"/>
      <c r="AA722" s="11">
        <f>IF(A722="","",IF(AND(J722="P4",F722="causal"),"P4-CAUSAL",""))</f>
        <v/>
      </c>
    </row>
    <row r="723" ht="15" customHeight="1" s="1">
      <c r="P723">
        <f>IF(OR(F723="",H723="",J723=""),"",J723&amp;"|"&amp;F723&amp;"|"&amp;IF(H723="W3","W3_"&amp;IF(I723="","unknown",I723),H723))</f>
        <v/>
      </c>
      <c r="Q723">
        <f>IF(P723="","",IFERROR(IF(AND(H723="W7",OR(F723="causal",F723="predictive")),IF(AND(OR(K723=1,K723="1"),OR(L723=1,L723="1"),OR(M723=1,M723="1")),"adequate","partial"),IF(AND(H723="W4",F723="predictive",OR(J723="P2",J723="P3",J723="P4")),IF(OR(U723=1,U723="1"),"adequate","partial"),INDEX(Fit_Matrix!$B:$B,MATCH(P723,Fit_Matrix!$A:$A,0)))),"CHECK KEY"))</f>
        <v/>
      </c>
      <c r="U723" s="10" t="n"/>
      <c r="V723" s="10" t="n"/>
      <c r="W723" s="10" t="n"/>
      <c r="X723" s="10" t="n"/>
      <c r="Y723" s="10" t="n"/>
      <c r="Z723" s="10" t="n"/>
      <c r="AA723" s="11">
        <f>IF(A723="","",IF(AND(J723="P4",F723="causal"),"P4-CAUSAL",""))</f>
        <v/>
      </c>
    </row>
    <row r="724" ht="15" customHeight="1" s="1">
      <c r="P724">
        <f>IF(OR(F724="",H724="",J724=""),"",J724&amp;"|"&amp;F724&amp;"|"&amp;IF(H724="W3","W3_"&amp;IF(I724="","unknown",I724),H724))</f>
        <v/>
      </c>
      <c r="Q724">
        <f>IF(P724="","",IFERROR(IF(AND(H724="W7",OR(F724="causal",F724="predictive")),IF(AND(OR(K724=1,K724="1"),OR(L724=1,L724="1"),OR(M724=1,M724="1")),"adequate","partial"),IF(AND(H724="W4",F724="predictive",OR(J724="P2",J724="P3",J724="P4")),IF(OR(U724=1,U724="1"),"adequate","partial"),INDEX(Fit_Matrix!$B:$B,MATCH(P724,Fit_Matrix!$A:$A,0)))),"CHECK KEY"))</f>
        <v/>
      </c>
      <c r="U724" s="10" t="n"/>
      <c r="V724" s="10" t="n"/>
      <c r="W724" s="10" t="n"/>
      <c r="X724" s="10" t="n"/>
      <c r="Y724" s="10" t="n"/>
      <c r="Z724" s="10" t="n"/>
      <c r="AA724" s="11">
        <f>IF(A724="","",IF(AND(J724="P4",F724="causal"),"P4-CAUSAL",""))</f>
        <v/>
      </c>
    </row>
    <row r="725" ht="15" customHeight="1" s="1">
      <c r="P725">
        <f>IF(OR(F725="",H725="",J725=""),"",J725&amp;"|"&amp;F725&amp;"|"&amp;IF(H725="W3","W3_"&amp;IF(I725="","unknown",I725),H725))</f>
        <v/>
      </c>
      <c r="Q725">
        <f>IF(P725="","",IFERROR(IF(AND(H725="W7",OR(F725="causal",F725="predictive")),IF(AND(OR(K725=1,K725="1"),OR(L725=1,L725="1"),OR(M725=1,M725="1")),"adequate","partial"),IF(AND(H725="W4",F725="predictive",OR(J725="P2",J725="P3",J725="P4")),IF(OR(U725=1,U725="1"),"adequate","partial"),INDEX(Fit_Matrix!$B:$B,MATCH(P725,Fit_Matrix!$A:$A,0)))),"CHECK KEY"))</f>
        <v/>
      </c>
      <c r="U725" s="10" t="n"/>
      <c r="V725" s="10" t="n"/>
      <c r="W725" s="10" t="n"/>
      <c r="X725" s="10" t="n"/>
      <c r="Y725" s="10" t="n"/>
      <c r="Z725" s="10" t="n"/>
      <c r="AA725" s="11">
        <f>IF(A725="","",IF(AND(J725="P4",F725="causal"),"P4-CAUSAL",""))</f>
        <v/>
      </c>
    </row>
    <row r="726" ht="15" customHeight="1" s="1">
      <c r="P726">
        <f>IF(OR(F726="",H726="",J726=""),"",J726&amp;"|"&amp;F726&amp;"|"&amp;IF(H726="W3","W3_"&amp;IF(I726="","unknown",I726),H726))</f>
        <v/>
      </c>
      <c r="Q726">
        <f>IF(P726="","",IFERROR(IF(AND(H726="W7",OR(F726="causal",F726="predictive")),IF(AND(OR(K726=1,K726="1"),OR(L726=1,L726="1"),OR(M726=1,M726="1")),"adequate","partial"),IF(AND(H726="W4",F726="predictive",OR(J726="P2",J726="P3",J726="P4")),IF(OR(U726=1,U726="1"),"adequate","partial"),INDEX(Fit_Matrix!$B:$B,MATCH(P726,Fit_Matrix!$A:$A,0)))),"CHECK KEY"))</f>
        <v/>
      </c>
      <c r="U726" s="10" t="n"/>
      <c r="V726" s="10" t="n"/>
      <c r="W726" s="10" t="n"/>
      <c r="X726" s="10" t="n"/>
      <c r="Y726" s="10" t="n"/>
      <c r="Z726" s="10" t="n"/>
      <c r="AA726" s="11">
        <f>IF(A726="","",IF(AND(J726="P4",F726="causal"),"P4-CAUSAL",""))</f>
        <v/>
      </c>
    </row>
    <row r="727" ht="15" customHeight="1" s="1">
      <c r="P727">
        <f>IF(OR(F727="",H727="",J727=""),"",J727&amp;"|"&amp;F727&amp;"|"&amp;IF(H727="W3","W3_"&amp;IF(I727="","unknown",I727),H727))</f>
        <v/>
      </c>
      <c r="Q727">
        <f>IF(P727="","",IFERROR(IF(AND(H727="W7",OR(F727="causal",F727="predictive")),IF(AND(OR(K727=1,K727="1"),OR(L727=1,L727="1"),OR(M727=1,M727="1")),"adequate","partial"),IF(AND(H727="W4",F727="predictive",OR(J727="P2",J727="P3",J727="P4")),IF(OR(U727=1,U727="1"),"adequate","partial"),INDEX(Fit_Matrix!$B:$B,MATCH(P727,Fit_Matrix!$A:$A,0)))),"CHECK KEY"))</f>
        <v/>
      </c>
      <c r="U727" s="10" t="n"/>
      <c r="V727" s="10" t="n"/>
      <c r="W727" s="10" t="n"/>
      <c r="X727" s="10" t="n"/>
      <c r="Y727" s="10" t="n"/>
      <c r="Z727" s="10" t="n"/>
      <c r="AA727" s="11">
        <f>IF(A727="","",IF(AND(J727="P4",F727="causal"),"P4-CAUSAL",""))</f>
        <v/>
      </c>
    </row>
    <row r="728" ht="15" customHeight="1" s="1">
      <c r="P728">
        <f>IF(OR(F728="",H728="",J728=""),"",J728&amp;"|"&amp;F728&amp;"|"&amp;IF(H728="W3","W3_"&amp;IF(I728="","unknown",I728),H728))</f>
        <v/>
      </c>
      <c r="Q728">
        <f>IF(P728="","",IFERROR(IF(AND(H728="W7",OR(F728="causal",F728="predictive")),IF(AND(OR(K728=1,K728="1"),OR(L728=1,L728="1"),OR(M728=1,M728="1")),"adequate","partial"),IF(AND(H728="W4",F728="predictive",OR(J728="P2",J728="P3",J728="P4")),IF(OR(U728=1,U728="1"),"adequate","partial"),INDEX(Fit_Matrix!$B:$B,MATCH(P728,Fit_Matrix!$A:$A,0)))),"CHECK KEY"))</f>
        <v/>
      </c>
      <c r="U728" s="10" t="n"/>
      <c r="V728" s="10" t="n"/>
      <c r="W728" s="10" t="n"/>
      <c r="X728" s="10" t="n"/>
      <c r="Y728" s="10" t="n"/>
      <c r="Z728" s="10" t="n"/>
      <c r="AA728" s="11">
        <f>IF(A728="","",IF(AND(J728="P4",F728="causal"),"P4-CAUSAL",""))</f>
        <v/>
      </c>
    </row>
    <row r="729" ht="15" customHeight="1" s="1">
      <c r="P729">
        <f>IF(OR(F729="",H729="",J729=""),"",J729&amp;"|"&amp;F729&amp;"|"&amp;IF(H729="W3","W3_"&amp;IF(I729="","unknown",I729),H729))</f>
        <v/>
      </c>
      <c r="Q729">
        <f>IF(P729="","",IFERROR(IF(AND(H729="W7",OR(F729="causal",F729="predictive")),IF(AND(OR(K729=1,K729="1"),OR(L729=1,L729="1"),OR(M729=1,M729="1")),"adequate","partial"),IF(AND(H729="W4",F729="predictive",OR(J729="P2",J729="P3",J729="P4")),IF(OR(U729=1,U729="1"),"adequate","partial"),INDEX(Fit_Matrix!$B:$B,MATCH(P729,Fit_Matrix!$A:$A,0)))),"CHECK KEY"))</f>
        <v/>
      </c>
      <c r="U729" s="10" t="n"/>
      <c r="V729" s="10" t="n"/>
      <c r="W729" s="10" t="n"/>
      <c r="X729" s="10" t="n"/>
      <c r="Y729" s="10" t="n"/>
      <c r="Z729" s="10" t="n"/>
      <c r="AA729" s="11">
        <f>IF(A729="","",IF(AND(J729="P4",F729="causal"),"P4-CAUSAL",""))</f>
        <v/>
      </c>
    </row>
    <row r="730" ht="15" customHeight="1" s="1">
      <c r="P730">
        <f>IF(OR(F730="",H730="",J730=""),"",J730&amp;"|"&amp;F730&amp;"|"&amp;IF(H730="W3","W3_"&amp;IF(I730="","unknown",I730),H730))</f>
        <v/>
      </c>
      <c r="Q730">
        <f>IF(P730="","",IFERROR(IF(AND(H730="W7",OR(F730="causal",F730="predictive")),IF(AND(OR(K730=1,K730="1"),OR(L730=1,L730="1"),OR(M730=1,M730="1")),"adequate","partial"),IF(AND(H730="W4",F730="predictive",OR(J730="P2",J730="P3",J730="P4")),IF(OR(U730=1,U730="1"),"adequate","partial"),INDEX(Fit_Matrix!$B:$B,MATCH(P730,Fit_Matrix!$A:$A,0)))),"CHECK KEY"))</f>
        <v/>
      </c>
      <c r="U730" s="10" t="n"/>
      <c r="V730" s="10" t="n"/>
      <c r="W730" s="10" t="n"/>
      <c r="X730" s="10" t="n"/>
      <c r="Y730" s="10" t="n"/>
      <c r="Z730" s="10" t="n"/>
      <c r="AA730" s="11">
        <f>IF(A730="","",IF(AND(J730="P4",F730="causal"),"P4-CAUSAL",""))</f>
        <v/>
      </c>
    </row>
    <row r="731" ht="15" customHeight="1" s="1">
      <c r="P731">
        <f>IF(OR(F731="",H731="",J731=""),"",J731&amp;"|"&amp;F731&amp;"|"&amp;IF(H731="W3","W3_"&amp;IF(I731="","unknown",I731),H731))</f>
        <v/>
      </c>
      <c r="Q731">
        <f>IF(P731="","",IFERROR(IF(AND(H731="W7",OR(F731="causal",F731="predictive")),IF(AND(OR(K731=1,K731="1"),OR(L731=1,L731="1"),OR(M731=1,M731="1")),"adequate","partial"),IF(AND(H731="W4",F731="predictive",OR(J731="P2",J731="P3",J731="P4")),IF(OR(U731=1,U731="1"),"adequate","partial"),INDEX(Fit_Matrix!$B:$B,MATCH(P731,Fit_Matrix!$A:$A,0)))),"CHECK KEY"))</f>
        <v/>
      </c>
      <c r="U731" s="10" t="n"/>
      <c r="V731" s="10" t="n"/>
      <c r="W731" s="10" t="n"/>
      <c r="X731" s="10" t="n"/>
      <c r="Y731" s="10" t="n"/>
      <c r="Z731" s="10" t="n"/>
      <c r="AA731" s="11">
        <f>IF(A731="","",IF(AND(J731="P4",F731="causal"),"P4-CAUSAL",""))</f>
        <v/>
      </c>
    </row>
    <row r="732" ht="15" customHeight="1" s="1">
      <c r="P732">
        <f>IF(OR(F732="",H732="",J732=""),"",J732&amp;"|"&amp;F732&amp;"|"&amp;IF(H732="W3","W3_"&amp;IF(I732="","unknown",I732),H732))</f>
        <v/>
      </c>
      <c r="Q732">
        <f>IF(P732="","",IFERROR(IF(AND(H732="W7",OR(F732="causal",F732="predictive")),IF(AND(OR(K732=1,K732="1"),OR(L732=1,L732="1"),OR(M732=1,M732="1")),"adequate","partial"),IF(AND(H732="W4",F732="predictive",OR(J732="P2",J732="P3",J732="P4")),IF(OR(U732=1,U732="1"),"adequate","partial"),INDEX(Fit_Matrix!$B:$B,MATCH(P732,Fit_Matrix!$A:$A,0)))),"CHECK KEY"))</f>
        <v/>
      </c>
      <c r="U732" s="10" t="n"/>
      <c r="V732" s="10" t="n"/>
      <c r="W732" s="10" t="n"/>
      <c r="X732" s="10" t="n"/>
      <c r="Y732" s="10" t="n"/>
      <c r="Z732" s="10" t="n"/>
      <c r="AA732" s="11">
        <f>IF(A732="","",IF(AND(J732="P4",F732="causal"),"P4-CAUSAL",""))</f>
        <v/>
      </c>
    </row>
    <row r="733" ht="15" customHeight="1" s="1">
      <c r="P733">
        <f>IF(OR(F733="",H733="",J733=""),"",J733&amp;"|"&amp;F733&amp;"|"&amp;IF(H733="W3","W3_"&amp;IF(I733="","unknown",I733),H733))</f>
        <v/>
      </c>
      <c r="Q733">
        <f>IF(P733="","",IFERROR(IF(AND(H733="W7",OR(F733="causal",F733="predictive")),IF(AND(OR(K733=1,K733="1"),OR(L733=1,L733="1"),OR(M733=1,M733="1")),"adequate","partial"),IF(AND(H733="W4",F733="predictive",OR(J733="P2",J733="P3",J733="P4")),IF(OR(U733=1,U733="1"),"adequate","partial"),INDEX(Fit_Matrix!$B:$B,MATCH(P733,Fit_Matrix!$A:$A,0)))),"CHECK KEY"))</f>
        <v/>
      </c>
      <c r="U733" s="10" t="n"/>
      <c r="V733" s="10" t="n"/>
      <c r="W733" s="10" t="n"/>
      <c r="X733" s="10" t="n"/>
      <c r="Y733" s="10" t="n"/>
      <c r="Z733" s="10" t="n"/>
      <c r="AA733" s="11">
        <f>IF(A733="","",IF(AND(J733="P4",F733="causal"),"P4-CAUSAL",""))</f>
        <v/>
      </c>
    </row>
    <row r="734" ht="15" customHeight="1" s="1">
      <c r="P734">
        <f>IF(OR(F734="",H734="",J734=""),"",J734&amp;"|"&amp;F734&amp;"|"&amp;IF(H734="W3","W3_"&amp;IF(I734="","unknown",I734),H734))</f>
        <v/>
      </c>
      <c r="Q734">
        <f>IF(P734="","",IFERROR(IF(AND(H734="W7",OR(F734="causal",F734="predictive")),IF(AND(OR(K734=1,K734="1"),OR(L734=1,L734="1"),OR(M734=1,M734="1")),"adequate","partial"),IF(AND(H734="W4",F734="predictive",OR(J734="P2",J734="P3",J734="P4")),IF(OR(U734=1,U734="1"),"adequate","partial"),INDEX(Fit_Matrix!$B:$B,MATCH(P734,Fit_Matrix!$A:$A,0)))),"CHECK KEY"))</f>
        <v/>
      </c>
      <c r="U734" s="10" t="n"/>
      <c r="V734" s="10" t="n"/>
      <c r="W734" s="10" t="n"/>
      <c r="X734" s="10" t="n"/>
      <c r="Y734" s="10" t="n"/>
      <c r="Z734" s="10" t="n"/>
      <c r="AA734" s="11">
        <f>IF(A734="","",IF(AND(J734="P4",F734="causal"),"P4-CAUSAL",""))</f>
        <v/>
      </c>
    </row>
    <row r="735" ht="15" customHeight="1" s="1">
      <c r="P735">
        <f>IF(OR(F735="",H735="",J735=""),"",J735&amp;"|"&amp;F735&amp;"|"&amp;IF(H735="W3","W3_"&amp;IF(I735="","unknown",I735),H735))</f>
        <v/>
      </c>
      <c r="Q735">
        <f>IF(P735="","",IFERROR(IF(AND(H735="W7",OR(F735="causal",F735="predictive")),IF(AND(OR(K735=1,K735="1"),OR(L735=1,L735="1"),OR(M735=1,M735="1")),"adequate","partial"),IF(AND(H735="W4",F735="predictive",OR(J735="P2",J735="P3",J735="P4")),IF(OR(U735=1,U735="1"),"adequate","partial"),INDEX(Fit_Matrix!$B:$B,MATCH(P735,Fit_Matrix!$A:$A,0)))),"CHECK KEY"))</f>
        <v/>
      </c>
      <c r="U735" s="10" t="n"/>
      <c r="V735" s="10" t="n"/>
      <c r="W735" s="10" t="n"/>
      <c r="X735" s="10" t="n"/>
      <c r="Y735" s="10" t="n"/>
      <c r="Z735" s="10" t="n"/>
      <c r="AA735" s="11">
        <f>IF(A735="","",IF(AND(J735="P4",F735="causal"),"P4-CAUSAL",""))</f>
        <v/>
      </c>
    </row>
    <row r="736" ht="15" customHeight="1" s="1">
      <c r="P736">
        <f>IF(OR(F736="",H736="",J736=""),"",J736&amp;"|"&amp;F736&amp;"|"&amp;IF(H736="W3","W3_"&amp;IF(I736="","unknown",I736),H736))</f>
        <v/>
      </c>
      <c r="Q736">
        <f>IF(P736="","",IFERROR(IF(AND(H736="W7",OR(F736="causal",F736="predictive")),IF(AND(OR(K736=1,K736="1"),OR(L736=1,L736="1"),OR(M736=1,M736="1")),"adequate","partial"),IF(AND(H736="W4",F736="predictive",OR(J736="P2",J736="P3",J736="P4")),IF(OR(U736=1,U736="1"),"adequate","partial"),INDEX(Fit_Matrix!$B:$B,MATCH(P736,Fit_Matrix!$A:$A,0)))),"CHECK KEY"))</f>
        <v/>
      </c>
      <c r="U736" s="10" t="n"/>
      <c r="V736" s="10" t="n"/>
      <c r="W736" s="10" t="n"/>
      <c r="X736" s="10" t="n"/>
      <c r="Y736" s="10" t="n"/>
      <c r="Z736" s="10" t="n"/>
      <c r="AA736" s="11">
        <f>IF(A736="","",IF(AND(J736="P4",F736="causal"),"P4-CAUSAL",""))</f>
        <v/>
      </c>
    </row>
    <row r="737" ht="15" customHeight="1" s="1">
      <c r="P737">
        <f>IF(OR(F737="",H737="",J737=""),"",J737&amp;"|"&amp;F737&amp;"|"&amp;IF(H737="W3","W3_"&amp;IF(I737="","unknown",I737),H737))</f>
        <v/>
      </c>
      <c r="Q737">
        <f>IF(P737="","",IFERROR(IF(AND(H737="W7",OR(F737="causal",F737="predictive")),IF(AND(OR(K737=1,K737="1"),OR(L737=1,L737="1"),OR(M737=1,M737="1")),"adequate","partial"),IF(AND(H737="W4",F737="predictive",OR(J737="P2",J737="P3",J737="P4")),IF(OR(U737=1,U737="1"),"adequate","partial"),INDEX(Fit_Matrix!$B:$B,MATCH(P737,Fit_Matrix!$A:$A,0)))),"CHECK KEY"))</f>
        <v/>
      </c>
      <c r="U737" s="10" t="n"/>
      <c r="V737" s="10" t="n"/>
      <c r="W737" s="10" t="n"/>
      <c r="X737" s="10" t="n"/>
      <c r="Y737" s="10" t="n"/>
      <c r="Z737" s="10" t="n"/>
      <c r="AA737" s="11">
        <f>IF(A737="","",IF(AND(J737="P4",F737="causal"),"P4-CAUSAL",""))</f>
        <v/>
      </c>
    </row>
    <row r="738" ht="15" customHeight="1" s="1">
      <c r="P738">
        <f>IF(OR(F738="",H738="",J738=""),"",J738&amp;"|"&amp;F738&amp;"|"&amp;IF(H738="W3","W3_"&amp;IF(I738="","unknown",I738),H738))</f>
        <v/>
      </c>
      <c r="Q738">
        <f>IF(P738="","",IFERROR(IF(AND(H738="W7",OR(F738="causal",F738="predictive")),IF(AND(OR(K738=1,K738="1"),OR(L738=1,L738="1"),OR(M738=1,M738="1")),"adequate","partial"),IF(AND(H738="W4",F738="predictive",OR(J738="P2",J738="P3",J738="P4")),IF(OR(U738=1,U738="1"),"adequate","partial"),INDEX(Fit_Matrix!$B:$B,MATCH(P738,Fit_Matrix!$A:$A,0)))),"CHECK KEY"))</f>
        <v/>
      </c>
      <c r="U738" s="10" t="n"/>
      <c r="V738" s="10" t="n"/>
      <c r="W738" s="10" t="n"/>
      <c r="X738" s="10" t="n"/>
      <c r="Y738" s="10" t="n"/>
      <c r="Z738" s="10" t="n"/>
      <c r="AA738" s="11">
        <f>IF(A738="","",IF(AND(J738="P4",F738="causal"),"P4-CAUSAL",""))</f>
        <v/>
      </c>
    </row>
    <row r="739" ht="15" customHeight="1" s="1">
      <c r="P739">
        <f>IF(OR(F739="",H739="",J739=""),"",J739&amp;"|"&amp;F739&amp;"|"&amp;IF(H739="W3","W3_"&amp;IF(I739="","unknown",I739),H739))</f>
        <v/>
      </c>
      <c r="Q739">
        <f>IF(P739="","",IFERROR(IF(AND(H739="W7",OR(F739="causal",F739="predictive")),IF(AND(OR(K739=1,K739="1"),OR(L739=1,L739="1"),OR(M739=1,M739="1")),"adequate","partial"),IF(AND(H739="W4",F739="predictive",OR(J739="P2",J739="P3",J739="P4")),IF(OR(U739=1,U739="1"),"adequate","partial"),INDEX(Fit_Matrix!$B:$B,MATCH(P739,Fit_Matrix!$A:$A,0)))),"CHECK KEY"))</f>
        <v/>
      </c>
      <c r="U739" s="10" t="n"/>
      <c r="V739" s="10" t="n"/>
      <c r="W739" s="10" t="n"/>
      <c r="X739" s="10" t="n"/>
      <c r="Y739" s="10" t="n"/>
      <c r="Z739" s="10" t="n"/>
      <c r="AA739" s="11">
        <f>IF(A739="","",IF(AND(J739="P4",F739="causal"),"P4-CAUSAL",""))</f>
        <v/>
      </c>
    </row>
    <row r="740" ht="15" customHeight="1" s="1">
      <c r="P740">
        <f>IF(OR(F740="",H740="",J740=""),"",J740&amp;"|"&amp;F740&amp;"|"&amp;IF(H740="W3","W3_"&amp;IF(I740="","unknown",I740),H740))</f>
        <v/>
      </c>
      <c r="Q740">
        <f>IF(P740="","",IFERROR(IF(AND(H740="W7",OR(F740="causal",F740="predictive")),IF(AND(OR(K740=1,K740="1"),OR(L740=1,L740="1"),OR(M740=1,M740="1")),"adequate","partial"),IF(AND(H740="W4",F740="predictive",OR(J740="P2",J740="P3",J740="P4")),IF(OR(U740=1,U740="1"),"adequate","partial"),INDEX(Fit_Matrix!$B:$B,MATCH(P740,Fit_Matrix!$A:$A,0)))),"CHECK KEY"))</f>
        <v/>
      </c>
      <c r="U740" s="10" t="n"/>
      <c r="V740" s="10" t="n"/>
      <c r="W740" s="10" t="n"/>
      <c r="X740" s="10" t="n"/>
      <c r="Y740" s="10" t="n"/>
      <c r="Z740" s="10" t="n"/>
      <c r="AA740" s="11">
        <f>IF(A740="","",IF(AND(J740="P4",F740="causal"),"P4-CAUSAL",""))</f>
        <v/>
      </c>
    </row>
    <row r="741" ht="15" customHeight="1" s="1">
      <c r="P741">
        <f>IF(OR(F741="",H741="",J741=""),"",J741&amp;"|"&amp;F741&amp;"|"&amp;IF(H741="W3","W3_"&amp;IF(I741="","unknown",I741),H741))</f>
        <v/>
      </c>
      <c r="Q741">
        <f>IF(P741="","",IFERROR(IF(AND(H741="W7",OR(F741="causal",F741="predictive")),IF(AND(OR(K741=1,K741="1"),OR(L741=1,L741="1"),OR(M741=1,M741="1")),"adequate","partial"),IF(AND(H741="W4",F741="predictive",OR(J741="P2",J741="P3",J741="P4")),IF(OR(U741=1,U741="1"),"adequate","partial"),INDEX(Fit_Matrix!$B:$B,MATCH(P741,Fit_Matrix!$A:$A,0)))),"CHECK KEY"))</f>
        <v/>
      </c>
      <c r="U741" s="10" t="n"/>
      <c r="V741" s="10" t="n"/>
      <c r="W741" s="10" t="n"/>
      <c r="X741" s="10" t="n"/>
      <c r="Y741" s="10" t="n"/>
      <c r="Z741" s="10" t="n"/>
      <c r="AA741" s="11">
        <f>IF(A741="","",IF(AND(J741="P4",F741="causal"),"P4-CAUSAL",""))</f>
        <v/>
      </c>
    </row>
    <row r="742" ht="15" customHeight="1" s="1">
      <c r="P742">
        <f>IF(OR(F742="",H742="",J742=""),"",J742&amp;"|"&amp;F742&amp;"|"&amp;IF(H742="W3","W3_"&amp;IF(I742="","unknown",I742),H742))</f>
        <v/>
      </c>
      <c r="Q742">
        <f>IF(P742="","",IFERROR(IF(AND(H742="W7",OR(F742="causal",F742="predictive")),IF(AND(OR(K742=1,K742="1"),OR(L742=1,L742="1"),OR(M742=1,M742="1")),"adequate","partial"),IF(AND(H742="W4",F742="predictive",OR(J742="P2",J742="P3",J742="P4")),IF(OR(U742=1,U742="1"),"adequate","partial"),INDEX(Fit_Matrix!$B:$B,MATCH(P742,Fit_Matrix!$A:$A,0)))),"CHECK KEY"))</f>
        <v/>
      </c>
      <c r="U742" s="10" t="n"/>
      <c r="V742" s="10" t="n"/>
      <c r="W742" s="10" t="n"/>
      <c r="X742" s="10" t="n"/>
      <c r="Y742" s="10" t="n"/>
      <c r="Z742" s="10" t="n"/>
      <c r="AA742" s="11">
        <f>IF(A742="","",IF(AND(J742="P4",F742="causal"),"P4-CAUSAL",""))</f>
        <v/>
      </c>
    </row>
    <row r="743" ht="15" customHeight="1" s="1">
      <c r="P743">
        <f>IF(OR(F743="",H743="",J743=""),"",J743&amp;"|"&amp;F743&amp;"|"&amp;IF(H743="W3","W3_"&amp;IF(I743="","unknown",I743),H743))</f>
        <v/>
      </c>
      <c r="Q743">
        <f>IF(P743="","",IFERROR(IF(AND(H743="W7",OR(F743="causal",F743="predictive")),IF(AND(OR(K743=1,K743="1"),OR(L743=1,L743="1"),OR(M743=1,M743="1")),"adequate","partial"),IF(AND(H743="W4",F743="predictive",OR(J743="P2",J743="P3",J743="P4")),IF(OR(U743=1,U743="1"),"adequate","partial"),INDEX(Fit_Matrix!$B:$B,MATCH(P743,Fit_Matrix!$A:$A,0)))),"CHECK KEY"))</f>
        <v/>
      </c>
      <c r="U743" s="10" t="n"/>
      <c r="V743" s="10" t="n"/>
      <c r="W743" s="10" t="n"/>
      <c r="X743" s="10" t="n"/>
      <c r="Y743" s="10" t="n"/>
      <c r="Z743" s="10" t="n"/>
      <c r="AA743" s="11">
        <f>IF(A743="","",IF(AND(J743="P4",F743="causal"),"P4-CAUSAL",""))</f>
        <v/>
      </c>
    </row>
    <row r="744" ht="15" customHeight="1" s="1">
      <c r="P744">
        <f>IF(OR(F744="",H744="",J744=""),"",J744&amp;"|"&amp;F744&amp;"|"&amp;IF(H744="W3","W3_"&amp;IF(I744="","unknown",I744),H744))</f>
        <v/>
      </c>
      <c r="Q744">
        <f>IF(P744="","",IFERROR(IF(AND(H744="W7",OR(F744="causal",F744="predictive")),IF(AND(OR(K744=1,K744="1"),OR(L744=1,L744="1"),OR(M744=1,M744="1")),"adequate","partial"),IF(AND(H744="W4",F744="predictive",OR(J744="P2",J744="P3",J744="P4")),IF(OR(U744=1,U744="1"),"adequate","partial"),INDEX(Fit_Matrix!$B:$B,MATCH(P744,Fit_Matrix!$A:$A,0)))),"CHECK KEY"))</f>
        <v/>
      </c>
      <c r="U744" s="10" t="n"/>
      <c r="V744" s="10" t="n"/>
      <c r="W744" s="10" t="n"/>
      <c r="X744" s="10" t="n"/>
      <c r="Y744" s="10" t="n"/>
      <c r="Z744" s="10" t="n"/>
      <c r="AA744" s="11">
        <f>IF(A744="","",IF(AND(J744="P4",F744="causal"),"P4-CAUSAL",""))</f>
        <v/>
      </c>
    </row>
    <row r="745" ht="15" customHeight="1" s="1">
      <c r="P745">
        <f>IF(OR(F745="",H745="",J745=""),"",J745&amp;"|"&amp;F745&amp;"|"&amp;IF(H745="W3","W3_"&amp;IF(I745="","unknown",I745),H745))</f>
        <v/>
      </c>
      <c r="Q745">
        <f>IF(P745="","",IFERROR(IF(AND(H745="W7",OR(F745="causal",F745="predictive")),IF(AND(OR(K745=1,K745="1"),OR(L745=1,L745="1"),OR(M745=1,M745="1")),"adequate","partial"),IF(AND(H745="W4",F745="predictive",OR(J745="P2",J745="P3",J745="P4")),IF(OR(U745=1,U745="1"),"adequate","partial"),INDEX(Fit_Matrix!$B:$B,MATCH(P745,Fit_Matrix!$A:$A,0)))),"CHECK KEY"))</f>
        <v/>
      </c>
      <c r="U745" s="10" t="n"/>
      <c r="V745" s="10" t="n"/>
      <c r="W745" s="10" t="n"/>
      <c r="X745" s="10" t="n"/>
      <c r="Y745" s="10" t="n"/>
      <c r="Z745" s="10" t="n"/>
      <c r="AA745" s="11">
        <f>IF(A745="","",IF(AND(J745="P4",F745="causal"),"P4-CAUSAL",""))</f>
        <v/>
      </c>
    </row>
    <row r="746" ht="15" customHeight="1" s="1">
      <c r="P746">
        <f>IF(OR(F746="",H746="",J746=""),"",J746&amp;"|"&amp;F746&amp;"|"&amp;IF(H746="W3","W3_"&amp;IF(I746="","unknown",I746),H746))</f>
        <v/>
      </c>
      <c r="Q746">
        <f>IF(P746="","",IFERROR(IF(AND(H746="W7",OR(F746="causal",F746="predictive")),IF(AND(OR(K746=1,K746="1"),OR(L746=1,L746="1"),OR(M746=1,M746="1")),"adequate","partial"),IF(AND(H746="W4",F746="predictive",OR(J746="P2",J746="P3",J746="P4")),IF(OR(U746=1,U746="1"),"adequate","partial"),INDEX(Fit_Matrix!$B:$B,MATCH(P746,Fit_Matrix!$A:$A,0)))),"CHECK KEY"))</f>
        <v/>
      </c>
      <c r="U746" s="10" t="n"/>
      <c r="V746" s="10" t="n"/>
      <c r="W746" s="10" t="n"/>
      <c r="X746" s="10" t="n"/>
      <c r="Y746" s="10" t="n"/>
      <c r="Z746" s="10" t="n"/>
      <c r="AA746" s="11">
        <f>IF(A746="","",IF(AND(J746="P4",F746="causal"),"P4-CAUSAL",""))</f>
        <v/>
      </c>
    </row>
    <row r="747" ht="15" customHeight="1" s="1">
      <c r="P747">
        <f>IF(OR(F747="",H747="",J747=""),"",J747&amp;"|"&amp;F747&amp;"|"&amp;IF(H747="W3","W3_"&amp;IF(I747="","unknown",I747),H747))</f>
        <v/>
      </c>
      <c r="Q747">
        <f>IF(P747="","",IFERROR(IF(AND(H747="W7",OR(F747="causal",F747="predictive")),IF(AND(OR(K747=1,K747="1"),OR(L747=1,L747="1"),OR(M747=1,M747="1")),"adequate","partial"),IF(AND(H747="W4",F747="predictive",OR(J747="P2",J747="P3",J747="P4")),IF(OR(U747=1,U747="1"),"adequate","partial"),INDEX(Fit_Matrix!$B:$B,MATCH(P747,Fit_Matrix!$A:$A,0)))),"CHECK KEY"))</f>
        <v/>
      </c>
      <c r="U747" s="10" t="n"/>
      <c r="V747" s="10" t="n"/>
      <c r="W747" s="10" t="n"/>
      <c r="X747" s="10" t="n"/>
      <c r="Y747" s="10" t="n"/>
      <c r="Z747" s="10" t="n"/>
      <c r="AA747" s="11">
        <f>IF(A747="","",IF(AND(J747="P4",F747="causal"),"P4-CAUSAL",""))</f>
        <v/>
      </c>
    </row>
    <row r="748" ht="15" customHeight="1" s="1">
      <c r="P748">
        <f>IF(OR(F748="",H748="",J748=""),"",J748&amp;"|"&amp;F748&amp;"|"&amp;IF(H748="W3","W3_"&amp;IF(I748="","unknown",I748),H748))</f>
        <v/>
      </c>
      <c r="Q748">
        <f>IF(P748="","",IFERROR(IF(AND(H748="W7",OR(F748="causal",F748="predictive")),IF(AND(OR(K748=1,K748="1"),OR(L748=1,L748="1"),OR(M748=1,M748="1")),"adequate","partial"),IF(AND(H748="W4",F748="predictive",OR(J748="P2",J748="P3",J748="P4")),IF(OR(U748=1,U748="1"),"adequate","partial"),INDEX(Fit_Matrix!$B:$B,MATCH(P748,Fit_Matrix!$A:$A,0)))),"CHECK KEY"))</f>
        <v/>
      </c>
      <c r="U748" s="10" t="n"/>
      <c r="V748" s="10" t="n"/>
      <c r="W748" s="10" t="n"/>
      <c r="X748" s="10" t="n"/>
      <c r="Y748" s="10" t="n"/>
      <c r="Z748" s="10" t="n"/>
      <c r="AA748" s="11">
        <f>IF(A748="","",IF(AND(J748="P4",F748="causal"),"P4-CAUSAL",""))</f>
        <v/>
      </c>
    </row>
    <row r="749" ht="15" customHeight="1" s="1">
      <c r="P749">
        <f>IF(OR(F749="",H749="",J749=""),"",J749&amp;"|"&amp;F749&amp;"|"&amp;IF(H749="W3","W3_"&amp;IF(I749="","unknown",I749),H749))</f>
        <v/>
      </c>
      <c r="Q749">
        <f>IF(P749="","",IFERROR(IF(AND(H749="W7",OR(F749="causal",F749="predictive")),IF(AND(OR(K749=1,K749="1"),OR(L749=1,L749="1"),OR(M749=1,M749="1")),"adequate","partial"),IF(AND(H749="W4",F749="predictive",OR(J749="P2",J749="P3",J749="P4")),IF(OR(U749=1,U749="1"),"adequate","partial"),INDEX(Fit_Matrix!$B:$B,MATCH(P749,Fit_Matrix!$A:$A,0)))),"CHECK KEY"))</f>
        <v/>
      </c>
      <c r="U749" s="10" t="n"/>
      <c r="V749" s="10" t="n"/>
      <c r="W749" s="10" t="n"/>
      <c r="X749" s="10" t="n"/>
      <c r="Y749" s="10" t="n"/>
      <c r="Z749" s="10" t="n"/>
      <c r="AA749" s="11">
        <f>IF(A749="","",IF(AND(J749="P4",F749="causal"),"P4-CAUSAL",""))</f>
        <v/>
      </c>
    </row>
    <row r="750" ht="15" customHeight="1" s="1">
      <c r="P750">
        <f>IF(OR(F750="",H750="",J750=""),"",J750&amp;"|"&amp;F750&amp;"|"&amp;IF(H750="W3","W3_"&amp;IF(I750="","unknown",I750),H750))</f>
        <v/>
      </c>
      <c r="Q750">
        <f>IF(P750="","",IFERROR(IF(AND(H750="W7",OR(F750="causal",F750="predictive")),IF(AND(OR(K750=1,K750="1"),OR(L750=1,L750="1"),OR(M750=1,M750="1")),"adequate","partial"),IF(AND(H750="W4",F750="predictive",OR(J750="P2",J750="P3",J750="P4")),IF(OR(U750=1,U750="1"),"adequate","partial"),INDEX(Fit_Matrix!$B:$B,MATCH(P750,Fit_Matrix!$A:$A,0)))),"CHECK KEY"))</f>
        <v/>
      </c>
      <c r="U750" s="10" t="n"/>
      <c r="V750" s="10" t="n"/>
      <c r="W750" s="10" t="n"/>
      <c r="X750" s="10" t="n"/>
      <c r="Y750" s="10" t="n"/>
      <c r="Z750" s="10" t="n"/>
      <c r="AA750" s="11">
        <f>IF(A750="","",IF(AND(J750="P4",F750="causal"),"P4-CAUSAL",""))</f>
        <v/>
      </c>
    </row>
    <row r="751" ht="15" customHeight="1" s="1">
      <c r="P751">
        <f>IF(OR(F751="",H751="",J751=""),"",J751&amp;"|"&amp;F751&amp;"|"&amp;IF(H751="W3","W3_"&amp;IF(I751="","unknown",I751),H751))</f>
        <v/>
      </c>
      <c r="Q751">
        <f>IF(P751="","",IFERROR(IF(AND(H751="W7",OR(F751="causal",F751="predictive")),IF(AND(OR(K751=1,K751="1"),OR(L751=1,L751="1"),OR(M751=1,M751="1")),"adequate","partial"),IF(AND(H751="W4",F751="predictive",OR(J751="P2",J751="P3",J751="P4")),IF(OR(U751=1,U751="1"),"adequate","partial"),INDEX(Fit_Matrix!$B:$B,MATCH(P751,Fit_Matrix!$A:$A,0)))),"CHECK KEY"))</f>
        <v/>
      </c>
      <c r="U751" s="10" t="n"/>
      <c r="V751" s="10" t="n"/>
      <c r="W751" s="10" t="n"/>
      <c r="X751" s="10" t="n"/>
      <c r="Y751" s="10" t="n"/>
      <c r="Z751" s="10" t="n"/>
      <c r="AA751" s="11">
        <f>IF(A751="","",IF(AND(J751="P4",F751="causal"),"P4-CAUSAL",""))</f>
        <v/>
      </c>
    </row>
    <row r="752" ht="15" customHeight="1" s="1">
      <c r="P752">
        <f>IF(OR(F752="",H752="",J752=""),"",J752&amp;"|"&amp;F752&amp;"|"&amp;IF(H752="W3","W3_"&amp;IF(I752="","unknown",I752),H752))</f>
        <v/>
      </c>
      <c r="Q752">
        <f>IF(P752="","",IFERROR(IF(AND(H752="W7",OR(F752="causal",F752="predictive")),IF(AND(OR(K752=1,K752="1"),OR(L752=1,L752="1"),OR(M752=1,M752="1")),"adequate","partial"),IF(AND(H752="W4",F752="predictive",OR(J752="P2",J752="P3",J752="P4")),IF(OR(U752=1,U752="1"),"adequate","partial"),INDEX(Fit_Matrix!$B:$B,MATCH(P752,Fit_Matrix!$A:$A,0)))),"CHECK KEY"))</f>
        <v/>
      </c>
      <c r="U752" s="10" t="n"/>
      <c r="V752" s="10" t="n"/>
      <c r="W752" s="10" t="n"/>
      <c r="X752" s="10" t="n"/>
      <c r="Y752" s="10" t="n"/>
      <c r="Z752" s="10" t="n"/>
      <c r="AA752" s="11">
        <f>IF(A752="","",IF(AND(J752="P4",F752="causal"),"P4-CAUSAL",""))</f>
        <v/>
      </c>
    </row>
    <row r="753" ht="15" customHeight="1" s="1">
      <c r="P753">
        <f>IF(OR(F753="",H753="",J753=""),"",J753&amp;"|"&amp;F753&amp;"|"&amp;IF(H753="W3","W3_"&amp;IF(I753="","unknown",I753),H753))</f>
        <v/>
      </c>
      <c r="Q753">
        <f>IF(P753="","",IFERROR(IF(AND(H753="W7",OR(F753="causal",F753="predictive")),IF(AND(OR(K753=1,K753="1"),OR(L753=1,L753="1"),OR(M753=1,M753="1")),"adequate","partial"),IF(AND(H753="W4",F753="predictive",OR(J753="P2",J753="P3",J753="P4")),IF(OR(U753=1,U753="1"),"adequate","partial"),INDEX(Fit_Matrix!$B:$B,MATCH(P753,Fit_Matrix!$A:$A,0)))),"CHECK KEY"))</f>
        <v/>
      </c>
      <c r="U753" s="10" t="n"/>
      <c r="V753" s="10" t="n"/>
      <c r="W753" s="10" t="n"/>
      <c r="X753" s="10" t="n"/>
      <c r="Y753" s="10" t="n"/>
      <c r="Z753" s="10" t="n"/>
      <c r="AA753" s="11">
        <f>IF(A753="","",IF(AND(J753="P4",F753="causal"),"P4-CAUSAL",""))</f>
        <v/>
      </c>
    </row>
    <row r="754" ht="15" customHeight="1" s="1">
      <c r="P754">
        <f>IF(OR(F754="",H754="",J754=""),"",J754&amp;"|"&amp;F754&amp;"|"&amp;IF(H754="W3","W3_"&amp;IF(I754="","unknown",I754),H754))</f>
        <v/>
      </c>
      <c r="Q754">
        <f>IF(P754="","",IFERROR(IF(AND(H754="W7",OR(F754="causal",F754="predictive")),IF(AND(OR(K754=1,K754="1"),OR(L754=1,L754="1"),OR(M754=1,M754="1")),"adequate","partial"),IF(AND(H754="W4",F754="predictive",OR(J754="P2",J754="P3",J754="P4")),IF(OR(U754=1,U754="1"),"adequate","partial"),INDEX(Fit_Matrix!$B:$B,MATCH(P754,Fit_Matrix!$A:$A,0)))),"CHECK KEY"))</f>
        <v/>
      </c>
      <c r="U754" s="10" t="n"/>
      <c r="V754" s="10" t="n"/>
      <c r="W754" s="10" t="n"/>
      <c r="X754" s="10" t="n"/>
      <c r="Y754" s="10" t="n"/>
      <c r="Z754" s="10" t="n"/>
      <c r="AA754" s="11">
        <f>IF(A754="","",IF(AND(J754="P4",F754="causal"),"P4-CAUSAL",""))</f>
        <v/>
      </c>
    </row>
    <row r="755" ht="15" customHeight="1" s="1">
      <c r="P755">
        <f>IF(OR(F755="",H755="",J755=""),"",J755&amp;"|"&amp;F755&amp;"|"&amp;IF(H755="W3","W3_"&amp;IF(I755="","unknown",I755),H755))</f>
        <v/>
      </c>
      <c r="Q755">
        <f>IF(P755="","",IFERROR(IF(AND(H755="W7",OR(F755="causal",F755="predictive")),IF(AND(OR(K755=1,K755="1"),OR(L755=1,L755="1"),OR(M755=1,M755="1")),"adequate","partial"),IF(AND(H755="W4",F755="predictive",OR(J755="P2",J755="P3",J755="P4")),IF(OR(U755=1,U755="1"),"adequate","partial"),INDEX(Fit_Matrix!$B:$B,MATCH(P755,Fit_Matrix!$A:$A,0)))),"CHECK KEY"))</f>
        <v/>
      </c>
      <c r="U755" s="10" t="n"/>
      <c r="V755" s="10" t="n"/>
      <c r="W755" s="10" t="n"/>
      <c r="X755" s="10" t="n"/>
      <c r="Y755" s="10" t="n"/>
      <c r="Z755" s="10" t="n"/>
      <c r="AA755" s="11">
        <f>IF(A755="","",IF(AND(J755="P4",F755="causal"),"P4-CAUSAL",""))</f>
        <v/>
      </c>
    </row>
    <row r="756" ht="15" customHeight="1" s="1">
      <c r="P756">
        <f>IF(OR(F756="",H756="",J756=""),"",J756&amp;"|"&amp;F756&amp;"|"&amp;IF(H756="W3","W3_"&amp;IF(I756="","unknown",I756),H756))</f>
        <v/>
      </c>
      <c r="Q756">
        <f>IF(P756="","",IFERROR(IF(AND(H756="W7",OR(F756="causal",F756="predictive")),IF(AND(OR(K756=1,K756="1"),OR(L756=1,L756="1"),OR(M756=1,M756="1")),"adequate","partial"),IF(AND(H756="W4",F756="predictive",OR(J756="P2",J756="P3",J756="P4")),IF(OR(U756=1,U756="1"),"adequate","partial"),INDEX(Fit_Matrix!$B:$B,MATCH(P756,Fit_Matrix!$A:$A,0)))),"CHECK KEY"))</f>
        <v/>
      </c>
      <c r="U756" s="10" t="n"/>
      <c r="V756" s="10" t="n"/>
      <c r="W756" s="10" t="n"/>
      <c r="X756" s="10" t="n"/>
      <c r="Y756" s="10" t="n"/>
      <c r="Z756" s="10" t="n"/>
      <c r="AA756" s="11">
        <f>IF(A756="","",IF(AND(J756="P4",F756="causal"),"P4-CAUSAL",""))</f>
        <v/>
      </c>
    </row>
    <row r="757" ht="15" customHeight="1" s="1">
      <c r="P757">
        <f>IF(OR(F757="",H757="",J757=""),"",J757&amp;"|"&amp;F757&amp;"|"&amp;IF(H757="W3","W3_"&amp;IF(I757="","unknown",I757),H757))</f>
        <v/>
      </c>
      <c r="Q757">
        <f>IF(P757="","",IFERROR(IF(AND(H757="W7",OR(F757="causal",F757="predictive")),IF(AND(OR(K757=1,K757="1"),OR(L757=1,L757="1"),OR(M757=1,M757="1")),"adequate","partial"),IF(AND(H757="W4",F757="predictive",OR(J757="P2",J757="P3",J757="P4")),IF(OR(U757=1,U757="1"),"adequate","partial"),INDEX(Fit_Matrix!$B:$B,MATCH(P757,Fit_Matrix!$A:$A,0)))),"CHECK KEY"))</f>
        <v/>
      </c>
      <c r="U757" s="10" t="n"/>
      <c r="V757" s="10" t="n"/>
      <c r="W757" s="10" t="n"/>
      <c r="X757" s="10" t="n"/>
      <c r="Y757" s="10" t="n"/>
      <c r="Z757" s="10" t="n"/>
      <c r="AA757" s="11">
        <f>IF(A757="","",IF(AND(J757="P4",F757="causal"),"P4-CAUSAL",""))</f>
        <v/>
      </c>
    </row>
    <row r="758" ht="15" customHeight="1" s="1">
      <c r="P758">
        <f>IF(OR(F758="",H758="",J758=""),"",J758&amp;"|"&amp;F758&amp;"|"&amp;IF(H758="W3","W3_"&amp;IF(I758="","unknown",I758),H758))</f>
        <v/>
      </c>
      <c r="Q758">
        <f>IF(P758="","",IFERROR(IF(AND(H758="W7",OR(F758="causal",F758="predictive")),IF(AND(OR(K758=1,K758="1"),OR(L758=1,L758="1"),OR(M758=1,M758="1")),"adequate","partial"),IF(AND(H758="W4",F758="predictive",OR(J758="P2",J758="P3",J758="P4")),IF(OR(U758=1,U758="1"),"adequate","partial"),INDEX(Fit_Matrix!$B:$B,MATCH(P758,Fit_Matrix!$A:$A,0)))),"CHECK KEY"))</f>
        <v/>
      </c>
      <c r="U758" s="10" t="n"/>
      <c r="V758" s="10" t="n"/>
      <c r="W758" s="10" t="n"/>
      <c r="X758" s="10" t="n"/>
      <c r="Y758" s="10" t="n"/>
      <c r="Z758" s="10" t="n"/>
      <c r="AA758" s="11">
        <f>IF(A758="","",IF(AND(J758="P4",F758="causal"),"P4-CAUSAL",""))</f>
        <v/>
      </c>
    </row>
    <row r="759" ht="15" customHeight="1" s="1">
      <c r="P759">
        <f>IF(OR(F759="",H759="",J759=""),"",J759&amp;"|"&amp;F759&amp;"|"&amp;IF(H759="W3","W3_"&amp;IF(I759="","unknown",I759),H759))</f>
        <v/>
      </c>
      <c r="Q759">
        <f>IF(P759="","",IFERROR(IF(AND(H759="W7",OR(F759="causal",F759="predictive")),IF(AND(OR(K759=1,K759="1"),OR(L759=1,L759="1"),OR(M759=1,M759="1")),"adequate","partial"),IF(AND(H759="W4",F759="predictive",OR(J759="P2",J759="P3",J759="P4")),IF(OR(U759=1,U759="1"),"adequate","partial"),INDEX(Fit_Matrix!$B:$B,MATCH(P759,Fit_Matrix!$A:$A,0)))),"CHECK KEY"))</f>
        <v/>
      </c>
      <c r="U759" s="10" t="n"/>
      <c r="V759" s="10" t="n"/>
      <c r="W759" s="10" t="n"/>
      <c r="X759" s="10" t="n"/>
      <c r="Y759" s="10" t="n"/>
      <c r="Z759" s="10" t="n"/>
      <c r="AA759" s="11">
        <f>IF(A759="","",IF(AND(J759="P4",F759="causal"),"P4-CAUSAL",""))</f>
        <v/>
      </c>
    </row>
    <row r="760" ht="15" customHeight="1" s="1">
      <c r="P760">
        <f>IF(OR(F760="",H760="",J760=""),"",J760&amp;"|"&amp;F760&amp;"|"&amp;IF(H760="W3","W3_"&amp;IF(I760="","unknown",I760),H760))</f>
        <v/>
      </c>
      <c r="Q760">
        <f>IF(P760="","",IFERROR(IF(AND(H760="W7",OR(F760="causal",F760="predictive")),IF(AND(OR(K760=1,K760="1"),OR(L760=1,L760="1"),OR(M760=1,M760="1")),"adequate","partial"),IF(AND(H760="W4",F760="predictive",OR(J760="P2",J760="P3",J760="P4")),IF(OR(U760=1,U760="1"),"adequate","partial"),INDEX(Fit_Matrix!$B:$B,MATCH(P760,Fit_Matrix!$A:$A,0)))),"CHECK KEY"))</f>
        <v/>
      </c>
      <c r="U760" s="10" t="n"/>
      <c r="V760" s="10" t="n"/>
      <c r="W760" s="10" t="n"/>
      <c r="X760" s="10" t="n"/>
      <c r="Y760" s="10" t="n"/>
      <c r="Z760" s="10" t="n"/>
      <c r="AA760" s="11">
        <f>IF(A760="","",IF(AND(J760="P4",F760="causal"),"P4-CAUSAL",""))</f>
        <v/>
      </c>
    </row>
    <row r="761" ht="15" customHeight="1" s="1">
      <c r="P761">
        <f>IF(OR(F761="",H761="",J761=""),"",J761&amp;"|"&amp;F761&amp;"|"&amp;IF(H761="W3","W3_"&amp;IF(I761="","unknown",I761),H761))</f>
        <v/>
      </c>
      <c r="Q761">
        <f>IF(P761="","",IFERROR(IF(AND(H761="W7",OR(F761="causal",F761="predictive")),IF(AND(OR(K761=1,K761="1"),OR(L761=1,L761="1"),OR(M761=1,M761="1")),"adequate","partial"),IF(AND(H761="W4",F761="predictive",OR(J761="P2",J761="P3",J761="P4")),IF(OR(U761=1,U761="1"),"adequate","partial"),INDEX(Fit_Matrix!$B:$B,MATCH(P761,Fit_Matrix!$A:$A,0)))),"CHECK KEY"))</f>
        <v/>
      </c>
      <c r="U761" s="10" t="n"/>
      <c r="V761" s="10" t="n"/>
      <c r="W761" s="10" t="n"/>
      <c r="X761" s="10" t="n"/>
      <c r="Y761" s="10" t="n"/>
      <c r="Z761" s="10" t="n"/>
      <c r="AA761" s="11">
        <f>IF(A761="","",IF(AND(J761="P4",F761="causal"),"P4-CAUSAL",""))</f>
        <v/>
      </c>
    </row>
    <row r="762" ht="15" customHeight="1" s="1">
      <c r="P762">
        <f>IF(OR(F762="",H762="",J762=""),"",J762&amp;"|"&amp;F762&amp;"|"&amp;IF(H762="W3","W3_"&amp;IF(I762="","unknown",I762),H762))</f>
        <v/>
      </c>
      <c r="Q762">
        <f>IF(P762="","",IFERROR(IF(AND(H762="W7",OR(F762="causal",F762="predictive")),IF(AND(OR(K762=1,K762="1"),OR(L762=1,L762="1"),OR(M762=1,M762="1")),"adequate","partial"),IF(AND(H762="W4",F762="predictive",OR(J762="P2",J762="P3",J762="P4")),IF(OR(U762=1,U762="1"),"adequate","partial"),INDEX(Fit_Matrix!$B:$B,MATCH(P762,Fit_Matrix!$A:$A,0)))),"CHECK KEY"))</f>
        <v/>
      </c>
      <c r="U762" s="10" t="n"/>
      <c r="V762" s="10" t="n"/>
      <c r="W762" s="10" t="n"/>
      <c r="X762" s="10" t="n"/>
      <c r="Y762" s="10" t="n"/>
      <c r="Z762" s="10" t="n"/>
      <c r="AA762" s="11">
        <f>IF(A762="","",IF(AND(J762="P4",F762="causal"),"P4-CAUSAL",""))</f>
        <v/>
      </c>
    </row>
    <row r="763" ht="15" customHeight="1" s="1">
      <c r="P763">
        <f>IF(OR(F763="",H763="",J763=""),"",J763&amp;"|"&amp;F763&amp;"|"&amp;IF(H763="W3","W3_"&amp;IF(I763="","unknown",I763),H763))</f>
        <v/>
      </c>
      <c r="Q763">
        <f>IF(P763="","",IFERROR(IF(AND(H763="W7",OR(F763="causal",F763="predictive")),IF(AND(OR(K763=1,K763="1"),OR(L763=1,L763="1"),OR(M763=1,M763="1")),"adequate","partial"),IF(AND(H763="W4",F763="predictive",OR(J763="P2",J763="P3",J763="P4")),IF(OR(U763=1,U763="1"),"adequate","partial"),INDEX(Fit_Matrix!$B:$B,MATCH(P763,Fit_Matrix!$A:$A,0)))),"CHECK KEY"))</f>
        <v/>
      </c>
      <c r="U763" s="10" t="n"/>
      <c r="V763" s="10" t="n"/>
      <c r="W763" s="10" t="n"/>
      <c r="X763" s="10" t="n"/>
      <c r="Y763" s="10" t="n"/>
      <c r="Z763" s="10" t="n"/>
      <c r="AA763" s="11">
        <f>IF(A763="","",IF(AND(J763="P4",F763="causal"),"P4-CAUSAL",""))</f>
        <v/>
      </c>
    </row>
    <row r="764" ht="15" customHeight="1" s="1">
      <c r="P764">
        <f>IF(OR(F764="",H764="",J764=""),"",J764&amp;"|"&amp;F764&amp;"|"&amp;IF(H764="W3","W3_"&amp;IF(I764="","unknown",I764),H764))</f>
        <v/>
      </c>
      <c r="Q764">
        <f>IF(P764="","",IFERROR(IF(AND(H764="W7",OR(F764="causal",F764="predictive")),IF(AND(OR(K764=1,K764="1"),OR(L764=1,L764="1"),OR(M764=1,M764="1")),"adequate","partial"),IF(AND(H764="W4",F764="predictive",OR(J764="P2",J764="P3",J764="P4")),IF(OR(U764=1,U764="1"),"adequate","partial"),INDEX(Fit_Matrix!$B:$B,MATCH(P764,Fit_Matrix!$A:$A,0)))),"CHECK KEY"))</f>
        <v/>
      </c>
      <c r="U764" s="10" t="n"/>
      <c r="V764" s="10" t="n"/>
      <c r="W764" s="10" t="n"/>
      <c r="X764" s="10" t="n"/>
      <c r="Y764" s="10" t="n"/>
      <c r="Z764" s="10" t="n"/>
      <c r="AA764" s="11">
        <f>IF(A764="","",IF(AND(J764="P4",F764="causal"),"P4-CAUSAL",""))</f>
        <v/>
      </c>
    </row>
    <row r="765" ht="15" customHeight="1" s="1">
      <c r="P765">
        <f>IF(OR(F765="",H765="",J765=""),"",J765&amp;"|"&amp;F765&amp;"|"&amp;IF(H765="W3","W3_"&amp;IF(I765="","unknown",I765),H765))</f>
        <v/>
      </c>
      <c r="Q765">
        <f>IF(P765="","",IFERROR(IF(AND(H765="W7",OR(F765="causal",F765="predictive")),IF(AND(OR(K765=1,K765="1"),OR(L765=1,L765="1"),OR(M765=1,M765="1")),"adequate","partial"),IF(AND(H765="W4",F765="predictive",OR(J765="P2",J765="P3",J765="P4")),IF(OR(U765=1,U765="1"),"adequate","partial"),INDEX(Fit_Matrix!$B:$B,MATCH(P765,Fit_Matrix!$A:$A,0)))),"CHECK KEY"))</f>
        <v/>
      </c>
      <c r="U765" s="10" t="n"/>
      <c r="V765" s="10" t="n"/>
      <c r="W765" s="10" t="n"/>
      <c r="X765" s="10" t="n"/>
      <c r="Y765" s="10" t="n"/>
      <c r="Z765" s="10" t="n"/>
      <c r="AA765" s="11">
        <f>IF(A765="","",IF(AND(J765="P4",F765="causal"),"P4-CAUSAL",""))</f>
        <v/>
      </c>
    </row>
    <row r="766" ht="15" customHeight="1" s="1">
      <c r="P766">
        <f>IF(OR(F766="",H766="",J766=""),"",J766&amp;"|"&amp;F766&amp;"|"&amp;IF(H766="W3","W3_"&amp;IF(I766="","unknown",I766),H766))</f>
        <v/>
      </c>
      <c r="Q766">
        <f>IF(P766="","",IFERROR(IF(AND(H766="W7",OR(F766="causal",F766="predictive")),IF(AND(OR(K766=1,K766="1"),OR(L766=1,L766="1"),OR(M766=1,M766="1")),"adequate","partial"),IF(AND(H766="W4",F766="predictive",OR(J766="P2",J766="P3",J766="P4")),IF(OR(U766=1,U766="1"),"adequate","partial"),INDEX(Fit_Matrix!$B:$B,MATCH(P766,Fit_Matrix!$A:$A,0)))),"CHECK KEY"))</f>
        <v/>
      </c>
      <c r="U766" s="10" t="n"/>
      <c r="V766" s="10" t="n"/>
      <c r="W766" s="10" t="n"/>
      <c r="X766" s="10" t="n"/>
      <c r="Y766" s="10" t="n"/>
      <c r="Z766" s="10" t="n"/>
      <c r="AA766" s="11">
        <f>IF(A766="","",IF(AND(J766="P4",F766="causal"),"P4-CAUSAL",""))</f>
        <v/>
      </c>
    </row>
    <row r="767" ht="15" customHeight="1" s="1">
      <c r="P767">
        <f>IF(OR(F767="",H767="",J767=""),"",J767&amp;"|"&amp;F767&amp;"|"&amp;IF(H767="W3","W3_"&amp;IF(I767="","unknown",I767),H767))</f>
        <v/>
      </c>
      <c r="Q767">
        <f>IF(P767="","",IFERROR(IF(AND(H767="W7",OR(F767="causal",F767="predictive")),IF(AND(OR(K767=1,K767="1"),OR(L767=1,L767="1"),OR(M767=1,M767="1")),"adequate","partial"),IF(AND(H767="W4",F767="predictive",OR(J767="P2",J767="P3",J767="P4")),IF(OR(U767=1,U767="1"),"adequate","partial"),INDEX(Fit_Matrix!$B:$B,MATCH(P767,Fit_Matrix!$A:$A,0)))),"CHECK KEY"))</f>
        <v/>
      </c>
      <c r="U767" s="10" t="n"/>
      <c r="V767" s="10" t="n"/>
      <c r="W767" s="10" t="n"/>
      <c r="X767" s="10" t="n"/>
      <c r="Y767" s="10" t="n"/>
      <c r="Z767" s="10" t="n"/>
      <c r="AA767" s="11">
        <f>IF(A767="","",IF(AND(J767="P4",F767="causal"),"P4-CAUSAL",""))</f>
        <v/>
      </c>
    </row>
    <row r="768" ht="15" customHeight="1" s="1">
      <c r="P768">
        <f>IF(OR(F768="",H768="",J768=""),"",J768&amp;"|"&amp;F768&amp;"|"&amp;IF(H768="W3","W3_"&amp;IF(I768="","unknown",I768),H768))</f>
        <v/>
      </c>
      <c r="Q768">
        <f>IF(P768="","",IFERROR(IF(AND(H768="W7",OR(F768="causal",F768="predictive")),IF(AND(OR(K768=1,K768="1"),OR(L768=1,L768="1"),OR(M768=1,M768="1")),"adequate","partial"),IF(AND(H768="W4",F768="predictive",OR(J768="P2",J768="P3",J768="P4")),IF(OR(U768=1,U768="1"),"adequate","partial"),INDEX(Fit_Matrix!$B:$B,MATCH(P768,Fit_Matrix!$A:$A,0)))),"CHECK KEY"))</f>
        <v/>
      </c>
      <c r="U768" s="10" t="n"/>
      <c r="V768" s="10" t="n"/>
      <c r="W768" s="10" t="n"/>
      <c r="X768" s="10" t="n"/>
      <c r="Y768" s="10" t="n"/>
      <c r="Z768" s="10" t="n"/>
      <c r="AA768" s="11">
        <f>IF(A768="","",IF(AND(J768="P4",F768="causal"),"P4-CAUSAL",""))</f>
        <v/>
      </c>
    </row>
    <row r="769" ht="15" customHeight="1" s="1">
      <c r="P769">
        <f>IF(OR(F769="",H769="",J769=""),"",J769&amp;"|"&amp;F769&amp;"|"&amp;IF(H769="W3","W3_"&amp;IF(I769="","unknown",I769),H769))</f>
        <v/>
      </c>
      <c r="Q769">
        <f>IF(P769="","",IFERROR(IF(AND(H769="W7",OR(F769="causal",F769="predictive")),IF(AND(OR(K769=1,K769="1"),OR(L769=1,L769="1"),OR(M769=1,M769="1")),"adequate","partial"),IF(AND(H769="W4",F769="predictive",OR(J769="P2",J769="P3",J769="P4")),IF(OR(U769=1,U769="1"),"adequate","partial"),INDEX(Fit_Matrix!$B:$B,MATCH(P769,Fit_Matrix!$A:$A,0)))),"CHECK KEY"))</f>
        <v/>
      </c>
      <c r="U769" s="10" t="n"/>
      <c r="V769" s="10" t="n"/>
      <c r="W769" s="10" t="n"/>
      <c r="X769" s="10" t="n"/>
      <c r="Y769" s="10" t="n"/>
      <c r="Z769" s="10" t="n"/>
      <c r="AA769" s="11">
        <f>IF(A769="","",IF(AND(J769="P4",F769="causal"),"P4-CAUSAL",""))</f>
        <v/>
      </c>
    </row>
    <row r="770" ht="15" customHeight="1" s="1">
      <c r="P770">
        <f>IF(OR(F770="",H770="",J770=""),"",J770&amp;"|"&amp;F770&amp;"|"&amp;IF(H770="W3","W3_"&amp;IF(I770="","unknown",I770),H770))</f>
        <v/>
      </c>
      <c r="Q770">
        <f>IF(P770="","",IFERROR(IF(AND(H770="W7",OR(F770="causal",F770="predictive")),IF(AND(OR(K770=1,K770="1"),OR(L770=1,L770="1"),OR(M770=1,M770="1")),"adequate","partial"),IF(AND(H770="W4",F770="predictive",OR(J770="P2",J770="P3",J770="P4")),IF(OR(U770=1,U770="1"),"adequate","partial"),INDEX(Fit_Matrix!$B:$B,MATCH(P770,Fit_Matrix!$A:$A,0)))),"CHECK KEY"))</f>
        <v/>
      </c>
      <c r="U770" s="10" t="n"/>
      <c r="V770" s="10" t="n"/>
      <c r="W770" s="10" t="n"/>
      <c r="X770" s="10" t="n"/>
      <c r="Y770" s="10" t="n"/>
      <c r="Z770" s="10" t="n"/>
      <c r="AA770" s="11">
        <f>IF(A770="","",IF(AND(J770="P4",F770="causal"),"P4-CAUSAL",""))</f>
        <v/>
      </c>
    </row>
    <row r="771" ht="15" customHeight="1" s="1">
      <c r="P771">
        <f>IF(OR(F771="",H771="",J771=""),"",J771&amp;"|"&amp;F771&amp;"|"&amp;IF(H771="W3","W3_"&amp;IF(I771="","unknown",I771),H771))</f>
        <v/>
      </c>
      <c r="Q771">
        <f>IF(P771="","",IFERROR(IF(AND(H771="W7",OR(F771="causal",F771="predictive")),IF(AND(OR(K771=1,K771="1"),OR(L771=1,L771="1"),OR(M771=1,M771="1")),"adequate","partial"),IF(AND(H771="W4",F771="predictive",OR(J771="P2",J771="P3",J771="P4")),IF(OR(U771=1,U771="1"),"adequate","partial"),INDEX(Fit_Matrix!$B:$B,MATCH(P771,Fit_Matrix!$A:$A,0)))),"CHECK KEY"))</f>
        <v/>
      </c>
      <c r="U771" s="10" t="n"/>
      <c r="V771" s="10" t="n"/>
      <c r="W771" s="10" t="n"/>
      <c r="X771" s="10" t="n"/>
      <c r="Y771" s="10" t="n"/>
      <c r="Z771" s="10" t="n"/>
      <c r="AA771" s="11">
        <f>IF(A771="","",IF(AND(J771="P4",F771="causal"),"P4-CAUSAL",""))</f>
        <v/>
      </c>
    </row>
    <row r="772" ht="15" customHeight="1" s="1">
      <c r="P772">
        <f>IF(OR(F772="",H772="",J772=""),"",J772&amp;"|"&amp;F772&amp;"|"&amp;IF(H772="W3","W3_"&amp;IF(I772="","unknown",I772),H772))</f>
        <v/>
      </c>
      <c r="Q772">
        <f>IF(P772="","",IFERROR(IF(AND(H772="W7",OR(F772="causal",F772="predictive")),IF(AND(OR(K772=1,K772="1"),OR(L772=1,L772="1"),OR(M772=1,M772="1")),"adequate","partial"),IF(AND(H772="W4",F772="predictive",OR(J772="P2",J772="P3",J772="P4")),IF(OR(U772=1,U772="1"),"adequate","partial"),INDEX(Fit_Matrix!$B:$B,MATCH(P772,Fit_Matrix!$A:$A,0)))),"CHECK KEY"))</f>
        <v/>
      </c>
      <c r="U772" s="10" t="n"/>
      <c r="V772" s="10" t="n"/>
      <c r="W772" s="10" t="n"/>
      <c r="X772" s="10" t="n"/>
      <c r="Y772" s="10" t="n"/>
      <c r="Z772" s="10" t="n"/>
      <c r="AA772" s="11">
        <f>IF(A772="","",IF(AND(J772="P4",F772="causal"),"P4-CAUSAL",""))</f>
        <v/>
      </c>
    </row>
    <row r="773" ht="15" customHeight="1" s="1">
      <c r="P773">
        <f>IF(OR(F773="",H773="",J773=""),"",J773&amp;"|"&amp;F773&amp;"|"&amp;IF(H773="W3","W3_"&amp;IF(I773="","unknown",I773),H773))</f>
        <v/>
      </c>
      <c r="Q773">
        <f>IF(P773="","",IFERROR(IF(AND(H773="W7",OR(F773="causal",F773="predictive")),IF(AND(OR(K773=1,K773="1"),OR(L773=1,L773="1"),OR(M773=1,M773="1")),"adequate","partial"),IF(AND(H773="W4",F773="predictive",OR(J773="P2",J773="P3",J773="P4")),IF(OR(U773=1,U773="1"),"adequate","partial"),INDEX(Fit_Matrix!$B:$B,MATCH(P773,Fit_Matrix!$A:$A,0)))),"CHECK KEY"))</f>
        <v/>
      </c>
      <c r="U773" s="10" t="n"/>
      <c r="V773" s="10" t="n"/>
      <c r="W773" s="10" t="n"/>
      <c r="X773" s="10" t="n"/>
      <c r="Y773" s="10" t="n"/>
      <c r="Z773" s="10" t="n"/>
      <c r="AA773" s="11">
        <f>IF(A773="","",IF(AND(J773="P4",F773="causal"),"P4-CAUSAL",""))</f>
        <v/>
      </c>
    </row>
    <row r="774" ht="15" customHeight="1" s="1">
      <c r="P774">
        <f>IF(OR(F774="",H774="",J774=""),"",J774&amp;"|"&amp;F774&amp;"|"&amp;IF(H774="W3","W3_"&amp;IF(I774="","unknown",I774),H774))</f>
        <v/>
      </c>
      <c r="Q774">
        <f>IF(P774="","",IFERROR(IF(AND(H774="W7",OR(F774="causal",F774="predictive")),IF(AND(OR(K774=1,K774="1"),OR(L774=1,L774="1"),OR(M774=1,M774="1")),"adequate","partial"),IF(AND(H774="W4",F774="predictive",OR(J774="P2",J774="P3",J774="P4")),IF(OR(U774=1,U774="1"),"adequate","partial"),INDEX(Fit_Matrix!$B:$B,MATCH(P774,Fit_Matrix!$A:$A,0)))),"CHECK KEY"))</f>
        <v/>
      </c>
      <c r="U774" s="10" t="n"/>
      <c r="V774" s="10" t="n"/>
      <c r="W774" s="10" t="n"/>
      <c r="X774" s="10" t="n"/>
      <c r="Y774" s="10" t="n"/>
      <c r="Z774" s="10" t="n"/>
      <c r="AA774" s="11">
        <f>IF(A774="","",IF(AND(J774="P4",F774="causal"),"P4-CAUSAL",""))</f>
        <v/>
      </c>
    </row>
    <row r="775" ht="15" customHeight="1" s="1">
      <c r="P775">
        <f>IF(OR(F775="",H775="",J775=""),"",J775&amp;"|"&amp;F775&amp;"|"&amp;IF(H775="W3","W3_"&amp;IF(I775="","unknown",I775),H775))</f>
        <v/>
      </c>
      <c r="Q775">
        <f>IF(P775="","",IFERROR(IF(AND(H775="W7",OR(F775="causal",F775="predictive")),IF(AND(OR(K775=1,K775="1"),OR(L775=1,L775="1"),OR(M775=1,M775="1")),"adequate","partial"),IF(AND(H775="W4",F775="predictive",OR(J775="P2",J775="P3",J775="P4")),IF(OR(U775=1,U775="1"),"adequate","partial"),INDEX(Fit_Matrix!$B:$B,MATCH(P775,Fit_Matrix!$A:$A,0)))),"CHECK KEY"))</f>
        <v/>
      </c>
      <c r="U775" s="10" t="n"/>
      <c r="V775" s="10" t="n"/>
      <c r="W775" s="10" t="n"/>
      <c r="X775" s="10" t="n"/>
      <c r="Y775" s="10" t="n"/>
      <c r="Z775" s="10" t="n"/>
      <c r="AA775" s="11">
        <f>IF(A775="","",IF(AND(J775="P4",F775="causal"),"P4-CAUSAL",""))</f>
        <v/>
      </c>
    </row>
    <row r="776" ht="15" customHeight="1" s="1">
      <c r="P776">
        <f>IF(OR(F776="",H776="",J776=""),"",J776&amp;"|"&amp;F776&amp;"|"&amp;IF(H776="W3","W3_"&amp;IF(I776="","unknown",I776),H776))</f>
        <v/>
      </c>
      <c r="Q776">
        <f>IF(P776="","",IFERROR(IF(AND(H776="W7",OR(F776="causal",F776="predictive")),IF(AND(OR(K776=1,K776="1"),OR(L776=1,L776="1"),OR(M776=1,M776="1")),"adequate","partial"),IF(AND(H776="W4",F776="predictive",OR(J776="P2",J776="P3",J776="P4")),IF(OR(U776=1,U776="1"),"adequate","partial"),INDEX(Fit_Matrix!$B:$B,MATCH(P776,Fit_Matrix!$A:$A,0)))),"CHECK KEY"))</f>
        <v/>
      </c>
      <c r="U776" s="10" t="n"/>
      <c r="V776" s="10" t="n"/>
      <c r="W776" s="10" t="n"/>
      <c r="X776" s="10" t="n"/>
      <c r="Y776" s="10" t="n"/>
      <c r="Z776" s="10" t="n"/>
      <c r="AA776" s="11">
        <f>IF(A776="","",IF(AND(J776="P4",F776="causal"),"P4-CAUSAL",""))</f>
        <v/>
      </c>
    </row>
    <row r="777" ht="15" customHeight="1" s="1">
      <c r="P777">
        <f>IF(OR(F777="",H777="",J777=""),"",J777&amp;"|"&amp;F777&amp;"|"&amp;IF(H777="W3","W3_"&amp;IF(I777="","unknown",I777),H777))</f>
        <v/>
      </c>
      <c r="Q777">
        <f>IF(P777="","",IFERROR(IF(AND(H777="W7",OR(F777="causal",F777="predictive")),IF(AND(OR(K777=1,K777="1"),OR(L777=1,L777="1"),OR(M777=1,M777="1")),"adequate","partial"),IF(AND(H777="W4",F777="predictive",OR(J777="P2",J777="P3",J777="P4")),IF(OR(U777=1,U777="1"),"adequate","partial"),INDEX(Fit_Matrix!$B:$B,MATCH(P777,Fit_Matrix!$A:$A,0)))),"CHECK KEY"))</f>
        <v/>
      </c>
      <c r="U777" s="10" t="n"/>
      <c r="V777" s="10" t="n"/>
      <c r="W777" s="10" t="n"/>
      <c r="X777" s="10" t="n"/>
      <c r="Y777" s="10" t="n"/>
      <c r="Z777" s="10" t="n"/>
      <c r="AA777" s="11">
        <f>IF(A777="","",IF(AND(J777="P4",F777="causal"),"P4-CAUSAL",""))</f>
        <v/>
      </c>
    </row>
    <row r="778" ht="15" customHeight="1" s="1">
      <c r="P778">
        <f>IF(OR(F778="",H778="",J778=""),"",J778&amp;"|"&amp;F778&amp;"|"&amp;IF(H778="W3","W3_"&amp;IF(I778="","unknown",I778),H778))</f>
        <v/>
      </c>
      <c r="Q778">
        <f>IF(P778="","",IFERROR(IF(AND(H778="W7",OR(F778="causal",F778="predictive")),IF(AND(OR(K778=1,K778="1"),OR(L778=1,L778="1"),OR(M778=1,M778="1")),"adequate","partial"),IF(AND(H778="W4",F778="predictive",OR(J778="P2",J778="P3",J778="P4")),IF(OR(U778=1,U778="1"),"adequate","partial"),INDEX(Fit_Matrix!$B:$B,MATCH(P778,Fit_Matrix!$A:$A,0)))),"CHECK KEY"))</f>
        <v/>
      </c>
      <c r="U778" s="10" t="n"/>
      <c r="V778" s="10" t="n"/>
      <c r="W778" s="10" t="n"/>
      <c r="X778" s="10" t="n"/>
      <c r="Y778" s="10" t="n"/>
      <c r="Z778" s="10" t="n"/>
      <c r="AA778" s="11">
        <f>IF(A778="","",IF(AND(J778="P4",F778="causal"),"P4-CAUSAL",""))</f>
        <v/>
      </c>
    </row>
    <row r="779" ht="15" customHeight="1" s="1">
      <c r="P779">
        <f>IF(OR(F779="",H779="",J779=""),"",J779&amp;"|"&amp;F779&amp;"|"&amp;IF(H779="W3","W3_"&amp;IF(I779="","unknown",I779),H779))</f>
        <v/>
      </c>
      <c r="Q779">
        <f>IF(P779="","",IFERROR(IF(AND(H779="W7",OR(F779="causal",F779="predictive")),IF(AND(OR(K779=1,K779="1"),OR(L779=1,L779="1"),OR(M779=1,M779="1")),"adequate","partial"),IF(AND(H779="W4",F779="predictive",OR(J779="P2",J779="P3",J779="P4")),IF(OR(U779=1,U779="1"),"adequate","partial"),INDEX(Fit_Matrix!$B:$B,MATCH(P779,Fit_Matrix!$A:$A,0)))),"CHECK KEY"))</f>
        <v/>
      </c>
      <c r="U779" s="10" t="n"/>
      <c r="V779" s="10" t="n"/>
      <c r="W779" s="10" t="n"/>
      <c r="X779" s="10" t="n"/>
      <c r="Y779" s="10" t="n"/>
      <c r="Z779" s="10" t="n"/>
      <c r="AA779" s="11">
        <f>IF(A779="","",IF(AND(J779="P4",F779="causal"),"P4-CAUSAL",""))</f>
        <v/>
      </c>
    </row>
    <row r="780" ht="15" customHeight="1" s="1">
      <c r="P780">
        <f>IF(OR(F780="",H780="",J780=""),"",J780&amp;"|"&amp;F780&amp;"|"&amp;IF(H780="W3","W3_"&amp;IF(I780="","unknown",I780),H780))</f>
        <v/>
      </c>
      <c r="Q780">
        <f>IF(P780="","",IFERROR(IF(AND(H780="W7",OR(F780="causal",F780="predictive")),IF(AND(OR(K780=1,K780="1"),OR(L780=1,L780="1"),OR(M780=1,M780="1")),"adequate","partial"),IF(AND(H780="W4",F780="predictive",OR(J780="P2",J780="P3",J780="P4")),IF(OR(U780=1,U780="1"),"adequate","partial"),INDEX(Fit_Matrix!$B:$B,MATCH(P780,Fit_Matrix!$A:$A,0)))),"CHECK KEY"))</f>
        <v/>
      </c>
      <c r="U780" s="10" t="n"/>
      <c r="V780" s="10" t="n"/>
      <c r="W780" s="10" t="n"/>
      <c r="X780" s="10" t="n"/>
      <c r="Y780" s="10" t="n"/>
      <c r="Z780" s="10" t="n"/>
      <c r="AA780" s="11">
        <f>IF(A780="","",IF(AND(J780="P4",F780="causal"),"P4-CAUSAL",""))</f>
        <v/>
      </c>
    </row>
    <row r="781" ht="15" customHeight="1" s="1">
      <c r="P781">
        <f>IF(OR(F781="",H781="",J781=""),"",J781&amp;"|"&amp;F781&amp;"|"&amp;IF(H781="W3","W3_"&amp;IF(I781="","unknown",I781),H781))</f>
        <v/>
      </c>
      <c r="Q781">
        <f>IF(P781="","",IFERROR(IF(AND(H781="W7",OR(F781="causal",F781="predictive")),IF(AND(OR(K781=1,K781="1"),OR(L781=1,L781="1"),OR(M781=1,M781="1")),"adequate","partial"),IF(AND(H781="W4",F781="predictive",OR(J781="P2",J781="P3",J781="P4")),IF(OR(U781=1,U781="1"),"adequate","partial"),INDEX(Fit_Matrix!$B:$B,MATCH(P781,Fit_Matrix!$A:$A,0)))),"CHECK KEY"))</f>
        <v/>
      </c>
      <c r="U781" s="10" t="n"/>
      <c r="V781" s="10" t="n"/>
      <c r="W781" s="10" t="n"/>
      <c r="X781" s="10" t="n"/>
      <c r="Y781" s="10" t="n"/>
      <c r="Z781" s="10" t="n"/>
      <c r="AA781" s="11">
        <f>IF(A781="","",IF(AND(J781="P4",F781="causal"),"P4-CAUSAL",""))</f>
        <v/>
      </c>
    </row>
    <row r="782" ht="15" customHeight="1" s="1">
      <c r="P782">
        <f>IF(OR(F782="",H782="",J782=""),"",J782&amp;"|"&amp;F782&amp;"|"&amp;IF(H782="W3","W3_"&amp;IF(I782="","unknown",I782),H782))</f>
        <v/>
      </c>
      <c r="Q782">
        <f>IF(P782="","",IFERROR(IF(AND(H782="W7",OR(F782="causal",F782="predictive")),IF(AND(OR(K782=1,K782="1"),OR(L782=1,L782="1"),OR(M782=1,M782="1")),"adequate","partial"),IF(AND(H782="W4",F782="predictive",OR(J782="P2",J782="P3",J782="P4")),IF(OR(U782=1,U782="1"),"adequate","partial"),INDEX(Fit_Matrix!$B:$B,MATCH(P782,Fit_Matrix!$A:$A,0)))),"CHECK KEY"))</f>
        <v/>
      </c>
      <c r="U782" s="10" t="n"/>
      <c r="V782" s="10" t="n"/>
      <c r="W782" s="10" t="n"/>
      <c r="X782" s="10" t="n"/>
      <c r="Y782" s="10" t="n"/>
      <c r="Z782" s="10" t="n"/>
      <c r="AA782" s="11">
        <f>IF(A782="","",IF(AND(J782="P4",F782="causal"),"P4-CAUSAL",""))</f>
        <v/>
      </c>
    </row>
    <row r="783" ht="15" customHeight="1" s="1">
      <c r="P783">
        <f>IF(OR(F783="",H783="",J783=""),"",J783&amp;"|"&amp;F783&amp;"|"&amp;IF(H783="W3","W3_"&amp;IF(I783="","unknown",I783),H783))</f>
        <v/>
      </c>
      <c r="Q783">
        <f>IF(P783="","",IFERROR(IF(AND(H783="W7",OR(F783="causal",F783="predictive")),IF(AND(OR(K783=1,K783="1"),OR(L783=1,L783="1"),OR(M783=1,M783="1")),"adequate","partial"),IF(AND(H783="W4",F783="predictive",OR(J783="P2",J783="P3",J783="P4")),IF(OR(U783=1,U783="1"),"adequate","partial"),INDEX(Fit_Matrix!$B:$B,MATCH(P783,Fit_Matrix!$A:$A,0)))),"CHECK KEY"))</f>
        <v/>
      </c>
      <c r="U783" s="10" t="n"/>
      <c r="V783" s="10" t="n"/>
      <c r="W783" s="10" t="n"/>
      <c r="X783" s="10" t="n"/>
      <c r="Y783" s="10" t="n"/>
      <c r="Z783" s="10" t="n"/>
      <c r="AA783" s="11">
        <f>IF(A783="","",IF(AND(J783="P4",F783="causal"),"P4-CAUSAL",""))</f>
        <v/>
      </c>
    </row>
    <row r="784" ht="15" customHeight="1" s="1">
      <c r="P784">
        <f>IF(OR(F784="",H784="",J784=""),"",J784&amp;"|"&amp;F784&amp;"|"&amp;IF(H784="W3","W3_"&amp;IF(I784="","unknown",I784),H784))</f>
        <v/>
      </c>
      <c r="Q784">
        <f>IF(P784="","",IFERROR(IF(AND(H784="W7",OR(F784="causal",F784="predictive")),IF(AND(OR(K784=1,K784="1"),OR(L784=1,L784="1"),OR(M784=1,M784="1")),"adequate","partial"),IF(AND(H784="W4",F784="predictive",OR(J784="P2",J784="P3",J784="P4")),IF(OR(U784=1,U784="1"),"adequate","partial"),INDEX(Fit_Matrix!$B:$B,MATCH(P784,Fit_Matrix!$A:$A,0)))),"CHECK KEY"))</f>
        <v/>
      </c>
      <c r="U784" s="10" t="n"/>
      <c r="V784" s="10" t="n"/>
      <c r="W784" s="10" t="n"/>
      <c r="X784" s="10" t="n"/>
      <c r="Y784" s="10" t="n"/>
      <c r="Z784" s="10" t="n"/>
      <c r="AA784" s="11">
        <f>IF(A784="","",IF(AND(J784="P4",F784="causal"),"P4-CAUSAL",""))</f>
        <v/>
      </c>
    </row>
    <row r="785" ht="15" customHeight="1" s="1">
      <c r="P785">
        <f>IF(OR(F785="",H785="",J785=""),"",J785&amp;"|"&amp;F785&amp;"|"&amp;IF(H785="W3","W3_"&amp;IF(I785="","unknown",I785),H785))</f>
        <v/>
      </c>
      <c r="Q785">
        <f>IF(P785="","",IFERROR(IF(AND(H785="W7",OR(F785="causal",F785="predictive")),IF(AND(OR(K785=1,K785="1"),OR(L785=1,L785="1"),OR(M785=1,M785="1")),"adequate","partial"),IF(AND(H785="W4",F785="predictive",OR(J785="P2",J785="P3",J785="P4")),IF(OR(U785=1,U785="1"),"adequate","partial"),INDEX(Fit_Matrix!$B:$B,MATCH(P785,Fit_Matrix!$A:$A,0)))),"CHECK KEY"))</f>
        <v/>
      </c>
      <c r="U785" s="10" t="n"/>
      <c r="V785" s="10" t="n"/>
      <c r="W785" s="10" t="n"/>
      <c r="X785" s="10" t="n"/>
      <c r="Y785" s="10" t="n"/>
      <c r="Z785" s="10" t="n"/>
      <c r="AA785" s="11">
        <f>IF(A785="","",IF(AND(J785="P4",F785="causal"),"P4-CAUSAL",""))</f>
        <v/>
      </c>
    </row>
    <row r="786" ht="15" customHeight="1" s="1">
      <c r="P786">
        <f>IF(OR(F786="",H786="",J786=""),"",J786&amp;"|"&amp;F786&amp;"|"&amp;IF(H786="W3","W3_"&amp;IF(I786="","unknown",I786),H786))</f>
        <v/>
      </c>
      <c r="Q786">
        <f>IF(P786="","",IFERROR(IF(AND(H786="W7",OR(F786="causal",F786="predictive")),IF(AND(OR(K786=1,K786="1"),OR(L786=1,L786="1"),OR(M786=1,M786="1")),"adequate","partial"),IF(AND(H786="W4",F786="predictive",OR(J786="P2",J786="P3",J786="P4")),IF(OR(U786=1,U786="1"),"adequate","partial"),INDEX(Fit_Matrix!$B:$B,MATCH(P786,Fit_Matrix!$A:$A,0)))),"CHECK KEY"))</f>
        <v/>
      </c>
      <c r="U786" s="10" t="n"/>
      <c r="V786" s="10" t="n"/>
      <c r="W786" s="10" t="n"/>
      <c r="X786" s="10" t="n"/>
      <c r="Y786" s="10" t="n"/>
      <c r="Z786" s="10" t="n"/>
      <c r="AA786" s="11">
        <f>IF(A786="","",IF(AND(J786="P4",F786="causal"),"P4-CAUSAL",""))</f>
        <v/>
      </c>
    </row>
    <row r="787" ht="15" customHeight="1" s="1">
      <c r="P787">
        <f>IF(OR(F787="",H787="",J787=""),"",J787&amp;"|"&amp;F787&amp;"|"&amp;IF(H787="W3","W3_"&amp;IF(I787="","unknown",I787),H787))</f>
        <v/>
      </c>
      <c r="Q787">
        <f>IF(P787="","",IFERROR(IF(AND(H787="W7",OR(F787="causal",F787="predictive")),IF(AND(OR(K787=1,K787="1"),OR(L787=1,L787="1"),OR(M787=1,M787="1")),"adequate","partial"),IF(AND(H787="W4",F787="predictive",OR(J787="P2",J787="P3",J787="P4")),IF(OR(U787=1,U787="1"),"adequate","partial"),INDEX(Fit_Matrix!$B:$B,MATCH(P787,Fit_Matrix!$A:$A,0)))),"CHECK KEY"))</f>
        <v/>
      </c>
      <c r="U787" s="10" t="n"/>
      <c r="V787" s="10" t="n"/>
      <c r="W787" s="10" t="n"/>
      <c r="X787" s="10" t="n"/>
      <c r="Y787" s="10" t="n"/>
      <c r="Z787" s="10" t="n"/>
      <c r="AA787" s="11">
        <f>IF(A787="","",IF(AND(J787="P4",F787="causal"),"P4-CAUSAL",""))</f>
        <v/>
      </c>
    </row>
    <row r="788" ht="15" customHeight="1" s="1">
      <c r="P788">
        <f>IF(OR(F788="",H788="",J788=""),"",J788&amp;"|"&amp;F788&amp;"|"&amp;IF(H788="W3","W3_"&amp;IF(I788="","unknown",I788),H788))</f>
        <v/>
      </c>
      <c r="Q788">
        <f>IF(P788="","",IFERROR(IF(AND(H788="W7",OR(F788="causal",F788="predictive")),IF(AND(OR(K788=1,K788="1"),OR(L788=1,L788="1"),OR(M788=1,M788="1")),"adequate","partial"),IF(AND(H788="W4",F788="predictive",OR(J788="P2",J788="P3",J788="P4")),IF(OR(U788=1,U788="1"),"adequate","partial"),INDEX(Fit_Matrix!$B:$B,MATCH(P788,Fit_Matrix!$A:$A,0)))),"CHECK KEY"))</f>
        <v/>
      </c>
      <c r="U788" s="10" t="n"/>
      <c r="V788" s="10" t="n"/>
      <c r="W788" s="10" t="n"/>
      <c r="X788" s="10" t="n"/>
      <c r="Y788" s="10" t="n"/>
      <c r="Z788" s="10" t="n"/>
      <c r="AA788" s="11">
        <f>IF(A788="","",IF(AND(J788="P4",F788="causal"),"P4-CAUSAL",""))</f>
        <v/>
      </c>
    </row>
    <row r="789" ht="15" customHeight="1" s="1">
      <c r="P789">
        <f>IF(OR(F789="",H789="",J789=""),"",J789&amp;"|"&amp;F789&amp;"|"&amp;IF(H789="W3","W3_"&amp;IF(I789="","unknown",I789),H789))</f>
        <v/>
      </c>
      <c r="Q789">
        <f>IF(P789="","",IFERROR(IF(AND(H789="W7",OR(F789="causal",F789="predictive")),IF(AND(OR(K789=1,K789="1"),OR(L789=1,L789="1"),OR(M789=1,M789="1")),"adequate","partial"),IF(AND(H789="W4",F789="predictive",OR(J789="P2",J789="P3",J789="P4")),IF(OR(U789=1,U789="1"),"adequate","partial"),INDEX(Fit_Matrix!$B:$B,MATCH(P789,Fit_Matrix!$A:$A,0)))),"CHECK KEY"))</f>
        <v/>
      </c>
      <c r="U789" s="10" t="n"/>
      <c r="V789" s="10" t="n"/>
      <c r="W789" s="10" t="n"/>
      <c r="X789" s="10" t="n"/>
      <c r="Y789" s="10" t="n"/>
      <c r="Z789" s="10" t="n"/>
      <c r="AA789" s="11">
        <f>IF(A789="","",IF(AND(J789="P4",F789="causal"),"P4-CAUSAL",""))</f>
        <v/>
      </c>
    </row>
    <row r="790" ht="15" customHeight="1" s="1">
      <c r="P790">
        <f>IF(OR(F790="",H790="",J790=""),"",J790&amp;"|"&amp;F790&amp;"|"&amp;IF(H790="W3","W3_"&amp;IF(I790="","unknown",I790),H790))</f>
        <v/>
      </c>
      <c r="Q790">
        <f>IF(P790="","",IFERROR(IF(AND(H790="W7",OR(F790="causal",F790="predictive")),IF(AND(OR(K790=1,K790="1"),OR(L790=1,L790="1"),OR(M790=1,M790="1")),"adequate","partial"),IF(AND(H790="W4",F790="predictive",OR(J790="P2",J790="P3",J790="P4")),IF(OR(U790=1,U790="1"),"adequate","partial"),INDEX(Fit_Matrix!$B:$B,MATCH(P790,Fit_Matrix!$A:$A,0)))),"CHECK KEY"))</f>
        <v/>
      </c>
      <c r="U790" s="10" t="n"/>
      <c r="V790" s="10" t="n"/>
      <c r="W790" s="10" t="n"/>
      <c r="X790" s="10" t="n"/>
      <c r="Y790" s="10" t="n"/>
      <c r="Z790" s="10" t="n"/>
      <c r="AA790" s="11">
        <f>IF(A790="","",IF(AND(J790="P4",F790="causal"),"P4-CAUSAL",""))</f>
        <v/>
      </c>
    </row>
    <row r="791" ht="15" customHeight="1" s="1">
      <c r="P791">
        <f>IF(OR(F791="",H791="",J791=""),"",J791&amp;"|"&amp;F791&amp;"|"&amp;IF(H791="W3","W3_"&amp;IF(I791="","unknown",I791),H791))</f>
        <v/>
      </c>
      <c r="Q791">
        <f>IF(P791="","",IFERROR(IF(AND(H791="W7",OR(F791="causal",F791="predictive")),IF(AND(OR(K791=1,K791="1"),OR(L791=1,L791="1"),OR(M791=1,M791="1")),"adequate","partial"),IF(AND(H791="W4",F791="predictive",OR(J791="P2",J791="P3",J791="P4")),IF(OR(U791=1,U791="1"),"adequate","partial"),INDEX(Fit_Matrix!$B:$B,MATCH(P791,Fit_Matrix!$A:$A,0)))),"CHECK KEY"))</f>
        <v/>
      </c>
      <c r="U791" s="10" t="n"/>
      <c r="V791" s="10" t="n"/>
      <c r="W791" s="10" t="n"/>
      <c r="X791" s="10" t="n"/>
      <c r="Y791" s="10" t="n"/>
      <c r="Z791" s="10" t="n"/>
      <c r="AA791" s="11">
        <f>IF(A791="","",IF(AND(J791="P4",F791="causal"),"P4-CAUSAL",""))</f>
        <v/>
      </c>
    </row>
    <row r="792" ht="15" customHeight="1" s="1">
      <c r="P792">
        <f>IF(OR(F792="",H792="",J792=""),"",J792&amp;"|"&amp;F792&amp;"|"&amp;IF(H792="W3","W3_"&amp;IF(I792="","unknown",I792),H792))</f>
        <v/>
      </c>
      <c r="Q792">
        <f>IF(P792="","",IFERROR(IF(AND(H792="W7",OR(F792="causal",F792="predictive")),IF(AND(OR(K792=1,K792="1"),OR(L792=1,L792="1"),OR(M792=1,M792="1")),"adequate","partial"),IF(AND(H792="W4",F792="predictive",OR(J792="P2",J792="P3",J792="P4")),IF(OR(U792=1,U792="1"),"adequate","partial"),INDEX(Fit_Matrix!$B:$B,MATCH(P792,Fit_Matrix!$A:$A,0)))),"CHECK KEY"))</f>
        <v/>
      </c>
      <c r="U792" s="10" t="n"/>
      <c r="V792" s="10" t="n"/>
      <c r="W792" s="10" t="n"/>
      <c r="X792" s="10" t="n"/>
      <c r="Y792" s="10" t="n"/>
      <c r="Z792" s="10" t="n"/>
      <c r="AA792" s="11">
        <f>IF(A792="","",IF(AND(J792="P4",F792="causal"),"P4-CAUSAL",""))</f>
        <v/>
      </c>
    </row>
    <row r="793" ht="15" customHeight="1" s="1">
      <c r="P793">
        <f>IF(OR(F793="",H793="",J793=""),"",J793&amp;"|"&amp;F793&amp;"|"&amp;IF(H793="W3","W3_"&amp;IF(I793="","unknown",I793),H793))</f>
        <v/>
      </c>
      <c r="Q793">
        <f>IF(P793="","",IFERROR(IF(AND(H793="W7",OR(F793="causal",F793="predictive")),IF(AND(OR(K793=1,K793="1"),OR(L793=1,L793="1"),OR(M793=1,M793="1")),"adequate","partial"),IF(AND(H793="W4",F793="predictive",OR(J793="P2",J793="P3",J793="P4")),IF(OR(U793=1,U793="1"),"adequate","partial"),INDEX(Fit_Matrix!$B:$B,MATCH(P793,Fit_Matrix!$A:$A,0)))),"CHECK KEY"))</f>
        <v/>
      </c>
      <c r="U793" s="10" t="n"/>
      <c r="V793" s="10" t="n"/>
      <c r="W793" s="10" t="n"/>
      <c r="X793" s="10" t="n"/>
      <c r="Y793" s="10" t="n"/>
      <c r="Z793" s="10" t="n"/>
      <c r="AA793" s="11">
        <f>IF(A793="","",IF(AND(J793="P4",F793="causal"),"P4-CAUSAL",""))</f>
        <v/>
      </c>
    </row>
    <row r="794" ht="15" customHeight="1" s="1">
      <c r="P794">
        <f>IF(OR(F794="",H794="",J794=""),"",J794&amp;"|"&amp;F794&amp;"|"&amp;IF(H794="W3","W3_"&amp;IF(I794="","unknown",I794),H794))</f>
        <v/>
      </c>
      <c r="Q794">
        <f>IF(P794="","",IFERROR(IF(AND(H794="W7",OR(F794="causal",F794="predictive")),IF(AND(OR(K794=1,K794="1"),OR(L794=1,L794="1"),OR(M794=1,M794="1")),"adequate","partial"),IF(AND(H794="W4",F794="predictive",OR(J794="P2",J794="P3",J794="P4")),IF(OR(U794=1,U794="1"),"adequate","partial"),INDEX(Fit_Matrix!$B:$B,MATCH(P794,Fit_Matrix!$A:$A,0)))),"CHECK KEY"))</f>
        <v/>
      </c>
      <c r="U794" s="10" t="n"/>
      <c r="V794" s="10" t="n"/>
      <c r="W794" s="10" t="n"/>
      <c r="X794" s="10" t="n"/>
      <c r="Y794" s="10" t="n"/>
      <c r="Z794" s="10" t="n"/>
      <c r="AA794" s="11">
        <f>IF(A794="","",IF(AND(J794="P4",F794="causal"),"P4-CAUSAL",""))</f>
        <v/>
      </c>
    </row>
    <row r="795" ht="15" customHeight="1" s="1">
      <c r="P795">
        <f>IF(OR(F795="",H795="",J795=""),"",J795&amp;"|"&amp;F795&amp;"|"&amp;IF(H795="W3","W3_"&amp;IF(I795="","unknown",I795),H795))</f>
        <v/>
      </c>
      <c r="Q795">
        <f>IF(P795="","",IFERROR(IF(AND(H795="W7",OR(F795="causal",F795="predictive")),IF(AND(OR(K795=1,K795="1"),OR(L795=1,L795="1"),OR(M795=1,M795="1")),"adequate","partial"),IF(AND(H795="W4",F795="predictive",OR(J795="P2",J795="P3",J795="P4")),IF(OR(U795=1,U795="1"),"adequate","partial"),INDEX(Fit_Matrix!$B:$B,MATCH(P795,Fit_Matrix!$A:$A,0)))),"CHECK KEY"))</f>
        <v/>
      </c>
      <c r="U795" s="10" t="n"/>
      <c r="V795" s="10" t="n"/>
      <c r="W795" s="10" t="n"/>
      <c r="X795" s="10" t="n"/>
      <c r="Y795" s="10" t="n"/>
      <c r="Z795" s="10" t="n"/>
      <c r="AA795" s="11">
        <f>IF(A795="","",IF(AND(J795="P4",F795="causal"),"P4-CAUSAL",""))</f>
        <v/>
      </c>
    </row>
    <row r="796" ht="15" customHeight="1" s="1">
      <c r="P796">
        <f>IF(OR(F796="",H796="",J796=""),"",J796&amp;"|"&amp;F796&amp;"|"&amp;IF(H796="W3","W3_"&amp;IF(I796="","unknown",I796),H796))</f>
        <v/>
      </c>
      <c r="Q796">
        <f>IF(P796="","",IFERROR(IF(AND(H796="W7",OR(F796="causal",F796="predictive")),IF(AND(OR(K796=1,K796="1"),OR(L796=1,L796="1"),OR(M796=1,M796="1")),"adequate","partial"),IF(AND(H796="W4",F796="predictive",OR(J796="P2",J796="P3",J796="P4")),IF(OR(U796=1,U796="1"),"adequate","partial"),INDEX(Fit_Matrix!$B:$B,MATCH(P796,Fit_Matrix!$A:$A,0)))),"CHECK KEY"))</f>
        <v/>
      </c>
      <c r="U796" s="10" t="n"/>
      <c r="V796" s="10" t="n"/>
      <c r="W796" s="10" t="n"/>
      <c r="X796" s="10" t="n"/>
      <c r="Y796" s="10" t="n"/>
      <c r="Z796" s="10" t="n"/>
      <c r="AA796" s="11">
        <f>IF(A796="","",IF(AND(J796="P4",F796="causal"),"P4-CAUSAL",""))</f>
        <v/>
      </c>
    </row>
    <row r="797" ht="15" customHeight="1" s="1">
      <c r="P797">
        <f>IF(OR(F797="",H797="",J797=""),"",J797&amp;"|"&amp;F797&amp;"|"&amp;IF(H797="W3","W3_"&amp;IF(I797="","unknown",I797),H797))</f>
        <v/>
      </c>
      <c r="Q797">
        <f>IF(P797="","",IFERROR(IF(AND(H797="W7",OR(F797="causal",F797="predictive")),IF(AND(OR(K797=1,K797="1"),OR(L797=1,L797="1"),OR(M797=1,M797="1")),"adequate","partial"),IF(AND(H797="W4",F797="predictive",OR(J797="P2",J797="P3",J797="P4")),IF(OR(U797=1,U797="1"),"adequate","partial"),INDEX(Fit_Matrix!$B:$B,MATCH(P797,Fit_Matrix!$A:$A,0)))),"CHECK KEY"))</f>
        <v/>
      </c>
      <c r="U797" s="10" t="n"/>
      <c r="V797" s="10" t="n"/>
      <c r="W797" s="10" t="n"/>
      <c r="X797" s="10" t="n"/>
      <c r="Y797" s="10" t="n"/>
      <c r="Z797" s="10" t="n"/>
      <c r="AA797" s="11">
        <f>IF(A797="","",IF(AND(J797="P4",F797="causal"),"P4-CAUSAL",""))</f>
        <v/>
      </c>
    </row>
    <row r="798" ht="15" customHeight="1" s="1">
      <c r="P798">
        <f>IF(OR(F798="",H798="",J798=""),"",J798&amp;"|"&amp;F798&amp;"|"&amp;IF(H798="W3","W3_"&amp;IF(I798="","unknown",I798),H798))</f>
        <v/>
      </c>
      <c r="Q798">
        <f>IF(P798="","",IFERROR(IF(AND(H798="W7",OR(F798="causal",F798="predictive")),IF(AND(OR(K798=1,K798="1"),OR(L798=1,L798="1"),OR(M798=1,M798="1")),"adequate","partial"),IF(AND(H798="W4",F798="predictive",OR(J798="P2",J798="P3",J798="P4")),IF(OR(U798=1,U798="1"),"adequate","partial"),INDEX(Fit_Matrix!$B:$B,MATCH(P798,Fit_Matrix!$A:$A,0)))),"CHECK KEY"))</f>
        <v/>
      </c>
      <c r="U798" s="10" t="n"/>
      <c r="V798" s="10" t="n"/>
      <c r="W798" s="10" t="n"/>
      <c r="X798" s="10" t="n"/>
      <c r="Y798" s="10" t="n"/>
      <c r="Z798" s="10" t="n"/>
      <c r="AA798" s="11">
        <f>IF(A798="","",IF(AND(J798="P4",F798="causal"),"P4-CAUSAL",""))</f>
        <v/>
      </c>
    </row>
    <row r="799" ht="15" customHeight="1" s="1">
      <c r="P799">
        <f>IF(OR(F799="",H799="",J799=""),"",J799&amp;"|"&amp;F799&amp;"|"&amp;IF(H799="W3","W3_"&amp;IF(I799="","unknown",I799),H799))</f>
        <v/>
      </c>
      <c r="Q799">
        <f>IF(P799="","",IFERROR(IF(AND(H799="W7",OR(F799="causal",F799="predictive")),IF(AND(OR(K799=1,K799="1"),OR(L799=1,L799="1"),OR(M799=1,M799="1")),"adequate","partial"),IF(AND(H799="W4",F799="predictive",OR(J799="P2",J799="P3",J799="P4")),IF(OR(U799=1,U799="1"),"adequate","partial"),INDEX(Fit_Matrix!$B:$B,MATCH(P799,Fit_Matrix!$A:$A,0)))),"CHECK KEY"))</f>
        <v/>
      </c>
      <c r="U799" s="10" t="n"/>
      <c r="V799" s="10" t="n"/>
      <c r="W799" s="10" t="n"/>
      <c r="X799" s="10" t="n"/>
      <c r="Y799" s="10" t="n"/>
      <c r="Z799" s="10" t="n"/>
      <c r="AA799" s="11">
        <f>IF(A799="","",IF(AND(J799="P4",F799="causal"),"P4-CAUSAL",""))</f>
        <v/>
      </c>
    </row>
    <row r="800" ht="15" customHeight="1" s="1">
      <c r="P800">
        <f>IF(OR(F800="",H800="",J800=""),"",J800&amp;"|"&amp;F800&amp;"|"&amp;IF(H800="W3","W3_"&amp;IF(I800="","unknown",I800),H800))</f>
        <v/>
      </c>
      <c r="Q800">
        <f>IF(P800="","",IFERROR(IF(AND(H800="W7",OR(F800="causal",F800="predictive")),IF(AND(OR(K800=1,K800="1"),OR(L800=1,L800="1"),OR(M800=1,M800="1")),"adequate","partial"),IF(AND(H800="W4",F800="predictive",OR(J800="P2",J800="P3",J800="P4")),IF(OR(U800=1,U800="1"),"adequate","partial"),INDEX(Fit_Matrix!$B:$B,MATCH(P800,Fit_Matrix!$A:$A,0)))),"CHECK KEY"))</f>
        <v/>
      </c>
      <c r="U800" s="10" t="n"/>
      <c r="V800" s="10" t="n"/>
      <c r="W800" s="10" t="n"/>
      <c r="X800" s="10" t="n"/>
      <c r="Y800" s="10" t="n"/>
      <c r="Z800" s="10" t="n"/>
      <c r="AA800" s="11">
        <f>IF(A800="","",IF(AND(J800="P4",F800="causal"),"P4-CAUSAL",""))</f>
        <v/>
      </c>
    </row>
    <row r="801" ht="15" customHeight="1" s="1">
      <c r="P801">
        <f>IF(OR(F801="",H801="",J801=""),"",J801&amp;"|"&amp;F801&amp;"|"&amp;IF(H801="W3","W3_"&amp;IF(I801="","unknown",I801),H801))</f>
        <v/>
      </c>
      <c r="Q801">
        <f>IF(P801="","",IFERROR(IF(AND(H801="W7",OR(F801="causal",F801="predictive")),IF(AND(OR(K801=1,K801="1"),OR(L801=1,L801="1"),OR(M801=1,M801="1")),"adequate","partial"),IF(AND(H801="W4",F801="predictive",OR(J801="P2",J801="P3",J801="P4")),IF(OR(U801=1,U801="1"),"adequate","partial"),INDEX(Fit_Matrix!$B:$B,MATCH(P801,Fit_Matrix!$A:$A,0)))),"CHECK KEY"))</f>
        <v/>
      </c>
      <c r="U801" s="10" t="n"/>
      <c r="V801" s="10" t="n"/>
      <c r="W801" s="10" t="n"/>
      <c r="X801" s="10" t="n"/>
      <c r="Y801" s="10" t="n"/>
      <c r="Z801" s="10" t="n"/>
      <c r="AA801" s="11">
        <f>IF(A801="","",IF(AND(J801="P4",F801="causal"),"P4-CAUSAL",""))</f>
        <v/>
      </c>
    </row>
    <row r="802" ht="15" customHeight="1" s="1">
      <c r="P802">
        <f>IF(OR(F802="",H802="",J802=""),"",J802&amp;"|"&amp;F802&amp;"|"&amp;IF(H802="W3","W3_"&amp;IF(I802="","unknown",I802),H802))</f>
        <v/>
      </c>
      <c r="Q802">
        <f>IF(P802="","",IFERROR(IF(AND(H802="W7",OR(F802="causal",F802="predictive")),IF(AND(OR(K802=1,K802="1"),OR(L802=1,L802="1"),OR(M802=1,M802="1")),"adequate","partial"),IF(AND(H802="W4",F802="predictive",OR(J802="P2",J802="P3",J802="P4")),IF(OR(U802=1,U802="1"),"adequate","partial"),INDEX(Fit_Matrix!$B:$B,MATCH(P802,Fit_Matrix!$A:$A,0)))),"CHECK KEY"))</f>
        <v/>
      </c>
      <c r="U802" s="10" t="n"/>
      <c r="V802" s="10" t="n"/>
      <c r="W802" s="10" t="n"/>
      <c r="X802" s="10" t="n"/>
      <c r="Y802" s="10" t="n"/>
      <c r="Z802" s="10" t="n"/>
      <c r="AA802" s="11">
        <f>IF(A802="","",IF(AND(J802="P4",F802="causal"),"P4-CAUSAL",""))</f>
        <v/>
      </c>
    </row>
    <row r="803" ht="15" customHeight="1" s="1">
      <c r="P803">
        <f>IF(OR(F803="",H803="",J803=""),"",J803&amp;"|"&amp;F803&amp;"|"&amp;IF(H803="W3","W3_"&amp;IF(I803="","unknown",I803),H803))</f>
        <v/>
      </c>
      <c r="Q803">
        <f>IF(P803="","",IFERROR(IF(AND(H803="W7",OR(F803="causal",F803="predictive")),IF(AND(OR(K803=1,K803="1"),OR(L803=1,L803="1"),OR(M803=1,M803="1")),"adequate","partial"),IF(AND(H803="W4",F803="predictive",OR(J803="P2",J803="P3",J803="P4")),IF(OR(U803=1,U803="1"),"adequate","partial"),INDEX(Fit_Matrix!$B:$B,MATCH(P803,Fit_Matrix!$A:$A,0)))),"CHECK KEY"))</f>
        <v/>
      </c>
      <c r="U803" s="10" t="n"/>
      <c r="V803" s="10" t="n"/>
      <c r="W803" s="10" t="n"/>
      <c r="X803" s="10" t="n"/>
      <c r="Y803" s="10" t="n"/>
      <c r="Z803" s="10" t="n"/>
      <c r="AA803" s="11">
        <f>IF(A803="","",IF(AND(J803="P4",F803="causal"),"P4-CAUSAL",""))</f>
        <v/>
      </c>
    </row>
    <row r="804" ht="15" customHeight="1" s="1">
      <c r="P804">
        <f>IF(OR(F804="",H804="",J804=""),"",J804&amp;"|"&amp;F804&amp;"|"&amp;IF(H804="W3","W3_"&amp;IF(I804="","unknown",I804),H804))</f>
        <v/>
      </c>
      <c r="Q804">
        <f>IF(P804="","",IFERROR(IF(AND(H804="W7",OR(F804="causal",F804="predictive")),IF(AND(OR(K804=1,K804="1"),OR(L804=1,L804="1"),OR(M804=1,M804="1")),"adequate","partial"),IF(AND(H804="W4",F804="predictive",OR(J804="P2",J804="P3",J804="P4")),IF(OR(U804=1,U804="1"),"adequate","partial"),INDEX(Fit_Matrix!$B:$B,MATCH(P804,Fit_Matrix!$A:$A,0)))),"CHECK KEY"))</f>
        <v/>
      </c>
      <c r="U804" s="10" t="n"/>
      <c r="V804" s="10" t="n"/>
      <c r="W804" s="10" t="n"/>
      <c r="X804" s="10" t="n"/>
      <c r="Y804" s="10" t="n"/>
      <c r="Z804" s="10" t="n"/>
      <c r="AA804" s="11">
        <f>IF(A804="","",IF(AND(J804="P4",F804="causal"),"P4-CAUSAL",""))</f>
        <v/>
      </c>
    </row>
    <row r="805" ht="15" customHeight="1" s="1">
      <c r="P805">
        <f>IF(OR(F805="",H805="",J805=""),"",J805&amp;"|"&amp;F805&amp;"|"&amp;IF(H805="W3","W3_"&amp;IF(I805="","unknown",I805),H805))</f>
        <v/>
      </c>
      <c r="Q805">
        <f>IF(P805="","",IFERROR(IF(AND(H805="W7",OR(F805="causal",F805="predictive")),IF(AND(OR(K805=1,K805="1"),OR(L805=1,L805="1"),OR(M805=1,M805="1")),"adequate","partial"),IF(AND(H805="W4",F805="predictive",OR(J805="P2",J805="P3",J805="P4")),IF(OR(U805=1,U805="1"),"adequate","partial"),INDEX(Fit_Matrix!$B:$B,MATCH(P805,Fit_Matrix!$A:$A,0)))),"CHECK KEY"))</f>
        <v/>
      </c>
      <c r="U805" s="10" t="n"/>
      <c r="V805" s="10" t="n"/>
      <c r="W805" s="10" t="n"/>
      <c r="X805" s="10" t="n"/>
      <c r="Y805" s="10" t="n"/>
      <c r="Z805" s="10" t="n"/>
      <c r="AA805" s="11">
        <f>IF(A805="","",IF(AND(J805="P4",F805="causal"),"P4-CAUSAL",""))</f>
        <v/>
      </c>
    </row>
    <row r="806" ht="15" customHeight="1" s="1">
      <c r="P806">
        <f>IF(OR(F806="",H806="",J806=""),"",J806&amp;"|"&amp;F806&amp;"|"&amp;IF(H806="W3","W3_"&amp;IF(I806="","unknown",I806),H806))</f>
        <v/>
      </c>
      <c r="Q806">
        <f>IF(P806="","",IFERROR(IF(AND(H806="W7",OR(F806="causal",F806="predictive")),IF(AND(OR(K806=1,K806="1"),OR(L806=1,L806="1"),OR(M806=1,M806="1")),"adequate","partial"),IF(AND(H806="W4",F806="predictive",OR(J806="P2",J806="P3",J806="P4")),IF(OR(U806=1,U806="1"),"adequate","partial"),INDEX(Fit_Matrix!$B:$B,MATCH(P806,Fit_Matrix!$A:$A,0)))),"CHECK KEY"))</f>
        <v/>
      </c>
      <c r="U806" s="10" t="n"/>
      <c r="V806" s="10" t="n"/>
      <c r="W806" s="10" t="n"/>
      <c r="X806" s="10" t="n"/>
      <c r="Y806" s="10" t="n"/>
      <c r="Z806" s="10" t="n"/>
      <c r="AA806" s="11">
        <f>IF(A806="","",IF(AND(J806="P4",F806="causal"),"P4-CAUSAL",""))</f>
        <v/>
      </c>
    </row>
    <row r="807" ht="15" customHeight="1" s="1">
      <c r="P807">
        <f>IF(OR(F807="",H807="",J807=""),"",J807&amp;"|"&amp;F807&amp;"|"&amp;IF(H807="W3","W3_"&amp;IF(I807="","unknown",I807),H807))</f>
        <v/>
      </c>
      <c r="Q807">
        <f>IF(P807="","",IFERROR(IF(AND(H807="W7",OR(F807="causal",F807="predictive")),IF(AND(OR(K807=1,K807="1"),OR(L807=1,L807="1"),OR(M807=1,M807="1")),"adequate","partial"),IF(AND(H807="W4",F807="predictive",OR(J807="P2",J807="P3",J807="P4")),IF(OR(U807=1,U807="1"),"adequate","partial"),INDEX(Fit_Matrix!$B:$B,MATCH(P807,Fit_Matrix!$A:$A,0)))),"CHECK KEY"))</f>
        <v/>
      </c>
      <c r="U807" s="10" t="n"/>
      <c r="V807" s="10" t="n"/>
      <c r="W807" s="10" t="n"/>
      <c r="X807" s="10" t="n"/>
      <c r="Y807" s="10" t="n"/>
      <c r="Z807" s="10" t="n"/>
      <c r="AA807" s="11">
        <f>IF(A807="","",IF(AND(J807="P4",F807="causal"),"P4-CAUSAL",""))</f>
        <v/>
      </c>
    </row>
    <row r="808" ht="15" customHeight="1" s="1">
      <c r="P808">
        <f>IF(OR(F808="",H808="",J808=""),"",J808&amp;"|"&amp;F808&amp;"|"&amp;IF(H808="W3","W3_"&amp;IF(I808="","unknown",I808),H808))</f>
        <v/>
      </c>
      <c r="Q808">
        <f>IF(P808="","",IFERROR(IF(AND(H808="W7",OR(F808="causal",F808="predictive")),IF(AND(OR(K808=1,K808="1"),OR(L808=1,L808="1"),OR(M808=1,M808="1")),"adequate","partial"),IF(AND(H808="W4",F808="predictive",OR(J808="P2",J808="P3",J808="P4")),IF(OR(U808=1,U808="1"),"adequate","partial"),INDEX(Fit_Matrix!$B:$B,MATCH(P808,Fit_Matrix!$A:$A,0)))),"CHECK KEY"))</f>
        <v/>
      </c>
      <c r="U808" s="10" t="n"/>
      <c r="V808" s="10" t="n"/>
      <c r="W808" s="10" t="n"/>
      <c r="X808" s="10" t="n"/>
      <c r="Y808" s="10" t="n"/>
      <c r="Z808" s="10" t="n"/>
      <c r="AA808" s="11">
        <f>IF(A808="","",IF(AND(J808="P4",F808="causal"),"P4-CAUSAL",""))</f>
        <v/>
      </c>
    </row>
    <row r="809" ht="15" customHeight="1" s="1">
      <c r="P809">
        <f>IF(OR(F809="",H809="",J809=""),"",J809&amp;"|"&amp;F809&amp;"|"&amp;IF(H809="W3","W3_"&amp;IF(I809="","unknown",I809),H809))</f>
        <v/>
      </c>
      <c r="Q809">
        <f>IF(P809="","",IFERROR(IF(AND(H809="W7",OR(F809="causal",F809="predictive")),IF(AND(OR(K809=1,K809="1"),OR(L809=1,L809="1"),OR(M809=1,M809="1")),"adequate","partial"),IF(AND(H809="W4",F809="predictive",OR(J809="P2",J809="P3",J809="P4")),IF(OR(U809=1,U809="1"),"adequate","partial"),INDEX(Fit_Matrix!$B:$B,MATCH(P809,Fit_Matrix!$A:$A,0)))),"CHECK KEY"))</f>
        <v/>
      </c>
      <c r="U809" s="10" t="n"/>
      <c r="V809" s="10" t="n"/>
      <c r="W809" s="10" t="n"/>
      <c r="X809" s="10" t="n"/>
      <c r="Y809" s="10" t="n"/>
      <c r="Z809" s="10" t="n"/>
      <c r="AA809" s="11">
        <f>IF(A809="","",IF(AND(J809="P4",F809="causal"),"P4-CAUSAL",""))</f>
        <v/>
      </c>
    </row>
    <row r="810" ht="15" customHeight="1" s="1">
      <c r="P810">
        <f>IF(OR(F810="",H810="",J810=""),"",J810&amp;"|"&amp;F810&amp;"|"&amp;IF(H810="W3","W3_"&amp;IF(I810="","unknown",I810),H810))</f>
        <v/>
      </c>
      <c r="Q810">
        <f>IF(P810="","",IFERROR(IF(AND(H810="W7",OR(F810="causal",F810="predictive")),IF(AND(OR(K810=1,K810="1"),OR(L810=1,L810="1"),OR(M810=1,M810="1")),"adequate","partial"),IF(AND(H810="W4",F810="predictive",OR(J810="P2",J810="P3",J810="P4")),IF(OR(U810=1,U810="1"),"adequate","partial"),INDEX(Fit_Matrix!$B:$B,MATCH(P810,Fit_Matrix!$A:$A,0)))),"CHECK KEY"))</f>
        <v/>
      </c>
      <c r="U810" s="10" t="n"/>
      <c r="V810" s="10" t="n"/>
      <c r="W810" s="10" t="n"/>
      <c r="X810" s="10" t="n"/>
      <c r="Y810" s="10" t="n"/>
      <c r="Z810" s="10" t="n"/>
      <c r="AA810" s="11">
        <f>IF(A810="","",IF(AND(J810="P4",F810="causal"),"P4-CAUSAL",""))</f>
        <v/>
      </c>
    </row>
    <row r="811" ht="15" customHeight="1" s="1">
      <c r="P811">
        <f>IF(OR(F811="",H811="",J811=""),"",J811&amp;"|"&amp;F811&amp;"|"&amp;IF(H811="W3","W3_"&amp;IF(I811="","unknown",I811),H811))</f>
        <v/>
      </c>
      <c r="Q811">
        <f>IF(P811="","",IFERROR(IF(AND(H811="W7",OR(F811="causal",F811="predictive")),IF(AND(OR(K811=1,K811="1"),OR(L811=1,L811="1"),OR(M811=1,M811="1")),"adequate","partial"),IF(AND(H811="W4",F811="predictive",OR(J811="P2",J811="P3",J811="P4")),IF(OR(U811=1,U811="1"),"adequate","partial"),INDEX(Fit_Matrix!$B:$B,MATCH(P811,Fit_Matrix!$A:$A,0)))),"CHECK KEY"))</f>
        <v/>
      </c>
      <c r="U811" s="10" t="n"/>
      <c r="V811" s="10" t="n"/>
      <c r="W811" s="10" t="n"/>
      <c r="X811" s="10" t="n"/>
      <c r="Y811" s="10" t="n"/>
      <c r="Z811" s="10" t="n"/>
      <c r="AA811" s="11">
        <f>IF(A811="","",IF(AND(J811="P4",F811="causal"),"P4-CAUSAL",""))</f>
        <v/>
      </c>
    </row>
    <row r="812" ht="15" customHeight="1" s="1">
      <c r="P812">
        <f>IF(OR(F812="",H812="",J812=""),"",J812&amp;"|"&amp;F812&amp;"|"&amp;IF(H812="W3","W3_"&amp;IF(I812="","unknown",I812),H812))</f>
        <v/>
      </c>
      <c r="Q812">
        <f>IF(P812="","",IFERROR(IF(AND(H812="W7",OR(F812="causal",F812="predictive")),IF(AND(OR(K812=1,K812="1"),OR(L812=1,L812="1"),OR(M812=1,M812="1")),"adequate","partial"),IF(AND(H812="W4",F812="predictive",OR(J812="P2",J812="P3",J812="P4")),IF(OR(U812=1,U812="1"),"adequate","partial"),INDEX(Fit_Matrix!$B:$B,MATCH(P812,Fit_Matrix!$A:$A,0)))),"CHECK KEY"))</f>
        <v/>
      </c>
      <c r="U812" s="10" t="n"/>
      <c r="V812" s="10" t="n"/>
      <c r="W812" s="10" t="n"/>
      <c r="X812" s="10" t="n"/>
      <c r="Y812" s="10" t="n"/>
      <c r="Z812" s="10" t="n"/>
      <c r="AA812" s="11">
        <f>IF(A812="","",IF(AND(J812="P4",F812="causal"),"P4-CAUSAL",""))</f>
        <v/>
      </c>
    </row>
    <row r="813" ht="15" customHeight="1" s="1">
      <c r="P813">
        <f>IF(OR(F813="",H813="",J813=""),"",J813&amp;"|"&amp;F813&amp;"|"&amp;IF(H813="W3","W3_"&amp;IF(I813="","unknown",I813),H813))</f>
        <v/>
      </c>
      <c r="Q813">
        <f>IF(P813="","",IFERROR(IF(AND(H813="W7",OR(F813="causal",F813="predictive")),IF(AND(OR(K813=1,K813="1"),OR(L813=1,L813="1"),OR(M813=1,M813="1")),"adequate","partial"),IF(AND(H813="W4",F813="predictive",OR(J813="P2",J813="P3",J813="P4")),IF(OR(U813=1,U813="1"),"adequate","partial"),INDEX(Fit_Matrix!$B:$B,MATCH(P813,Fit_Matrix!$A:$A,0)))),"CHECK KEY"))</f>
        <v/>
      </c>
      <c r="U813" s="10" t="n"/>
      <c r="V813" s="10" t="n"/>
      <c r="W813" s="10" t="n"/>
      <c r="X813" s="10" t="n"/>
      <c r="Y813" s="10" t="n"/>
      <c r="Z813" s="10" t="n"/>
      <c r="AA813" s="11">
        <f>IF(A813="","",IF(AND(J813="P4",F813="causal"),"P4-CAUSAL",""))</f>
        <v/>
      </c>
    </row>
    <row r="814" ht="15" customHeight="1" s="1">
      <c r="P814">
        <f>IF(OR(F814="",H814="",J814=""),"",J814&amp;"|"&amp;F814&amp;"|"&amp;IF(H814="W3","W3_"&amp;IF(I814="","unknown",I814),H814))</f>
        <v/>
      </c>
      <c r="Q814">
        <f>IF(P814="","",IFERROR(IF(AND(H814="W7",OR(F814="causal",F814="predictive")),IF(AND(OR(K814=1,K814="1"),OR(L814=1,L814="1"),OR(M814=1,M814="1")),"adequate","partial"),IF(AND(H814="W4",F814="predictive",OR(J814="P2",J814="P3",J814="P4")),IF(OR(U814=1,U814="1"),"adequate","partial"),INDEX(Fit_Matrix!$B:$B,MATCH(P814,Fit_Matrix!$A:$A,0)))),"CHECK KEY"))</f>
        <v/>
      </c>
      <c r="U814" s="10" t="n"/>
      <c r="V814" s="10" t="n"/>
      <c r="W814" s="10" t="n"/>
      <c r="X814" s="10" t="n"/>
      <c r="Y814" s="10" t="n"/>
      <c r="Z814" s="10" t="n"/>
      <c r="AA814" s="11">
        <f>IF(A814="","",IF(AND(J814="P4",F814="causal"),"P4-CAUSAL",""))</f>
        <v/>
      </c>
    </row>
    <row r="815" ht="15" customHeight="1" s="1">
      <c r="P815">
        <f>IF(OR(F815="",H815="",J815=""),"",J815&amp;"|"&amp;F815&amp;"|"&amp;IF(H815="W3","W3_"&amp;IF(I815="","unknown",I815),H815))</f>
        <v/>
      </c>
      <c r="Q815">
        <f>IF(P815="","",IFERROR(IF(AND(H815="W7",OR(F815="causal",F815="predictive")),IF(AND(OR(K815=1,K815="1"),OR(L815=1,L815="1"),OR(M815=1,M815="1")),"adequate","partial"),IF(AND(H815="W4",F815="predictive",OR(J815="P2",J815="P3",J815="P4")),IF(OR(U815=1,U815="1"),"adequate","partial"),INDEX(Fit_Matrix!$B:$B,MATCH(P815,Fit_Matrix!$A:$A,0)))),"CHECK KEY"))</f>
        <v/>
      </c>
      <c r="U815" s="10" t="n"/>
      <c r="V815" s="10" t="n"/>
      <c r="W815" s="10" t="n"/>
      <c r="X815" s="10" t="n"/>
      <c r="Y815" s="10" t="n"/>
      <c r="Z815" s="10" t="n"/>
      <c r="AA815" s="11">
        <f>IF(A815="","",IF(AND(J815="P4",F815="causal"),"P4-CAUSAL",""))</f>
        <v/>
      </c>
    </row>
    <row r="816" ht="15" customHeight="1" s="1">
      <c r="P816">
        <f>IF(OR(F816="",H816="",J816=""),"",J816&amp;"|"&amp;F816&amp;"|"&amp;IF(H816="W3","W3_"&amp;IF(I816="","unknown",I816),H816))</f>
        <v/>
      </c>
      <c r="Q816">
        <f>IF(P816="","",IFERROR(IF(AND(H816="W7",OR(F816="causal",F816="predictive")),IF(AND(OR(K816=1,K816="1"),OR(L816=1,L816="1"),OR(M816=1,M816="1")),"adequate","partial"),IF(AND(H816="W4",F816="predictive",OR(J816="P2",J816="P3",J816="P4")),IF(OR(U816=1,U816="1"),"adequate","partial"),INDEX(Fit_Matrix!$B:$B,MATCH(P816,Fit_Matrix!$A:$A,0)))),"CHECK KEY"))</f>
        <v/>
      </c>
      <c r="U816" s="10" t="n"/>
      <c r="V816" s="10" t="n"/>
      <c r="W816" s="10" t="n"/>
      <c r="X816" s="10" t="n"/>
      <c r="Y816" s="10" t="n"/>
      <c r="Z816" s="10" t="n"/>
      <c r="AA816" s="11">
        <f>IF(A816="","",IF(AND(J816="P4",F816="causal"),"P4-CAUSAL",""))</f>
        <v/>
      </c>
    </row>
    <row r="817" ht="15" customHeight="1" s="1">
      <c r="P817">
        <f>IF(OR(F817="",H817="",J817=""),"",J817&amp;"|"&amp;F817&amp;"|"&amp;IF(H817="W3","W3_"&amp;IF(I817="","unknown",I817),H817))</f>
        <v/>
      </c>
      <c r="Q817">
        <f>IF(P817="","",IFERROR(IF(AND(H817="W7",OR(F817="causal",F817="predictive")),IF(AND(OR(K817=1,K817="1"),OR(L817=1,L817="1"),OR(M817=1,M817="1")),"adequate","partial"),IF(AND(H817="W4",F817="predictive",OR(J817="P2",J817="P3",J817="P4")),IF(OR(U817=1,U817="1"),"adequate","partial"),INDEX(Fit_Matrix!$B:$B,MATCH(P817,Fit_Matrix!$A:$A,0)))),"CHECK KEY"))</f>
        <v/>
      </c>
      <c r="U817" s="10" t="n"/>
      <c r="V817" s="10" t="n"/>
      <c r="W817" s="10" t="n"/>
      <c r="X817" s="10" t="n"/>
      <c r="Y817" s="10" t="n"/>
      <c r="Z817" s="10" t="n"/>
      <c r="AA817" s="11">
        <f>IF(A817="","",IF(AND(J817="P4",F817="causal"),"P4-CAUSAL",""))</f>
        <v/>
      </c>
    </row>
    <row r="818" ht="15" customHeight="1" s="1">
      <c r="P818">
        <f>IF(OR(F818="",H818="",J818=""),"",J818&amp;"|"&amp;F818&amp;"|"&amp;IF(H818="W3","W3_"&amp;IF(I818="","unknown",I818),H818))</f>
        <v/>
      </c>
      <c r="Q818">
        <f>IF(P818="","",IFERROR(IF(AND(H818="W7",OR(F818="causal",F818="predictive")),IF(AND(OR(K818=1,K818="1"),OR(L818=1,L818="1"),OR(M818=1,M818="1")),"adequate","partial"),IF(AND(H818="W4",F818="predictive",OR(J818="P2",J818="P3",J818="P4")),IF(OR(U818=1,U818="1"),"adequate","partial"),INDEX(Fit_Matrix!$B:$B,MATCH(P818,Fit_Matrix!$A:$A,0)))),"CHECK KEY"))</f>
        <v/>
      </c>
      <c r="U818" s="10" t="n"/>
      <c r="V818" s="10" t="n"/>
      <c r="W818" s="10" t="n"/>
      <c r="X818" s="10" t="n"/>
      <c r="Y818" s="10" t="n"/>
      <c r="Z818" s="10" t="n"/>
      <c r="AA818" s="11">
        <f>IF(A818="","",IF(AND(J818="P4",F818="causal"),"P4-CAUSAL",""))</f>
        <v/>
      </c>
    </row>
    <row r="819" ht="15" customHeight="1" s="1">
      <c r="P819">
        <f>IF(OR(F819="",H819="",J819=""),"",J819&amp;"|"&amp;F819&amp;"|"&amp;IF(H819="W3","W3_"&amp;IF(I819="","unknown",I819),H819))</f>
        <v/>
      </c>
      <c r="Q819">
        <f>IF(P819="","",IFERROR(IF(AND(H819="W7",OR(F819="causal",F819="predictive")),IF(AND(OR(K819=1,K819="1"),OR(L819=1,L819="1"),OR(M819=1,M819="1")),"adequate","partial"),IF(AND(H819="W4",F819="predictive",OR(J819="P2",J819="P3",J819="P4")),IF(OR(U819=1,U819="1"),"adequate","partial"),INDEX(Fit_Matrix!$B:$B,MATCH(P819,Fit_Matrix!$A:$A,0)))),"CHECK KEY"))</f>
        <v/>
      </c>
      <c r="U819" s="10" t="n"/>
      <c r="V819" s="10" t="n"/>
      <c r="W819" s="10" t="n"/>
      <c r="X819" s="10" t="n"/>
      <c r="Y819" s="10" t="n"/>
      <c r="Z819" s="10" t="n"/>
      <c r="AA819" s="11">
        <f>IF(A819="","",IF(AND(J819="P4",F819="causal"),"P4-CAUSAL",""))</f>
        <v/>
      </c>
    </row>
    <row r="820" ht="15" customHeight="1" s="1">
      <c r="P820">
        <f>IF(OR(F820="",H820="",J820=""),"",J820&amp;"|"&amp;F820&amp;"|"&amp;IF(H820="W3","W3_"&amp;IF(I820="","unknown",I820),H820))</f>
        <v/>
      </c>
      <c r="Q820">
        <f>IF(P820="","",IFERROR(IF(AND(H820="W7",OR(F820="causal",F820="predictive")),IF(AND(OR(K820=1,K820="1"),OR(L820=1,L820="1"),OR(M820=1,M820="1")),"adequate","partial"),IF(AND(H820="W4",F820="predictive",OR(J820="P2",J820="P3",J820="P4")),IF(OR(U820=1,U820="1"),"adequate","partial"),INDEX(Fit_Matrix!$B:$B,MATCH(P820,Fit_Matrix!$A:$A,0)))),"CHECK KEY"))</f>
        <v/>
      </c>
      <c r="U820" s="10" t="n"/>
      <c r="V820" s="10" t="n"/>
      <c r="W820" s="10" t="n"/>
      <c r="X820" s="10" t="n"/>
      <c r="Y820" s="10" t="n"/>
      <c r="Z820" s="10" t="n"/>
      <c r="AA820" s="11">
        <f>IF(A820="","",IF(AND(J820="P4",F820="causal"),"P4-CAUSAL",""))</f>
        <v/>
      </c>
    </row>
    <row r="821" ht="15" customHeight="1" s="1">
      <c r="P821">
        <f>IF(OR(F821="",H821="",J821=""),"",J821&amp;"|"&amp;F821&amp;"|"&amp;IF(H821="W3","W3_"&amp;IF(I821="","unknown",I821),H821))</f>
        <v/>
      </c>
      <c r="Q821">
        <f>IF(P821="","",IFERROR(IF(AND(H821="W7",OR(F821="causal",F821="predictive")),IF(AND(OR(K821=1,K821="1"),OR(L821=1,L821="1"),OR(M821=1,M821="1")),"adequate","partial"),IF(AND(H821="W4",F821="predictive",OR(J821="P2",J821="P3",J821="P4")),IF(OR(U821=1,U821="1"),"adequate","partial"),INDEX(Fit_Matrix!$B:$B,MATCH(P821,Fit_Matrix!$A:$A,0)))),"CHECK KEY"))</f>
        <v/>
      </c>
      <c r="U821" s="10" t="n"/>
      <c r="V821" s="10" t="n"/>
      <c r="W821" s="10" t="n"/>
      <c r="X821" s="10" t="n"/>
      <c r="Y821" s="10" t="n"/>
      <c r="Z821" s="10" t="n"/>
      <c r="AA821" s="11">
        <f>IF(A821="","",IF(AND(J821="P4",F821="causal"),"P4-CAUSAL",""))</f>
        <v/>
      </c>
    </row>
    <row r="822" ht="15" customHeight="1" s="1">
      <c r="P822">
        <f>IF(OR(F822="",H822="",J822=""),"",J822&amp;"|"&amp;F822&amp;"|"&amp;IF(H822="W3","W3_"&amp;IF(I822="","unknown",I822),H822))</f>
        <v/>
      </c>
      <c r="Q822">
        <f>IF(P822="","",IFERROR(IF(AND(H822="W7",OR(F822="causal",F822="predictive")),IF(AND(OR(K822=1,K822="1"),OR(L822=1,L822="1"),OR(M822=1,M822="1")),"adequate","partial"),IF(AND(H822="W4",F822="predictive",OR(J822="P2",J822="P3",J822="P4")),IF(OR(U822=1,U822="1"),"adequate","partial"),INDEX(Fit_Matrix!$B:$B,MATCH(P822,Fit_Matrix!$A:$A,0)))),"CHECK KEY"))</f>
        <v/>
      </c>
      <c r="U822" s="10" t="n"/>
      <c r="V822" s="10" t="n"/>
      <c r="W822" s="10" t="n"/>
      <c r="X822" s="10" t="n"/>
      <c r="Y822" s="10" t="n"/>
      <c r="Z822" s="10" t="n"/>
      <c r="AA822" s="11">
        <f>IF(A822="","",IF(AND(J822="P4",F822="causal"),"P4-CAUSAL",""))</f>
        <v/>
      </c>
    </row>
    <row r="823" ht="15" customHeight="1" s="1">
      <c r="P823">
        <f>IF(OR(F823="",H823="",J823=""),"",J823&amp;"|"&amp;F823&amp;"|"&amp;IF(H823="W3","W3_"&amp;IF(I823="","unknown",I823),H823))</f>
        <v/>
      </c>
      <c r="Q823">
        <f>IF(P823="","",IFERROR(IF(AND(H823="W7",OR(F823="causal",F823="predictive")),IF(AND(OR(K823=1,K823="1"),OR(L823=1,L823="1"),OR(M823=1,M823="1")),"adequate","partial"),IF(AND(H823="W4",F823="predictive",OR(J823="P2",J823="P3",J823="P4")),IF(OR(U823=1,U823="1"),"adequate","partial"),INDEX(Fit_Matrix!$B:$B,MATCH(P823,Fit_Matrix!$A:$A,0)))),"CHECK KEY"))</f>
        <v/>
      </c>
      <c r="U823" s="10" t="n"/>
      <c r="V823" s="10" t="n"/>
      <c r="W823" s="10" t="n"/>
      <c r="X823" s="10" t="n"/>
      <c r="Y823" s="10" t="n"/>
      <c r="Z823" s="10" t="n"/>
      <c r="AA823" s="11">
        <f>IF(A823="","",IF(AND(J823="P4",F823="causal"),"P4-CAUSAL",""))</f>
        <v/>
      </c>
    </row>
    <row r="824" ht="15" customHeight="1" s="1">
      <c r="P824">
        <f>IF(OR(F824="",H824="",J824=""),"",J824&amp;"|"&amp;F824&amp;"|"&amp;IF(H824="W3","W3_"&amp;IF(I824="","unknown",I824),H824))</f>
        <v/>
      </c>
      <c r="Q824">
        <f>IF(P824="","",IFERROR(IF(AND(H824="W7",OR(F824="causal",F824="predictive")),IF(AND(OR(K824=1,K824="1"),OR(L824=1,L824="1"),OR(M824=1,M824="1")),"adequate","partial"),IF(AND(H824="W4",F824="predictive",OR(J824="P2",J824="P3",J824="P4")),IF(OR(U824=1,U824="1"),"adequate","partial"),INDEX(Fit_Matrix!$B:$B,MATCH(P824,Fit_Matrix!$A:$A,0)))),"CHECK KEY"))</f>
        <v/>
      </c>
      <c r="U824" s="10" t="n"/>
      <c r="V824" s="10" t="n"/>
      <c r="W824" s="10" t="n"/>
      <c r="X824" s="10" t="n"/>
      <c r="Y824" s="10" t="n"/>
      <c r="Z824" s="10" t="n"/>
      <c r="AA824" s="11">
        <f>IF(A824="","",IF(AND(J824="P4",F824="causal"),"P4-CAUSAL",""))</f>
        <v/>
      </c>
    </row>
    <row r="825" ht="15" customHeight="1" s="1">
      <c r="P825">
        <f>IF(OR(F825="",H825="",J825=""),"",J825&amp;"|"&amp;F825&amp;"|"&amp;IF(H825="W3","W3_"&amp;IF(I825="","unknown",I825),H825))</f>
        <v/>
      </c>
      <c r="Q825">
        <f>IF(P825="","",IFERROR(IF(AND(H825="W7",OR(F825="causal",F825="predictive")),IF(AND(OR(K825=1,K825="1"),OR(L825=1,L825="1"),OR(M825=1,M825="1")),"adequate","partial"),IF(AND(H825="W4",F825="predictive",OR(J825="P2",J825="P3",J825="P4")),IF(OR(U825=1,U825="1"),"adequate","partial"),INDEX(Fit_Matrix!$B:$B,MATCH(P825,Fit_Matrix!$A:$A,0)))),"CHECK KEY"))</f>
        <v/>
      </c>
      <c r="U825" s="10" t="n"/>
      <c r="V825" s="10" t="n"/>
      <c r="W825" s="10" t="n"/>
      <c r="X825" s="10" t="n"/>
      <c r="Y825" s="10" t="n"/>
      <c r="Z825" s="10" t="n"/>
      <c r="AA825" s="11">
        <f>IF(A825="","",IF(AND(J825="P4",F825="causal"),"P4-CAUSAL",""))</f>
        <v/>
      </c>
    </row>
    <row r="826" ht="15" customHeight="1" s="1">
      <c r="P826">
        <f>IF(OR(F826="",H826="",J826=""),"",J826&amp;"|"&amp;F826&amp;"|"&amp;IF(H826="W3","W3_"&amp;IF(I826="","unknown",I826),H826))</f>
        <v/>
      </c>
      <c r="Q826">
        <f>IF(P826="","",IFERROR(IF(AND(H826="W7",OR(F826="causal",F826="predictive")),IF(AND(OR(K826=1,K826="1"),OR(L826=1,L826="1"),OR(M826=1,M826="1")),"adequate","partial"),IF(AND(H826="W4",F826="predictive",OR(J826="P2",J826="P3",J826="P4")),IF(OR(U826=1,U826="1"),"adequate","partial"),INDEX(Fit_Matrix!$B:$B,MATCH(P826,Fit_Matrix!$A:$A,0)))),"CHECK KEY"))</f>
        <v/>
      </c>
      <c r="U826" s="10" t="n"/>
      <c r="V826" s="10" t="n"/>
      <c r="W826" s="10" t="n"/>
      <c r="X826" s="10" t="n"/>
      <c r="Y826" s="10" t="n"/>
      <c r="Z826" s="10" t="n"/>
      <c r="AA826" s="11">
        <f>IF(A826="","",IF(AND(J826="P4",F826="causal"),"P4-CAUSAL",""))</f>
        <v/>
      </c>
    </row>
    <row r="827" ht="15" customHeight="1" s="1">
      <c r="P827">
        <f>IF(OR(F827="",H827="",J827=""),"",J827&amp;"|"&amp;F827&amp;"|"&amp;IF(H827="W3","W3_"&amp;IF(I827="","unknown",I827),H827))</f>
        <v/>
      </c>
      <c r="Q827">
        <f>IF(P827="","",IFERROR(IF(AND(H827="W7",OR(F827="causal",F827="predictive")),IF(AND(OR(K827=1,K827="1"),OR(L827=1,L827="1"),OR(M827=1,M827="1")),"adequate","partial"),IF(AND(H827="W4",F827="predictive",OR(J827="P2",J827="P3",J827="P4")),IF(OR(U827=1,U827="1"),"adequate","partial"),INDEX(Fit_Matrix!$B:$B,MATCH(P827,Fit_Matrix!$A:$A,0)))),"CHECK KEY"))</f>
        <v/>
      </c>
      <c r="U827" s="10" t="n"/>
      <c r="V827" s="10" t="n"/>
      <c r="W827" s="10" t="n"/>
      <c r="X827" s="10" t="n"/>
      <c r="Y827" s="10" t="n"/>
      <c r="Z827" s="10" t="n"/>
      <c r="AA827" s="11">
        <f>IF(A827="","",IF(AND(J827="P4",F827="causal"),"P4-CAUSAL",""))</f>
        <v/>
      </c>
    </row>
    <row r="828" ht="15" customHeight="1" s="1">
      <c r="P828">
        <f>IF(OR(F828="",H828="",J828=""),"",J828&amp;"|"&amp;F828&amp;"|"&amp;IF(H828="W3","W3_"&amp;IF(I828="","unknown",I828),H828))</f>
        <v/>
      </c>
      <c r="Q828">
        <f>IF(P828="","",IFERROR(IF(AND(H828="W7",OR(F828="causal",F828="predictive")),IF(AND(OR(K828=1,K828="1"),OR(L828=1,L828="1"),OR(M828=1,M828="1")),"adequate","partial"),IF(AND(H828="W4",F828="predictive",OR(J828="P2",J828="P3",J828="P4")),IF(OR(U828=1,U828="1"),"adequate","partial"),INDEX(Fit_Matrix!$B:$B,MATCH(P828,Fit_Matrix!$A:$A,0)))),"CHECK KEY"))</f>
        <v/>
      </c>
      <c r="U828" s="10" t="n"/>
      <c r="V828" s="10" t="n"/>
      <c r="W828" s="10" t="n"/>
      <c r="X828" s="10" t="n"/>
      <c r="Y828" s="10" t="n"/>
      <c r="Z828" s="10" t="n"/>
      <c r="AA828" s="11">
        <f>IF(A828="","",IF(AND(J828="P4",F828="causal"),"P4-CAUSAL",""))</f>
        <v/>
      </c>
    </row>
    <row r="829" ht="15" customHeight="1" s="1">
      <c r="P829">
        <f>IF(OR(F829="",H829="",J829=""),"",J829&amp;"|"&amp;F829&amp;"|"&amp;IF(H829="W3","W3_"&amp;IF(I829="","unknown",I829),H829))</f>
        <v/>
      </c>
      <c r="Q829">
        <f>IF(P829="","",IFERROR(IF(AND(H829="W7",OR(F829="causal",F829="predictive")),IF(AND(OR(K829=1,K829="1"),OR(L829=1,L829="1"),OR(M829=1,M829="1")),"adequate","partial"),IF(AND(H829="W4",F829="predictive",OR(J829="P2",J829="P3",J829="P4")),IF(OR(U829=1,U829="1"),"adequate","partial"),INDEX(Fit_Matrix!$B:$B,MATCH(P829,Fit_Matrix!$A:$A,0)))),"CHECK KEY"))</f>
        <v/>
      </c>
      <c r="U829" s="10" t="n"/>
      <c r="V829" s="10" t="n"/>
      <c r="W829" s="10" t="n"/>
      <c r="X829" s="10" t="n"/>
      <c r="Y829" s="10" t="n"/>
      <c r="Z829" s="10" t="n"/>
      <c r="AA829" s="11">
        <f>IF(A829="","",IF(AND(J829="P4",F829="causal"),"P4-CAUSAL",""))</f>
        <v/>
      </c>
    </row>
    <row r="830" ht="15" customHeight="1" s="1">
      <c r="P830">
        <f>IF(OR(F830="",H830="",J830=""),"",J830&amp;"|"&amp;F830&amp;"|"&amp;IF(H830="W3","W3_"&amp;IF(I830="","unknown",I830),H830))</f>
        <v/>
      </c>
      <c r="Q830">
        <f>IF(P830="","",IFERROR(IF(AND(H830="W7",OR(F830="causal",F830="predictive")),IF(AND(OR(K830=1,K830="1"),OR(L830=1,L830="1"),OR(M830=1,M830="1")),"adequate","partial"),IF(AND(H830="W4",F830="predictive",OR(J830="P2",J830="P3",J830="P4")),IF(OR(U830=1,U830="1"),"adequate","partial"),INDEX(Fit_Matrix!$B:$B,MATCH(P830,Fit_Matrix!$A:$A,0)))),"CHECK KEY"))</f>
        <v/>
      </c>
      <c r="U830" s="10" t="n"/>
      <c r="V830" s="10" t="n"/>
      <c r="W830" s="10" t="n"/>
      <c r="X830" s="10" t="n"/>
      <c r="Y830" s="10" t="n"/>
      <c r="Z830" s="10" t="n"/>
      <c r="AA830" s="11">
        <f>IF(A830="","",IF(AND(J830="P4",F830="causal"),"P4-CAUSAL",""))</f>
        <v/>
      </c>
    </row>
    <row r="831" ht="15" customHeight="1" s="1">
      <c r="P831">
        <f>IF(OR(F831="",H831="",J831=""),"",J831&amp;"|"&amp;F831&amp;"|"&amp;IF(H831="W3","W3_"&amp;IF(I831="","unknown",I831),H831))</f>
        <v/>
      </c>
      <c r="Q831">
        <f>IF(P831="","",IFERROR(IF(AND(H831="W7",OR(F831="causal",F831="predictive")),IF(AND(OR(K831=1,K831="1"),OR(L831=1,L831="1"),OR(M831=1,M831="1")),"adequate","partial"),IF(AND(H831="W4",F831="predictive",OR(J831="P2",J831="P3",J831="P4")),IF(OR(U831=1,U831="1"),"adequate","partial"),INDEX(Fit_Matrix!$B:$B,MATCH(P831,Fit_Matrix!$A:$A,0)))),"CHECK KEY"))</f>
        <v/>
      </c>
      <c r="U831" s="10" t="n"/>
      <c r="V831" s="10" t="n"/>
      <c r="W831" s="10" t="n"/>
      <c r="X831" s="10" t="n"/>
      <c r="Y831" s="10" t="n"/>
      <c r="Z831" s="10" t="n"/>
      <c r="AA831" s="11">
        <f>IF(A831="","",IF(AND(J831="P4",F831="causal"),"P4-CAUSAL",""))</f>
        <v/>
      </c>
    </row>
    <row r="832" ht="15" customHeight="1" s="1">
      <c r="P832">
        <f>IF(OR(F832="",H832="",J832=""),"",J832&amp;"|"&amp;F832&amp;"|"&amp;IF(H832="W3","W3_"&amp;IF(I832="","unknown",I832),H832))</f>
        <v/>
      </c>
      <c r="Q832">
        <f>IF(P832="","",IFERROR(IF(AND(H832="W7",OR(F832="causal",F832="predictive")),IF(AND(OR(K832=1,K832="1"),OR(L832=1,L832="1"),OR(M832=1,M832="1")),"adequate","partial"),IF(AND(H832="W4",F832="predictive",OR(J832="P2",J832="P3",J832="P4")),IF(OR(U832=1,U832="1"),"adequate","partial"),INDEX(Fit_Matrix!$B:$B,MATCH(P832,Fit_Matrix!$A:$A,0)))),"CHECK KEY"))</f>
        <v/>
      </c>
      <c r="U832" s="10" t="n"/>
      <c r="V832" s="10" t="n"/>
      <c r="W832" s="10" t="n"/>
      <c r="X832" s="10" t="n"/>
      <c r="Y832" s="10" t="n"/>
      <c r="Z832" s="10" t="n"/>
      <c r="AA832" s="11">
        <f>IF(A832="","",IF(AND(J832="P4",F832="causal"),"P4-CAUSAL",""))</f>
        <v/>
      </c>
    </row>
    <row r="833" ht="15" customHeight="1" s="1">
      <c r="P833">
        <f>IF(OR(F833="",H833="",J833=""),"",J833&amp;"|"&amp;F833&amp;"|"&amp;IF(H833="W3","W3_"&amp;IF(I833="","unknown",I833),H833))</f>
        <v/>
      </c>
      <c r="Q833">
        <f>IF(P833="","",IFERROR(IF(AND(H833="W7",OR(F833="causal",F833="predictive")),IF(AND(OR(K833=1,K833="1"),OR(L833=1,L833="1"),OR(M833=1,M833="1")),"adequate","partial"),IF(AND(H833="W4",F833="predictive",OR(J833="P2",J833="P3",J833="P4")),IF(OR(U833=1,U833="1"),"adequate","partial"),INDEX(Fit_Matrix!$B:$B,MATCH(P833,Fit_Matrix!$A:$A,0)))),"CHECK KEY"))</f>
        <v/>
      </c>
      <c r="U833" s="10" t="n"/>
      <c r="V833" s="10" t="n"/>
      <c r="W833" s="10" t="n"/>
      <c r="X833" s="10" t="n"/>
      <c r="Y833" s="10" t="n"/>
      <c r="Z833" s="10" t="n"/>
      <c r="AA833" s="11">
        <f>IF(A833="","",IF(AND(J833="P4",F833="causal"),"P4-CAUSAL",""))</f>
        <v/>
      </c>
    </row>
    <row r="834" ht="15" customHeight="1" s="1">
      <c r="P834">
        <f>IF(OR(F834="",H834="",J834=""),"",J834&amp;"|"&amp;F834&amp;"|"&amp;IF(H834="W3","W3_"&amp;IF(I834="","unknown",I834),H834))</f>
        <v/>
      </c>
      <c r="Q834">
        <f>IF(P834="","",IFERROR(IF(AND(H834="W7",OR(F834="causal",F834="predictive")),IF(AND(OR(K834=1,K834="1"),OR(L834=1,L834="1"),OR(M834=1,M834="1")),"adequate","partial"),IF(AND(H834="W4",F834="predictive",OR(J834="P2",J834="P3",J834="P4")),IF(OR(U834=1,U834="1"),"adequate","partial"),INDEX(Fit_Matrix!$B:$B,MATCH(P834,Fit_Matrix!$A:$A,0)))),"CHECK KEY"))</f>
        <v/>
      </c>
      <c r="U834" s="10" t="n"/>
      <c r="V834" s="10" t="n"/>
      <c r="W834" s="10" t="n"/>
      <c r="X834" s="10" t="n"/>
      <c r="Y834" s="10" t="n"/>
      <c r="Z834" s="10" t="n"/>
      <c r="AA834" s="11">
        <f>IF(A834="","",IF(AND(J834="P4",F834="causal"),"P4-CAUSAL",""))</f>
        <v/>
      </c>
    </row>
    <row r="835" ht="15" customHeight="1" s="1">
      <c r="P835">
        <f>IF(OR(F835="",H835="",J835=""),"",J835&amp;"|"&amp;F835&amp;"|"&amp;IF(H835="W3","W3_"&amp;IF(I835="","unknown",I835),H835))</f>
        <v/>
      </c>
      <c r="Q835">
        <f>IF(P835="","",IFERROR(IF(AND(H835="W7",OR(F835="causal",F835="predictive")),IF(AND(OR(K835=1,K835="1"),OR(L835=1,L835="1"),OR(M835=1,M835="1")),"adequate","partial"),IF(AND(H835="W4",F835="predictive",OR(J835="P2",J835="P3",J835="P4")),IF(OR(U835=1,U835="1"),"adequate","partial"),INDEX(Fit_Matrix!$B:$B,MATCH(P835,Fit_Matrix!$A:$A,0)))),"CHECK KEY"))</f>
        <v/>
      </c>
      <c r="U835" s="10" t="n"/>
      <c r="V835" s="10" t="n"/>
      <c r="W835" s="10" t="n"/>
      <c r="X835" s="10" t="n"/>
      <c r="Y835" s="10" t="n"/>
      <c r="Z835" s="10" t="n"/>
      <c r="AA835" s="11">
        <f>IF(A835="","",IF(AND(J835="P4",F835="causal"),"P4-CAUSAL",""))</f>
        <v/>
      </c>
    </row>
    <row r="836" ht="15" customHeight="1" s="1">
      <c r="P836">
        <f>IF(OR(F836="",H836="",J836=""),"",J836&amp;"|"&amp;F836&amp;"|"&amp;IF(H836="W3","W3_"&amp;IF(I836="","unknown",I836),H836))</f>
        <v/>
      </c>
      <c r="Q836">
        <f>IF(P836="","",IFERROR(IF(AND(H836="W7",OR(F836="causal",F836="predictive")),IF(AND(OR(K836=1,K836="1"),OR(L836=1,L836="1"),OR(M836=1,M836="1")),"adequate","partial"),IF(AND(H836="W4",F836="predictive",OR(J836="P2",J836="P3",J836="P4")),IF(OR(U836=1,U836="1"),"adequate","partial"),INDEX(Fit_Matrix!$B:$B,MATCH(P836,Fit_Matrix!$A:$A,0)))),"CHECK KEY"))</f>
        <v/>
      </c>
      <c r="U836" s="10" t="n"/>
      <c r="V836" s="10" t="n"/>
      <c r="W836" s="10" t="n"/>
      <c r="X836" s="10" t="n"/>
      <c r="Y836" s="10" t="n"/>
      <c r="Z836" s="10" t="n"/>
      <c r="AA836" s="11">
        <f>IF(A836="","",IF(AND(J836="P4",F836="causal"),"P4-CAUSAL",""))</f>
        <v/>
      </c>
    </row>
    <row r="837" ht="15" customHeight="1" s="1">
      <c r="P837">
        <f>IF(OR(F837="",H837="",J837=""),"",J837&amp;"|"&amp;F837&amp;"|"&amp;IF(H837="W3","W3_"&amp;IF(I837="","unknown",I837),H837))</f>
        <v/>
      </c>
      <c r="Q837">
        <f>IF(P837="","",IFERROR(IF(AND(H837="W7",OR(F837="causal",F837="predictive")),IF(AND(OR(K837=1,K837="1"),OR(L837=1,L837="1"),OR(M837=1,M837="1")),"adequate","partial"),IF(AND(H837="W4",F837="predictive",OR(J837="P2",J837="P3",J837="P4")),IF(OR(U837=1,U837="1"),"adequate","partial"),INDEX(Fit_Matrix!$B:$B,MATCH(P837,Fit_Matrix!$A:$A,0)))),"CHECK KEY"))</f>
        <v/>
      </c>
      <c r="U837" s="10" t="n"/>
      <c r="V837" s="10" t="n"/>
      <c r="W837" s="10" t="n"/>
      <c r="X837" s="10" t="n"/>
      <c r="Y837" s="10" t="n"/>
      <c r="Z837" s="10" t="n"/>
      <c r="AA837" s="11">
        <f>IF(A837="","",IF(AND(J837="P4",F837="causal"),"P4-CAUSAL",""))</f>
        <v/>
      </c>
    </row>
    <row r="838" ht="15" customHeight="1" s="1">
      <c r="P838">
        <f>IF(OR(F838="",H838="",J838=""),"",J838&amp;"|"&amp;F838&amp;"|"&amp;IF(H838="W3","W3_"&amp;IF(I838="","unknown",I838),H838))</f>
        <v/>
      </c>
      <c r="Q838">
        <f>IF(P838="","",IFERROR(IF(AND(H838="W7",OR(F838="causal",F838="predictive")),IF(AND(OR(K838=1,K838="1"),OR(L838=1,L838="1"),OR(M838=1,M838="1")),"adequate","partial"),IF(AND(H838="W4",F838="predictive",OR(J838="P2",J838="P3",J838="P4")),IF(OR(U838=1,U838="1"),"adequate","partial"),INDEX(Fit_Matrix!$B:$B,MATCH(P838,Fit_Matrix!$A:$A,0)))),"CHECK KEY"))</f>
        <v/>
      </c>
      <c r="U838" s="10" t="n"/>
      <c r="V838" s="10" t="n"/>
      <c r="W838" s="10" t="n"/>
      <c r="X838" s="10" t="n"/>
      <c r="Y838" s="10" t="n"/>
      <c r="Z838" s="10" t="n"/>
      <c r="AA838" s="11">
        <f>IF(A838="","",IF(AND(J838="P4",F838="causal"),"P4-CAUSAL",""))</f>
        <v/>
      </c>
    </row>
    <row r="839" ht="15" customHeight="1" s="1">
      <c r="P839">
        <f>IF(OR(F839="",H839="",J839=""),"",J839&amp;"|"&amp;F839&amp;"|"&amp;IF(H839="W3","W3_"&amp;IF(I839="","unknown",I839),H839))</f>
        <v/>
      </c>
      <c r="Q839">
        <f>IF(P839="","",IFERROR(IF(AND(H839="W7",OR(F839="causal",F839="predictive")),IF(AND(OR(K839=1,K839="1"),OR(L839=1,L839="1"),OR(M839=1,M839="1")),"adequate","partial"),IF(AND(H839="W4",F839="predictive",OR(J839="P2",J839="P3",J839="P4")),IF(OR(U839=1,U839="1"),"adequate","partial"),INDEX(Fit_Matrix!$B:$B,MATCH(P839,Fit_Matrix!$A:$A,0)))),"CHECK KEY"))</f>
        <v/>
      </c>
      <c r="U839" s="10" t="n"/>
      <c r="V839" s="10" t="n"/>
      <c r="W839" s="10" t="n"/>
      <c r="X839" s="10" t="n"/>
      <c r="Y839" s="10" t="n"/>
      <c r="Z839" s="10" t="n"/>
      <c r="AA839" s="11">
        <f>IF(A839="","",IF(AND(J839="P4",F839="causal"),"P4-CAUSAL",""))</f>
        <v/>
      </c>
    </row>
    <row r="840" ht="15" customHeight="1" s="1">
      <c r="P840">
        <f>IF(OR(F840="",H840="",J840=""),"",J840&amp;"|"&amp;F840&amp;"|"&amp;IF(H840="W3","W3_"&amp;IF(I840="","unknown",I840),H840))</f>
        <v/>
      </c>
      <c r="Q840">
        <f>IF(P840="","",IFERROR(IF(AND(H840="W7",OR(F840="causal",F840="predictive")),IF(AND(OR(K840=1,K840="1"),OR(L840=1,L840="1"),OR(M840=1,M840="1")),"adequate","partial"),IF(AND(H840="W4",F840="predictive",OR(J840="P2",J840="P3",J840="P4")),IF(OR(U840=1,U840="1"),"adequate","partial"),INDEX(Fit_Matrix!$B:$B,MATCH(P840,Fit_Matrix!$A:$A,0)))),"CHECK KEY"))</f>
        <v/>
      </c>
      <c r="U840" s="10" t="n"/>
      <c r="V840" s="10" t="n"/>
      <c r="W840" s="10" t="n"/>
      <c r="X840" s="10" t="n"/>
      <c r="Y840" s="10" t="n"/>
      <c r="Z840" s="10" t="n"/>
      <c r="AA840" s="11">
        <f>IF(A840="","",IF(AND(J840="P4",F840="causal"),"P4-CAUSAL",""))</f>
        <v/>
      </c>
    </row>
    <row r="841" ht="15" customHeight="1" s="1">
      <c r="P841">
        <f>IF(OR(F841="",H841="",J841=""),"",J841&amp;"|"&amp;F841&amp;"|"&amp;IF(H841="W3","W3_"&amp;IF(I841="","unknown",I841),H841))</f>
        <v/>
      </c>
      <c r="Q841">
        <f>IF(P841="","",IFERROR(IF(AND(H841="W7",OR(F841="causal",F841="predictive")),IF(AND(OR(K841=1,K841="1"),OR(L841=1,L841="1"),OR(M841=1,M841="1")),"adequate","partial"),IF(AND(H841="W4",F841="predictive",OR(J841="P2",J841="P3",J841="P4")),IF(OR(U841=1,U841="1"),"adequate","partial"),INDEX(Fit_Matrix!$B:$B,MATCH(P841,Fit_Matrix!$A:$A,0)))),"CHECK KEY"))</f>
        <v/>
      </c>
      <c r="U841" s="10" t="n"/>
      <c r="V841" s="10" t="n"/>
      <c r="W841" s="10" t="n"/>
      <c r="X841" s="10" t="n"/>
      <c r="Y841" s="10" t="n"/>
      <c r="Z841" s="10" t="n"/>
      <c r="AA841" s="11">
        <f>IF(A841="","",IF(AND(J841="P4",F841="causal"),"P4-CAUSAL",""))</f>
        <v/>
      </c>
    </row>
    <row r="842" ht="15" customHeight="1" s="1">
      <c r="P842">
        <f>IF(OR(F842="",H842="",J842=""),"",J842&amp;"|"&amp;F842&amp;"|"&amp;IF(H842="W3","W3_"&amp;IF(I842="","unknown",I842),H842))</f>
        <v/>
      </c>
      <c r="Q842">
        <f>IF(P842="","",IFERROR(IF(AND(H842="W7",OR(F842="causal",F842="predictive")),IF(AND(OR(K842=1,K842="1"),OR(L842=1,L842="1"),OR(M842=1,M842="1")),"adequate","partial"),IF(AND(H842="W4",F842="predictive",OR(J842="P2",J842="P3",J842="P4")),IF(OR(U842=1,U842="1"),"adequate","partial"),INDEX(Fit_Matrix!$B:$B,MATCH(P842,Fit_Matrix!$A:$A,0)))),"CHECK KEY"))</f>
        <v/>
      </c>
      <c r="U842" s="10" t="n"/>
      <c r="V842" s="10" t="n"/>
      <c r="W842" s="10" t="n"/>
      <c r="X842" s="10" t="n"/>
      <c r="Y842" s="10" t="n"/>
      <c r="Z842" s="10" t="n"/>
      <c r="AA842" s="11">
        <f>IF(A842="","",IF(AND(J842="P4",F842="causal"),"P4-CAUSAL",""))</f>
        <v/>
      </c>
    </row>
    <row r="843" ht="15" customHeight="1" s="1">
      <c r="P843">
        <f>IF(OR(F843="",H843="",J843=""),"",J843&amp;"|"&amp;F843&amp;"|"&amp;IF(H843="W3","W3_"&amp;IF(I843="","unknown",I843),H843))</f>
        <v/>
      </c>
      <c r="Q843">
        <f>IF(P843="","",IFERROR(IF(AND(H843="W7",OR(F843="causal",F843="predictive")),IF(AND(OR(K843=1,K843="1"),OR(L843=1,L843="1"),OR(M843=1,M843="1")),"adequate","partial"),IF(AND(H843="W4",F843="predictive",OR(J843="P2",J843="P3",J843="P4")),IF(OR(U843=1,U843="1"),"adequate","partial"),INDEX(Fit_Matrix!$B:$B,MATCH(P843,Fit_Matrix!$A:$A,0)))),"CHECK KEY"))</f>
        <v/>
      </c>
      <c r="U843" s="10" t="n"/>
      <c r="V843" s="10" t="n"/>
      <c r="W843" s="10" t="n"/>
      <c r="X843" s="10" t="n"/>
      <c r="Y843" s="10" t="n"/>
      <c r="Z843" s="10" t="n"/>
      <c r="AA843" s="11">
        <f>IF(A843="","",IF(AND(J843="P4",F843="causal"),"P4-CAUSAL",""))</f>
        <v/>
      </c>
    </row>
    <row r="844" ht="15" customHeight="1" s="1">
      <c r="P844">
        <f>IF(OR(F844="",H844="",J844=""),"",J844&amp;"|"&amp;F844&amp;"|"&amp;IF(H844="W3","W3_"&amp;IF(I844="","unknown",I844),H844))</f>
        <v/>
      </c>
      <c r="Q844">
        <f>IF(P844="","",IFERROR(IF(AND(H844="W7",OR(F844="causal",F844="predictive")),IF(AND(OR(K844=1,K844="1"),OR(L844=1,L844="1"),OR(M844=1,M844="1")),"adequate","partial"),IF(AND(H844="W4",F844="predictive",OR(J844="P2",J844="P3",J844="P4")),IF(OR(U844=1,U844="1"),"adequate","partial"),INDEX(Fit_Matrix!$B:$B,MATCH(P844,Fit_Matrix!$A:$A,0)))),"CHECK KEY"))</f>
        <v/>
      </c>
      <c r="U844" s="10" t="n"/>
      <c r="V844" s="10" t="n"/>
      <c r="W844" s="10" t="n"/>
      <c r="X844" s="10" t="n"/>
      <c r="Y844" s="10" t="n"/>
      <c r="Z844" s="10" t="n"/>
      <c r="AA844" s="11">
        <f>IF(A844="","",IF(AND(J844="P4",F844="causal"),"P4-CAUSAL",""))</f>
        <v/>
      </c>
    </row>
    <row r="845" ht="15" customHeight="1" s="1">
      <c r="P845">
        <f>IF(OR(F845="",H845="",J845=""),"",J845&amp;"|"&amp;F845&amp;"|"&amp;IF(H845="W3","W3_"&amp;IF(I845="","unknown",I845),H845))</f>
        <v/>
      </c>
      <c r="Q845">
        <f>IF(P845="","",IFERROR(IF(AND(H845="W7",OR(F845="causal",F845="predictive")),IF(AND(OR(K845=1,K845="1"),OR(L845=1,L845="1"),OR(M845=1,M845="1")),"adequate","partial"),IF(AND(H845="W4",F845="predictive",OR(J845="P2",J845="P3",J845="P4")),IF(OR(U845=1,U845="1"),"adequate","partial"),INDEX(Fit_Matrix!$B:$B,MATCH(P845,Fit_Matrix!$A:$A,0)))),"CHECK KEY"))</f>
        <v/>
      </c>
      <c r="U845" s="10" t="n"/>
      <c r="V845" s="10" t="n"/>
      <c r="W845" s="10" t="n"/>
      <c r="X845" s="10" t="n"/>
      <c r="Y845" s="10" t="n"/>
      <c r="Z845" s="10" t="n"/>
      <c r="AA845" s="11">
        <f>IF(A845="","",IF(AND(J845="P4",F845="causal"),"P4-CAUSAL",""))</f>
        <v/>
      </c>
    </row>
    <row r="846" ht="15" customHeight="1" s="1">
      <c r="P846">
        <f>IF(OR(F846="",H846="",J846=""),"",J846&amp;"|"&amp;F846&amp;"|"&amp;IF(H846="W3","W3_"&amp;IF(I846="","unknown",I846),H846))</f>
        <v/>
      </c>
      <c r="Q846">
        <f>IF(P846="","",IFERROR(IF(AND(H846="W7",OR(F846="causal",F846="predictive")),IF(AND(OR(K846=1,K846="1"),OR(L846=1,L846="1"),OR(M846=1,M846="1")),"adequate","partial"),IF(AND(H846="W4",F846="predictive",OR(J846="P2",J846="P3",J846="P4")),IF(OR(U846=1,U846="1"),"adequate","partial"),INDEX(Fit_Matrix!$B:$B,MATCH(P846,Fit_Matrix!$A:$A,0)))),"CHECK KEY"))</f>
        <v/>
      </c>
      <c r="U846" s="10" t="n"/>
      <c r="V846" s="10" t="n"/>
      <c r="W846" s="10" t="n"/>
      <c r="X846" s="10" t="n"/>
      <c r="Y846" s="10" t="n"/>
      <c r="Z846" s="10" t="n"/>
      <c r="AA846" s="11">
        <f>IF(A846="","",IF(AND(J846="P4",F846="causal"),"P4-CAUSAL",""))</f>
        <v/>
      </c>
    </row>
    <row r="847" ht="15" customHeight="1" s="1">
      <c r="P847">
        <f>IF(OR(F847="",H847="",J847=""),"",J847&amp;"|"&amp;F847&amp;"|"&amp;IF(H847="W3","W3_"&amp;IF(I847="","unknown",I847),H847))</f>
        <v/>
      </c>
      <c r="Q847">
        <f>IF(P847="","",IFERROR(IF(AND(H847="W7",OR(F847="causal",F847="predictive")),IF(AND(OR(K847=1,K847="1"),OR(L847=1,L847="1"),OR(M847=1,M847="1")),"adequate","partial"),IF(AND(H847="W4",F847="predictive",OR(J847="P2",J847="P3",J847="P4")),IF(OR(U847=1,U847="1"),"adequate","partial"),INDEX(Fit_Matrix!$B:$B,MATCH(P847,Fit_Matrix!$A:$A,0)))),"CHECK KEY"))</f>
        <v/>
      </c>
      <c r="U847" s="10" t="n"/>
      <c r="V847" s="10" t="n"/>
      <c r="W847" s="10" t="n"/>
      <c r="X847" s="10" t="n"/>
      <c r="Y847" s="10" t="n"/>
      <c r="Z847" s="10" t="n"/>
      <c r="AA847" s="11">
        <f>IF(A847="","",IF(AND(J847="P4",F847="causal"),"P4-CAUSAL",""))</f>
        <v/>
      </c>
    </row>
    <row r="848" ht="15" customHeight="1" s="1">
      <c r="P848">
        <f>IF(OR(F848="",H848="",J848=""),"",J848&amp;"|"&amp;F848&amp;"|"&amp;IF(H848="W3","W3_"&amp;IF(I848="","unknown",I848),H848))</f>
        <v/>
      </c>
      <c r="Q848">
        <f>IF(P848="","",IFERROR(IF(AND(H848="W7",OR(F848="causal",F848="predictive")),IF(AND(OR(K848=1,K848="1"),OR(L848=1,L848="1"),OR(M848=1,M848="1")),"adequate","partial"),IF(AND(H848="W4",F848="predictive",OR(J848="P2",J848="P3",J848="P4")),IF(OR(U848=1,U848="1"),"adequate","partial"),INDEX(Fit_Matrix!$B:$B,MATCH(P848,Fit_Matrix!$A:$A,0)))),"CHECK KEY"))</f>
        <v/>
      </c>
      <c r="U848" s="10" t="n"/>
      <c r="V848" s="10" t="n"/>
      <c r="W848" s="10" t="n"/>
      <c r="X848" s="10" t="n"/>
      <c r="Y848" s="10" t="n"/>
      <c r="Z848" s="10" t="n"/>
      <c r="AA848" s="11">
        <f>IF(A848="","",IF(AND(J848="P4",F848="causal"),"P4-CAUSAL",""))</f>
        <v/>
      </c>
    </row>
    <row r="849" ht="15" customHeight="1" s="1">
      <c r="P849">
        <f>IF(OR(F849="",H849="",J849=""),"",J849&amp;"|"&amp;F849&amp;"|"&amp;IF(H849="W3","W3_"&amp;IF(I849="","unknown",I849),H849))</f>
        <v/>
      </c>
      <c r="Q849">
        <f>IF(P849="","",IFERROR(IF(AND(H849="W7",OR(F849="causal",F849="predictive")),IF(AND(OR(K849=1,K849="1"),OR(L849=1,L849="1"),OR(M849=1,M849="1")),"adequate","partial"),IF(AND(H849="W4",F849="predictive",OR(J849="P2",J849="P3",J849="P4")),IF(OR(U849=1,U849="1"),"adequate","partial"),INDEX(Fit_Matrix!$B:$B,MATCH(P849,Fit_Matrix!$A:$A,0)))),"CHECK KEY"))</f>
        <v/>
      </c>
      <c r="U849" s="10" t="n"/>
      <c r="V849" s="10" t="n"/>
      <c r="W849" s="10" t="n"/>
      <c r="X849" s="10" t="n"/>
      <c r="Y849" s="10" t="n"/>
      <c r="Z849" s="10" t="n"/>
      <c r="AA849" s="11">
        <f>IF(A849="","",IF(AND(J849="P4",F849="causal"),"P4-CAUSAL",""))</f>
        <v/>
      </c>
    </row>
    <row r="850" ht="15" customHeight="1" s="1">
      <c r="P850">
        <f>IF(OR(F850="",H850="",J850=""),"",J850&amp;"|"&amp;F850&amp;"|"&amp;IF(H850="W3","W3_"&amp;IF(I850="","unknown",I850),H850))</f>
        <v/>
      </c>
      <c r="Q850">
        <f>IF(P850="","",IFERROR(IF(AND(H850="W7",OR(F850="causal",F850="predictive")),IF(AND(OR(K850=1,K850="1"),OR(L850=1,L850="1"),OR(M850=1,M850="1")),"adequate","partial"),IF(AND(H850="W4",F850="predictive",OR(J850="P2",J850="P3",J850="P4")),IF(OR(U850=1,U850="1"),"adequate","partial"),INDEX(Fit_Matrix!$B:$B,MATCH(P850,Fit_Matrix!$A:$A,0)))),"CHECK KEY"))</f>
        <v/>
      </c>
      <c r="U850" s="10" t="n"/>
      <c r="V850" s="10" t="n"/>
      <c r="W850" s="10" t="n"/>
      <c r="X850" s="10" t="n"/>
      <c r="Y850" s="10" t="n"/>
      <c r="Z850" s="10" t="n"/>
      <c r="AA850" s="11">
        <f>IF(A850="","",IF(AND(J850="P4",F850="causal"),"P4-CAUSAL",""))</f>
        <v/>
      </c>
    </row>
    <row r="851" ht="15" customHeight="1" s="1">
      <c r="P851">
        <f>IF(OR(F851="",H851="",J851=""),"",J851&amp;"|"&amp;F851&amp;"|"&amp;IF(H851="W3","W3_"&amp;IF(I851="","unknown",I851),H851))</f>
        <v/>
      </c>
      <c r="Q851">
        <f>IF(P851="","",IFERROR(IF(AND(H851="W7",OR(F851="causal",F851="predictive")),IF(AND(OR(K851=1,K851="1"),OR(L851=1,L851="1"),OR(M851=1,M851="1")),"adequate","partial"),IF(AND(H851="W4",F851="predictive",OR(J851="P2",J851="P3",J851="P4")),IF(OR(U851=1,U851="1"),"adequate","partial"),INDEX(Fit_Matrix!$B:$B,MATCH(P851,Fit_Matrix!$A:$A,0)))),"CHECK KEY"))</f>
        <v/>
      </c>
      <c r="U851" s="10" t="n"/>
      <c r="V851" s="10" t="n"/>
      <c r="W851" s="10" t="n"/>
      <c r="X851" s="10" t="n"/>
      <c r="Y851" s="10" t="n"/>
      <c r="Z851" s="10" t="n"/>
      <c r="AA851" s="11">
        <f>IF(A851="","",IF(AND(J851="P4",F851="causal"),"P4-CAUSAL",""))</f>
        <v/>
      </c>
    </row>
    <row r="852" ht="15" customHeight="1" s="1">
      <c r="P852">
        <f>IF(OR(F852="",H852="",J852=""),"",J852&amp;"|"&amp;F852&amp;"|"&amp;IF(H852="W3","W3_"&amp;IF(I852="","unknown",I852),H852))</f>
        <v/>
      </c>
      <c r="Q852">
        <f>IF(P852="","",IFERROR(IF(AND(H852="W7",OR(F852="causal",F852="predictive")),IF(AND(OR(K852=1,K852="1"),OR(L852=1,L852="1"),OR(M852=1,M852="1")),"adequate","partial"),IF(AND(H852="W4",F852="predictive",OR(J852="P2",J852="P3",J852="P4")),IF(OR(U852=1,U852="1"),"adequate","partial"),INDEX(Fit_Matrix!$B:$B,MATCH(P852,Fit_Matrix!$A:$A,0)))),"CHECK KEY"))</f>
        <v/>
      </c>
      <c r="U852" s="10" t="n"/>
      <c r="V852" s="10" t="n"/>
      <c r="W852" s="10" t="n"/>
      <c r="X852" s="10" t="n"/>
      <c r="Y852" s="10" t="n"/>
      <c r="Z852" s="10" t="n"/>
      <c r="AA852" s="11">
        <f>IF(A852="","",IF(AND(J852="P4",F852="causal"),"P4-CAUSAL",""))</f>
        <v/>
      </c>
    </row>
    <row r="853" ht="15" customHeight="1" s="1">
      <c r="P853">
        <f>IF(OR(F853="",H853="",J853=""),"",J853&amp;"|"&amp;F853&amp;"|"&amp;IF(H853="W3","W3_"&amp;IF(I853="","unknown",I853),H853))</f>
        <v/>
      </c>
      <c r="Q853">
        <f>IF(P853="","",IFERROR(IF(AND(H853="W7",OR(F853="causal",F853="predictive")),IF(AND(OR(K853=1,K853="1"),OR(L853=1,L853="1"),OR(M853=1,M853="1")),"adequate","partial"),IF(AND(H853="W4",F853="predictive",OR(J853="P2",J853="P3",J853="P4")),IF(OR(U853=1,U853="1"),"adequate","partial"),INDEX(Fit_Matrix!$B:$B,MATCH(P853,Fit_Matrix!$A:$A,0)))),"CHECK KEY"))</f>
        <v/>
      </c>
      <c r="U853" s="10" t="n"/>
      <c r="V853" s="10" t="n"/>
      <c r="W853" s="10" t="n"/>
      <c r="X853" s="10" t="n"/>
      <c r="Y853" s="10" t="n"/>
      <c r="Z853" s="10" t="n"/>
      <c r="AA853" s="11">
        <f>IF(A853="","",IF(AND(J853="P4",F853="causal"),"P4-CAUSAL",""))</f>
        <v/>
      </c>
    </row>
    <row r="854" ht="15" customHeight="1" s="1">
      <c r="P854">
        <f>IF(OR(F854="",H854="",J854=""),"",J854&amp;"|"&amp;F854&amp;"|"&amp;IF(H854="W3","W3_"&amp;IF(I854="","unknown",I854),H854))</f>
        <v/>
      </c>
      <c r="Q854">
        <f>IF(P854="","",IFERROR(IF(AND(H854="W7",OR(F854="causal",F854="predictive")),IF(AND(OR(K854=1,K854="1"),OR(L854=1,L854="1"),OR(M854=1,M854="1")),"adequate","partial"),IF(AND(H854="W4",F854="predictive",OR(J854="P2",J854="P3",J854="P4")),IF(OR(U854=1,U854="1"),"adequate","partial"),INDEX(Fit_Matrix!$B:$B,MATCH(P854,Fit_Matrix!$A:$A,0)))),"CHECK KEY"))</f>
        <v/>
      </c>
      <c r="U854" s="10" t="n"/>
      <c r="V854" s="10" t="n"/>
      <c r="W854" s="10" t="n"/>
      <c r="X854" s="10" t="n"/>
      <c r="Y854" s="10" t="n"/>
      <c r="Z854" s="10" t="n"/>
      <c r="AA854" s="11">
        <f>IF(A854="","",IF(AND(J854="P4",F854="causal"),"P4-CAUSAL",""))</f>
        <v/>
      </c>
    </row>
    <row r="855" ht="15" customHeight="1" s="1">
      <c r="P855">
        <f>IF(OR(F855="",H855="",J855=""),"",J855&amp;"|"&amp;F855&amp;"|"&amp;IF(H855="W3","W3_"&amp;IF(I855="","unknown",I855),H855))</f>
        <v/>
      </c>
      <c r="Q855">
        <f>IF(P855="","",IFERROR(IF(AND(H855="W7",OR(F855="causal",F855="predictive")),IF(AND(OR(K855=1,K855="1"),OR(L855=1,L855="1"),OR(M855=1,M855="1")),"adequate","partial"),IF(AND(H855="W4",F855="predictive",OR(J855="P2",J855="P3",J855="P4")),IF(OR(U855=1,U855="1"),"adequate","partial"),INDEX(Fit_Matrix!$B:$B,MATCH(P855,Fit_Matrix!$A:$A,0)))),"CHECK KEY"))</f>
        <v/>
      </c>
      <c r="U855" s="10" t="n"/>
      <c r="V855" s="10" t="n"/>
      <c r="W855" s="10" t="n"/>
      <c r="X855" s="10" t="n"/>
      <c r="Y855" s="10" t="n"/>
      <c r="Z855" s="10" t="n"/>
      <c r="AA855" s="11">
        <f>IF(A855="","",IF(AND(J855="P4",F855="causal"),"P4-CAUSAL",""))</f>
        <v/>
      </c>
    </row>
    <row r="856" ht="15" customHeight="1" s="1">
      <c r="P856">
        <f>IF(OR(F856="",H856="",J856=""),"",J856&amp;"|"&amp;F856&amp;"|"&amp;IF(H856="W3","W3_"&amp;IF(I856="","unknown",I856),H856))</f>
        <v/>
      </c>
      <c r="Q856">
        <f>IF(P856="","",IFERROR(IF(AND(H856="W7",OR(F856="causal",F856="predictive")),IF(AND(OR(K856=1,K856="1"),OR(L856=1,L856="1"),OR(M856=1,M856="1")),"adequate","partial"),IF(AND(H856="W4",F856="predictive",OR(J856="P2",J856="P3",J856="P4")),IF(OR(U856=1,U856="1"),"adequate","partial"),INDEX(Fit_Matrix!$B:$B,MATCH(P856,Fit_Matrix!$A:$A,0)))),"CHECK KEY"))</f>
        <v/>
      </c>
      <c r="U856" s="10" t="n"/>
      <c r="V856" s="10" t="n"/>
      <c r="W856" s="10" t="n"/>
      <c r="X856" s="10" t="n"/>
      <c r="Y856" s="10" t="n"/>
      <c r="Z856" s="10" t="n"/>
      <c r="AA856" s="11">
        <f>IF(A856="","",IF(AND(J856="P4",F856="causal"),"P4-CAUSAL",""))</f>
        <v/>
      </c>
    </row>
    <row r="857" ht="15" customHeight="1" s="1">
      <c r="P857">
        <f>IF(OR(F857="",H857="",J857=""),"",J857&amp;"|"&amp;F857&amp;"|"&amp;IF(H857="W3","W3_"&amp;IF(I857="","unknown",I857),H857))</f>
        <v/>
      </c>
      <c r="Q857">
        <f>IF(P857="","",IFERROR(IF(AND(H857="W7",OR(F857="causal",F857="predictive")),IF(AND(OR(K857=1,K857="1"),OR(L857=1,L857="1"),OR(M857=1,M857="1")),"adequate","partial"),IF(AND(H857="W4",F857="predictive",OR(J857="P2",J857="P3",J857="P4")),IF(OR(U857=1,U857="1"),"adequate","partial"),INDEX(Fit_Matrix!$B:$B,MATCH(P857,Fit_Matrix!$A:$A,0)))),"CHECK KEY"))</f>
        <v/>
      </c>
      <c r="U857" s="10" t="n"/>
      <c r="V857" s="10" t="n"/>
      <c r="W857" s="10" t="n"/>
      <c r="X857" s="10" t="n"/>
      <c r="Y857" s="10" t="n"/>
      <c r="Z857" s="10" t="n"/>
      <c r="AA857" s="11">
        <f>IF(A857="","",IF(AND(J857="P4",F857="causal"),"P4-CAUSAL",""))</f>
        <v/>
      </c>
    </row>
    <row r="858" ht="15" customHeight="1" s="1">
      <c r="P858">
        <f>IF(OR(F858="",H858="",J858=""),"",J858&amp;"|"&amp;F858&amp;"|"&amp;IF(H858="W3","W3_"&amp;IF(I858="","unknown",I858),H858))</f>
        <v/>
      </c>
      <c r="Q858">
        <f>IF(P858="","",IFERROR(IF(AND(H858="W7",OR(F858="causal",F858="predictive")),IF(AND(OR(K858=1,K858="1"),OR(L858=1,L858="1"),OR(M858=1,M858="1")),"adequate","partial"),IF(AND(H858="W4",F858="predictive",OR(J858="P2",J858="P3",J858="P4")),IF(OR(U858=1,U858="1"),"adequate","partial"),INDEX(Fit_Matrix!$B:$B,MATCH(P858,Fit_Matrix!$A:$A,0)))),"CHECK KEY"))</f>
        <v/>
      </c>
      <c r="U858" s="10" t="n"/>
      <c r="V858" s="10" t="n"/>
      <c r="W858" s="10" t="n"/>
      <c r="X858" s="10" t="n"/>
      <c r="Y858" s="10" t="n"/>
      <c r="Z858" s="10" t="n"/>
      <c r="AA858" s="11">
        <f>IF(A858="","",IF(AND(J858="P4",F858="causal"),"P4-CAUSAL",""))</f>
        <v/>
      </c>
    </row>
    <row r="859" ht="15" customHeight="1" s="1">
      <c r="P859">
        <f>IF(OR(F859="",H859="",J859=""),"",J859&amp;"|"&amp;F859&amp;"|"&amp;IF(H859="W3","W3_"&amp;IF(I859="","unknown",I859),H859))</f>
        <v/>
      </c>
      <c r="Q859">
        <f>IF(P859="","",IFERROR(IF(AND(H859="W7",OR(F859="causal",F859="predictive")),IF(AND(OR(K859=1,K859="1"),OR(L859=1,L859="1"),OR(M859=1,M859="1")),"adequate","partial"),IF(AND(H859="W4",F859="predictive",OR(J859="P2",J859="P3",J859="P4")),IF(OR(U859=1,U859="1"),"adequate","partial"),INDEX(Fit_Matrix!$B:$B,MATCH(P859,Fit_Matrix!$A:$A,0)))),"CHECK KEY"))</f>
        <v/>
      </c>
      <c r="U859" s="10" t="n"/>
      <c r="V859" s="10" t="n"/>
      <c r="W859" s="10" t="n"/>
      <c r="X859" s="10" t="n"/>
      <c r="Y859" s="10" t="n"/>
      <c r="Z859" s="10" t="n"/>
      <c r="AA859" s="11">
        <f>IF(A859="","",IF(AND(J859="P4",F859="causal"),"P4-CAUSAL",""))</f>
        <v/>
      </c>
    </row>
    <row r="860" ht="15" customHeight="1" s="1">
      <c r="P860">
        <f>IF(OR(F860="",H860="",J860=""),"",J860&amp;"|"&amp;F860&amp;"|"&amp;IF(H860="W3","W3_"&amp;IF(I860="","unknown",I860),H860))</f>
        <v/>
      </c>
      <c r="Q860">
        <f>IF(P860="","",IFERROR(IF(AND(H860="W7",OR(F860="causal",F860="predictive")),IF(AND(OR(K860=1,K860="1"),OR(L860=1,L860="1"),OR(M860=1,M860="1")),"adequate","partial"),IF(AND(H860="W4",F860="predictive",OR(J860="P2",J860="P3",J860="P4")),IF(OR(U860=1,U860="1"),"adequate","partial"),INDEX(Fit_Matrix!$B:$B,MATCH(P860,Fit_Matrix!$A:$A,0)))),"CHECK KEY"))</f>
        <v/>
      </c>
      <c r="U860" s="10" t="n"/>
      <c r="V860" s="10" t="n"/>
      <c r="W860" s="10" t="n"/>
      <c r="X860" s="10" t="n"/>
      <c r="Y860" s="10" t="n"/>
      <c r="Z860" s="10" t="n"/>
      <c r="AA860" s="11">
        <f>IF(A860="","",IF(AND(J860="P4",F860="causal"),"P4-CAUSAL",""))</f>
        <v/>
      </c>
    </row>
    <row r="861" ht="15" customHeight="1" s="1">
      <c r="P861">
        <f>IF(OR(F861="",H861="",J861=""),"",J861&amp;"|"&amp;F861&amp;"|"&amp;IF(H861="W3","W3_"&amp;IF(I861="","unknown",I861),H861))</f>
        <v/>
      </c>
      <c r="Q861">
        <f>IF(P861="","",IFERROR(IF(AND(H861="W7",OR(F861="causal",F861="predictive")),IF(AND(OR(K861=1,K861="1"),OR(L861=1,L861="1"),OR(M861=1,M861="1")),"adequate","partial"),IF(AND(H861="W4",F861="predictive",OR(J861="P2",J861="P3",J861="P4")),IF(OR(U861=1,U861="1"),"adequate","partial"),INDEX(Fit_Matrix!$B:$B,MATCH(P861,Fit_Matrix!$A:$A,0)))),"CHECK KEY"))</f>
        <v/>
      </c>
      <c r="U861" s="10" t="n"/>
      <c r="V861" s="10" t="n"/>
      <c r="W861" s="10" t="n"/>
      <c r="X861" s="10" t="n"/>
      <c r="Y861" s="10" t="n"/>
      <c r="Z861" s="10" t="n"/>
      <c r="AA861" s="11">
        <f>IF(A861="","",IF(AND(J861="P4",F861="causal"),"P4-CAUSAL",""))</f>
        <v/>
      </c>
    </row>
    <row r="862" ht="15" customHeight="1" s="1">
      <c r="P862">
        <f>IF(OR(F862="",H862="",J862=""),"",J862&amp;"|"&amp;F862&amp;"|"&amp;IF(H862="W3","W3_"&amp;IF(I862="","unknown",I862),H862))</f>
        <v/>
      </c>
      <c r="Q862">
        <f>IF(P862="","",IFERROR(IF(AND(H862="W7",OR(F862="causal",F862="predictive")),IF(AND(OR(K862=1,K862="1"),OR(L862=1,L862="1"),OR(M862=1,M862="1")),"adequate","partial"),IF(AND(H862="W4",F862="predictive",OR(J862="P2",J862="P3",J862="P4")),IF(OR(U862=1,U862="1"),"adequate","partial"),INDEX(Fit_Matrix!$B:$B,MATCH(P862,Fit_Matrix!$A:$A,0)))),"CHECK KEY"))</f>
        <v/>
      </c>
      <c r="U862" s="10" t="n"/>
      <c r="V862" s="10" t="n"/>
      <c r="W862" s="10" t="n"/>
      <c r="X862" s="10" t="n"/>
      <c r="Y862" s="10" t="n"/>
      <c r="Z862" s="10" t="n"/>
      <c r="AA862" s="11">
        <f>IF(A862="","",IF(AND(J862="P4",F862="causal"),"P4-CAUSAL",""))</f>
        <v/>
      </c>
    </row>
    <row r="863" ht="15" customHeight="1" s="1">
      <c r="P863">
        <f>IF(OR(F863="",H863="",J863=""),"",J863&amp;"|"&amp;F863&amp;"|"&amp;IF(H863="W3","W3_"&amp;IF(I863="","unknown",I863),H863))</f>
        <v/>
      </c>
      <c r="Q863">
        <f>IF(P863="","",IFERROR(IF(AND(H863="W7",OR(F863="causal",F863="predictive")),IF(AND(OR(K863=1,K863="1"),OR(L863=1,L863="1"),OR(M863=1,M863="1")),"adequate","partial"),IF(AND(H863="W4",F863="predictive",OR(J863="P2",J863="P3",J863="P4")),IF(OR(U863=1,U863="1"),"adequate","partial"),INDEX(Fit_Matrix!$B:$B,MATCH(P863,Fit_Matrix!$A:$A,0)))),"CHECK KEY"))</f>
        <v/>
      </c>
      <c r="U863" s="10" t="n"/>
      <c r="V863" s="10" t="n"/>
      <c r="W863" s="10" t="n"/>
      <c r="X863" s="10" t="n"/>
      <c r="Y863" s="10" t="n"/>
      <c r="Z863" s="10" t="n"/>
      <c r="AA863" s="11">
        <f>IF(A863="","",IF(AND(J863="P4",F863="causal"),"P4-CAUSAL",""))</f>
        <v/>
      </c>
    </row>
    <row r="864" ht="15" customHeight="1" s="1">
      <c r="P864">
        <f>IF(OR(F864="",H864="",J864=""),"",J864&amp;"|"&amp;F864&amp;"|"&amp;IF(H864="W3","W3_"&amp;IF(I864="","unknown",I864),H864))</f>
        <v/>
      </c>
      <c r="Q864">
        <f>IF(P864="","",IFERROR(IF(AND(H864="W7",OR(F864="causal",F864="predictive")),IF(AND(OR(K864=1,K864="1"),OR(L864=1,L864="1"),OR(M864=1,M864="1")),"adequate","partial"),IF(AND(H864="W4",F864="predictive",OR(J864="P2",J864="P3",J864="P4")),IF(OR(U864=1,U864="1"),"adequate","partial"),INDEX(Fit_Matrix!$B:$B,MATCH(P864,Fit_Matrix!$A:$A,0)))),"CHECK KEY"))</f>
        <v/>
      </c>
      <c r="U864" s="10" t="n"/>
      <c r="V864" s="10" t="n"/>
      <c r="W864" s="10" t="n"/>
      <c r="X864" s="10" t="n"/>
      <c r="Y864" s="10" t="n"/>
      <c r="Z864" s="10" t="n"/>
      <c r="AA864" s="11">
        <f>IF(A864="","",IF(AND(J864="P4",F864="causal"),"P4-CAUSAL",""))</f>
        <v/>
      </c>
    </row>
    <row r="865" ht="15" customHeight="1" s="1">
      <c r="P865">
        <f>IF(OR(F865="",H865="",J865=""),"",J865&amp;"|"&amp;F865&amp;"|"&amp;IF(H865="W3","W3_"&amp;IF(I865="","unknown",I865),H865))</f>
        <v/>
      </c>
      <c r="Q865">
        <f>IF(P865="","",IFERROR(IF(AND(H865="W7",OR(F865="causal",F865="predictive")),IF(AND(OR(K865=1,K865="1"),OR(L865=1,L865="1"),OR(M865=1,M865="1")),"adequate","partial"),IF(AND(H865="W4",F865="predictive",OR(J865="P2",J865="P3",J865="P4")),IF(OR(U865=1,U865="1"),"adequate","partial"),INDEX(Fit_Matrix!$B:$B,MATCH(P865,Fit_Matrix!$A:$A,0)))),"CHECK KEY"))</f>
        <v/>
      </c>
      <c r="U865" s="10" t="n"/>
      <c r="V865" s="10" t="n"/>
      <c r="W865" s="10" t="n"/>
      <c r="X865" s="10" t="n"/>
      <c r="Y865" s="10" t="n"/>
      <c r="Z865" s="10" t="n"/>
      <c r="AA865" s="11">
        <f>IF(A865="","",IF(AND(J865="P4",F865="causal"),"P4-CAUSAL",""))</f>
        <v/>
      </c>
    </row>
    <row r="866" ht="15" customHeight="1" s="1">
      <c r="P866">
        <f>IF(OR(F866="",H866="",J866=""),"",J866&amp;"|"&amp;F866&amp;"|"&amp;IF(H866="W3","W3_"&amp;IF(I866="","unknown",I866),H866))</f>
        <v/>
      </c>
      <c r="Q866">
        <f>IF(P866="","",IFERROR(IF(AND(H866="W7",OR(F866="causal",F866="predictive")),IF(AND(OR(K866=1,K866="1"),OR(L866=1,L866="1"),OR(M866=1,M866="1")),"adequate","partial"),IF(AND(H866="W4",F866="predictive",OR(J866="P2",J866="P3",J866="P4")),IF(OR(U866=1,U866="1"),"adequate","partial"),INDEX(Fit_Matrix!$B:$B,MATCH(P866,Fit_Matrix!$A:$A,0)))),"CHECK KEY"))</f>
        <v/>
      </c>
      <c r="U866" s="10" t="n"/>
      <c r="V866" s="10" t="n"/>
      <c r="W866" s="10" t="n"/>
      <c r="X866" s="10" t="n"/>
      <c r="Y866" s="10" t="n"/>
      <c r="Z866" s="10" t="n"/>
      <c r="AA866" s="11">
        <f>IF(A866="","",IF(AND(J866="P4",F866="causal"),"P4-CAUSAL",""))</f>
        <v/>
      </c>
    </row>
    <row r="867" ht="15" customHeight="1" s="1">
      <c r="P867">
        <f>IF(OR(F867="",H867="",J867=""),"",J867&amp;"|"&amp;F867&amp;"|"&amp;IF(H867="W3","W3_"&amp;IF(I867="","unknown",I867),H867))</f>
        <v/>
      </c>
      <c r="Q867">
        <f>IF(P867="","",IFERROR(IF(AND(H867="W7",OR(F867="causal",F867="predictive")),IF(AND(OR(K867=1,K867="1"),OR(L867=1,L867="1"),OR(M867=1,M867="1")),"adequate","partial"),IF(AND(H867="W4",F867="predictive",OR(J867="P2",J867="P3",J867="P4")),IF(OR(U867=1,U867="1"),"adequate","partial"),INDEX(Fit_Matrix!$B:$B,MATCH(P867,Fit_Matrix!$A:$A,0)))),"CHECK KEY"))</f>
        <v/>
      </c>
      <c r="U867" s="10" t="n"/>
      <c r="V867" s="10" t="n"/>
      <c r="W867" s="10" t="n"/>
      <c r="X867" s="10" t="n"/>
      <c r="Y867" s="10" t="n"/>
      <c r="Z867" s="10" t="n"/>
      <c r="AA867" s="11">
        <f>IF(A867="","",IF(AND(J867="P4",F867="causal"),"P4-CAUSAL",""))</f>
        <v/>
      </c>
    </row>
    <row r="868" ht="15" customHeight="1" s="1">
      <c r="P868">
        <f>IF(OR(F868="",H868="",J868=""),"",J868&amp;"|"&amp;F868&amp;"|"&amp;IF(H868="W3","W3_"&amp;IF(I868="","unknown",I868),H868))</f>
        <v/>
      </c>
      <c r="Q868">
        <f>IF(P868="","",IFERROR(IF(AND(H868="W7",OR(F868="causal",F868="predictive")),IF(AND(OR(K868=1,K868="1"),OR(L868=1,L868="1"),OR(M868=1,M868="1")),"adequate","partial"),IF(AND(H868="W4",F868="predictive",OR(J868="P2",J868="P3",J868="P4")),IF(OR(U868=1,U868="1"),"adequate","partial"),INDEX(Fit_Matrix!$B:$B,MATCH(P868,Fit_Matrix!$A:$A,0)))),"CHECK KEY"))</f>
        <v/>
      </c>
      <c r="U868" s="10" t="n"/>
      <c r="V868" s="10" t="n"/>
      <c r="W868" s="10" t="n"/>
      <c r="X868" s="10" t="n"/>
      <c r="Y868" s="10" t="n"/>
      <c r="Z868" s="10" t="n"/>
      <c r="AA868" s="11">
        <f>IF(A868="","",IF(AND(J868="P4",F868="causal"),"P4-CAUSAL",""))</f>
        <v/>
      </c>
    </row>
    <row r="869" ht="15" customHeight="1" s="1">
      <c r="P869">
        <f>IF(OR(F869="",H869="",J869=""),"",J869&amp;"|"&amp;F869&amp;"|"&amp;IF(H869="W3","W3_"&amp;IF(I869="","unknown",I869),H869))</f>
        <v/>
      </c>
      <c r="Q869">
        <f>IF(P869="","",IFERROR(IF(AND(H869="W7",OR(F869="causal",F869="predictive")),IF(AND(OR(K869=1,K869="1"),OR(L869=1,L869="1"),OR(M869=1,M869="1")),"adequate","partial"),IF(AND(H869="W4",F869="predictive",OR(J869="P2",J869="P3",J869="P4")),IF(OR(U869=1,U869="1"),"adequate","partial"),INDEX(Fit_Matrix!$B:$B,MATCH(P869,Fit_Matrix!$A:$A,0)))),"CHECK KEY"))</f>
        <v/>
      </c>
      <c r="U869" s="10" t="n"/>
      <c r="V869" s="10" t="n"/>
      <c r="W869" s="10" t="n"/>
      <c r="X869" s="10" t="n"/>
      <c r="Y869" s="10" t="n"/>
      <c r="Z869" s="10" t="n"/>
      <c r="AA869" s="11">
        <f>IF(A869="","",IF(AND(J869="P4",F869="causal"),"P4-CAUSAL",""))</f>
        <v/>
      </c>
    </row>
    <row r="870" ht="15" customHeight="1" s="1">
      <c r="P870">
        <f>IF(OR(F870="",H870="",J870=""),"",J870&amp;"|"&amp;F870&amp;"|"&amp;IF(H870="W3","W3_"&amp;IF(I870="","unknown",I870),H870))</f>
        <v/>
      </c>
      <c r="Q870">
        <f>IF(P870="","",IFERROR(IF(AND(H870="W7",OR(F870="causal",F870="predictive")),IF(AND(OR(K870=1,K870="1"),OR(L870=1,L870="1"),OR(M870=1,M870="1")),"adequate","partial"),IF(AND(H870="W4",F870="predictive",OR(J870="P2",J870="P3",J870="P4")),IF(OR(U870=1,U870="1"),"adequate","partial"),INDEX(Fit_Matrix!$B:$B,MATCH(P870,Fit_Matrix!$A:$A,0)))),"CHECK KEY"))</f>
        <v/>
      </c>
      <c r="U870" s="10" t="n"/>
      <c r="V870" s="10" t="n"/>
      <c r="W870" s="10" t="n"/>
      <c r="X870" s="10" t="n"/>
      <c r="Y870" s="10" t="n"/>
      <c r="Z870" s="10" t="n"/>
      <c r="AA870" s="11">
        <f>IF(A870="","",IF(AND(J870="P4",F870="causal"),"P4-CAUSAL",""))</f>
        <v/>
      </c>
    </row>
    <row r="871" ht="15" customHeight="1" s="1">
      <c r="P871">
        <f>IF(OR(F871="",H871="",J871=""),"",J871&amp;"|"&amp;F871&amp;"|"&amp;IF(H871="W3","W3_"&amp;IF(I871="","unknown",I871),H871))</f>
        <v/>
      </c>
      <c r="Q871">
        <f>IF(P871="","",IFERROR(IF(AND(H871="W7",OR(F871="causal",F871="predictive")),IF(AND(OR(K871=1,K871="1"),OR(L871=1,L871="1"),OR(M871=1,M871="1")),"adequate","partial"),IF(AND(H871="W4",F871="predictive",OR(J871="P2",J871="P3",J871="P4")),IF(OR(U871=1,U871="1"),"adequate","partial"),INDEX(Fit_Matrix!$B:$B,MATCH(P871,Fit_Matrix!$A:$A,0)))),"CHECK KEY"))</f>
        <v/>
      </c>
      <c r="U871" s="10" t="n"/>
      <c r="V871" s="10" t="n"/>
      <c r="W871" s="10" t="n"/>
      <c r="X871" s="10" t="n"/>
      <c r="Y871" s="10" t="n"/>
      <c r="Z871" s="10" t="n"/>
      <c r="AA871" s="11">
        <f>IF(A871="","",IF(AND(J871="P4",F871="causal"),"P4-CAUSAL",""))</f>
        <v/>
      </c>
    </row>
    <row r="872" ht="15" customHeight="1" s="1">
      <c r="P872">
        <f>IF(OR(F872="",H872="",J872=""),"",J872&amp;"|"&amp;F872&amp;"|"&amp;IF(H872="W3","W3_"&amp;IF(I872="","unknown",I872),H872))</f>
        <v/>
      </c>
      <c r="Q872">
        <f>IF(P872="","",IFERROR(IF(AND(H872="W7",OR(F872="causal",F872="predictive")),IF(AND(OR(K872=1,K872="1"),OR(L872=1,L872="1"),OR(M872=1,M872="1")),"adequate","partial"),IF(AND(H872="W4",F872="predictive",OR(J872="P2",J872="P3",J872="P4")),IF(OR(U872=1,U872="1"),"adequate","partial"),INDEX(Fit_Matrix!$B:$B,MATCH(P872,Fit_Matrix!$A:$A,0)))),"CHECK KEY"))</f>
        <v/>
      </c>
      <c r="U872" s="10" t="n"/>
      <c r="V872" s="10" t="n"/>
      <c r="W872" s="10" t="n"/>
      <c r="X872" s="10" t="n"/>
      <c r="Y872" s="10" t="n"/>
      <c r="Z872" s="10" t="n"/>
      <c r="AA872" s="11">
        <f>IF(A872="","",IF(AND(J872="P4",F872="causal"),"P4-CAUSAL",""))</f>
        <v/>
      </c>
    </row>
    <row r="873" ht="15" customHeight="1" s="1">
      <c r="P873">
        <f>IF(OR(F873="",H873="",J873=""),"",J873&amp;"|"&amp;F873&amp;"|"&amp;IF(H873="W3","W3_"&amp;IF(I873="","unknown",I873),H873))</f>
        <v/>
      </c>
      <c r="Q873">
        <f>IF(P873="","",IFERROR(IF(AND(H873="W7",OR(F873="causal",F873="predictive")),IF(AND(OR(K873=1,K873="1"),OR(L873=1,L873="1"),OR(M873=1,M873="1")),"adequate","partial"),IF(AND(H873="W4",F873="predictive",OR(J873="P2",J873="P3",J873="P4")),IF(OR(U873=1,U873="1"),"adequate","partial"),INDEX(Fit_Matrix!$B:$B,MATCH(P873,Fit_Matrix!$A:$A,0)))),"CHECK KEY"))</f>
        <v/>
      </c>
      <c r="U873" s="10" t="n"/>
      <c r="V873" s="10" t="n"/>
      <c r="W873" s="10" t="n"/>
      <c r="X873" s="10" t="n"/>
      <c r="Y873" s="10" t="n"/>
      <c r="Z873" s="10" t="n"/>
      <c r="AA873" s="11">
        <f>IF(A873="","",IF(AND(J873="P4",F873="causal"),"P4-CAUSAL",""))</f>
        <v/>
      </c>
    </row>
    <row r="874" ht="15" customHeight="1" s="1">
      <c r="P874">
        <f>IF(OR(F874="",H874="",J874=""),"",J874&amp;"|"&amp;F874&amp;"|"&amp;IF(H874="W3","W3_"&amp;IF(I874="","unknown",I874),H874))</f>
        <v/>
      </c>
      <c r="Q874">
        <f>IF(P874="","",IFERROR(IF(AND(H874="W7",OR(F874="causal",F874="predictive")),IF(AND(OR(K874=1,K874="1"),OR(L874=1,L874="1"),OR(M874=1,M874="1")),"adequate","partial"),IF(AND(H874="W4",F874="predictive",OR(J874="P2",J874="P3",J874="P4")),IF(OR(U874=1,U874="1"),"adequate","partial"),INDEX(Fit_Matrix!$B:$B,MATCH(P874,Fit_Matrix!$A:$A,0)))),"CHECK KEY"))</f>
        <v/>
      </c>
      <c r="U874" s="10" t="n"/>
      <c r="V874" s="10" t="n"/>
      <c r="W874" s="10" t="n"/>
      <c r="X874" s="10" t="n"/>
      <c r="Y874" s="10" t="n"/>
      <c r="Z874" s="10" t="n"/>
      <c r="AA874" s="11">
        <f>IF(A874="","",IF(AND(J874="P4",F874="causal"),"P4-CAUSAL",""))</f>
        <v/>
      </c>
    </row>
    <row r="875" ht="15" customHeight="1" s="1">
      <c r="P875">
        <f>IF(OR(F875="",H875="",J875=""),"",J875&amp;"|"&amp;F875&amp;"|"&amp;IF(H875="W3","W3_"&amp;IF(I875="","unknown",I875),H875))</f>
        <v/>
      </c>
      <c r="Q875">
        <f>IF(P875="","",IFERROR(IF(AND(H875="W7",OR(F875="causal",F875="predictive")),IF(AND(OR(K875=1,K875="1"),OR(L875=1,L875="1"),OR(M875=1,M875="1")),"adequate","partial"),IF(AND(H875="W4",F875="predictive",OR(J875="P2",J875="P3",J875="P4")),IF(OR(U875=1,U875="1"),"adequate","partial"),INDEX(Fit_Matrix!$B:$B,MATCH(P875,Fit_Matrix!$A:$A,0)))),"CHECK KEY"))</f>
        <v/>
      </c>
      <c r="U875" s="10" t="n"/>
      <c r="V875" s="10" t="n"/>
      <c r="W875" s="10" t="n"/>
      <c r="X875" s="10" t="n"/>
      <c r="Y875" s="10" t="n"/>
      <c r="Z875" s="10" t="n"/>
      <c r="AA875" s="11">
        <f>IF(A875="","",IF(AND(J875="P4",F875="causal"),"P4-CAUSAL",""))</f>
        <v/>
      </c>
    </row>
    <row r="876" ht="15" customHeight="1" s="1">
      <c r="P876">
        <f>IF(OR(F876="",H876="",J876=""),"",J876&amp;"|"&amp;F876&amp;"|"&amp;IF(H876="W3","W3_"&amp;IF(I876="","unknown",I876),H876))</f>
        <v/>
      </c>
      <c r="Q876">
        <f>IF(P876="","",IFERROR(IF(AND(H876="W7",OR(F876="causal",F876="predictive")),IF(AND(OR(K876=1,K876="1"),OR(L876=1,L876="1"),OR(M876=1,M876="1")),"adequate","partial"),IF(AND(H876="W4",F876="predictive",OR(J876="P2",J876="P3",J876="P4")),IF(OR(U876=1,U876="1"),"adequate","partial"),INDEX(Fit_Matrix!$B:$B,MATCH(P876,Fit_Matrix!$A:$A,0)))),"CHECK KEY"))</f>
        <v/>
      </c>
      <c r="U876" s="10" t="n"/>
      <c r="V876" s="10" t="n"/>
      <c r="W876" s="10" t="n"/>
      <c r="X876" s="10" t="n"/>
      <c r="Y876" s="10" t="n"/>
      <c r="Z876" s="10" t="n"/>
      <c r="AA876" s="11">
        <f>IF(A876="","",IF(AND(J876="P4",F876="causal"),"P4-CAUSAL",""))</f>
        <v/>
      </c>
    </row>
    <row r="877" ht="15" customHeight="1" s="1">
      <c r="P877">
        <f>IF(OR(F877="",H877="",J877=""),"",J877&amp;"|"&amp;F877&amp;"|"&amp;IF(H877="W3","W3_"&amp;IF(I877="","unknown",I877),H877))</f>
        <v/>
      </c>
      <c r="Q877">
        <f>IF(P877="","",IFERROR(IF(AND(H877="W7",OR(F877="causal",F877="predictive")),IF(AND(OR(K877=1,K877="1"),OR(L877=1,L877="1"),OR(M877=1,M877="1")),"adequate","partial"),IF(AND(H877="W4",F877="predictive",OR(J877="P2",J877="P3",J877="P4")),IF(OR(U877=1,U877="1"),"adequate","partial"),INDEX(Fit_Matrix!$B:$B,MATCH(P877,Fit_Matrix!$A:$A,0)))),"CHECK KEY"))</f>
        <v/>
      </c>
      <c r="U877" s="10" t="n"/>
      <c r="V877" s="10" t="n"/>
      <c r="W877" s="10" t="n"/>
      <c r="X877" s="10" t="n"/>
      <c r="Y877" s="10" t="n"/>
      <c r="Z877" s="10" t="n"/>
      <c r="AA877" s="11">
        <f>IF(A877="","",IF(AND(J877="P4",F877="causal"),"P4-CAUSAL",""))</f>
        <v/>
      </c>
    </row>
    <row r="878" ht="15" customHeight="1" s="1">
      <c r="P878">
        <f>IF(OR(F878="",H878="",J878=""),"",J878&amp;"|"&amp;F878&amp;"|"&amp;IF(H878="W3","W3_"&amp;IF(I878="","unknown",I878),H878))</f>
        <v/>
      </c>
      <c r="Q878">
        <f>IF(P878="","",IFERROR(IF(AND(H878="W7",OR(F878="causal",F878="predictive")),IF(AND(OR(K878=1,K878="1"),OR(L878=1,L878="1"),OR(M878=1,M878="1")),"adequate","partial"),IF(AND(H878="W4",F878="predictive",OR(J878="P2",J878="P3",J878="P4")),IF(OR(U878=1,U878="1"),"adequate","partial"),INDEX(Fit_Matrix!$B:$B,MATCH(P878,Fit_Matrix!$A:$A,0)))),"CHECK KEY"))</f>
        <v/>
      </c>
      <c r="U878" s="10" t="n"/>
      <c r="V878" s="10" t="n"/>
      <c r="W878" s="10" t="n"/>
      <c r="X878" s="10" t="n"/>
      <c r="Y878" s="10" t="n"/>
      <c r="Z878" s="10" t="n"/>
      <c r="AA878" s="11">
        <f>IF(A878="","",IF(AND(J878="P4",F878="causal"),"P4-CAUSAL",""))</f>
        <v/>
      </c>
    </row>
    <row r="879" ht="15" customHeight="1" s="1">
      <c r="P879">
        <f>IF(OR(F879="",H879="",J879=""),"",J879&amp;"|"&amp;F879&amp;"|"&amp;IF(H879="W3","W3_"&amp;IF(I879="","unknown",I879),H879))</f>
        <v/>
      </c>
      <c r="Q879">
        <f>IF(P879="","",IFERROR(IF(AND(H879="W7",OR(F879="causal",F879="predictive")),IF(AND(OR(K879=1,K879="1"),OR(L879=1,L879="1"),OR(M879=1,M879="1")),"adequate","partial"),IF(AND(H879="W4",F879="predictive",OR(J879="P2",J879="P3",J879="P4")),IF(OR(U879=1,U879="1"),"adequate","partial"),INDEX(Fit_Matrix!$B:$B,MATCH(P879,Fit_Matrix!$A:$A,0)))),"CHECK KEY"))</f>
        <v/>
      </c>
      <c r="U879" s="10" t="n"/>
      <c r="V879" s="10" t="n"/>
      <c r="W879" s="10" t="n"/>
      <c r="X879" s="10" t="n"/>
      <c r="Y879" s="10" t="n"/>
      <c r="Z879" s="10" t="n"/>
      <c r="AA879" s="11">
        <f>IF(A879="","",IF(AND(J879="P4",F879="causal"),"P4-CAUSAL",""))</f>
        <v/>
      </c>
    </row>
    <row r="880" ht="15" customHeight="1" s="1">
      <c r="P880">
        <f>IF(OR(F880="",H880="",J880=""),"",J880&amp;"|"&amp;F880&amp;"|"&amp;IF(H880="W3","W3_"&amp;IF(I880="","unknown",I880),H880))</f>
        <v/>
      </c>
      <c r="Q880">
        <f>IF(P880="","",IFERROR(IF(AND(H880="W7",OR(F880="causal",F880="predictive")),IF(AND(OR(K880=1,K880="1"),OR(L880=1,L880="1"),OR(M880=1,M880="1")),"adequate","partial"),IF(AND(H880="W4",F880="predictive",OR(J880="P2",J880="P3",J880="P4")),IF(OR(U880=1,U880="1"),"adequate","partial"),INDEX(Fit_Matrix!$B:$B,MATCH(P880,Fit_Matrix!$A:$A,0)))),"CHECK KEY"))</f>
        <v/>
      </c>
      <c r="U880" s="10" t="n"/>
      <c r="V880" s="10" t="n"/>
      <c r="W880" s="10" t="n"/>
      <c r="X880" s="10" t="n"/>
      <c r="Y880" s="10" t="n"/>
      <c r="Z880" s="10" t="n"/>
      <c r="AA880" s="11">
        <f>IF(A880="","",IF(AND(J880="P4",F880="causal"),"P4-CAUSAL",""))</f>
        <v/>
      </c>
    </row>
    <row r="881" ht="15" customHeight="1" s="1">
      <c r="P881">
        <f>IF(OR(F881="",H881="",J881=""),"",J881&amp;"|"&amp;F881&amp;"|"&amp;IF(H881="W3","W3_"&amp;IF(I881="","unknown",I881),H881))</f>
        <v/>
      </c>
      <c r="Q881">
        <f>IF(P881="","",IFERROR(IF(AND(H881="W7",OR(F881="causal",F881="predictive")),IF(AND(OR(K881=1,K881="1"),OR(L881=1,L881="1"),OR(M881=1,M881="1")),"adequate","partial"),IF(AND(H881="W4",F881="predictive",OR(J881="P2",J881="P3",J881="P4")),IF(OR(U881=1,U881="1"),"adequate","partial"),INDEX(Fit_Matrix!$B:$B,MATCH(P881,Fit_Matrix!$A:$A,0)))),"CHECK KEY"))</f>
        <v/>
      </c>
      <c r="U881" s="10" t="n"/>
      <c r="V881" s="10" t="n"/>
      <c r="W881" s="10" t="n"/>
      <c r="X881" s="10" t="n"/>
      <c r="Y881" s="10" t="n"/>
      <c r="Z881" s="10" t="n"/>
      <c r="AA881" s="11">
        <f>IF(A881="","",IF(AND(J881="P4",F881="causal"),"P4-CAUSAL",""))</f>
        <v/>
      </c>
    </row>
    <row r="882" ht="15" customHeight="1" s="1">
      <c r="P882">
        <f>IF(OR(F882="",H882="",J882=""),"",J882&amp;"|"&amp;F882&amp;"|"&amp;IF(H882="W3","W3_"&amp;IF(I882="","unknown",I882),H882))</f>
        <v/>
      </c>
      <c r="Q882">
        <f>IF(P882="","",IFERROR(IF(AND(H882="W7",OR(F882="causal",F882="predictive")),IF(AND(OR(K882=1,K882="1"),OR(L882=1,L882="1"),OR(M882=1,M882="1")),"adequate","partial"),IF(AND(H882="W4",F882="predictive",OR(J882="P2",J882="P3",J882="P4")),IF(OR(U882=1,U882="1"),"adequate","partial"),INDEX(Fit_Matrix!$B:$B,MATCH(P882,Fit_Matrix!$A:$A,0)))),"CHECK KEY"))</f>
        <v/>
      </c>
      <c r="U882" s="10" t="n"/>
      <c r="V882" s="10" t="n"/>
      <c r="W882" s="10" t="n"/>
      <c r="X882" s="10" t="n"/>
      <c r="Y882" s="10" t="n"/>
      <c r="Z882" s="10" t="n"/>
      <c r="AA882" s="11">
        <f>IF(A882="","",IF(AND(J882="P4",F882="causal"),"P4-CAUSAL",""))</f>
        <v/>
      </c>
    </row>
    <row r="883" ht="15" customHeight="1" s="1">
      <c r="P883">
        <f>IF(OR(F883="",H883="",J883=""),"",J883&amp;"|"&amp;F883&amp;"|"&amp;IF(H883="W3","W3_"&amp;IF(I883="","unknown",I883),H883))</f>
        <v/>
      </c>
      <c r="Q883">
        <f>IF(P883="","",IFERROR(IF(AND(H883="W7",OR(F883="causal",F883="predictive")),IF(AND(OR(K883=1,K883="1"),OR(L883=1,L883="1"),OR(M883=1,M883="1")),"adequate","partial"),IF(AND(H883="W4",F883="predictive",OR(J883="P2",J883="P3",J883="P4")),IF(OR(U883=1,U883="1"),"adequate","partial"),INDEX(Fit_Matrix!$B:$B,MATCH(P883,Fit_Matrix!$A:$A,0)))),"CHECK KEY"))</f>
        <v/>
      </c>
      <c r="U883" s="10" t="n"/>
      <c r="V883" s="10" t="n"/>
      <c r="W883" s="10" t="n"/>
      <c r="X883" s="10" t="n"/>
      <c r="Y883" s="10" t="n"/>
      <c r="Z883" s="10" t="n"/>
      <c r="AA883" s="11">
        <f>IF(A883="","",IF(AND(J883="P4",F883="causal"),"P4-CAUSAL",""))</f>
        <v/>
      </c>
    </row>
    <row r="884" ht="15" customHeight="1" s="1">
      <c r="P884">
        <f>IF(OR(F884="",H884="",J884=""),"",J884&amp;"|"&amp;F884&amp;"|"&amp;IF(H884="W3","W3_"&amp;IF(I884="","unknown",I884),H884))</f>
        <v/>
      </c>
      <c r="Q884">
        <f>IF(P884="","",IFERROR(IF(AND(H884="W7",OR(F884="causal",F884="predictive")),IF(AND(OR(K884=1,K884="1"),OR(L884=1,L884="1"),OR(M884=1,M884="1")),"adequate","partial"),IF(AND(H884="W4",F884="predictive",OR(J884="P2",J884="P3",J884="P4")),IF(OR(U884=1,U884="1"),"adequate","partial"),INDEX(Fit_Matrix!$B:$B,MATCH(P884,Fit_Matrix!$A:$A,0)))),"CHECK KEY"))</f>
        <v/>
      </c>
      <c r="U884" s="10" t="n"/>
      <c r="V884" s="10" t="n"/>
      <c r="W884" s="10" t="n"/>
      <c r="X884" s="10" t="n"/>
      <c r="Y884" s="10" t="n"/>
      <c r="Z884" s="10" t="n"/>
      <c r="AA884" s="11">
        <f>IF(A884="","",IF(AND(J884="P4",F884="causal"),"P4-CAUSAL",""))</f>
        <v/>
      </c>
    </row>
    <row r="885" ht="15" customHeight="1" s="1">
      <c r="P885">
        <f>IF(OR(F885="",H885="",J885=""),"",J885&amp;"|"&amp;F885&amp;"|"&amp;IF(H885="W3","W3_"&amp;IF(I885="","unknown",I885),H885))</f>
        <v/>
      </c>
      <c r="Q885">
        <f>IF(P885="","",IFERROR(IF(AND(H885="W7",OR(F885="causal",F885="predictive")),IF(AND(OR(K885=1,K885="1"),OR(L885=1,L885="1"),OR(M885=1,M885="1")),"adequate","partial"),IF(AND(H885="W4",F885="predictive",OR(J885="P2",J885="P3",J885="P4")),IF(OR(U885=1,U885="1"),"adequate","partial"),INDEX(Fit_Matrix!$B:$B,MATCH(P885,Fit_Matrix!$A:$A,0)))),"CHECK KEY"))</f>
        <v/>
      </c>
      <c r="U885" s="10" t="n"/>
      <c r="V885" s="10" t="n"/>
      <c r="W885" s="10" t="n"/>
      <c r="X885" s="10" t="n"/>
      <c r="Y885" s="10" t="n"/>
      <c r="Z885" s="10" t="n"/>
      <c r="AA885" s="11">
        <f>IF(A885="","",IF(AND(J885="P4",F885="causal"),"P4-CAUSAL",""))</f>
        <v/>
      </c>
    </row>
    <row r="886" ht="15" customHeight="1" s="1">
      <c r="P886">
        <f>IF(OR(F886="",H886="",J886=""),"",J886&amp;"|"&amp;F886&amp;"|"&amp;IF(H886="W3","W3_"&amp;IF(I886="","unknown",I886),H886))</f>
        <v/>
      </c>
      <c r="Q886">
        <f>IF(P886="","",IFERROR(IF(AND(H886="W7",OR(F886="causal",F886="predictive")),IF(AND(OR(K886=1,K886="1"),OR(L886=1,L886="1"),OR(M886=1,M886="1")),"adequate","partial"),IF(AND(H886="W4",F886="predictive",OR(J886="P2",J886="P3",J886="P4")),IF(OR(U886=1,U886="1"),"adequate","partial"),INDEX(Fit_Matrix!$B:$B,MATCH(P886,Fit_Matrix!$A:$A,0)))),"CHECK KEY"))</f>
        <v/>
      </c>
      <c r="U886" s="10" t="n"/>
      <c r="V886" s="10" t="n"/>
      <c r="W886" s="10" t="n"/>
      <c r="X886" s="10" t="n"/>
      <c r="Y886" s="10" t="n"/>
      <c r="Z886" s="10" t="n"/>
      <c r="AA886" s="11">
        <f>IF(A886="","",IF(AND(J886="P4",F886="causal"),"P4-CAUSAL",""))</f>
        <v/>
      </c>
    </row>
    <row r="887" ht="15" customHeight="1" s="1">
      <c r="P887">
        <f>IF(OR(F887="",H887="",J887=""),"",J887&amp;"|"&amp;F887&amp;"|"&amp;IF(H887="W3","W3_"&amp;IF(I887="","unknown",I887),H887))</f>
        <v/>
      </c>
      <c r="Q887">
        <f>IF(P887="","",IFERROR(IF(AND(H887="W7",OR(F887="causal",F887="predictive")),IF(AND(OR(K887=1,K887="1"),OR(L887=1,L887="1"),OR(M887=1,M887="1")),"adequate","partial"),IF(AND(H887="W4",F887="predictive",OR(J887="P2",J887="P3",J887="P4")),IF(OR(U887=1,U887="1"),"adequate","partial"),INDEX(Fit_Matrix!$B:$B,MATCH(P887,Fit_Matrix!$A:$A,0)))),"CHECK KEY"))</f>
        <v/>
      </c>
      <c r="U887" s="10" t="n"/>
      <c r="V887" s="10" t="n"/>
      <c r="W887" s="10" t="n"/>
      <c r="X887" s="10" t="n"/>
      <c r="Y887" s="10" t="n"/>
      <c r="Z887" s="10" t="n"/>
      <c r="AA887" s="11">
        <f>IF(A887="","",IF(AND(J887="P4",F887="causal"),"P4-CAUSAL",""))</f>
        <v/>
      </c>
    </row>
    <row r="888" ht="15" customHeight="1" s="1">
      <c r="P888">
        <f>IF(OR(F888="",H888="",J888=""),"",J888&amp;"|"&amp;F888&amp;"|"&amp;IF(H888="W3","W3_"&amp;IF(I888="","unknown",I888),H888))</f>
        <v/>
      </c>
      <c r="Q888">
        <f>IF(P888="","",IFERROR(IF(AND(H888="W7",OR(F888="causal",F888="predictive")),IF(AND(OR(K888=1,K888="1"),OR(L888=1,L888="1"),OR(M888=1,M888="1")),"adequate","partial"),IF(AND(H888="W4",F888="predictive",OR(J888="P2",J888="P3",J888="P4")),IF(OR(U888=1,U888="1"),"adequate","partial"),INDEX(Fit_Matrix!$B:$B,MATCH(P888,Fit_Matrix!$A:$A,0)))),"CHECK KEY"))</f>
        <v/>
      </c>
      <c r="U888" s="10" t="n"/>
      <c r="V888" s="10" t="n"/>
      <c r="W888" s="10" t="n"/>
      <c r="X888" s="10" t="n"/>
      <c r="Y888" s="10" t="n"/>
      <c r="Z888" s="10" t="n"/>
      <c r="AA888" s="11">
        <f>IF(A888="","",IF(AND(J888="P4",F888="causal"),"P4-CAUSAL",""))</f>
        <v/>
      </c>
    </row>
    <row r="889" ht="15" customHeight="1" s="1">
      <c r="P889">
        <f>IF(OR(F889="",H889="",J889=""),"",J889&amp;"|"&amp;F889&amp;"|"&amp;IF(H889="W3","W3_"&amp;IF(I889="","unknown",I889),H889))</f>
        <v/>
      </c>
      <c r="Q889">
        <f>IF(P889="","",IFERROR(IF(AND(H889="W7",OR(F889="causal",F889="predictive")),IF(AND(OR(K889=1,K889="1"),OR(L889=1,L889="1"),OR(M889=1,M889="1")),"adequate","partial"),IF(AND(H889="W4",F889="predictive",OR(J889="P2",J889="P3",J889="P4")),IF(OR(U889=1,U889="1"),"adequate","partial"),INDEX(Fit_Matrix!$B:$B,MATCH(P889,Fit_Matrix!$A:$A,0)))),"CHECK KEY"))</f>
        <v/>
      </c>
      <c r="U889" s="10" t="n"/>
      <c r="V889" s="10" t="n"/>
      <c r="W889" s="10" t="n"/>
      <c r="X889" s="10" t="n"/>
      <c r="Y889" s="10" t="n"/>
      <c r="Z889" s="10" t="n"/>
      <c r="AA889" s="11">
        <f>IF(A889="","",IF(AND(J889="P4",F889="causal"),"P4-CAUSAL",""))</f>
        <v/>
      </c>
    </row>
    <row r="890" ht="15" customHeight="1" s="1">
      <c r="P890">
        <f>IF(OR(F890="",H890="",J890=""),"",J890&amp;"|"&amp;F890&amp;"|"&amp;IF(H890="W3","W3_"&amp;IF(I890="","unknown",I890),H890))</f>
        <v/>
      </c>
      <c r="Q890">
        <f>IF(P890="","",IFERROR(IF(AND(H890="W7",OR(F890="causal",F890="predictive")),IF(AND(OR(K890=1,K890="1"),OR(L890=1,L890="1"),OR(M890=1,M890="1")),"adequate","partial"),IF(AND(H890="W4",F890="predictive",OR(J890="P2",J890="P3",J890="P4")),IF(OR(U890=1,U890="1"),"adequate","partial"),INDEX(Fit_Matrix!$B:$B,MATCH(P890,Fit_Matrix!$A:$A,0)))),"CHECK KEY"))</f>
        <v/>
      </c>
      <c r="U890" s="10" t="n"/>
      <c r="V890" s="10" t="n"/>
      <c r="W890" s="10" t="n"/>
      <c r="X890" s="10" t="n"/>
      <c r="Y890" s="10" t="n"/>
      <c r="Z890" s="10" t="n"/>
      <c r="AA890" s="11">
        <f>IF(A890="","",IF(AND(J890="P4",F890="causal"),"P4-CAUSAL",""))</f>
        <v/>
      </c>
    </row>
    <row r="891" ht="15" customHeight="1" s="1">
      <c r="P891">
        <f>IF(OR(F891="",H891="",J891=""),"",J891&amp;"|"&amp;F891&amp;"|"&amp;IF(H891="W3","W3_"&amp;IF(I891="","unknown",I891),H891))</f>
        <v/>
      </c>
      <c r="Q891">
        <f>IF(P891="","",IFERROR(IF(AND(H891="W7",OR(F891="causal",F891="predictive")),IF(AND(OR(K891=1,K891="1"),OR(L891=1,L891="1"),OR(M891=1,M891="1")),"adequate","partial"),IF(AND(H891="W4",F891="predictive",OR(J891="P2",J891="P3",J891="P4")),IF(OR(U891=1,U891="1"),"adequate","partial"),INDEX(Fit_Matrix!$B:$B,MATCH(P891,Fit_Matrix!$A:$A,0)))),"CHECK KEY"))</f>
        <v/>
      </c>
      <c r="U891" s="10" t="n"/>
      <c r="V891" s="10" t="n"/>
      <c r="W891" s="10" t="n"/>
      <c r="X891" s="10" t="n"/>
      <c r="Y891" s="10" t="n"/>
      <c r="Z891" s="10" t="n"/>
      <c r="AA891" s="11">
        <f>IF(A891="","",IF(AND(J891="P4",F891="causal"),"P4-CAUSAL",""))</f>
        <v/>
      </c>
    </row>
    <row r="892" ht="15" customHeight="1" s="1">
      <c r="P892">
        <f>IF(OR(F892="",H892="",J892=""),"",J892&amp;"|"&amp;F892&amp;"|"&amp;IF(H892="W3","W3_"&amp;IF(I892="","unknown",I892),H892))</f>
        <v/>
      </c>
      <c r="Q892">
        <f>IF(P892="","",IFERROR(IF(AND(H892="W7",OR(F892="causal",F892="predictive")),IF(AND(OR(K892=1,K892="1"),OR(L892=1,L892="1"),OR(M892=1,M892="1")),"adequate","partial"),IF(AND(H892="W4",F892="predictive",OR(J892="P2",J892="P3",J892="P4")),IF(OR(U892=1,U892="1"),"adequate","partial"),INDEX(Fit_Matrix!$B:$B,MATCH(P892,Fit_Matrix!$A:$A,0)))),"CHECK KEY"))</f>
        <v/>
      </c>
      <c r="U892" s="10" t="n"/>
      <c r="V892" s="10" t="n"/>
      <c r="W892" s="10" t="n"/>
      <c r="X892" s="10" t="n"/>
      <c r="Y892" s="10" t="n"/>
      <c r="Z892" s="10" t="n"/>
      <c r="AA892" s="11">
        <f>IF(A892="","",IF(AND(J892="P4",F892="causal"),"P4-CAUSAL",""))</f>
        <v/>
      </c>
    </row>
    <row r="893" ht="15" customHeight="1" s="1">
      <c r="P893">
        <f>IF(OR(F893="",H893="",J893=""),"",J893&amp;"|"&amp;F893&amp;"|"&amp;IF(H893="W3","W3_"&amp;IF(I893="","unknown",I893),H893))</f>
        <v/>
      </c>
      <c r="Q893">
        <f>IF(P893="","",IFERROR(IF(AND(H893="W7",OR(F893="causal",F893="predictive")),IF(AND(OR(K893=1,K893="1"),OR(L893=1,L893="1"),OR(M893=1,M893="1")),"adequate","partial"),IF(AND(H893="W4",F893="predictive",OR(J893="P2",J893="P3",J893="P4")),IF(OR(U893=1,U893="1"),"adequate","partial"),INDEX(Fit_Matrix!$B:$B,MATCH(P893,Fit_Matrix!$A:$A,0)))),"CHECK KEY"))</f>
        <v/>
      </c>
      <c r="U893" s="10" t="n"/>
      <c r="V893" s="10" t="n"/>
      <c r="W893" s="10" t="n"/>
      <c r="X893" s="10" t="n"/>
      <c r="Y893" s="10" t="n"/>
      <c r="Z893" s="10" t="n"/>
      <c r="AA893" s="11">
        <f>IF(A893="","",IF(AND(J893="P4",F893="causal"),"P4-CAUSAL",""))</f>
        <v/>
      </c>
    </row>
    <row r="894" ht="15" customHeight="1" s="1">
      <c r="P894">
        <f>IF(OR(F894="",H894="",J894=""),"",J894&amp;"|"&amp;F894&amp;"|"&amp;IF(H894="W3","W3_"&amp;IF(I894="","unknown",I894),H894))</f>
        <v/>
      </c>
      <c r="Q894">
        <f>IF(P894="","",IFERROR(IF(AND(H894="W7",OR(F894="causal",F894="predictive")),IF(AND(OR(K894=1,K894="1"),OR(L894=1,L894="1"),OR(M894=1,M894="1")),"adequate","partial"),IF(AND(H894="W4",F894="predictive",OR(J894="P2",J894="P3",J894="P4")),IF(OR(U894=1,U894="1"),"adequate","partial"),INDEX(Fit_Matrix!$B:$B,MATCH(P894,Fit_Matrix!$A:$A,0)))),"CHECK KEY"))</f>
        <v/>
      </c>
      <c r="U894" s="10" t="n"/>
      <c r="V894" s="10" t="n"/>
      <c r="W894" s="10" t="n"/>
      <c r="X894" s="10" t="n"/>
      <c r="Y894" s="10" t="n"/>
      <c r="Z894" s="10" t="n"/>
      <c r="AA894" s="11">
        <f>IF(A894="","",IF(AND(J894="P4",F894="causal"),"P4-CAUSAL",""))</f>
        <v/>
      </c>
    </row>
    <row r="895" ht="15" customHeight="1" s="1">
      <c r="P895">
        <f>IF(OR(F895="",H895="",J895=""),"",J895&amp;"|"&amp;F895&amp;"|"&amp;IF(H895="W3","W3_"&amp;IF(I895="","unknown",I895),H895))</f>
        <v/>
      </c>
      <c r="Q895">
        <f>IF(P895="","",IFERROR(IF(AND(H895="W7",OR(F895="causal",F895="predictive")),IF(AND(OR(K895=1,K895="1"),OR(L895=1,L895="1"),OR(M895=1,M895="1")),"adequate","partial"),IF(AND(H895="W4",F895="predictive",OR(J895="P2",J895="P3",J895="P4")),IF(OR(U895=1,U895="1"),"adequate","partial"),INDEX(Fit_Matrix!$B:$B,MATCH(P895,Fit_Matrix!$A:$A,0)))),"CHECK KEY"))</f>
        <v/>
      </c>
      <c r="U895" s="10" t="n"/>
      <c r="V895" s="10" t="n"/>
      <c r="W895" s="10" t="n"/>
      <c r="X895" s="10" t="n"/>
      <c r="Y895" s="10" t="n"/>
      <c r="Z895" s="10" t="n"/>
      <c r="AA895" s="11">
        <f>IF(A895="","",IF(AND(J895="P4",F895="causal"),"P4-CAUSAL",""))</f>
        <v/>
      </c>
    </row>
    <row r="896" ht="15" customHeight="1" s="1">
      <c r="P896">
        <f>IF(OR(F896="",H896="",J896=""),"",J896&amp;"|"&amp;F896&amp;"|"&amp;IF(H896="W3","W3_"&amp;IF(I896="","unknown",I896),H896))</f>
        <v/>
      </c>
      <c r="Q896">
        <f>IF(P896="","",IFERROR(IF(AND(H896="W7",OR(F896="causal",F896="predictive")),IF(AND(OR(K896=1,K896="1"),OR(L896=1,L896="1"),OR(M896=1,M896="1")),"adequate","partial"),IF(AND(H896="W4",F896="predictive",OR(J896="P2",J896="P3",J896="P4")),IF(OR(U896=1,U896="1"),"adequate","partial"),INDEX(Fit_Matrix!$B:$B,MATCH(P896,Fit_Matrix!$A:$A,0)))),"CHECK KEY"))</f>
        <v/>
      </c>
      <c r="U896" s="10" t="n"/>
      <c r="V896" s="10" t="n"/>
      <c r="W896" s="10" t="n"/>
      <c r="X896" s="10" t="n"/>
      <c r="Y896" s="10" t="n"/>
      <c r="Z896" s="10" t="n"/>
      <c r="AA896" s="11">
        <f>IF(A896="","",IF(AND(J896="P4",F896="causal"),"P4-CAUSAL",""))</f>
        <v/>
      </c>
    </row>
    <row r="897" ht="15" customHeight="1" s="1">
      <c r="P897">
        <f>IF(OR(F897="",H897="",J897=""),"",J897&amp;"|"&amp;F897&amp;"|"&amp;IF(H897="W3","W3_"&amp;IF(I897="","unknown",I897),H897))</f>
        <v/>
      </c>
      <c r="Q897">
        <f>IF(P897="","",IFERROR(IF(AND(H897="W7",OR(F897="causal",F897="predictive")),IF(AND(OR(K897=1,K897="1"),OR(L897=1,L897="1"),OR(M897=1,M897="1")),"adequate","partial"),IF(AND(H897="W4",F897="predictive",OR(J897="P2",J897="P3",J897="P4")),IF(OR(U897=1,U897="1"),"adequate","partial"),INDEX(Fit_Matrix!$B:$B,MATCH(P897,Fit_Matrix!$A:$A,0)))),"CHECK KEY"))</f>
        <v/>
      </c>
      <c r="U897" s="10" t="n"/>
      <c r="V897" s="10" t="n"/>
      <c r="W897" s="10" t="n"/>
      <c r="X897" s="10" t="n"/>
      <c r="Y897" s="10" t="n"/>
      <c r="Z897" s="10" t="n"/>
      <c r="AA897" s="11">
        <f>IF(A897="","",IF(AND(J897="P4",F897="causal"),"P4-CAUSAL",""))</f>
        <v/>
      </c>
    </row>
    <row r="898" ht="15" customHeight="1" s="1">
      <c r="P898">
        <f>IF(OR(F898="",H898="",J898=""),"",J898&amp;"|"&amp;F898&amp;"|"&amp;IF(H898="W3","W3_"&amp;IF(I898="","unknown",I898),H898))</f>
        <v/>
      </c>
      <c r="Q898">
        <f>IF(P898="","",IFERROR(IF(AND(H898="W7",OR(F898="causal",F898="predictive")),IF(AND(OR(K898=1,K898="1"),OR(L898=1,L898="1"),OR(M898=1,M898="1")),"adequate","partial"),IF(AND(H898="W4",F898="predictive",OR(J898="P2",J898="P3",J898="P4")),IF(OR(U898=1,U898="1"),"adequate","partial"),INDEX(Fit_Matrix!$B:$B,MATCH(P898,Fit_Matrix!$A:$A,0)))),"CHECK KEY"))</f>
        <v/>
      </c>
      <c r="U898" s="10" t="n"/>
      <c r="V898" s="10" t="n"/>
      <c r="W898" s="10" t="n"/>
      <c r="X898" s="10" t="n"/>
      <c r="Y898" s="10" t="n"/>
      <c r="Z898" s="10" t="n"/>
      <c r="AA898" s="11">
        <f>IF(A898="","",IF(AND(J898="P4",F898="causal"),"P4-CAUSAL",""))</f>
        <v/>
      </c>
    </row>
    <row r="899" ht="15" customHeight="1" s="1">
      <c r="P899">
        <f>IF(OR(F899="",H899="",J899=""),"",J899&amp;"|"&amp;F899&amp;"|"&amp;IF(H899="W3","W3_"&amp;IF(I899="","unknown",I899),H899))</f>
        <v/>
      </c>
      <c r="Q899">
        <f>IF(P899="","",IFERROR(IF(AND(H899="W7",OR(F899="causal",F899="predictive")),IF(AND(OR(K899=1,K899="1"),OR(L899=1,L899="1"),OR(M899=1,M899="1")),"adequate","partial"),IF(AND(H899="W4",F899="predictive",OR(J899="P2",J899="P3",J899="P4")),IF(OR(U899=1,U899="1"),"adequate","partial"),INDEX(Fit_Matrix!$B:$B,MATCH(P899,Fit_Matrix!$A:$A,0)))),"CHECK KEY"))</f>
        <v/>
      </c>
      <c r="U899" s="10" t="n"/>
      <c r="V899" s="10" t="n"/>
      <c r="W899" s="10" t="n"/>
      <c r="X899" s="10" t="n"/>
      <c r="Y899" s="10" t="n"/>
      <c r="Z899" s="10" t="n"/>
      <c r="AA899" s="11">
        <f>IF(A899="","",IF(AND(J899="P4",F899="causal"),"P4-CAUSAL",""))</f>
        <v/>
      </c>
    </row>
    <row r="900" ht="15" customHeight="1" s="1">
      <c r="P900">
        <f>IF(OR(F900="",H900="",J900=""),"",J900&amp;"|"&amp;F900&amp;"|"&amp;IF(H900="W3","W3_"&amp;IF(I900="","unknown",I900),H900))</f>
        <v/>
      </c>
      <c r="Q900">
        <f>IF(P900="","",IFERROR(IF(AND(H900="W7",OR(F900="causal",F900="predictive")),IF(AND(OR(K900=1,K900="1"),OR(L900=1,L900="1"),OR(M900=1,M900="1")),"adequate","partial"),IF(AND(H900="W4",F900="predictive",OR(J900="P2",J900="P3",J900="P4")),IF(OR(U900=1,U900="1"),"adequate","partial"),INDEX(Fit_Matrix!$B:$B,MATCH(P900,Fit_Matrix!$A:$A,0)))),"CHECK KEY"))</f>
        <v/>
      </c>
      <c r="U900" s="10" t="n"/>
      <c r="V900" s="10" t="n"/>
      <c r="W900" s="10" t="n"/>
      <c r="X900" s="10" t="n"/>
      <c r="Y900" s="10" t="n"/>
      <c r="Z900" s="10" t="n"/>
      <c r="AA900" s="11">
        <f>IF(A900="","",IF(AND(J900="P4",F900="causal"),"P4-CAUSAL",""))</f>
        <v/>
      </c>
    </row>
    <row r="901" ht="15" customHeight="1" s="1">
      <c r="P901">
        <f>IF(OR(F901="",H901="",J901=""),"",J901&amp;"|"&amp;F901&amp;"|"&amp;IF(H901="W3","W3_"&amp;IF(I901="","unknown",I901),H901))</f>
        <v/>
      </c>
      <c r="Q901">
        <f>IF(P901="","",IFERROR(IF(AND(H901="W7",OR(F901="causal",F901="predictive")),IF(AND(OR(K901=1,K901="1"),OR(L901=1,L901="1"),OR(M901=1,M901="1")),"adequate","partial"),IF(AND(H901="W4",F901="predictive",OR(J901="P2",J901="P3",J901="P4")),IF(OR(U901=1,U901="1"),"adequate","partial"),INDEX(Fit_Matrix!$B:$B,MATCH(P901,Fit_Matrix!$A:$A,0)))),"CHECK KEY"))</f>
        <v/>
      </c>
      <c r="U901" s="10" t="n"/>
      <c r="V901" s="10" t="n"/>
      <c r="W901" s="10" t="n"/>
      <c r="X901" s="10" t="n"/>
      <c r="Y901" s="10" t="n"/>
      <c r="Z901" s="10" t="n"/>
      <c r="AA901" s="11">
        <f>IF(A901="","",IF(AND(J901="P4",F901="causal"),"P4-CAUSAL",""))</f>
        <v/>
      </c>
    </row>
    <row r="902" ht="15" customHeight="1" s="1">
      <c r="P902">
        <f>IF(OR(F902="",H902="",J902=""),"",J902&amp;"|"&amp;F902&amp;"|"&amp;IF(H902="W3","W3_"&amp;IF(I902="","unknown",I902),H902))</f>
        <v/>
      </c>
      <c r="Q902">
        <f>IF(P902="","",IFERROR(IF(AND(H902="W7",OR(F902="causal",F902="predictive")),IF(AND(OR(K902=1,K902="1"),OR(L902=1,L902="1"),OR(M902=1,M902="1")),"adequate","partial"),IF(AND(H902="W4",F902="predictive",OR(J902="P2",J902="P3",J902="P4")),IF(OR(U902=1,U902="1"),"adequate","partial"),INDEX(Fit_Matrix!$B:$B,MATCH(P902,Fit_Matrix!$A:$A,0)))),"CHECK KEY"))</f>
        <v/>
      </c>
      <c r="U902" s="10" t="n"/>
      <c r="V902" s="10" t="n"/>
      <c r="W902" s="10" t="n"/>
      <c r="X902" s="10" t="n"/>
      <c r="Y902" s="10" t="n"/>
      <c r="Z902" s="10" t="n"/>
      <c r="AA902" s="11">
        <f>IF(A902="","",IF(AND(J902="P4",F902="causal"),"P4-CAUSAL",""))</f>
        <v/>
      </c>
    </row>
    <row r="903" ht="15" customHeight="1" s="1">
      <c r="P903">
        <f>IF(OR(F903="",H903="",J903=""),"",J903&amp;"|"&amp;F903&amp;"|"&amp;IF(H903="W3","W3_"&amp;IF(I903="","unknown",I903),H903))</f>
        <v/>
      </c>
      <c r="Q903">
        <f>IF(P903="","",IFERROR(IF(AND(H903="W7",OR(F903="causal",F903="predictive")),IF(AND(OR(K903=1,K903="1"),OR(L903=1,L903="1"),OR(M903=1,M903="1")),"adequate","partial"),IF(AND(H903="W4",F903="predictive",OR(J903="P2",J903="P3",J903="P4")),IF(OR(U903=1,U903="1"),"adequate","partial"),INDEX(Fit_Matrix!$B:$B,MATCH(P903,Fit_Matrix!$A:$A,0)))),"CHECK KEY"))</f>
        <v/>
      </c>
      <c r="U903" s="10" t="n"/>
      <c r="V903" s="10" t="n"/>
      <c r="W903" s="10" t="n"/>
      <c r="X903" s="10" t="n"/>
      <c r="Y903" s="10" t="n"/>
      <c r="Z903" s="10" t="n"/>
      <c r="AA903" s="11">
        <f>IF(A903="","",IF(AND(J903="P4",F903="causal"),"P4-CAUSAL",""))</f>
        <v/>
      </c>
    </row>
    <row r="904" ht="15" customHeight="1" s="1">
      <c r="P904">
        <f>IF(OR(F904="",H904="",J904=""),"",J904&amp;"|"&amp;F904&amp;"|"&amp;IF(H904="W3","W3_"&amp;IF(I904="","unknown",I904),H904))</f>
        <v/>
      </c>
      <c r="Q904">
        <f>IF(P904="","",IFERROR(IF(AND(H904="W7",OR(F904="causal",F904="predictive")),IF(AND(OR(K904=1,K904="1"),OR(L904=1,L904="1"),OR(M904=1,M904="1")),"adequate","partial"),IF(AND(H904="W4",F904="predictive",OR(J904="P2",J904="P3",J904="P4")),IF(OR(U904=1,U904="1"),"adequate","partial"),INDEX(Fit_Matrix!$B:$B,MATCH(P904,Fit_Matrix!$A:$A,0)))),"CHECK KEY"))</f>
        <v/>
      </c>
      <c r="U904" s="10" t="n"/>
      <c r="V904" s="10" t="n"/>
      <c r="W904" s="10" t="n"/>
      <c r="X904" s="10" t="n"/>
      <c r="Y904" s="10" t="n"/>
      <c r="Z904" s="10" t="n"/>
      <c r="AA904" s="11">
        <f>IF(A904="","",IF(AND(J904="P4",F904="causal"),"P4-CAUSAL",""))</f>
        <v/>
      </c>
    </row>
    <row r="905" ht="15" customHeight="1" s="1">
      <c r="P905">
        <f>IF(OR(F905="",H905="",J905=""),"",J905&amp;"|"&amp;F905&amp;"|"&amp;IF(H905="W3","W3_"&amp;IF(I905="","unknown",I905),H905))</f>
        <v/>
      </c>
      <c r="Q905">
        <f>IF(P905="","",IFERROR(IF(AND(H905="W7",OR(F905="causal",F905="predictive")),IF(AND(OR(K905=1,K905="1"),OR(L905=1,L905="1"),OR(M905=1,M905="1")),"adequate","partial"),IF(AND(H905="W4",F905="predictive",OR(J905="P2",J905="P3",J905="P4")),IF(OR(U905=1,U905="1"),"adequate","partial"),INDEX(Fit_Matrix!$B:$B,MATCH(P905,Fit_Matrix!$A:$A,0)))),"CHECK KEY"))</f>
        <v/>
      </c>
      <c r="U905" s="10" t="n"/>
      <c r="V905" s="10" t="n"/>
      <c r="W905" s="10" t="n"/>
      <c r="X905" s="10" t="n"/>
      <c r="Y905" s="10" t="n"/>
      <c r="Z905" s="10" t="n"/>
      <c r="AA905" s="11">
        <f>IF(A905="","",IF(AND(J905="P4",F905="causal"),"P4-CAUSAL",""))</f>
        <v/>
      </c>
    </row>
    <row r="906" ht="15" customHeight="1" s="1">
      <c r="P906">
        <f>IF(OR(F906="",H906="",J906=""),"",J906&amp;"|"&amp;F906&amp;"|"&amp;IF(H906="W3","W3_"&amp;IF(I906="","unknown",I906),H906))</f>
        <v/>
      </c>
      <c r="Q906">
        <f>IF(P906="","",IFERROR(IF(AND(H906="W7",OR(F906="causal",F906="predictive")),IF(AND(OR(K906=1,K906="1"),OR(L906=1,L906="1"),OR(M906=1,M906="1")),"adequate","partial"),IF(AND(H906="W4",F906="predictive",OR(J906="P2",J906="P3",J906="P4")),IF(OR(U906=1,U906="1"),"adequate","partial"),INDEX(Fit_Matrix!$B:$B,MATCH(P906,Fit_Matrix!$A:$A,0)))),"CHECK KEY"))</f>
        <v/>
      </c>
      <c r="U906" s="10" t="n"/>
      <c r="V906" s="10" t="n"/>
      <c r="W906" s="10" t="n"/>
      <c r="X906" s="10" t="n"/>
      <c r="Y906" s="10" t="n"/>
      <c r="Z906" s="10" t="n"/>
      <c r="AA906" s="11">
        <f>IF(A906="","",IF(AND(J906="P4",F906="causal"),"P4-CAUSAL",""))</f>
        <v/>
      </c>
    </row>
    <row r="907" ht="15" customHeight="1" s="1">
      <c r="P907">
        <f>IF(OR(F907="",H907="",J907=""),"",J907&amp;"|"&amp;F907&amp;"|"&amp;IF(H907="W3","W3_"&amp;IF(I907="","unknown",I907),H907))</f>
        <v/>
      </c>
      <c r="Q907">
        <f>IF(P907="","",IFERROR(IF(AND(H907="W7",OR(F907="causal",F907="predictive")),IF(AND(OR(K907=1,K907="1"),OR(L907=1,L907="1"),OR(M907=1,M907="1")),"adequate","partial"),IF(AND(H907="W4",F907="predictive",OR(J907="P2",J907="P3",J907="P4")),IF(OR(U907=1,U907="1"),"adequate","partial"),INDEX(Fit_Matrix!$B:$B,MATCH(P907,Fit_Matrix!$A:$A,0)))),"CHECK KEY"))</f>
        <v/>
      </c>
      <c r="U907" s="10" t="n"/>
      <c r="V907" s="10" t="n"/>
      <c r="W907" s="10" t="n"/>
      <c r="X907" s="10" t="n"/>
      <c r="Y907" s="10" t="n"/>
      <c r="Z907" s="10" t="n"/>
      <c r="AA907" s="11">
        <f>IF(A907="","",IF(AND(J907="P4",F907="causal"),"P4-CAUSAL",""))</f>
        <v/>
      </c>
    </row>
    <row r="908" ht="15" customHeight="1" s="1">
      <c r="P908">
        <f>IF(OR(F908="",H908="",J908=""),"",J908&amp;"|"&amp;F908&amp;"|"&amp;IF(H908="W3","W3_"&amp;IF(I908="","unknown",I908),H908))</f>
        <v/>
      </c>
      <c r="Q908">
        <f>IF(P908="","",IFERROR(IF(AND(H908="W7",OR(F908="causal",F908="predictive")),IF(AND(OR(K908=1,K908="1"),OR(L908=1,L908="1"),OR(M908=1,M908="1")),"adequate","partial"),IF(AND(H908="W4",F908="predictive",OR(J908="P2",J908="P3",J908="P4")),IF(OR(U908=1,U908="1"),"adequate","partial"),INDEX(Fit_Matrix!$B:$B,MATCH(P908,Fit_Matrix!$A:$A,0)))),"CHECK KEY"))</f>
        <v/>
      </c>
      <c r="U908" s="10" t="n"/>
      <c r="V908" s="10" t="n"/>
      <c r="W908" s="10" t="n"/>
      <c r="X908" s="10" t="n"/>
      <c r="Y908" s="10" t="n"/>
      <c r="Z908" s="10" t="n"/>
      <c r="AA908" s="11">
        <f>IF(A908="","",IF(AND(J908="P4",F908="causal"),"P4-CAUSAL",""))</f>
        <v/>
      </c>
    </row>
    <row r="909" ht="15" customHeight="1" s="1">
      <c r="P909">
        <f>IF(OR(F909="",H909="",J909=""),"",J909&amp;"|"&amp;F909&amp;"|"&amp;IF(H909="W3","W3_"&amp;IF(I909="","unknown",I909),H909))</f>
        <v/>
      </c>
      <c r="Q909">
        <f>IF(P909="","",IFERROR(IF(AND(H909="W7",OR(F909="causal",F909="predictive")),IF(AND(OR(K909=1,K909="1"),OR(L909=1,L909="1"),OR(M909=1,M909="1")),"adequate","partial"),IF(AND(H909="W4",F909="predictive",OR(J909="P2",J909="P3",J909="P4")),IF(OR(U909=1,U909="1"),"adequate","partial"),INDEX(Fit_Matrix!$B:$B,MATCH(P909,Fit_Matrix!$A:$A,0)))),"CHECK KEY"))</f>
        <v/>
      </c>
      <c r="U909" s="10" t="n"/>
      <c r="V909" s="10" t="n"/>
      <c r="W909" s="10" t="n"/>
      <c r="X909" s="10" t="n"/>
      <c r="Y909" s="10" t="n"/>
      <c r="Z909" s="10" t="n"/>
      <c r="AA909" s="11">
        <f>IF(A909="","",IF(AND(J909="P4",F909="causal"),"P4-CAUSAL",""))</f>
        <v/>
      </c>
    </row>
    <row r="910" ht="15" customHeight="1" s="1">
      <c r="P910">
        <f>IF(OR(F910="",H910="",J910=""),"",J910&amp;"|"&amp;F910&amp;"|"&amp;IF(H910="W3","W3_"&amp;IF(I910="","unknown",I910),H910))</f>
        <v/>
      </c>
      <c r="Q910">
        <f>IF(P910="","",IFERROR(IF(AND(H910="W7",OR(F910="causal",F910="predictive")),IF(AND(OR(K910=1,K910="1"),OR(L910=1,L910="1"),OR(M910=1,M910="1")),"adequate","partial"),IF(AND(H910="W4",F910="predictive",OR(J910="P2",J910="P3",J910="P4")),IF(OR(U910=1,U910="1"),"adequate","partial"),INDEX(Fit_Matrix!$B:$B,MATCH(P910,Fit_Matrix!$A:$A,0)))),"CHECK KEY"))</f>
        <v/>
      </c>
      <c r="U910" s="10" t="n"/>
      <c r="V910" s="10" t="n"/>
      <c r="W910" s="10" t="n"/>
      <c r="X910" s="10" t="n"/>
      <c r="Y910" s="10" t="n"/>
      <c r="Z910" s="10" t="n"/>
      <c r="AA910" s="11">
        <f>IF(A910="","",IF(AND(J910="P4",F910="causal"),"P4-CAUSAL",""))</f>
        <v/>
      </c>
    </row>
    <row r="911" ht="15" customHeight="1" s="1">
      <c r="P911">
        <f>IF(OR(F911="",H911="",J911=""),"",J911&amp;"|"&amp;F911&amp;"|"&amp;IF(H911="W3","W3_"&amp;IF(I911="","unknown",I911),H911))</f>
        <v/>
      </c>
      <c r="Q911">
        <f>IF(P911="","",IFERROR(IF(AND(H911="W7",OR(F911="causal",F911="predictive")),IF(AND(OR(K911=1,K911="1"),OR(L911=1,L911="1"),OR(M911=1,M911="1")),"adequate","partial"),IF(AND(H911="W4",F911="predictive",OR(J911="P2",J911="P3",J911="P4")),IF(OR(U911=1,U911="1"),"adequate","partial"),INDEX(Fit_Matrix!$B:$B,MATCH(P911,Fit_Matrix!$A:$A,0)))),"CHECK KEY"))</f>
        <v/>
      </c>
      <c r="U911" s="10" t="n"/>
      <c r="V911" s="10" t="n"/>
      <c r="W911" s="10" t="n"/>
      <c r="X911" s="10" t="n"/>
      <c r="Y911" s="10" t="n"/>
      <c r="Z911" s="10" t="n"/>
      <c r="AA911" s="11">
        <f>IF(A911="","",IF(AND(J911="P4",F911="causal"),"P4-CAUSAL",""))</f>
        <v/>
      </c>
    </row>
    <row r="912" ht="15" customHeight="1" s="1">
      <c r="P912">
        <f>IF(OR(F912="",H912="",J912=""),"",J912&amp;"|"&amp;F912&amp;"|"&amp;IF(H912="W3","W3_"&amp;IF(I912="","unknown",I912),H912))</f>
        <v/>
      </c>
      <c r="Q912">
        <f>IF(P912="","",IFERROR(IF(AND(H912="W7",OR(F912="causal",F912="predictive")),IF(AND(OR(K912=1,K912="1"),OR(L912=1,L912="1"),OR(M912=1,M912="1")),"adequate","partial"),IF(AND(H912="W4",F912="predictive",OR(J912="P2",J912="P3",J912="P4")),IF(OR(U912=1,U912="1"),"adequate","partial"),INDEX(Fit_Matrix!$B:$B,MATCH(P912,Fit_Matrix!$A:$A,0)))),"CHECK KEY"))</f>
        <v/>
      </c>
      <c r="U912" s="10" t="n"/>
      <c r="V912" s="10" t="n"/>
      <c r="W912" s="10" t="n"/>
      <c r="X912" s="10" t="n"/>
      <c r="Y912" s="10" t="n"/>
      <c r="Z912" s="10" t="n"/>
      <c r="AA912" s="11">
        <f>IF(A912="","",IF(AND(J912="P4",F912="causal"),"P4-CAUSAL",""))</f>
        <v/>
      </c>
    </row>
    <row r="913" ht="15" customHeight="1" s="1">
      <c r="P913">
        <f>IF(OR(F913="",H913="",J913=""),"",J913&amp;"|"&amp;F913&amp;"|"&amp;IF(H913="W3","W3_"&amp;IF(I913="","unknown",I913),H913))</f>
        <v/>
      </c>
      <c r="Q913">
        <f>IF(P913="","",IFERROR(IF(AND(H913="W7",OR(F913="causal",F913="predictive")),IF(AND(OR(K913=1,K913="1"),OR(L913=1,L913="1"),OR(M913=1,M913="1")),"adequate","partial"),IF(AND(H913="W4",F913="predictive",OR(J913="P2",J913="P3",J913="P4")),IF(OR(U913=1,U913="1"),"adequate","partial"),INDEX(Fit_Matrix!$B:$B,MATCH(P913,Fit_Matrix!$A:$A,0)))),"CHECK KEY"))</f>
        <v/>
      </c>
      <c r="U913" s="10" t="n"/>
      <c r="V913" s="10" t="n"/>
      <c r="W913" s="10" t="n"/>
      <c r="X913" s="10" t="n"/>
      <c r="Y913" s="10" t="n"/>
      <c r="Z913" s="10" t="n"/>
      <c r="AA913" s="11">
        <f>IF(A913="","",IF(AND(J913="P4",F913="causal"),"P4-CAUSAL",""))</f>
        <v/>
      </c>
    </row>
    <row r="914" ht="15" customHeight="1" s="1">
      <c r="P914">
        <f>IF(OR(F914="",H914="",J914=""),"",J914&amp;"|"&amp;F914&amp;"|"&amp;IF(H914="W3","W3_"&amp;IF(I914="","unknown",I914),H914))</f>
        <v/>
      </c>
      <c r="Q914">
        <f>IF(P914="","",IFERROR(IF(AND(H914="W7",OR(F914="causal",F914="predictive")),IF(AND(OR(K914=1,K914="1"),OR(L914=1,L914="1"),OR(M914=1,M914="1")),"adequate","partial"),IF(AND(H914="W4",F914="predictive",OR(J914="P2",J914="P3",J914="P4")),IF(OR(U914=1,U914="1"),"adequate","partial"),INDEX(Fit_Matrix!$B:$B,MATCH(P914,Fit_Matrix!$A:$A,0)))),"CHECK KEY"))</f>
        <v/>
      </c>
      <c r="U914" s="10" t="n"/>
      <c r="V914" s="10" t="n"/>
      <c r="W914" s="10" t="n"/>
      <c r="X914" s="10" t="n"/>
      <c r="Y914" s="10" t="n"/>
      <c r="Z914" s="10" t="n"/>
      <c r="AA914" s="11">
        <f>IF(A914="","",IF(AND(J914="P4",F914="causal"),"P4-CAUSAL",""))</f>
        <v/>
      </c>
    </row>
    <row r="915" ht="15" customHeight="1" s="1">
      <c r="P915">
        <f>IF(OR(F915="",H915="",J915=""),"",J915&amp;"|"&amp;F915&amp;"|"&amp;IF(H915="W3","W3_"&amp;IF(I915="","unknown",I915),H915))</f>
        <v/>
      </c>
      <c r="Q915">
        <f>IF(P915="","",IFERROR(IF(AND(H915="W7",OR(F915="causal",F915="predictive")),IF(AND(OR(K915=1,K915="1"),OR(L915=1,L915="1"),OR(M915=1,M915="1")),"adequate","partial"),IF(AND(H915="W4",F915="predictive",OR(J915="P2",J915="P3",J915="P4")),IF(OR(U915=1,U915="1"),"adequate","partial"),INDEX(Fit_Matrix!$B:$B,MATCH(P915,Fit_Matrix!$A:$A,0)))),"CHECK KEY"))</f>
        <v/>
      </c>
      <c r="U915" s="10" t="n"/>
      <c r="V915" s="10" t="n"/>
      <c r="W915" s="10" t="n"/>
      <c r="X915" s="10" t="n"/>
      <c r="Y915" s="10" t="n"/>
      <c r="Z915" s="10" t="n"/>
      <c r="AA915" s="11">
        <f>IF(A915="","",IF(AND(J915="P4",F915="causal"),"P4-CAUSAL",""))</f>
        <v/>
      </c>
    </row>
    <row r="916" ht="15" customHeight="1" s="1">
      <c r="P916">
        <f>IF(OR(F916="",H916="",J916=""),"",J916&amp;"|"&amp;F916&amp;"|"&amp;IF(H916="W3","W3_"&amp;IF(I916="","unknown",I916),H916))</f>
        <v/>
      </c>
      <c r="Q916">
        <f>IF(P916="","",IFERROR(IF(AND(H916="W7",OR(F916="causal",F916="predictive")),IF(AND(OR(K916=1,K916="1"),OR(L916=1,L916="1"),OR(M916=1,M916="1")),"adequate","partial"),IF(AND(H916="W4",F916="predictive",OR(J916="P2",J916="P3",J916="P4")),IF(OR(U916=1,U916="1"),"adequate","partial"),INDEX(Fit_Matrix!$B:$B,MATCH(P916,Fit_Matrix!$A:$A,0)))),"CHECK KEY"))</f>
        <v/>
      </c>
      <c r="U916" s="10" t="n"/>
      <c r="V916" s="10" t="n"/>
      <c r="W916" s="10" t="n"/>
      <c r="X916" s="10" t="n"/>
      <c r="Y916" s="10" t="n"/>
      <c r="Z916" s="10" t="n"/>
      <c r="AA916" s="11">
        <f>IF(A916="","",IF(AND(J916="P4",F916="causal"),"P4-CAUSAL",""))</f>
        <v/>
      </c>
    </row>
    <row r="917" ht="15" customHeight="1" s="1">
      <c r="P917">
        <f>IF(OR(F917="",H917="",J917=""),"",J917&amp;"|"&amp;F917&amp;"|"&amp;IF(H917="W3","W3_"&amp;IF(I917="","unknown",I917),H917))</f>
        <v/>
      </c>
      <c r="Q917">
        <f>IF(P917="","",IFERROR(IF(AND(H917="W7",OR(F917="causal",F917="predictive")),IF(AND(OR(K917=1,K917="1"),OR(L917=1,L917="1"),OR(M917=1,M917="1")),"adequate","partial"),IF(AND(H917="W4",F917="predictive",OR(J917="P2",J917="P3",J917="P4")),IF(OR(U917=1,U917="1"),"adequate","partial"),INDEX(Fit_Matrix!$B:$B,MATCH(P917,Fit_Matrix!$A:$A,0)))),"CHECK KEY"))</f>
        <v/>
      </c>
      <c r="U917" s="10" t="n"/>
      <c r="V917" s="10" t="n"/>
      <c r="W917" s="10" t="n"/>
      <c r="X917" s="10" t="n"/>
      <c r="Y917" s="10" t="n"/>
      <c r="Z917" s="10" t="n"/>
      <c r="AA917" s="11">
        <f>IF(A917="","",IF(AND(J917="P4",F917="causal"),"P4-CAUSAL",""))</f>
        <v/>
      </c>
    </row>
    <row r="918" ht="15" customHeight="1" s="1">
      <c r="P918">
        <f>IF(OR(F918="",H918="",J918=""),"",J918&amp;"|"&amp;F918&amp;"|"&amp;IF(H918="W3","W3_"&amp;IF(I918="","unknown",I918),H918))</f>
        <v/>
      </c>
      <c r="Q918">
        <f>IF(P918="","",IFERROR(IF(AND(H918="W7",OR(F918="causal",F918="predictive")),IF(AND(OR(K918=1,K918="1"),OR(L918=1,L918="1"),OR(M918=1,M918="1")),"adequate","partial"),IF(AND(H918="W4",F918="predictive",OR(J918="P2",J918="P3",J918="P4")),IF(OR(U918=1,U918="1"),"adequate","partial"),INDEX(Fit_Matrix!$B:$B,MATCH(P918,Fit_Matrix!$A:$A,0)))),"CHECK KEY"))</f>
        <v/>
      </c>
      <c r="U918" s="10" t="n"/>
      <c r="V918" s="10" t="n"/>
      <c r="W918" s="10" t="n"/>
      <c r="X918" s="10" t="n"/>
      <c r="Y918" s="10" t="n"/>
      <c r="Z918" s="10" t="n"/>
      <c r="AA918" s="11">
        <f>IF(A918="","",IF(AND(J918="P4",F918="causal"),"P4-CAUSAL",""))</f>
        <v/>
      </c>
    </row>
    <row r="919" ht="15" customHeight="1" s="1">
      <c r="P919">
        <f>IF(OR(F919="",H919="",J919=""),"",J919&amp;"|"&amp;F919&amp;"|"&amp;IF(H919="W3","W3_"&amp;IF(I919="","unknown",I919),H919))</f>
        <v/>
      </c>
      <c r="Q919">
        <f>IF(P919="","",IFERROR(IF(AND(H919="W7",OR(F919="causal",F919="predictive")),IF(AND(OR(K919=1,K919="1"),OR(L919=1,L919="1"),OR(M919=1,M919="1")),"adequate","partial"),IF(AND(H919="W4",F919="predictive",OR(J919="P2",J919="P3",J919="P4")),IF(OR(U919=1,U919="1"),"adequate","partial"),INDEX(Fit_Matrix!$B:$B,MATCH(P919,Fit_Matrix!$A:$A,0)))),"CHECK KEY"))</f>
        <v/>
      </c>
      <c r="U919" s="10" t="n"/>
      <c r="V919" s="10" t="n"/>
      <c r="W919" s="10" t="n"/>
      <c r="X919" s="10" t="n"/>
      <c r="Y919" s="10" t="n"/>
      <c r="Z919" s="10" t="n"/>
      <c r="AA919" s="11">
        <f>IF(A919="","",IF(AND(J919="P4",F919="causal"),"P4-CAUSAL",""))</f>
        <v/>
      </c>
    </row>
    <row r="920" ht="15" customHeight="1" s="1">
      <c r="P920">
        <f>IF(OR(F920="",H920="",J920=""),"",J920&amp;"|"&amp;F920&amp;"|"&amp;IF(H920="W3","W3_"&amp;IF(I920="","unknown",I920),H920))</f>
        <v/>
      </c>
      <c r="Q920">
        <f>IF(P920="","",IFERROR(IF(AND(H920="W7",OR(F920="causal",F920="predictive")),IF(AND(OR(K920=1,K920="1"),OR(L920=1,L920="1"),OR(M920=1,M920="1")),"adequate","partial"),IF(AND(H920="W4",F920="predictive",OR(J920="P2",J920="P3",J920="P4")),IF(OR(U920=1,U920="1"),"adequate","partial"),INDEX(Fit_Matrix!$B:$B,MATCH(P920,Fit_Matrix!$A:$A,0)))),"CHECK KEY"))</f>
        <v/>
      </c>
      <c r="U920" s="10" t="n"/>
      <c r="V920" s="10" t="n"/>
      <c r="W920" s="10" t="n"/>
      <c r="X920" s="10" t="n"/>
      <c r="Y920" s="10" t="n"/>
      <c r="Z920" s="10" t="n"/>
      <c r="AA920" s="11">
        <f>IF(A920="","",IF(AND(J920="P4",F920="causal"),"P4-CAUSAL",""))</f>
        <v/>
      </c>
    </row>
    <row r="921" ht="15" customHeight="1" s="1">
      <c r="P921">
        <f>IF(OR(F921="",H921="",J921=""),"",J921&amp;"|"&amp;F921&amp;"|"&amp;IF(H921="W3","W3_"&amp;IF(I921="","unknown",I921),H921))</f>
        <v/>
      </c>
      <c r="Q921">
        <f>IF(P921="","",IFERROR(IF(AND(H921="W7",OR(F921="causal",F921="predictive")),IF(AND(OR(K921=1,K921="1"),OR(L921=1,L921="1"),OR(M921=1,M921="1")),"adequate","partial"),IF(AND(H921="W4",F921="predictive",OR(J921="P2",J921="P3",J921="P4")),IF(OR(U921=1,U921="1"),"adequate","partial"),INDEX(Fit_Matrix!$B:$B,MATCH(P921,Fit_Matrix!$A:$A,0)))),"CHECK KEY"))</f>
        <v/>
      </c>
      <c r="U921" s="10" t="n"/>
      <c r="V921" s="10" t="n"/>
      <c r="W921" s="10" t="n"/>
      <c r="X921" s="10" t="n"/>
      <c r="Y921" s="10" t="n"/>
      <c r="Z921" s="10" t="n"/>
      <c r="AA921" s="11">
        <f>IF(A921="","",IF(AND(J921="P4",F921="causal"),"P4-CAUSAL",""))</f>
        <v/>
      </c>
    </row>
    <row r="922" ht="15" customHeight="1" s="1">
      <c r="P922">
        <f>IF(OR(F922="",H922="",J922=""),"",J922&amp;"|"&amp;F922&amp;"|"&amp;IF(H922="W3","W3_"&amp;IF(I922="","unknown",I922),H922))</f>
        <v/>
      </c>
      <c r="Q922">
        <f>IF(P922="","",IFERROR(IF(AND(H922="W7",OR(F922="causal",F922="predictive")),IF(AND(OR(K922=1,K922="1"),OR(L922=1,L922="1"),OR(M922=1,M922="1")),"adequate","partial"),IF(AND(H922="W4",F922="predictive",OR(J922="P2",J922="P3",J922="P4")),IF(OR(U922=1,U922="1"),"adequate","partial"),INDEX(Fit_Matrix!$B:$B,MATCH(P922,Fit_Matrix!$A:$A,0)))),"CHECK KEY"))</f>
        <v/>
      </c>
      <c r="U922" s="10" t="n"/>
      <c r="V922" s="10" t="n"/>
      <c r="W922" s="10" t="n"/>
      <c r="X922" s="10" t="n"/>
      <c r="Y922" s="10" t="n"/>
      <c r="Z922" s="10" t="n"/>
      <c r="AA922" s="11">
        <f>IF(A922="","",IF(AND(J922="P4",F922="causal"),"P4-CAUSAL",""))</f>
        <v/>
      </c>
    </row>
    <row r="923" ht="15" customHeight="1" s="1">
      <c r="P923">
        <f>IF(OR(F923="",H923="",J923=""),"",J923&amp;"|"&amp;F923&amp;"|"&amp;IF(H923="W3","W3_"&amp;IF(I923="","unknown",I923),H923))</f>
        <v/>
      </c>
      <c r="Q923">
        <f>IF(P923="","",IFERROR(IF(AND(H923="W7",OR(F923="causal",F923="predictive")),IF(AND(OR(K923=1,K923="1"),OR(L923=1,L923="1"),OR(M923=1,M923="1")),"adequate","partial"),IF(AND(H923="W4",F923="predictive",OR(J923="P2",J923="P3",J923="P4")),IF(OR(U923=1,U923="1"),"adequate","partial"),INDEX(Fit_Matrix!$B:$B,MATCH(P923,Fit_Matrix!$A:$A,0)))),"CHECK KEY"))</f>
        <v/>
      </c>
      <c r="U923" s="10" t="n"/>
      <c r="V923" s="10" t="n"/>
      <c r="W923" s="10" t="n"/>
      <c r="X923" s="10" t="n"/>
      <c r="Y923" s="10" t="n"/>
      <c r="Z923" s="10" t="n"/>
      <c r="AA923" s="11">
        <f>IF(A923="","",IF(AND(J923="P4",F923="causal"),"P4-CAUSAL",""))</f>
        <v/>
      </c>
    </row>
    <row r="924" ht="15" customHeight="1" s="1">
      <c r="P924">
        <f>IF(OR(F924="",H924="",J924=""),"",J924&amp;"|"&amp;F924&amp;"|"&amp;IF(H924="W3","W3_"&amp;IF(I924="","unknown",I924),H924))</f>
        <v/>
      </c>
      <c r="Q924">
        <f>IF(P924="","",IFERROR(IF(AND(H924="W7",OR(F924="causal",F924="predictive")),IF(AND(OR(K924=1,K924="1"),OR(L924=1,L924="1"),OR(M924=1,M924="1")),"adequate","partial"),IF(AND(H924="W4",F924="predictive",OR(J924="P2",J924="P3",J924="P4")),IF(OR(U924=1,U924="1"),"adequate","partial"),INDEX(Fit_Matrix!$B:$B,MATCH(P924,Fit_Matrix!$A:$A,0)))),"CHECK KEY"))</f>
        <v/>
      </c>
      <c r="U924" s="10" t="n"/>
      <c r="V924" s="10" t="n"/>
      <c r="W924" s="10" t="n"/>
      <c r="X924" s="10" t="n"/>
      <c r="Y924" s="10" t="n"/>
      <c r="Z924" s="10" t="n"/>
      <c r="AA924" s="11">
        <f>IF(A924="","",IF(AND(J924="P4",F924="causal"),"P4-CAUSAL",""))</f>
        <v/>
      </c>
    </row>
    <row r="925" ht="15" customHeight="1" s="1">
      <c r="P925">
        <f>IF(OR(F925="",H925="",J925=""),"",J925&amp;"|"&amp;F925&amp;"|"&amp;IF(H925="W3","W3_"&amp;IF(I925="","unknown",I925),H925))</f>
        <v/>
      </c>
      <c r="Q925">
        <f>IF(P925="","",IFERROR(IF(AND(H925="W7",OR(F925="causal",F925="predictive")),IF(AND(OR(K925=1,K925="1"),OR(L925=1,L925="1"),OR(M925=1,M925="1")),"adequate","partial"),IF(AND(H925="W4",F925="predictive",OR(J925="P2",J925="P3",J925="P4")),IF(OR(U925=1,U925="1"),"adequate","partial"),INDEX(Fit_Matrix!$B:$B,MATCH(P925,Fit_Matrix!$A:$A,0)))),"CHECK KEY"))</f>
        <v/>
      </c>
      <c r="U925" s="10" t="n"/>
      <c r="V925" s="10" t="n"/>
      <c r="W925" s="10" t="n"/>
      <c r="X925" s="10" t="n"/>
      <c r="Y925" s="10" t="n"/>
      <c r="Z925" s="10" t="n"/>
      <c r="AA925" s="11">
        <f>IF(A925="","",IF(AND(J925="P4",F925="causal"),"P4-CAUSAL",""))</f>
        <v/>
      </c>
    </row>
    <row r="926" ht="15" customHeight="1" s="1">
      <c r="P926">
        <f>IF(OR(F926="",H926="",J926=""),"",J926&amp;"|"&amp;F926&amp;"|"&amp;IF(H926="W3","W3_"&amp;IF(I926="","unknown",I926),H926))</f>
        <v/>
      </c>
      <c r="Q926">
        <f>IF(P926="","",IFERROR(IF(AND(H926="W7",OR(F926="causal",F926="predictive")),IF(AND(OR(K926=1,K926="1"),OR(L926=1,L926="1"),OR(M926=1,M926="1")),"adequate","partial"),IF(AND(H926="W4",F926="predictive",OR(J926="P2",J926="P3",J926="P4")),IF(OR(U926=1,U926="1"),"adequate","partial"),INDEX(Fit_Matrix!$B:$B,MATCH(P926,Fit_Matrix!$A:$A,0)))),"CHECK KEY"))</f>
        <v/>
      </c>
      <c r="U926" s="10" t="n"/>
      <c r="V926" s="10" t="n"/>
      <c r="W926" s="10" t="n"/>
      <c r="X926" s="10" t="n"/>
      <c r="Y926" s="10" t="n"/>
      <c r="Z926" s="10" t="n"/>
      <c r="AA926" s="11">
        <f>IF(A926="","",IF(AND(J926="P4",F926="causal"),"P4-CAUSAL",""))</f>
        <v/>
      </c>
    </row>
    <row r="927" ht="15" customHeight="1" s="1">
      <c r="P927">
        <f>IF(OR(F927="",H927="",J927=""),"",J927&amp;"|"&amp;F927&amp;"|"&amp;IF(H927="W3","W3_"&amp;IF(I927="","unknown",I927),H927))</f>
        <v/>
      </c>
      <c r="Q927">
        <f>IF(P927="","",IFERROR(IF(AND(H927="W7",OR(F927="causal",F927="predictive")),IF(AND(OR(K927=1,K927="1"),OR(L927=1,L927="1"),OR(M927=1,M927="1")),"adequate","partial"),IF(AND(H927="W4",F927="predictive",OR(J927="P2",J927="P3",J927="P4")),IF(OR(U927=1,U927="1"),"adequate","partial"),INDEX(Fit_Matrix!$B:$B,MATCH(P927,Fit_Matrix!$A:$A,0)))),"CHECK KEY"))</f>
        <v/>
      </c>
      <c r="U927" s="10" t="n"/>
      <c r="V927" s="10" t="n"/>
      <c r="W927" s="10" t="n"/>
      <c r="X927" s="10" t="n"/>
      <c r="Y927" s="10" t="n"/>
      <c r="Z927" s="10" t="n"/>
      <c r="AA927" s="11">
        <f>IF(A927="","",IF(AND(J927="P4",F927="causal"),"P4-CAUSAL",""))</f>
        <v/>
      </c>
    </row>
    <row r="928" ht="15" customHeight="1" s="1">
      <c r="P928">
        <f>IF(OR(F928="",H928="",J928=""),"",J928&amp;"|"&amp;F928&amp;"|"&amp;IF(H928="W3","W3_"&amp;IF(I928="","unknown",I928),H928))</f>
        <v/>
      </c>
      <c r="Q928">
        <f>IF(P928="","",IFERROR(IF(AND(H928="W7",OR(F928="causal",F928="predictive")),IF(AND(OR(K928=1,K928="1"),OR(L928=1,L928="1"),OR(M928=1,M928="1")),"adequate","partial"),IF(AND(H928="W4",F928="predictive",OR(J928="P2",J928="P3",J928="P4")),IF(OR(U928=1,U928="1"),"adequate","partial"),INDEX(Fit_Matrix!$B:$B,MATCH(P928,Fit_Matrix!$A:$A,0)))),"CHECK KEY"))</f>
        <v/>
      </c>
      <c r="U928" s="10" t="n"/>
      <c r="V928" s="10" t="n"/>
      <c r="W928" s="10" t="n"/>
      <c r="X928" s="10" t="n"/>
      <c r="Y928" s="10" t="n"/>
      <c r="Z928" s="10" t="n"/>
      <c r="AA928" s="11">
        <f>IF(A928="","",IF(AND(J928="P4",F928="causal"),"P4-CAUSAL",""))</f>
        <v/>
      </c>
    </row>
    <row r="929" ht="15" customHeight="1" s="1">
      <c r="P929">
        <f>IF(OR(F929="",H929="",J929=""),"",J929&amp;"|"&amp;F929&amp;"|"&amp;IF(H929="W3","W3_"&amp;IF(I929="","unknown",I929),H929))</f>
        <v/>
      </c>
      <c r="Q929">
        <f>IF(P929="","",IFERROR(IF(AND(H929="W7",OR(F929="causal",F929="predictive")),IF(AND(OR(K929=1,K929="1"),OR(L929=1,L929="1"),OR(M929=1,M929="1")),"adequate","partial"),IF(AND(H929="W4",F929="predictive",OR(J929="P2",J929="P3",J929="P4")),IF(OR(U929=1,U929="1"),"adequate","partial"),INDEX(Fit_Matrix!$B:$B,MATCH(P929,Fit_Matrix!$A:$A,0)))),"CHECK KEY"))</f>
        <v/>
      </c>
      <c r="U929" s="10" t="n"/>
      <c r="V929" s="10" t="n"/>
      <c r="W929" s="10" t="n"/>
      <c r="X929" s="10" t="n"/>
      <c r="Y929" s="10" t="n"/>
      <c r="Z929" s="10" t="n"/>
      <c r="AA929" s="11">
        <f>IF(A929="","",IF(AND(J929="P4",F929="causal"),"P4-CAUSAL",""))</f>
        <v/>
      </c>
    </row>
    <row r="930" ht="15" customHeight="1" s="1">
      <c r="P930">
        <f>IF(OR(F930="",H930="",J930=""),"",J930&amp;"|"&amp;F930&amp;"|"&amp;IF(H930="W3","W3_"&amp;IF(I930="","unknown",I930),H930))</f>
        <v/>
      </c>
      <c r="Q930">
        <f>IF(P930="","",IFERROR(IF(AND(H930="W7",OR(F930="causal",F930="predictive")),IF(AND(OR(K930=1,K930="1"),OR(L930=1,L930="1"),OR(M930=1,M930="1")),"adequate","partial"),IF(AND(H930="W4",F930="predictive",OR(J930="P2",J930="P3",J930="P4")),IF(OR(U930=1,U930="1"),"adequate","partial"),INDEX(Fit_Matrix!$B:$B,MATCH(P930,Fit_Matrix!$A:$A,0)))),"CHECK KEY"))</f>
        <v/>
      </c>
      <c r="U930" s="10" t="n"/>
      <c r="V930" s="10" t="n"/>
      <c r="W930" s="10" t="n"/>
      <c r="X930" s="10" t="n"/>
      <c r="Y930" s="10" t="n"/>
      <c r="Z930" s="10" t="n"/>
      <c r="AA930" s="11">
        <f>IF(A930="","",IF(AND(J930="P4",F930="causal"),"P4-CAUSAL",""))</f>
        <v/>
      </c>
    </row>
    <row r="931" ht="15" customHeight="1" s="1">
      <c r="P931">
        <f>IF(OR(F931="",H931="",J931=""),"",J931&amp;"|"&amp;F931&amp;"|"&amp;IF(H931="W3","W3_"&amp;IF(I931="","unknown",I931),H931))</f>
        <v/>
      </c>
      <c r="Q931">
        <f>IF(P931="","",IFERROR(IF(AND(H931="W7",OR(F931="causal",F931="predictive")),IF(AND(OR(K931=1,K931="1"),OR(L931=1,L931="1"),OR(M931=1,M931="1")),"adequate","partial"),IF(AND(H931="W4",F931="predictive",OR(J931="P2",J931="P3",J931="P4")),IF(OR(U931=1,U931="1"),"adequate","partial"),INDEX(Fit_Matrix!$B:$B,MATCH(P931,Fit_Matrix!$A:$A,0)))),"CHECK KEY"))</f>
        <v/>
      </c>
      <c r="U931" s="10" t="n"/>
      <c r="V931" s="10" t="n"/>
      <c r="W931" s="10" t="n"/>
      <c r="X931" s="10" t="n"/>
      <c r="Y931" s="10" t="n"/>
      <c r="Z931" s="10" t="n"/>
      <c r="AA931" s="11">
        <f>IF(A931="","",IF(AND(J931="P4",F931="causal"),"P4-CAUSAL",""))</f>
        <v/>
      </c>
    </row>
    <row r="932" ht="15" customHeight="1" s="1">
      <c r="P932">
        <f>IF(OR(F932="",H932="",J932=""),"",J932&amp;"|"&amp;F932&amp;"|"&amp;IF(H932="W3","W3_"&amp;IF(I932="","unknown",I932),H932))</f>
        <v/>
      </c>
      <c r="Q932">
        <f>IF(P932="","",IFERROR(IF(AND(H932="W7",OR(F932="causal",F932="predictive")),IF(AND(OR(K932=1,K932="1"),OR(L932=1,L932="1"),OR(M932=1,M932="1")),"adequate","partial"),IF(AND(H932="W4",F932="predictive",OR(J932="P2",J932="P3",J932="P4")),IF(OR(U932=1,U932="1"),"adequate","partial"),INDEX(Fit_Matrix!$B:$B,MATCH(P932,Fit_Matrix!$A:$A,0)))),"CHECK KEY"))</f>
        <v/>
      </c>
      <c r="U932" s="10" t="n"/>
      <c r="V932" s="10" t="n"/>
      <c r="W932" s="10" t="n"/>
      <c r="X932" s="10" t="n"/>
      <c r="Y932" s="10" t="n"/>
      <c r="Z932" s="10" t="n"/>
      <c r="AA932" s="11">
        <f>IF(A932="","",IF(AND(J932="P4",F932="causal"),"P4-CAUSAL",""))</f>
        <v/>
      </c>
    </row>
    <row r="933" ht="15" customHeight="1" s="1">
      <c r="P933">
        <f>IF(OR(F933="",H933="",J933=""),"",J933&amp;"|"&amp;F933&amp;"|"&amp;IF(H933="W3","W3_"&amp;IF(I933="","unknown",I933),H933))</f>
        <v/>
      </c>
      <c r="Q933">
        <f>IF(P933="","",IFERROR(IF(AND(H933="W7",OR(F933="causal",F933="predictive")),IF(AND(OR(K933=1,K933="1"),OR(L933=1,L933="1"),OR(M933=1,M933="1")),"adequate","partial"),IF(AND(H933="W4",F933="predictive",OR(J933="P2",J933="P3",J933="P4")),IF(OR(U933=1,U933="1"),"adequate","partial"),INDEX(Fit_Matrix!$B:$B,MATCH(P933,Fit_Matrix!$A:$A,0)))),"CHECK KEY"))</f>
        <v/>
      </c>
      <c r="U933" s="10" t="n"/>
      <c r="V933" s="10" t="n"/>
      <c r="W933" s="10" t="n"/>
      <c r="X933" s="10" t="n"/>
      <c r="Y933" s="10" t="n"/>
      <c r="Z933" s="10" t="n"/>
      <c r="AA933" s="11">
        <f>IF(A933="","",IF(AND(J933="P4",F933="causal"),"P4-CAUSAL",""))</f>
        <v/>
      </c>
    </row>
    <row r="934" ht="15" customHeight="1" s="1">
      <c r="P934">
        <f>IF(OR(F934="",H934="",J934=""),"",J934&amp;"|"&amp;F934&amp;"|"&amp;IF(H934="W3","W3_"&amp;IF(I934="","unknown",I934),H934))</f>
        <v/>
      </c>
      <c r="Q934">
        <f>IF(P934="","",IFERROR(IF(AND(H934="W7",OR(F934="causal",F934="predictive")),IF(AND(OR(K934=1,K934="1"),OR(L934=1,L934="1"),OR(M934=1,M934="1")),"adequate","partial"),IF(AND(H934="W4",F934="predictive",OR(J934="P2",J934="P3",J934="P4")),IF(OR(U934=1,U934="1"),"adequate","partial"),INDEX(Fit_Matrix!$B:$B,MATCH(P934,Fit_Matrix!$A:$A,0)))),"CHECK KEY"))</f>
        <v/>
      </c>
      <c r="U934" s="10" t="n"/>
      <c r="V934" s="10" t="n"/>
      <c r="W934" s="10" t="n"/>
      <c r="X934" s="10" t="n"/>
      <c r="Y934" s="10" t="n"/>
      <c r="Z934" s="10" t="n"/>
      <c r="AA934" s="11">
        <f>IF(A934="","",IF(AND(J934="P4",F934="causal"),"P4-CAUSAL",""))</f>
        <v/>
      </c>
    </row>
    <row r="935" ht="15" customHeight="1" s="1">
      <c r="P935">
        <f>IF(OR(F935="",H935="",J935=""),"",J935&amp;"|"&amp;F935&amp;"|"&amp;IF(H935="W3","W3_"&amp;IF(I935="","unknown",I935),H935))</f>
        <v/>
      </c>
      <c r="Q935">
        <f>IF(P935="","",IFERROR(IF(AND(H935="W7",OR(F935="causal",F935="predictive")),IF(AND(OR(K935=1,K935="1"),OR(L935=1,L935="1"),OR(M935=1,M935="1")),"adequate","partial"),IF(AND(H935="W4",F935="predictive",OR(J935="P2",J935="P3",J935="P4")),IF(OR(U935=1,U935="1"),"adequate","partial"),INDEX(Fit_Matrix!$B:$B,MATCH(P935,Fit_Matrix!$A:$A,0)))),"CHECK KEY"))</f>
        <v/>
      </c>
      <c r="U935" s="10" t="n"/>
      <c r="V935" s="10" t="n"/>
      <c r="W935" s="10" t="n"/>
      <c r="X935" s="10" t="n"/>
      <c r="Y935" s="10" t="n"/>
      <c r="Z935" s="10" t="n"/>
      <c r="AA935" s="11">
        <f>IF(A935="","",IF(AND(J935="P4",F935="causal"),"P4-CAUSAL",""))</f>
        <v/>
      </c>
    </row>
    <row r="936" ht="15" customHeight="1" s="1">
      <c r="P936">
        <f>IF(OR(F936="",H936="",J936=""),"",J936&amp;"|"&amp;F936&amp;"|"&amp;IF(H936="W3","W3_"&amp;IF(I936="","unknown",I936),H936))</f>
        <v/>
      </c>
      <c r="Q936">
        <f>IF(P936="","",IFERROR(IF(AND(H936="W7",OR(F936="causal",F936="predictive")),IF(AND(OR(K936=1,K936="1"),OR(L936=1,L936="1"),OR(M936=1,M936="1")),"adequate","partial"),IF(AND(H936="W4",F936="predictive",OR(J936="P2",J936="P3",J936="P4")),IF(OR(U936=1,U936="1"),"adequate","partial"),INDEX(Fit_Matrix!$B:$B,MATCH(P936,Fit_Matrix!$A:$A,0)))),"CHECK KEY"))</f>
        <v/>
      </c>
      <c r="U936" s="10" t="n"/>
      <c r="V936" s="10" t="n"/>
      <c r="W936" s="10" t="n"/>
      <c r="X936" s="10" t="n"/>
      <c r="Y936" s="10" t="n"/>
      <c r="Z936" s="10" t="n"/>
      <c r="AA936" s="11">
        <f>IF(A936="","",IF(AND(J936="P4",F936="causal"),"P4-CAUSAL",""))</f>
        <v/>
      </c>
    </row>
    <row r="937" ht="15" customHeight="1" s="1">
      <c r="P937">
        <f>IF(OR(F937="",H937="",J937=""),"",J937&amp;"|"&amp;F937&amp;"|"&amp;IF(H937="W3","W3_"&amp;IF(I937="","unknown",I937),H937))</f>
        <v/>
      </c>
      <c r="Q937">
        <f>IF(P937="","",IFERROR(IF(AND(H937="W7",OR(F937="causal",F937="predictive")),IF(AND(OR(K937=1,K937="1"),OR(L937=1,L937="1"),OR(M937=1,M937="1")),"adequate","partial"),IF(AND(H937="W4",F937="predictive",OR(J937="P2",J937="P3",J937="P4")),IF(OR(U937=1,U937="1"),"adequate","partial"),INDEX(Fit_Matrix!$B:$B,MATCH(P937,Fit_Matrix!$A:$A,0)))),"CHECK KEY"))</f>
        <v/>
      </c>
      <c r="U937" s="10" t="n"/>
      <c r="V937" s="10" t="n"/>
      <c r="W937" s="10" t="n"/>
      <c r="X937" s="10" t="n"/>
      <c r="Y937" s="10" t="n"/>
      <c r="Z937" s="10" t="n"/>
      <c r="AA937" s="11">
        <f>IF(A937="","",IF(AND(J937="P4",F937="causal"),"P4-CAUSAL",""))</f>
        <v/>
      </c>
    </row>
    <row r="938" ht="15" customHeight="1" s="1">
      <c r="P938">
        <f>IF(OR(F938="",H938="",J938=""),"",J938&amp;"|"&amp;F938&amp;"|"&amp;IF(H938="W3","W3_"&amp;IF(I938="","unknown",I938),H938))</f>
        <v/>
      </c>
      <c r="Q938">
        <f>IF(P938="","",IFERROR(IF(AND(H938="W7",OR(F938="causal",F938="predictive")),IF(AND(OR(K938=1,K938="1"),OR(L938=1,L938="1"),OR(M938=1,M938="1")),"adequate","partial"),IF(AND(H938="W4",F938="predictive",OR(J938="P2",J938="P3",J938="P4")),IF(OR(U938=1,U938="1"),"adequate","partial"),INDEX(Fit_Matrix!$B:$B,MATCH(P938,Fit_Matrix!$A:$A,0)))),"CHECK KEY"))</f>
        <v/>
      </c>
      <c r="U938" s="10" t="n"/>
      <c r="V938" s="10" t="n"/>
      <c r="W938" s="10" t="n"/>
      <c r="X938" s="10" t="n"/>
      <c r="Y938" s="10" t="n"/>
      <c r="Z938" s="10" t="n"/>
      <c r="AA938" s="11">
        <f>IF(A938="","",IF(AND(J938="P4",F938="causal"),"P4-CAUSAL",""))</f>
        <v/>
      </c>
    </row>
    <row r="939" ht="15" customHeight="1" s="1">
      <c r="P939">
        <f>IF(OR(F939="",H939="",J939=""),"",J939&amp;"|"&amp;F939&amp;"|"&amp;IF(H939="W3","W3_"&amp;IF(I939="","unknown",I939),H939))</f>
        <v/>
      </c>
      <c r="Q939">
        <f>IF(P939="","",IFERROR(IF(AND(H939="W7",OR(F939="causal",F939="predictive")),IF(AND(OR(K939=1,K939="1"),OR(L939=1,L939="1"),OR(M939=1,M939="1")),"adequate","partial"),IF(AND(H939="W4",F939="predictive",OR(J939="P2",J939="P3",J939="P4")),IF(OR(U939=1,U939="1"),"adequate","partial"),INDEX(Fit_Matrix!$B:$B,MATCH(P939,Fit_Matrix!$A:$A,0)))),"CHECK KEY"))</f>
        <v/>
      </c>
      <c r="U939" s="10" t="n"/>
      <c r="V939" s="10" t="n"/>
      <c r="W939" s="10" t="n"/>
      <c r="X939" s="10" t="n"/>
      <c r="Y939" s="10" t="n"/>
      <c r="Z939" s="10" t="n"/>
      <c r="AA939" s="11">
        <f>IF(A939="","",IF(AND(J939="P4",F939="causal"),"P4-CAUSAL",""))</f>
        <v/>
      </c>
    </row>
    <row r="940" ht="15" customHeight="1" s="1">
      <c r="P940">
        <f>IF(OR(F940="",H940="",J940=""),"",J940&amp;"|"&amp;F940&amp;"|"&amp;IF(H940="W3","W3_"&amp;IF(I940="","unknown",I940),H940))</f>
        <v/>
      </c>
      <c r="Q940">
        <f>IF(P940="","",IFERROR(IF(AND(H940="W7",OR(F940="causal",F940="predictive")),IF(AND(OR(K940=1,K940="1"),OR(L940=1,L940="1"),OR(M940=1,M940="1")),"adequate","partial"),IF(AND(H940="W4",F940="predictive",OR(J940="P2",J940="P3",J940="P4")),IF(OR(U940=1,U940="1"),"adequate","partial"),INDEX(Fit_Matrix!$B:$B,MATCH(P940,Fit_Matrix!$A:$A,0)))),"CHECK KEY"))</f>
        <v/>
      </c>
      <c r="U940" s="10" t="n"/>
      <c r="V940" s="10" t="n"/>
      <c r="W940" s="10" t="n"/>
      <c r="X940" s="10" t="n"/>
      <c r="Y940" s="10" t="n"/>
      <c r="Z940" s="10" t="n"/>
      <c r="AA940" s="11">
        <f>IF(A940="","",IF(AND(J940="P4",F940="causal"),"P4-CAUSAL",""))</f>
        <v/>
      </c>
    </row>
    <row r="941" ht="15" customHeight="1" s="1">
      <c r="P941">
        <f>IF(OR(F941="",H941="",J941=""),"",J941&amp;"|"&amp;F941&amp;"|"&amp;IF(H941="W3","W3_"&amp;IF(I941="","unknown",I941),H941))</f>
        <v/>
      </c>
      <c r="Q941">
        <f>IF(P941="","",IFERROR(IF(AND(H941="W7",OR(F941="causal",F941="predictive")),IF(AND(OR(K941=1,K941="1"),OR(L941=1,L941="1"),OR(M941=1,M941="1")),"adequate","partial"),IF(AND(H941="W4",F941="predictive",OR(J941="P2",J941="P3",J941="P4")),IF(OR(U941=1,U941="1"),"adequate","partial"),INDEX(Fit_Matrix!$B:$B,MATCH(P941,Fit_Matrix!$A:$A,0)))),"CHECK KEY"))</f>
        <v/>
      </c>
      <c r="U941" s="10" t="n"/>
      <c r="V941" s="10" t="n"/>
      <c r="W941" s="10" t="n"/>
      <c r="X941" s="10" t="n"/>
      <c r="Y941" s="10" t="n"/>
      <c r="Z941" s="10" t="n"/>
      <c r="AA941" s="11">
        <f>IF(A941="","",IF(AND(J941="P4",F941="causal"),"P4-CAUSAL",""))</f>
        <v/>
      </c>
    </row>
    <row r="942" ht="15" customHeight="1" s="1">
      <c r="P942">
        <f>IF(OR(F942="",H942="",J942=""),"",J942&amp;"|"&amp;F942&amp;"|"&amp;IF(H942="W3","W3_"&amp;IF(I942="","unknown",I942),H942))</f>
        <v/>
      </c>
      <c r="Q942">
        <f>IF(P942="","",IFERROR(IF(AND(H942="W7",OR(F942="causal",F942="predictive")),IF(AND(OR(K942=1,K942="1"),OR(L942=1,L942="1"),OR(M942=1,M942="1")),"adequate","partial"),IF(AND(H942="W4",F942="predictive",OR(J942="P2",J942="P3",J942="P4")),IF(OR(U942=1,U942="1"),"adequate","partial"),INDEX(Fit_Matrix!$B:$B,MATCH(P942,Fit_Matrix!$A:$A,0)))),"CHECK KEY"))</f>
        <v/>
      </c>
      <c r="U942" s="10" t="n"/>
      <c r="V942" s="10" t="n"/>
      <c r="W942" s="10" t="n"/>
      <c r="X942" s="10" t="n"/>
      <c r="Y942" s="10" t="n"/>
      <c r="Z942" s="10" t="n"/>
      <c r="AA942" s="11">
        <f>IF(A942="","",IF(AND(J942="P4",F942="causal"),"P4-CAUSAL",""))</f>
        <v/>
      </c>
    </row>
    <row r="943" ht="15" customHeight="1" s="1">
      <c r="P943">
        <f>IF(OR(F943="",H943="",J943=""),"",J943&amp;"|"&amp;F943&amp;"|"&amp;IF(H943="W3","W3_"&amp;IF(I943="","unknown",I943),H943))</f>
        <v/>
      </c>
      <c r="Q943">
        <f>IF(P943="","",IFERROR(IF(AND(H943="W7",OR(F943="causal",F943="predictive")),IF(AND(OR(K943=1,K943="1"),OR(L943=1,L943="1"),OR(M943=1,M943="1")),"adequate","partial"),IF(AND(H943="W4",F943="predictive",OR(J943="P2",J943="P3",J943="P4")),IF(OR(U943=1,U943="1"),"adequate","partial"),INDEX(Fit_Matrix!$B:$B,MATCH(P943,Fit_Matrix!$A:$A,0)))),"CHECK KEY"))</f>
        <v/>
      </c>
      <c r="U943" s="10" t="n"/>
      <c r="V943" s="10" t="n"/>
      <c r="W943" s="10" t="n"/>
      <c r="X943" s="10" t="n"/>
      <c r="Y943" s="10" t="n"/>
      <c r="Z943" s="10" t="n"/>
      <c r="AA943" s="11">
        <f>IF(A943="","",IF(AND(J943="P4",F943="causal"),"P4-CAUSAL",""))</f>
        <v/>
      </c>
    </row>
    <row r="944" ht="15" customHeight="1" s="1">
      <c r="P944">
        <f>IF(OR(F944="",H944="",J944=""),"",J944&amp;"|"&amp;F944&amp;"|"&amp;IF(H944="W3","W3_"&amp;IF(I944="","unknown",I944),H944))</f>
        <v/>
      </c>
      <c r="Q944">
        <f>IF(P944="","",IFERROR(IF(AND(H944="W7",OR(F944="causal",F944="predictive")),IF(AND(OR(K944=1,K944="1"),OR(L944=1,L944="1"),OR(M944=1,M944="1")),"adequate","partial"),IF(AND(H944="W4",F944="predictive",OR(J944="P2",J944="P3",J944="P4")),IF(OR(U944=1,U944="1"),"adequate","partial"),INDEX(Fit_Matrix!$B:$B,MATCH(P944,Fit_Matrix!$A:$A,0)))),"CHECK KEY"))</f>
        <v/>
      </c>
      <c r="U944" s="10" t="n"/>
      <c r="V944" s="10" t="n"/>
      <c r="W944" s="10" t="n"/>
      <c r="X944" s="10" t="n"/>
      <c r="Y944" s="10" t="n"/>
      <c r="Z944" s="10" t="n"/>
      <c r="AA944" s="11">
        <f>IF(A944="","",IF(AND(J944="P4",F944="causal"),"P4-CAUSAL",""))</f>
        <v/>
      </c>
    </row>
    <row r="945" ht="15" customHeight="1" s="1">
      <c r="P945">
        <f>IF(OR(F945="",H945="",J945=""),"",J945&amp;"|"&amp;F945&amp;"|"&amp;IF(H945="W3","W3_"&amp;IF(I945="","unknown",I945),H945))</f>
        <v/>
      </c>
      <c r="Q945">
        <f>IF(P945="","",IFERROR(IF(AND(H945="W7",OR(F945="causal",F945="predictive")),IF(AND(OR(K945=1,K945="1"),OR(L945=1,L945="1"),OR(M945=1,M945="1")),"adequate","partial"),IF(AND(H945="W4",F945="predictive",OR(J945="P2",J945="P3",J945="P4")),IF(OR(U945=1,U945="1"),"adequate","partial"),INDEX(Fit_Matrix!$B:$B,MATCH(P945,Fit_Matrix!$A:$A,0)))),"CHECK KEY"))</f>
        <v/>
      </c>
      <c r="U945" s="10" t="n"/>
      <c r="V945" s="10" t="n"/>
      <c r="W945" s="10" t="n"/>
      <c r="X945" s="10" t="n"/>
      <c r="Y945" s="10" t="n"/>
      <c r="Z945" s="10" t="n"/>
      <c r="AA945" s="11">
        <f>IF(A945="","",IF(AND(J945="P4",F945="causal"),"P4-CAUSAL",""))</f>
        <v/>
      </c>
    </row>
    <row r="946" ht="15" customHeight="1" s="1">
      <c r="P946">
        <f>IF(OR(F946="",H946="",J946=""),"",J946&amp;"|"&amp;F946&amp;"|"&amp;IF(H946="W3","W3_"&amp;IF(I946="","unknown",I946),H946))</f>
        <v/>
      </c>
      <c r="Q946">
        <f>IF(P946="","",IFERROR(IF(AND(H946="W7",OR(F946="causal",F946="predictive")),IF(AND(OR(K946=1,K946="1"),OR(L946=1,L946="1"),OR(M946=1,M946="1")),"adequate","partial"),IF(AND(H946="W4",F946="predictive",OR(J946="P2",J946="P3",J946="P4")),IF(OR(U946=1,U946="1"),"adequate","partial"),INDEX(Fit_Matrix!$B:$B,MATCH(P946,Fit_Matrix!$A:$A,0)))),"CHECK KEY"))</f>
        <v/>
      </c>
      <c r="U946" s="10" t="n"/>
      <c r="V946" s="10" t="n"/>
      <c r="W946" s="10" t="n"/>
      <c r="X946" s="10" t="n"/>
      <c r="Y946" s="10" t="n"/>
      <c r="Z946" s="10" t="n"/>
      <c r="AA946" s="11">
        <f>IF(A946="","",IF(AND(J946="P4",F946="causal"),"P4-CAUSAL",""))</f>
        <v/>
      </c>
    </row>
    <row r="947" ht="15" customHeight="1" s="1">
      <c r="P947">
        <f>IF(OR(F947="",H947="",J947=""),"",J947&amp;"|"&amp;F947&amp;"|"&amp;IF(H947="W3","W3_"&amp;IF(I947="","unknown",I947),H947))</f>
        <v/>
      </c>
      <c r="Q947">
        <f>IF(P947="","",IFERROR(IF(AND(H947="W7",OR(F947="causal",F947="predictive")),IF(AND(OR(K947=1,K947="1"),OR(L947=1,L947="1"),OR(M947=1,M947="1")),"adequate","partial"),IF(AND(H947="W4",F947="predictive",OR(J947="P2",J947="P3",J947="P4")),IF(OR(U947=1,U947="1"),"adequate","partial"),INDEX(Fit_Matrix!$B:$B,MATCH(P947,Fit_Matrix!$A:$A,0)))),"CHECK KEY"))</f>
        <v/>
      </c>
      <c r="U947" s="10" t="n"/>
      <c r="V947" s="10" t="n"/>
      <c r="W947" s="10" t="n"/>
      <c r="X947" s="10" t="n"/>
      <c r="Y947" s="10" t="n"/>
      <c r="Z947" s="10" t="n"/>
      <c r="AA947" s="11">
        <f>IF(A947="","",IF(AND(J947="P4",F947="causal"),"P4-CAUSAL",""))</f>
        <v/>
      </c>
    </row>
    <row r="948" ht="15" customHeight="1" s="1">
      <c r="P948">
        <f>IF(OR(F948="",H948="",J948=""),"",J948&amp;"|"&amp;F948&amp;"|"&amp;IF(H948="W3","W3_"&amp;IF(I948="","unknown",I948),H948))</f>
        <v/>
      </c>
      <c r="Q948">
        <f>IF(P948="","",IFERROR(IF(AND(H948="W7",OR(F948="causal",F948="predictive")),IF(AND(OR(K948=1,K948="1"),OR(L948=1,L948="1"),OR(M948=1,M948="1")),"adequate","partial"),IF(AND(H948="W4",F948="predictive",OR(J948="P2",J948="P3",J948="P4")),IF(OR(U948=1,U948="1"),"adequate","partial"),INDEX(Fit_Matrix!$B:$B,MATCH(P948,Fit_Matrix!$A:$A,0)))),"CHECK KEY"))</f>
        <v/>
      </c>
      <c r="U948" s="10" t="n"/>
      <c r="V948" s="10" t="n"/>
      <c r="W948" s="10" t="n"/>
      <c r="X948" s="10" t="n"/>
      <c r="Y948" s="10" t="n"/>
      <c r="Z948" s="10" t="n"/>
      <c r="AA948" s="11">
        <f>IF(A948="","",IF(AND(J948="P4",F948="causal"),"P4-CAUSAL",""))</f>
        <v/>
      </c>
    </row>
    <row r="949" ht="15" customHeight="1" s="1">
      <c r="P949">
        <f>IF(OR(F949="",H949="",J949=""),"",J949&amp;"|"&amp;F949&amp;"|"&amp;IF(H949="W3","W3_"&amp;IF(I949="","unknown",I949),H949))</f>
        <v/>
      </c>
      <c r="Q949">
        <f>IF(P949="","",IFERROR(IF(AND(H949="W7",OR(F949="causal",F949="predictive")),IF(AND(OR(K949=1,K949="1"),OR(L949=1,L949="1"),OR(M949=1,M949="1")),"adequate","partial"),IF(AND(H949="W4",F949="predictive",OR(J949="P2",J949="P3",J949="P4")),IF(OR(U949=1,U949="1"),"adequate","partial"),INDEX(Fit_Matrix!$B:$B,MATCH(P949,Fit_Matrix!$A:$A,0)))),"CHECK KEY"))</f>
        <v/>
      </c>
      <c r="U949" s="10" t="n"/>
      <c r="V949" s="10" t="n"/>
      <c r="W949" s="10" t="n"/>
      <c r="X949" s="10" t="n"/>
      <c r="Y949" s="10" t="n"/>
      <c r="Z949" s="10" t="n"/>
      <c r="AA949" s="11">
        <f>IF(A949="","",IF(AND(J949="P4",F949="causal"),"P4-CAUSAL",""))</f>
        <v/>
      </c>
    </row>
    <row r="950" ht="15" customHeight="1" s="1">
      <c r="P950">
        <f>IF(OR(F950="",H950="",J950=""),"",J950&amp;"|"&amp;F950&amp;"|"&amp;IF(H950="W3","W3_"&amp;IF(I950="","unknown",I950),H950))</f>
        <v/>
      </c>
      <c r="Q950">
        <f>IF(P950="","",IFERROR(IF(AND(H950="W7",OR(F950="causal",F950="predictive")),IF(AND(OR(K950=1,K950="1"),OR(L950=1,L950="1"),OR(M950=1,M950="1")),"adequate","partial"),IF(AND(H950="W4",F950="predictive",OR(J950="P2",J950="P3",J950="P4")),IF(OR(U950=1,U950="1"),"adequate","partial"),INDEX(Fit_Matrix!$B:$B,MATCH(P950,Fit_Matrix!$A:$A,0)))),"CHECK KEY"))</f>
        <v/>
      </c>
      <c r="U950" s="10" t="n"/>
      <c r="V950" s="10" t="n"/>
      <c r="W950" s="10" t="n"/>
      <c r="X950" s="10" t="n"/>
      <c r="Y950" s="10" t="n"/>
      <c r="Z950" s="10" t="n"/>
      <c r="AA950" s="11">
        <f>IF(A950="","",IF(AND(J950="P4",F950="causal"),"P4-CAUSAL",""))</f>
        <v/>
      </c>
    </row>
    <row r="951" ht="15" customHeight="1" s="1">
      <c r="P951">
        <f>IF(OR(F951="",H951="",J951=""),"",J951&amp;"|"&amp;F951&amp;"|"&amp;IF(H951="W3","W3_"&amp;IF(I951="","unknown",I951),H951))</f>
        <v/>
      </c>
      <c r="Q951">
        <f>IF(P951="","",IFERROR(IF(AND(H951="W7",OR(F951="causal",F951="predictive")),IF(AND(OR(K951=1,K951="1"),OR(L951=1,L951="1"),OR(M951=1,M951="1")),"adequate","partial"),IF(AND(H951="W4",F951="predictive",OR(J951="P2",J951="P3",J951="P4")),IF(OR(U951=1,U951="1"),"adequate","partial"),INDEX(Fit_Matrix!$B:$B,MATCH(P951,Fit_Matrix!$A:$A,0)))),"CHECK KEY"))</f>
        <v/>
      </c>
      <c r="U951" s="10" t="n"/>
      <c r="V951" s="10" t="n"/>
      <c r="W951" s="10" t="n"/>
      <c r="X951" s="10" t="n"/>
      <c r="Y951" s="10" t="n"/>
      <c r="Z951" s="10" t="n"/>
      <c r="AA951" s="11">
        <f>IF(A951="","",IF(AND(J951="P4",F951="causal"),"P4-CAUSAL",""))</f>
        <v/>
      </c>
    </row>
    <row r="952" ht="15" customHeight="1" s="1">
      <c r="P952">
        <f>IF(OR(F952="",H952="",J952=""),"",J952&amp;"|"&amp;F952&amp;"|"&amp;IF(H952="W3","W3_"&amp;IF(I952="","unknown",I952),H952))</f>
        <v/>
      </c>
      <c r="Q952">
        <f>IF(P952="","",IFERROR(IF(AND(H952="W7",OR(F952="causal",F952="predictive")),IF(AND(OR(K952=1,K952="1"),OR(L952=1,L952="1"),OR(M952=1,M952="1")),"adequate","partial"),IF(AND(H952="W4",F952="predictive",OR(J952="P2",J952="P3",J952="P4")),IF(OR(U952=1,U952="1"),"adequate","partial"),INDEX(Fit_Matrix!$B:$B,MATCH(P952,Fit_Matrix!$A:$A,0)))),"CHECK KEY"))</f>
        <v/>
      </c>
      <c r="U952" s="10" t="n"/>
      <c r="V952" s="10" t="n"/>
      <c r="W952" s="10" t="n"/>
      <c r="X952" s="10" t="n"/>
      <c r="Y952" s="10" t="n"/>
      <c r="Z952" s="10" t="n"/>
      <c r="AA952" s="11">
        <f>IF(A952="","",IF(AND(J952="P4",F952="causal"),"P4-CAUSAL",""))</f>
        <v/>
      </c>
    </row>
    <row r="953" ht="15" customHeight="1" s="1">
      <c r="P953">
        <f>IF(OR(F953="",H953="",J953=""),"",J953&amp;"|"&amp;F953&amp;"|"&amp;IF(H953="W3","W3_"&amp;IF(I953="","unknown",I953),H953))</f>
        <v/>
      </c>
      <c r="Q953">
        <f>IF(P953="","",IFERROR(IF(AND(H953="W7",OR(F953="causal",F953="predictive")),IF(AND(OR(K953=1,K953="1"),OR(L953=1,L953="1"),OR(M953=1,M953="1")),"adequate","partial"),IF(AND(H953="W4",F953="predictive",OR(J953="P2",J953="P3",J953="P4")),IF(OR(U953=1,U953="1"),"adequate","partial"),INDEX(Fit_Matrix!$B:$B,MATCH(P953,Fit_Matrix!$A:$A,0)))),"CHECK KEY"))</f>
        <v/>
      </c>
      <c r="U953" s="10" t="n"/>
      <c r="V953" s="10" t="n"/>
      <c r="W953" s="10" t="n"/>
      <c r="X953" s="10" t="n"/>
      <c r="Y953" s="10" t="n"/>
      <c r="Z953" s="10" t="n"/>
      <c r="AA953" s="11">
        <f>IF(A953="","",IF(AND(J953="P4",F953="causal"),"P4-CAUSAL",""))</f>
        <v/>
      </c>
    </row>
    <row r="954" ht="15" customHeight="1" s="1">
      <c r="P954">
        <f>IF(OR(F954="",H954="",J954=""),"",J954&amp;"|"&amp;F954&amp;"|"&amp;IF(H954="W3","W3_"&amp;IF(I954="","unknown",I954),H954))</f>
        <v/>
      </c>
      <c r="Q954">
        <f>IF(P954="","",IFERROR(IF(AND(H954="W7",OR(F954="causal",F954="predictive")),IF(AND(OR(K954=1,K954="1"),OR(L954=1,L954="1"),OR(M954=1,M954="1")),"adequate","partial"),IF(AND(H954="W4",F954="predictive",OR(J954="P2",J954="P3",J954="P4")),IF(OR(U954=1,U954="1"),"adequate","partial"),INDEX(Fit_Matrix!$B:$B,MATCH(P954,Fit_Matrix!$A:$A,0)))),"CHECK KEY"))</f>
        <v/>
      </c>
      <c r="U954" s="10" t="n"/>
      <c r="V954" s="10" t="n"/>
      <c r="W954" s="10" t="n"/>
      <c r="X954" s="10" t="n"/>
      <c r="Y954" s="10" t="n"/>
      <c r="Z954" s="10" t="n"/>
      <c r="AA954" s="11">
        <f>IF(A954="","",IF(AND(J954="P4",F954="causal"),"P4-CAUSAL",""))</f>
        <v/>
      </c>
    </row>
    <row r="955" ht="15" customHeight="1" s="1">
      <c r="P955">
        <f>IF(OR(F955="",H955="",J955=""),"",J955&amp;"|"&amp;F955&amp;"|"&amp;IF(H955="W3","W3_"&amp;IF(I955="","unknown",I955),H955))</f>
        <v/>
      </c>
      <c r="Q955">
        <f>IF(P955="","",IFERROR(IF(AND(H955="W7",OR(F955="causal",F955="predictive")),IF(AND(OR(K955=1,K955="1"),OR(L955=1,L955="1"),OR(M955=1,M955="1")),"adequate","partial"),IF(AND(H955="W4",F955="predictive",OR(J955="P2",J955="P3",J955="P4")),IF(OR(U955=1,U955="1"),"adequate","partial"),INDEX(Fit_Matrix!$B:$B,MATCH(P955,Fit_Matrix!$A:$A,0)))),"CHECK KEY"))</f>
        <v/>
      </c>
      <c r="U955" s="10" t="n"/>
      <c r="V955" s="10" t="n"/>
      <c r="W955" s="10" t="n"/>
      <c r="X955" s="10" t="n"/>
      <c r="Y955" s="10" t="n"/>
      <c r="Z955" s="10" t="n"/>
      <c r="AA955" s="11">
        <f>IF(A955="","",IF(AND(J955="P4",F955="causal"),"P4-CAUSAL",""))</f>
        <v/>
      </c>
    </row>
    <row r="956" ht="15" customHeight="1" s="1">
      <c r="P956">
        <f>IF(OR(F956="",H956="",J956=""),"",J956&amp;"|"&amp;F956&amp;"|"&amp;IF(H956="W3","W3_"&amp;IF(I956="","unknown",I956),H956))</f>
        <v/>
      </c>
      <c r="Q956">
        <f>IF(P956="","",IFERROR(IF(AND(H956="W7",OR(F956="causal",F956="predictive")),IF(AND(OR(K956=1,K956="1"),OR(L956=1,L956="1"),OR(M956=1,M956="1")),"adequate","partial"),IF(AND(H956="W4",F956="predictive",OR(J956="P2",J956="P3",J956="P4")),IF(OR(U956=1,U956="1"),"adequate","partial"),INDEX(Fit_Matrix!$B:$B,MATCH(P956,Fit_Matrix!$A:$A,0)))),"CHECK KEY"))</f>
        <v/>
      </c>
      <c r="U956" s="10" t="n"/>
      <c r="V956" s="10" t="n"/>
      <c r="W956" s="10" t="n"/>
      <c r="X956" s="10" t="n"/>
      <c r="Y956" s="10" t="n"/>
      <c r="Z956" s="10" t="n"/>
      <c r="AA956" s="11">
        <f>IF(A956="","",IF(AND(J956="P4",F956="causal"),"P4-CAUSAL",""))</f>
        <v/>
      </c>
    </row>
    <row r="957" ht="15" customHeight="1" s="1">
      <c r="P957">
        <f>IF(OR(F957="",H957="",J957=""),"",J957&amp;"|"&amp;F957&amp;"|"&amp;IF(H957="W3","W3_"&amp;IF(I957="","unknown",I957),H957))</f>
        <v/>
      </c>
      <c r="Q957">
        <f>IF(P957="","",IFERROR(IF(AND(H957="W7",OR(F957="causal",F957="predictive")),IF(AND(OR(K957=1,K957="1"),OR(L957=1,L957="1"),OR(M957=1,M957="1")),"adequate","partial"),IF(AND(H957="W4",F957="predictive",OR(J957="P2",J957="P3",J957="P4")),IF(OR(U957=1,U957="1"),"adequate","partial"),INDEX(Fit_Matrix!$B:$B,MATCH(P957,Fit_Matrix!$A:$A,0)))),"CHECK KEY"))</f>
        <v/>
      </c>
      <c r="U957" s="10" t="n"/>
      <c r="V957" s="10" t="n"/>
      <c r="W957" s="10" t="n"/>
      <c r="X957" s="10" t="n"/>
      <c r="Y957" s="10" t="n"/>
      <c r="Z957" s="10" t="n"/>
      <c r="AA957" s="11">
        <f>IF(A957="","",IF(AND(J957="P4",F957="causal"),"P4-CAUSAL",""))</f>
        <v/>
      </c>
    </row>
    <row r="958" ht="15" customHeight="1" s="1">
      <c r="P958">
        <f>IF(OR(F958="",H958="",J958=""),"",J958&amp;"|"&amp;F958&amp;"|"&amp;IF(H958="W3","W3_"&amp;IF(I958="","unknown",I958),H958))</f>
        <v/>
      </c>
      <c r="Q958">
        <f>IF(P958="","",IFERROR(IF(AND(H958="W7",OR(F958="causal",F958="predictive")),IF(AND(OR(K958=1,K958="1"),OR(L958=1,L958="1"),OR(M958=1,M958="1")),"adequate","partial"),IF(AND(H958="W4",F958="predictive",OR(J958="P2",J958="P3",J958="P4")),IF(OR(U958=1,U958="1"),"adequate","partial"),INDEX(Fit_Matrix!$B:$B,MATCH(P958,Fit_Matrix!$A:$A,0)))),"CHECK KEY"))</f>
        <v/>
      </c>
      <c r="U958" s="10" t="n"/>
      <c r="V958" s="10" t="n"/>
      <c r="W958" s="10" t="n"/>
      <c r="X958" s="10" t="n"/>
      <c r="Y958" s="10" t="n"/>
      <c r="Z958" s="10" t="n"/>
      <c r="AA958" s="11">
        <f>IF(A958="","",IF(AND(J958="P4",F958="causal"),"P4-CAUSAL",""))</f>
        <v/>
      </c>
    </row>
    <row r="959" ht="15" customHeight="1" s="1">
      <c r="P959">
        <f>IF(OR(F959="",H959="",J959=""),"",J959&amp;"|"&amp;F959&amp;"|"&amp;IF(H959="W3","W3_"&amp;IF(I959="","unknown",I959),H959))</f>
        <v/>
      </c>
      <c r="Q959">
        <f>IF(P959="","",IFERROR(IF(AND(H959="W7",OR(F959="causal",F959="predictive")),IF(AND(OR(K959=1,K959="1"),OR(L959=1,L959="1"),OR(M959=1,M959="1")),"adequate","partial"),IF(AND(H959="W4",F959="predictive",OR(J959="P2",J959="P3",J959="P4")),IF(OR(U959=1,U959="1"),"adequate","partial"),INDEX(Fit_Matrix!$B:$B,MATCH(P959,Fit_Matrix!$A:$A,0)))),"CHECK KEY"))</f>
        <v/>
      </c>
      <c r="U959" s="10" t="n"/>
      <c r="V959" s="10" t="n"/>
      <c r="W959" s="10" t="n"/>
      <c r="X959" s="10" t="n"/>
      <c r="Y959" s="10" t="n"/>
      <c r="Z959" s="10" t="n"/>
      <c r="AA959" s="11">
        <f>IF(A959="","",IF(AND(J959="P4",F959="causal"),"P4-CAUSAL",""))</f>
        <v/>
      </c>
    </row>
    <row r="960" ht="15" customHeight="1" s="1">
      <c r="P960">
        <f>IF(OR(F960="",H960="",J960=""),"",J960&amp;"|"&amp;F960&amp;"|"&amp;IF(H960="W3","W3_"&amp;IF(I960="","unknown",I960),H960))</f>
        <v/>
      </c>
      <c r="Q960">
        <f>IF(P960="","",IFERROR(IF(AND(H960="W7",OR(F960="causal",F960="predictive")),IF(AND(OR(K960=1,K960="1"),OR(L960=1,L960="1"),OR(M960=1,M960="1")),"adequate","partial"),IF(AND(H960="W4",F960="predictive",OR(J960="P2",J960="P3",J960="P4")),IF(OR(U960=1,U960="1"),"adequate","partial"),INDEX(Fit_Matrix!$B:$B,MATCH(P960,Fit_Matrix!$A:$A,0)))),"CHECK KEY"))</f>
        <v/>
      </c>
      <c r="U960" s="10" t="n"/>
      <c r="V960" s="10" t="n"/>
      <c r="W960" s="10" t="n"/>
      <c r="X960" s="10" t="n"/>
      <c r="Y960" s="10" t="n"/>
      <c r="Z960" s="10" t="n"/>
      <c r="AA960" s="11">
        <f>IF(A960="","",IF(AND(J960="P4",F960="causal"),"P4-CAUSAL",""))</f>
        <v/>
      </c>
    </row>
    <row r="961" ht="15" customHeight="1" s="1">
      <c r="P961">
        <f>IF(OR(F961="",H961="",J961=""),"",J961&amp;"|"&amp;F961&amp;"|"&amp;IF(H961="W3","W3_"&amp;IF(I961="","unknown",I961),H961))</f>
        <v/>
      </c>
      <c r="Q961">
        <f>IF(P961="","",IFERROR(IF(AND(H961="W7",OR(F961="causal",F961="predictive")),IF(AND(OR(K961=1,K961="1"),OR(L961=1,L961="1"),OR(M961=1,M961="1")),"adequate","partial"),IF(AND(H961="W4",F961="predictive",OR(J961="P2",J961="P3",J961="P4")),IF(OR(U961=1,U961="1"),"adequate","partial"),INDEX(Fit_Matrix!$B:$B,MATCH(P961,Fit_Matrix!$A:$A,0)))),"CHECK KEY"))</f>
        <v/>
      </c>
      <c r="U961" s="10" t="n"/>
      <c r="V961" s="10" t="n"/>
      <c r="W961" s="10" t="n"/>
      <c r="X961" s="10" t="n"/>
      <c r="Y961" s="10" t="n"/>
      <c r="Z961" s="10" t="n"/>
      <c r="AA961" s="11">
        <f>IF(A961="","",IF(AND(J961="P4",F961="causal"),"P4-CAUSAL",""))</f>
        <v/>
      </c>
    </row>
    <row r="962" ht="15" customHeight="1" s="1">
      <c r="P962">
        <f>IF(OR(F962="",H962="",J962=""),"",J962&amp;"|"&amp;F962&amp;"|"&amp;IF(H962="W3","W3_"&amp;IF(I962="","unknown",I962),H962))</f>
        <v/>
      </c>
      <c r="Q962">
        <f>IF(P962="","",IFERROR(IF(AND(H962="W7",OR(F962="causal",F962="predictive")),IF(AND(OR(K962=1,K962="1"),OR(L962=1,L962="1"),OR(M962=1,M962="1")),"adequate","partial"),IF(AND(H962="W4",F962="predictive",OR(J962="P2",J962="P3",J962="P4")),IF(OR(U962=1,U962="1"),"adequate","partial"),INDEX(Fit_Matrix!$B:$B,MATCH(P962,Fit_Matrix!$A:$A,0)))),"CHECK KEY"))</f>
        <v/>
      </c>
      <c r="U962" s="10" t="n"/>
      <c r="V962" s="10" t="n"/>
      <c r="W962" s="10" t="n"/>
      <c r="X962" s="10" t="n"/>
      <c r="Y962" s="10" t="n"/>
      <c r="Z962" s="10" t="n"/>
      <c r="AA962" s="11">
        <f>IF(A962="","",IF(AND(J962="P4",F962="causal"),"P4-CAUSAL",""))</f>
        <v/>
      </c>
    </row>
    <row r="963" ht="15" customHeight="1" s="1">
      <c r="P963">
        <f>IF(OR(F963="",H963="",J963=""),"",J963&amp;"|"&amp;F963&amp;"|"&amp;IF(H963="W3","W3_"&amp;IF(I963="","unknown",I963),H963))</f>
        <v/>
      </c>
      <c r="Q963">
        <f>IF(P963="","",IFERROR(IF(AND(H963="W7",OR(F963="causal",F963="predictive")),IF(AND(OR(K963=1,K963="1"),OR(L963=1,L963="1"),OR(M963=1,M963="1")),"adequate","partial"),IF(AND(H963="W4",F963="predictive",OR(J963="P2",J963="P3",J963="P4")),IF(OR(U963=1,U963="1"),"adequate","partial"),INDEX(Fit_Matrix!$B:$B,MATCH(P963,Fit_Matrix!$A:$A,0)))),"CHECK KEY"))</f>
        <v/>
      </c>
      <c r="U963" s="10" t="n"/>
      <c r="V963" s="10" t="n"/>
      <c r="W963" s="10" t="n"/>
      <c r="X963" s="10" t="n"/>
      <c r="Y963" s="10" t="n"/>
      <c r="Z963" s="10" t="n"/>
      <c r="AA963" s="11">
        <f>IF(A963="","",IF(AND(J963="P4",F963="causal"),"P4-CAUSAL",""))</f>
        <v/>
      </c>
    </row>
    <row r="964" ht="15" customHeight="1" s="1">
      <c r="P964">
        <f>IF(OR(F964="",H964="",J964=""),"",J964&amp;"|"&amp;F964&amp;"|"&amp;IF(H964="W3","W3_"&amp;IF(I964="","unknown",I964),H964))</f>
        <v/>
      </c>
      <c r="Q964">
        <f>IF(P964="","",IFERROR(IF(AND(H964="W7",OR(F964="causal",F964="predictive")),IF(AND(OR(K964=1,K964="1"),OR(L964=1,L964="1"),OR(M964=1,M964="1")),"adequate","partial"),IF(AND(H964="W4",F964="predictive",OR(J964="P2",J964="P3",J964="P4")),IF(OR(U964=1,U964="1"),"adequate","partial"),INDEX(Fit_Matrix!$B:$B,MATCH(P964,Fit_Matrix!$A:$A,0)))),"CHECK KEY"))</f>
        <v/>
      </c>
      <c r="U964" s="10" t="n"/>
      <c r="V964" s="10" t="n"/>
      <c r="W964" s="10" t="n"/>
      <c r="X964" s="10" t="n"/>
      <c r="Y964" s="10" t="n"/>
      <c r="Z964" s="10" t="n"/>
      <c r="AA964" s="11">
        <f>IF(A964="","",IF(AND(J964="P4",F964="causal"),"P4-CAUSAL",""))</f>
        <v/>
      </c>
    </row>
    <row r="965" ht="15" customHeight="1" s="1">
      <c r="P965">
        <f>IF(OR(F965="",H965="",J965=""),"",J965&amp;"|"&amp;F965&amp;"|"&amp;IF(H965="W3","W3_"&amp;IF(I965="","unknown",I965),H965))</f>
        <v/>
      </c>
      <c r="Q965">
        <f>IF(P965="","",IFERROR(IF(AND(H965="W7",OR(F965="causal",F965="predictive")),IF(AND(OR(K965=1,K965="1"),OR(L965=1,L965="1"),OR(M965=1,M965="1")),"adequate","partial"),IF(AND(H965="W4",F965="predictive",OR(J965="P2",J965="P3",J965="P4")),IF(OR(U965=1,U965="1"),"adequate","partial"),INDEX(Fit_Matrix!$B:$B,MATCH(P965,Fit_Matrix!$A:$A,0)))),"CHECK KEY"))</f>
        <v/>
      </c>
      <c r="U965" s="10" t="n"/>
      <c r="V965" s="10" t="n"/>
      <c r="W965" s="10" t="n"/>
      <c r="X965" s="10" t="n"/>
      <c r="Y965" s="10" t="n"/>
      <c r="Z965" s="10" t="n"/>
      <c r="AA965" s="11">
        <f>IF(A965="","",IF(AND(J965="P4",F965="causal"),"P4-CAUSAL",""))</f>
        <v/>
      </c>
    </row>
    <row r="966" ht="15" customHeight="1" s="1">
      <c r="P966">
        <f>IF(OR(F966="",H966="",J966=""),"",J966&amp;"|"&amp;F966&amp;"|"&amp;IF(H966="W3","W3_"&amp;IF(I966="","unknown",I966),H966))</f>
        <v/>
      </c>
      <c r="Q966">
        <f>IF(P966="","",IFERROR(IF(AND(H966="W7",OR(F966="causal",F966="predictive")),IF(AND(OR(K966=1,K966="1"),OR(L966=1,L966="1"),OR(M966=1,M966="1")),"adequate","partial"),IF(AND(H966="W4",F966="predictive",OR(J966="P2",J966="P3",J966="P4")),IF(OR(U966=1,U966="1"),"adequate","partial"),INDEX(Fit_Matrix!$B:$B,MATCH(P966,Fit_Matrix!$A:$A,0)))),"CHECK KEY"))</f>
        <v/>
      </c>
      <c r="U966" s="10" t="n"/>
      <c r="V966" s="10" t="n"/>
      <c r="W966" s="10" t="n"/>
      <c r="X966" s="10" t="n"/>
      <c r="Y966" s="10" t="n"/>
      <c r="Z966" s="10" t="n"/>
      <c r="AA966" s="11">
        <f>IF(A966="","",IF(AND(J966="P4",F966="causal"),"P4-CAUSAL",""))</f>
        <v/>
      </c>
    </row>
    <row r="967" ht="15" customHeight="1" s="1">
      <c r="P967">
        <f>IF(OR(F967="",H967="",J967=""),"",J967&amp;"|"&amp;F967&amp;"|"&amp;IF(H967="W3","W3_"&amp;IF(I967="","unknown",I967),H967))</f>
        <v/>
      </c>
      <c r="Q967">
        <f>IF(P967="","",IFERROR(IF(AND(H967="W7",OR(F967="causal",F967="predictive")),IF(AND(OR(K967=1,K967="1"),OR(L967=1,L967="1"),OR(M967=1,M967="1")),"adequate","partial"),IF(AND(H967="W4",F967="predictive",OR(J967="P2",J967="P3",J967="P4")),IF(OR(U967=1,U967="1"),"adequate","partial"),INDEX(Fit_Matrix!$B:$B,MATCH(P967,Fit_Matrix!$A:$A,0)))),"CHECK KEY"))</f>
        <v/>
      </c>
      <c r="U967" s="10" t="n"/>
      <c r="V967" s="10" t="n"/>
      <c r="W967" s="10" t="n"/>
      <c r="X967" s="10" t="n"/>
      <c r="Y967" s="10" t="n"/>
      <c r="Z967" s="10" t="n"/>
      <c r="AA967" s="11">
        <f>IF(A967="","",IF(AND(J967="P4",F967="causal"),"P4-CAUSAL",""))</f>
        <v/>
      </c>
    </row>
    <row r="968" ht="15" customHeight="1" s="1">
      <c r="P968">
        <f>IF(OR(F968="",H968="",J968=""),"",J968&amp;"|"&amp;F968&amp;"|"&amp;IF(H968="W3","W3_"&amp;IF(I968="","unknown",I968),H968))</f>
        <v/>
      </c>
      <c r="Q968">
        <f>IF(P968="","",IFERROR(IF(AND(H968="W7",OR(F968="causal",F968="predictive")),IF(AND(OR(K968=1,K968="1"),OR(L968=1,L968="1"),OR(M968=1,M968="1")),"adequate","partial"),IF(AND(H968="W4",F968="predictive",OR(J968="P2",J968="P3",J968="P4")),IF(OR(U968=1,U968="1"),"adequate","partial"),INDEX(Fit_Matrix!$B:$B,MATCH(P968,Fit_Matrix!$A:$A,0)))),"CHECK KEY"))</f>
        <v/>
      </c>
      <c r="U968" s="10" t="n"/>
      <c r="V968" s="10" t="n"/>
      <c r="W968" s="10" t="n"/>
      <c r="X968" s="10" t="n"/>
      <c r="Y968" s="10" t="n"/>
      <c r="Z968" s="10" t="n"/>
      <c r="AA968" s="11">
        <f>IF(A968="","",IF(AND(J968="P4",F968="causal"),"P4-CAUSAL",""))</f>
        <v/>
      </c>
    </row>
    <row r="969" ht="15" customHeight="1" s="1">
      <c r="P969">
        <f>IF(OR(F969="",H969="",J969=""),"",J969&amp;"|"&amp;F969&amp;"|"&amp;IF(H969="W3","W3_"&amp;IF(I969="","unknown",I969),H969))</f>
        <v/>
      </c>
      <c r="Q969">
        <f>IF(P969="","",IFERROR(IF(AND(H969="W7",OR(F969="causal",F969="predictive")),IF(AND(OR(K969=1,K969="1"),OR(L969=1,L969="1"),OR(M969=1,M969="1")),"adequate","partial"),IF(AND(H969="W4",F969="predictive",OR(J969="P2",J969="P3",J969="P4")),IF(OR(U969=1,U969="1"),"adequate","partial"),INDEX(Fit_Matrix!$B:$B,MATCH(P969,Fit_Matrix!$A:$A,0)))),"CHECK KEY"))</f>
        <v/>
      </c>
      <c r="U969" s="10" t="n"/>
      <c r="V969" s="10" t="n"/>
      <c r="W969" s="10" t="n"/>
      <c r="X969" s="10" t="n"/>
      <c r="Y969" s="10" t="n"/>
      <c r="Z969" s="10" t="n"/>
      <c r="AA969" s="11">
        <f>IF(A969="","",IF(AND(J969="P4",F969="causal"),"P4-CAUSAL",""))</f>
        <v/>
      </c>
    </row>
    <row r="970" ht="15" customHeight="1" s="1">
      <c r="P970">
        <f>IF(OR(F970="",H970="",J970=""),"",J970&amp;"|"&amp;F970&amp;"|"&amp;IF(H970="W3","W3_"&amp;IF(I970="","unknown",I970),H970))</f>
        <v/>
      </c>
      <c r="Q970">
        <f>IF(P970="","",IFERROR(IF(AND(H970="W7",OR(F970="causal",F970="predictive")),IF(AND(OR(K970=1,K970="1"),OR(L970=1,L970="1"),OR(M970=1,M970="1")),"adequate","partial"),IF(AND(H970="W4",F970="predictive",OR(J970="P2",J970="P3",J970="P4")),IF(OR(U970=1,U970="1"),"adequate","partial"),INDEX(Fit_Matrix!$B:$B,MATCH(P970,Fit_Matrix!$A:$A,0)))),"CHECK KEY"))</f>
        <v/>
      </c>
      <c r="U970" s="10" t="n"/>
      <c r="V970" s="10" t="n"/>
      <c r="W970" s="10" t="n"/>
      <c r="X970" s="10" t="n"/>
      <c r="Y970" s="10" t="n"/>
      <c r="Z970" s="10" t="n"/>
      <c r="AA970" s="11">
        <f>IF(A970="","",IF(AND(J970="P4",F970="causal"),"P4-CAUSAL",""))</f>
        <v/>
      </c>
    </row>
    <row r="971" ht="15" customHeight="1" s="1">
      <c r="P971">
        <f>IF(OR(F971="",H971="",J971=""),"",J971&amp;"|"&amp;F971&amp;"|"&amp;IF(H971="W3","W3_"&amp;IF(I971="","unknown",I971),H971))</f>
        <v/>
      </c>
      <c r="Q971">
        <f>IF(P971="","",IFERROR(IF(AND(H971="W7",OR(F971="causal",F971="predictive")),IF(AND(OR(K971=1,K971="1"),OR(L971=1,L971="1"),OR(M971=1,M971="1")),"adequate","partial"),IF(AND(H971="W4",F971="predictive",OR(J971="P2",J971="P3",J971="P4")),IF(OR(U971=1,U971="1"),"adequate","partial"),INDEX(Fit_Matrix!$B:$B,MATCH(P971,Fit_Matrix!$A:$A,0)))),"CHECK KEY"))</f>
        <v/>
      </c>
      <c r="U971" s="10" t="n"/>
      <c r="V971" s="10" t="n"/>
      <c r="W971" s="10" t="n"/>
      <c r="X971" s="10" t="n"/>
      <c r="Y971" s="10" t="n"/>
      <c r="Z971" s="10" t="n"/>
      <c r="AA971" s="11">
        <f>IF(A971="","",IF(AND(J971="P4",F971="causal"),"P4-CAUSAL",""))</f>
        <v/>
      </c>
    </row>
    <row r="972" ht="15" customHeight="1" s="1">
      <c r="P972">
        <f>IF(OR(F972="",H972="",J972=""),"",J972&amp;"|"&amp;F972&amp;"|"&amp;IF(H972="W3","W3_"&amp;IF(I972="","unknown",I972),H972))</f>
        <v/>
      </c>
      <c r="Q972">
        <f>IF(P972="","",IFERROR(IF(AND(H972="W7",OR(F972="causal",F972="predictive")),IF(AND(OR(K972=1,K972="1"),OR(L972=1,L972="1"),OR(M972=1,M972="1")),"adequate","partial"),IF(AND(H972="W4",F972="predictive",OR(J972="P2",J972="P3",J972="P4")),IF(OR(U972=1,U972="1"),"adequate","partial"),INDEX(Fit_Matrix!$B:$B,MATCH(P972,Fit_Matrix!$A:$A,0)))),"CHECK KEY"))</f>
        <v/>
      </c>
      <c r="U972" s="10" t="n"/>
      <c r="V972" s="10" t="n"/>
      <c r="W972" s="10" t="n"/>
      <c r="X972" s="10" t="n"/>
      <c r="Y972" s="10" t="n"/>
      <c r="Z972" s="10" t="n"/>
      <c r="AA972" s="11">
        <f>IF(A972="","",IF(AND(J972="P4",F972="causal"),"P4-CAUSAL",""))</f>
        <v/>
      </c>
    </row>
    <row r="973" ht="15" customHeight="1" s="1">
      <c r="P973">
        <f>IF(OR(F973="",H973="",J973=""),"",J973&amp;"|"&amp;F973&amp;"|"&amp;IF(H973="W3","W3_"&amp;IF(I973="","unknown",I973),H973))</f>
        <v/>
      </c>
      <c r="Q973">
        <f>IF(P973="","",IFERROR(IF(AND(H973="W7",OR(F973="causal",F973="predictive")),IF(AND(OR(K973=1,K973="1"),OR(L973=1,L973="1"),OR(M973=1,M973="1")),"adequate","partial"),IF(AND(H973="W4",F973="predictive",OR(J973="P2",J973="P3",J973="P4")),IF(OR(U973=1,U973="1"),"adequate","partial"),INDEX(Fit_Matrix!$B:$B,MATCH(P973,Fit_Matrix!$A:$A,0)))),"CHECK KEY"))</f>
        <v/>
      </c>
      <c r="U973" s="10" t="n"/>
      <c r="V973" s="10" t="n"/>
      <c r="W973" s="10" t="n"/>
      <c r="X973" s="10" t="n"/>
      <c r="Y973" s="10" t="n"/>
      <c r="Z973" s="10" t="n"/>
      <c r="AA973" s="11">
        <f>IF(A973="","",IF(AND(J973="P4",F973="causal"),"P4-CAUSAL",""))</f>
        <v/>
      </c>
    </row>
    <row r="974" ht="15" customHeight="1" s="1">
      <c r="P974">
        <f>IF(OR(F974="",H974="",J974=""),"",J974&amp;"|"&amp;F974&amp;"|"&amp;IF(H974="W3","W3_"&amp;IF(I974="","unknown",I974),H974))</f>
        <v/>
      </c>
      <c r="Q974">
        <f>IF(P974="","",IFERROR(IF(AND(H974="W7",OR(F974="causal",F974="predictive")),IF(AND(OR(K974=1,K974="1"),OR(L974=1,L974="1"),OR(M974=1,M974="1")),"adequate","partial"),IF(AND(H974="W4",F974="predictive",OR(J974="P2",J974="P3",J974="P4")),IF(OR(U974=1,U974="1"),"adequate","partial"),INDEX(Fit_Matrix!$B:$B,MATCH(P974,Fit_Matrix!$A:$A,0)))),"CHECK KEY"))</f>
        <v/>
      </c>
      <c r="U974" s="10" t="n"/>
      <c r="V974" s="10" t="n"/>
      <c r="W974" s="10" t="n"/>
      <c r="X974" s="10" t="n"/>
      <c r="Y974" s="10" t="n"/>
      <c r="Z974" s="10" t="n"/>
      <c r="AA974" s="11">
        <f>IF(A974="","",IF(AND(J974="P4",F974="causal"),"P4-CAUSAL",""))</f>
        <v/>
      </c>
    </row>
    <row r="975" ht="15" customHeight="1" s="1">
      <c r="P975">
        <f>IF(OR(F975="",H975="",J975=""),"",J975&amp;"|"&amp;F975&amp;"|"&amp;IF(H975="W3","W3_"&amp;IF(I975="","unknown",I975),H975))</f>
        <v/>
      </c>
      <c r="Q975">
        <f>IF(P975="","",IFERROR(IF(AND(H975="W7",OR(F975="causal",F975="predictive")),IF(AND(OR(K975=1,K975="1"),OR(L975=1,L975="1"),OR(M975=1,M975="1")),"adequate","partial"),IF(AND(H975="W4",F975="predictive",OR(J975="P2",J975="P3",J975="P4")),IF(OR(U975=1,U975="1"),"adequate","partial"),INDEX(Fit_Matrix!$B:$B,MATCH(P975,Fit_Matrix!$A:$A,0)))),"CHECK KEY"))</f>
        <v/>
      </c>
      <c r="U975" s="10" t="n"/>
      <c r="V975" s="10" t="n"/>
      <c r="W975" s="10" t="n"/>
      <c r="X975" s="10" t="n"/>
      <c r="Y975" s="10" t="n"/>
      <c r="Z975" s="10" t="n"/>
      <c r="AA975" s="11">
        <f>IF(A975="","",IF(AND(J975="P4",F975="causal"),"P4-CAUSAL",""))</f>
        <v/>
      </c>
    </row>
    <row r="976" ht="15" customHeight="1" s="1">
      <c r="P976">
        <f>IF(OR(F976="",H976="",J976=""),"",J976&amp;"|"&amp;F976&amp;"|"&amp;IF(H976="W3","W3_"&amp;IF(I976="","unknown",I976),H976))</f>
        <v/>
      </c>
      <c r="Q976">
        <f>IF(P976="","",IFERROR(IF(AND(H976="W7",OR(F976="causal",F976="predictive")),IF(AND(OR(K976=1,K976="1"),OR(L976=1,L976="1"),OR(M976=1,M976="1")),"adequate","partial"),IF(AND(H976="W4",F976="predictive",OR(J976="P2",J976="P3",J976="P4")),IF(OR(U976=1,U976="1"),"adequate","partial"),INDEX(Fit_Matrix!$B:$B,MATCH(P976,Fit_Matrix!$A:$A,0)))),"CHECK KEY"))</f>
        <v/>
      </c>
      <c r="U976" s="10" t="n"/>
      <c r="V976" s="10" t="n"/>
      <c r="W976" s="10" t="n"/>
      <c r="X976" s="10" t="n"/>
      <c r="Y976" s="10" t="n"/>
      <c r="Z976" s="10" t="n"/>
      <c r="AA976" s="11">
        <f>IF(A976="","",IF(AND(J976="P4",F976="causal"),"P4-CAUSAL",""))</f>
        <v/>
      </c>
    </row>
    <row r="977" ht="15" customHeight="1" s="1">
      <c r="P977">
        <f>IF(OR(F977="",H977="",J977=""),"",J977&amp;"|"&amp;F977&amp;"|"&amp;IF(H977="W3","W3_"&amp;IF(I977="","unknown",I977),H977))</f>
        <v/>
      </c>
      <c r="Q977">
        <f>IF(P977="","",IFERROR(IF(AND(H977="W7",OR(F977="causal",F977="predictive")),IF(AND(OR(K977=1,K977="1"),OR(L977=1,L977="1"),OR(M977=1,M977="1")),"adequate","partial"),IF(AND(H977="W4",F977="predictive",OR(J977="P2",J977="P3",J977="P4")),IF(OR(U977=1,U977="1"),"adequate","partial"),INDEX(Fit_Matrix!$B:$B,MATCH(P977,Fit_Matrix!$A:$A,0)))),"CHECK KEY"))</f>
        <v/>
      </c>
      <c r="U977" s="10" t="n"/>
      <c r="V977" s="10" t="n"/>
      <c r="W977" s="10" t="n"/>
      <c r="X977" s="10" t="n"/>
      <c r="Y977" s="10" t="n"/>
      <c r="Z977" s="10" t="n"/>
      <c r="AA977" s="11">
        <f>IF(A977="","",IF(AND(J977="P4",F977="causal"),"P4-CAUSAL",""))</f>
        <v/>
      </c>
    </row>
    <row r="978" ht="15" customHeight="1" s="1">
      <c r="P978">
        <f>IF(OR(F978="",H978="",J978=""),"",J978&amp;"|"&amp;F978&amp;"|"&amp;IF(H978="W3","W3_"&amp;IF(I978="","unknown",I978),H978))</f>
        <v/>
      </c>
      <c r="Q978">
        <f>IF(P978="","",IFERROR(IF(AND(H978="W7",OR(F978="causal",F978="predictive")),IF(AND(OR(K978=1,K978="1"),OR(L978=1,L978="1"),OR(M978=1,M978="1")),"adequate","partial"),IF(AND(H978="W4",F978="predictive",OR(J978="P2",J978="P3",J978="P4")),IF(OR(U978=1,U978="1"),"adequate","partial"),INDEX(Fit_Matrix!$B:$B,MATCH(P978,Fit_Matrix!$A:$A,0)))),"CHECK KEY"))</f>
        <v/>
      </c>
      <c r="U978" s="10" t="n"/>
      <c r="V978" s="10" t="n"/>
      <c r="W978" s="10" t="n"/>
      <c r="X978" s="10" t="n"/>
      <c r="Y978" s="10" t="n"/>
      <c r="Z978" s="10" t="n"/>
      <c r="AA978" s="11">
        <f>IF(A978="","",IF(AND(J978="P4",F978="causal"),"P4-CAUSAL",""))</f>
        <v/>
      </c>
    </row>
    <row r="979" ht="15" customHeight="1" s="1">
      <c r="P979">
        <f>IF(OR(F979="",H979="",J979=""),"",J979&amp;"|"&amp;F979&amp;"|"&amp;IF(H979="W3","W3_"&amp;IF(I979="","unknown",I979),H979))</f>
        <v/>
      </c>
      <c r="Q979">
        <f>IF(P979="","",IFERROR(IF(AND(H979="W7",OR(F979="causal",F979="predictive")),IF(AND(OR(K979=1,K979="1"),OR(L979=1,L979="1"),OR(M979=1,M979="1")),"adequate","partial"),IF(AND(H979="W4",F979="predictive",OR(J979="P2",J979="P3",J979="P4")),IF(OR(U979=1,U979="1"),"adequate","partial"),INDEX(Fit_Matrix!$B:$B,MATCH(P979,Fit_Matrix!$A:$A,0)))),"CHECK KEY"))</f>
        <v/>
      </c>
      <c r="U979" s="10" t="n"/>
      <c r="V979" s="10" t="n"/>
      <c r="W979" s="10" t="n"/>
      <c r="X979" s="10" t="n"/>
      <c r="Y979" s="10" t="n"/>
      <c r="Z979" s="10" t="n"/>
      <c r="AA979" s="11">
        <f>IF(A979="","",IF(AND(J979="P4",F979="causal"),"P4-CAUSAL",""))</f>
        <v/>
      </c>
    </row>
    <row r="980" ht="15" customHeight="1" s="1">
      <c r="P980">
        <f>IF(OR(F980="",H980="",J980=""),"",J980&amp;"|"&amp;F980&amp;"|"&amp;IF(H980="W3","W3_"&amp;IF(I980="","unknown",I980),H980))</f>
        <v/>
      </c>
      <c r="Q980">
        <f>IF(P980="","",IFERROR(IF(AND(H980="W7",OR(F980="causal",F980="predictive")),IF(AND(OR(K980=1,K980="1"),OR(L980=1,L980="1"),OR(M980=1,M980="1")),"adequate","partial"),IF(AND(H980="W4",F980="predictive",OR(J980="P2",J980="P3",J980="P4")),IF(OR(U980=1,U980="1"),"adequate","partial"),INDEX(Fit_Matrix!$B:$B,MATCH(P980,Fit_Matrix!$A:$A,0)))),"CHECK KEY"))</f>
        <v/>
      </c>
      <c r="U980" s="10" t="n"/>
      <c r="V980" s="10" t="n"/>
      <c r="W980" s="10" t="n"/>
      <c r="X980" s="10" t="n"/>
      <c r="Y980" s="10" t="n"/>
      <c r="Z980" s="10" t="n"/>
      <c r="AA980" s="11">
        <f>IF(A980="","",IF(AND(J980="P4",F980="causal"),"P4-CAUSAL",""))</f>
        <v/>
      </c>
    </row>
    <row r="981" ht="15" customHeight="1" s="1">
      <c r="P981">
        <f>IF(OR(F981="",H981="",J981=""),"",J981&amp;"|"&amp;F981&amp;"|"&amp;IF(H981="W3","W3_"&amp;IF(I981="","unknown",I981),H981))</f>
        <v/>
      </c>
      <c r="Q981">
        <f>IF(P981="","",IFERROR(IF(AND(H981="W7",OR(F981="causal",F981="predictive")),IF(AND(OR(K981=1,K981="1"),OR(L981=1,L981="1"),OR(M981=1,M981="1")),"adequate","partial"),IF(AND(H981="W4",F981="predictive",OR(J981="P2",J981="P3",J981="P4")),IF(OR(U981=1,U981="1"),"adequate","partial"),INDEX(Fit_Matrix!$B:$B,MATCH(P981,Fit_Matrix!$A:$A,0)))),"CHECK KEY"))</f>
        <v/>
      </c>
      <c r="U981" s="10" t="n"/>
      <c r="V981" s="10" t="n"/>
      <c r="W981" s="10" t="n"/>
      <c r="X981" s="10" t="n"/>
      <c r="Y981" s="10" t="n"/>
      <c r="Z981" s="10" t="n"/>
      <c r="AA981" s="11">
        <f>IF(A981="","",IF(AND(J981="P4",F981="causal"),"P4-CAUSAL",""))</f>
        <v/>
      </c>
    </row>
    <row r="982" ht="15" customHeight="1" s="1">
      <c r="P982">
        <f>IF(OR(F982="",H982="",J982=""),"",J982&amp;"|"&amp;F982&amp;"|"&amp;IF(H982="W3","W3_"&amp;IF(I982="","unknown",I982),H982))</f>
        <v/>
      </c>
      <c r="Q982">
        <f>IF(P982="","",IFERROR(IF(AND(H982="W7",OR(F982="causal",F982="predictive")),IF(AND(OR(K982=1,K982="1"),OR(L982=1,L982="1"),OR(M982=1,M982="1")),"adequate","partial"),IF(AND(H982="W4",F982="predictive",OR(J982="P2",J982="P3",J982="P4")),IF(OR(U982=1,U982="1"),"adequate","partial"),INDEX(Fit_Matrix!$B:$B,MATCH(P982,Fit_Matrix!$A:$A,0)))),"CHECK KEY"))</f>
        <v/>
      </c>
      <c r="U982" s="10" t="n"/>
      <c r="V982" s="10" t="n"/>
      <c r="W982" s="10" t="n"/>
      <c r="X982" s="10" t="n"/>
      <c r="Y982" s="10" t="n"/>
      <c r="Z982" s="10" t="n"/>
      <c r="AA982" s="11">
        <f>IF(A982="","",IF(AND(J982="P4",F982="causal"),"P4-CAUSAL",""))</f>
        <v/>
      </c>
    </row>
    <row r="983" ht="15" customHeight="1" s="1">
      <c r="P983">
        <f>IF(OR(F983="",H983="",J983=""),"",J983&amp;"|"&amp;F983&amp;"|"&amp;IF(H983="W3","W3_"&amp;IF(I983="","unknown",I983),H983))</f>
        <v/>
      </c>
      <c r="Q983">
        <f>IF(P983="","",IFERROR(IF(AND(H983="W7",OR(F983="causal",F983="predictive")),IF(AND(OR(K983=1,K983="1"),OR(L983=1,L983="1"),OR(M983=1,M983="1")),"adequate","partial"),IF(AND(H983="W4",F983="predictive",OR(J983="P2",J983="P3",J983="P4")),IF(OR(U983=1,U983="1"),"adequate","partial"),INDEX(Fit_Matrix!$B:$B,MATCH(P983,Fit_Matrix!$A:$A,0)))),"CHECK KEY"))</f>
        <v/>
      </c>
      <c r="U983" s="10" t="n"/>
      <c r="V983" s="10" t="n"/>
      <c r="W983" s="10" t="n"/>
      <c r="X983" s="10" t="n"/>
      <c r="Y983" s="10" t="n"/>
      <c r="Z983" s="10" t="n"/>
      <c r="AA983" s="11">
        <f>IF(A983="","",IF(AND(J983="P4",F983="causal"),"P4-CAUSAL",""))</f>
        <v/>
      </c>
    </row>
    <row r="984" ht="15" customHeight="1" s="1">
      <c r="P984">
        <f>IF(OR(F984="",H984="",J984=""),"",J984&amp;"|"&amp;F984&amp;"|"&amp;IF(H984="W3","W3_"&amp;IF(I984="","unknown",I984),H984))</f>
        <v/>
      </c>
      <c r="Q984">
        <f>IF(P984="","",IFERROR(IF(AND(H984="W7",OR(F984="causal",F984="predictive")),IF(AND(OR(K984=1,K984="1"),OR(L984=1,L984="1"),OR(M984=1,M984="1")),"adequate","partial"),IF(AND(H984="W4",F984="predictive",OR(J984="P2",J984="P3",J984="P4")),IF(OR(U984=1,U984="1"),"adequate","partial"),INDEX(Fit_Matrix!$B:$B,MATCH(P984,Fit_Matrix!$A:$A,0)))),"CHECK KEY"))</f>
        <v/>
      </c>
      <c r="U984" s="10" t="n"/>
      <c r="V984" s="10" t="n"/>
      <c r="W984" s="10" t="n"/>
      <c r="X984" s="10" t="n"/>
      <c r="Y984" s="10" t="n"/>
      <c r="Z984" s="10" t="n"/>
      <c r="AA984" s="11">
        <f>IF(A984="","",IF(AND(J984="P4",F984="causal"),"P4-CAUSAL",""))</f>
        <v/>
      </c>
    </row>
    <row r="985" ht="15" customHeight="1" s="1">
      <c r="P985">
        <f>IF(OR(F985="",H985="",J985=""),"",J985&amp;"|"&amp;F985&amp;"|"&amp;IF(H985="W3","W3_"&amp;IF(I985="","unknown",I985),H985))</f>
        <v/>
      </c>
      <c r="Q985">
        <f>IF(P985="","",IFERROR(IF(AND(H985="W7",OR(F985="causal",F985="predictive")),IF(AND(OR(K985=1,K985="1"),OR(L985=1,L985="1"),OR(M985=1,M985="1")),"adequate","partial"),IF(AND(H985="W4",F985="predictive",OR(J985="P2",J985="P3",J985="P4")),IF(OR(U985=1,U985="1"),"adequate","partial"),INDEX(Fit_Matrix!$B:$B,MATCH(P985,Fit_Matrix!$A:$A,0)))),"CHECK KEY"))</f>
        <v/>
      </c>
      <c r="U985" s="10" t="n"/>
      <c r="V985" s="10" t="n"/>
      <c r="W985" s="10" t="n"/>
      <c r="X985" s="10" t="n"/>
      <c r="Y985" s="10" t="n"/>
      <c r="Z985" s="10" t="n"/>
      <c r="AA985" s="11">
        <f>IF(A985="","",IF(AND(J985="P4",F985="causal"),"P4-CAUSAL",""))</f>
        <v/>
      </c>
    </row>
    <row r="986" ht="15" customHeight="1" s="1">
      <c r="P986">
        <f>IF(OR(F986="",H986="",J986=""),"",J986&amp;"|"&amp;F986&amp;"|"&amp;IF(H986="W3","W3_"&amp;IF(I986="","unknown",I986),H986))</f>
        <v/>
      </c>
      <c r="Q986">
        <f>IF(P986="","",IFERROR(IF(AND(H986="W7",OR(F986="causal",F986="predictive")),IF(AND(OR(K986=1,K986="1"),OR(L986=1,L986="1"),OR(M986=1,M986="1")),"adequate","partial"),IF(AND(H986="W4",F986="predictive",OR(J986="P2",J986="P3",J986="P4")),IF(OR(U986=1,U986="1"),"adequate","partial"),INDEX(Fit_Matrix!$B:$B,MATCH(P986,Fit_Matrix!$A:$A,0)))),"CHECK KEY"))</f>
        <v/>
      </c>
      <c r="U986" s="10" t="n"/>
      <c r="V986" s="10" t="n"/>
      <c r="W986" s="10" t="n"/>
      <c r="X986" s="10" t="n"/>
      <c r="Y986" s="10" t="n"/>
      <c r="Z986" s="10" t="n"/>
      <c r="AA986" s="11">
        <f>IF(A986="","",IF(AND(J986="P4",F986="causal"),"P4-CAUSAL",""))</f>
        <v/>
      </c>
    </row>
    <row r="987" ht="15" customHeight="1" s="1">
      <c r="P987">
        <f>IF(OR(F987="",H987="",J987=""),"",J987&amp;"|"&amp;F987&amp;"|"&amp;IF(H987="W3","W3_"&amp;IF(I987="","unknown",I987),H987))</f>
        <v/>
      </c>
      <c r="Q987">
        <f>IF(P987="","",IFERROR(IF(AND(H987="W7",OR(F987="causal",F987="predictive")),IF(AND(OR(K987=1,K987="1"),OR(L987=1,L987="1"),OR(M987=1,M987="1")),"adequate","partial"),IF(AND(H987="W4",F987="predictive",OR(J987="P2",J987="P3",J987="P4")),IF(OR(U987=1,U987="1"),"adequate","partial"),INDEX(Fit_Matrix!$B:$B,MATCH(P987,Fit_Matrix!$A:$A,0)))),"CHECK KEY"))</f>
        <v/>
      </c>
      <c r="U987" s="10" t="n"/>
      <c r="V987" s="10" t="n"/>
      <c r="W987" s="10" t="n"/>
      <c r="X987" s="10" t="n"/>
      <c r="Y987" s="10" t="n"/>
      <c r="Z987" s="10" t="n"/>
      <c r="AA987" s="11">
        <f>IF(A987="","",IF(AND(J987="P4",F987="causal"),"P4-CAUSAL",""))</f>
        <v/>
      </c>
    </row>
    <row r="988" ht="15" customHeight="1" s="1">
      <c r="P988">
        <f>IF(OR(F988="",H988="",J988=""),"",J988&amp;"|"&amp;F988&amp;"|"&amp;IF(H988="W3","W3_"&amp;IF(I988="","unknown",I988),H988))</f>
        <v/>
      </c>
      <c r="Q988">
        <f>IF(P988="","",IFERROR(IF(AND(H988="W7",OR(F988="causal",F988="predictive")),IF(AND(OR(K988=1,K988="1"),OR(L988=1,L988="1"),OR(M988=1,M988="1")),"adequate","partial"),IF(AND(H988="W4",F988="predictive",OR(J988="P2",J988="P3",J988="P4")),IF(OR(U988=1,U988="1"),"adequate","partial"),INDEX(Fit_Matrix!$B:$B,MATCH(P988,Fit_Matrix!$A:$A,0)))),"CHECK KEY"))</f>
        <v/>
      </c>
      <c r="U988" s="10" t="n"/>
      <c r="V988" s="10" t="n"/>
      <c r="W988" s="10" t="n"/>
      <c r="X988" s="10" t="n"/>
      <c r="Y988" s="10" t="n"/>
      <c r="Z988" s="10" t="n"/>
      <c r="AA988" s="11">
        <f>IF(A988="","",IF(AND(J988="P4",F988="causal"),"P4-CAUSAL",""))</f>
        <v/>
      </c>
    </row>
    <row r="989" ht="15" customHeight="1" s="1">
      <c r="P989">
        <f>IF(OR(F989="",H989="",J989=""),"",J989&amp;"|"&amp;F989&amp;"|"&amp;IF(H989="W3","W3_"&amp;IF(I989="","unknown",I989),H989))</f>
        <v/>
      </c>
      <c r="Q989">
        <f>IF(P989="","",IFERROR(IF(AND(H989="W7",OR(F989="causal",F989="predictive")),IF(AND(OR(K989=1,K989="1"),OR(L989=1,L989="1"),OR(M989=1,M989="1")),"adequate","partial"),IF(AND(H989="W4",F989="predictive",OR(J989="P2",J989="P3",J989="P4")),IF(OR(U989=1,U989="1"),"adequate","partial"),INDEX(Fit_Matrix!$B:$B,MATCH(P989,Fit_Matrix!$A:$A,0)))),"CHECK KEY"))</f>
        <v/>
      </c>
      <c r="U989" s="10" t="n"/>
      <c r="V989" s="10" t="n"/>
      <c r="W989" s="10" t="n"/>
      <c r="X989" s="10" t="n"/>
      <c r="Y989" s="10" t="n"/>
      <c r="Z989" s="10" t="n"/>
      <c r="AA989" s="11">
        <f>IF(A989="","",IF(AND(J989="P4",F989="causal"),"P4-CAUSAL",""))</f>
        <v/>
      </c>
    </row>
    <row r="990" ht="15" customHeight="1" s="1">
      <c r="P990">
        <f>IF(OR(F990="",H990="",J990=""),"",J990&amp;"|"&amp;F990&amp;"|"&amp;IF(H990="W3","W3_"&amp;IF(I990="","unknown",I990),H990))</f>
        <v/>
      </c>
      <c r="Q990">
        <f>IF(P990="","",IFERROR(IF(AND(H990="W7",OR(F990="causal",F990="predictive")),IF(AND(OR(K990=1,K990="1"),OR(L990=1,L990="1"),OR(M990=1,M990="1")),"adequate","partial"),IF(AND(H990="W4",F990="predictive",OR(J990="P2",J990="P3",J990="P4")),IF(OR(U990=1,U990="1"),"adequate","partial"),INDEX(Fit_Matrix!$B:$B,MATCH(P990,Fit_Matrix!$A:$A,0)))),"CHECK KEY"))</f>
        <v/>
      </c>
      <c r="U990" s="10" t="n"/>
      <c r="V990" s="10" t="n"/>
      <c r="W990" s="10" t="n"/>
      <c r="X990" s="10" t="n"/>
      <c r="Y990" s="10" t="n"/>
      <c r="Z990" s="10" t="n"/>
      <c r="AA990" s="11">
        <f>IF(A990="","",IF(AND(J990="P4",F990="causal"),"P4-CAUSAL",""))</f>
        <v/>
      </c>
    </row>
    <row r="991" ht="15" customHeight="1" s="1">
      <c r="P991">
        <f>IF(OR(F991="",H991="",J991=""),"",J991&amp;"|"&amp;F991&amp;"|"&amp;IF(H991="W3","W3_"&amp;IF(I991="","unknown",I991),H991))</f>
        <v/>
      </c>
      <c r="Q991">
        <f>IF(P991="","",IFERROR(IF(AND(H991="W7",OR(F991="causal",F991="predictive")),IF(AND(OR(K991=1,K991="1"),OR(L991=1,L991="1"),OR(M991=1,M991="1")),"adequate","partial"),IF(AND(H991="W4",F991="predictive",OR(J991="P2",J991="P3",J991="P4")),IF(OR(U991=1,U991="1"),"adequate","partial"),INDEX(Fit_Matrix!$B:$B,MATCH(P991,Fit_Matrix!$A:$A,0)))),"CHECK KEY"))</f>
        <v/>
      </c>
      <c r="U991" s="10" t="n"/>
      <c r="V991" s="10" t="n"/>
      <c r="W991" s="10" t="n"/>
      <c r="X991" s="10" t="n"/>
      <c r="Y991" s="10" t="n"/>
      <c r="Z991" s="10" t="n"/>
      <c r="AA991" s="11">
        <f>IF(A991="","",IF(AND(J991="P4",F991="causal"),"P4-CAUSAL",""))</f>
        <v/>
      </c>
    </row>
    <row r="992" ht="15" customHeight="1" s="1">
      <c r="P992">
        <f>IF(OR(F992="",H992="",J992=""),"",J992&amp;"|"&amp;F992&amp;"|"&amp;IF(H992="W3","W3_"&amp;IF(I992="","unknown",I992),H992))</f>
        <v/>
      </c>
      <c r="Q992">
        <f>IF(P992="","",IFERROR(IF(AND(H992="W7",OR(F992="causal",F992="predictive")),IF(AND(OR(K992=1,K992="1"),OR(L992=1,L992="1"),OR(M992=1,M992="1")),"adequate","partial"),IF(AND(H992="W4",F992="predictive",OR(J992="P2",J992="P3",J992="P4")),IF(OR(U992=1,U992="1"),"adequate","partial"),INDEX(Fit_Matrix!$B:$B,MATCH(P992,Fit_Matrix!$A:$A,0)))),"CHECK KEY"))</f>
        <v/>
      </c>
      <c r="U992" s="10" t="n"/>
      <c r="V992" s="10" t="n"/>
      <c r="W992" s="10" t="n"/>
      <c r="X992" s="10" t="n"/>
      <c r="Y992" s="10" t="n"/>
      <c r="Z992" s="10" t="n"/>
      <c r="AA992" s="11">
        <f>IF(A992="","",IF(AND(J992="P4",F992="causal"),"P4-CAUSAL",""))</f>
        <v/>
      </c>
    </row>
    <row r="993" ht="15" customHeight="1" s="1">
      <c r="P993">
        <f>IF(OR(F993="",H993="",J993=""),"",J993&amp;"|"&amp;F993&amp;"|"&amp;IF(H993="W3","W3_"&amp;IF(I993="","unknown",I993),H993))</f>
        <v/>
      </c>
      <c r="Q993">
        <f>IF(P993="","",IFERROR(IF(AND(H993="W7",OR(F993="causal",F993="predictive")),IF(AND(OR(K993=1,K993="1"),OR(L993=1,L993="1"),OR(M993=1,M993="1")),"adequate","partial"),IF(AND(H993="W4",F993="predictive",OR(J993="P2",J993="P3",J993="P4")),IF(OR(U993=1,U993="1"),"adequate","partial"),INDEX(Fit_Matrix!$B:$B,MATCH(P993,Fit_Matrix!$A:$A,0)))),"CHECK KEY"))</f>
        <v/>
      </c>
      <c r="U993" s="10" t="n"/>
      <c r="V993" s="10" t="n"/>
      <c r="W993" s="10" t="n"/>
      <c r="X993" s="10" t="n"/>
      <c r="Y993" s="10" t="n"/>
      <c r="Z993" s="10" t="n"/>
      <c r="AA993" s="11">
        <f>IF(A993="","",IF(AND(J993="P4",F993="causal"),"P4-CAUSAL",""))</f>
        <v/>
      </c>
    </row>
    <row r="994" ht="15" customHeight="1" s="1">
      <c r="P994">
        <f>IF(OR(F994="",H994="",J994=""),"",J994&amp;"|"&amp;F994&amp;"|"&amp;IF(H994="W3","W3_"&amp;IF(I994="","unknown",I994),H994))</f>
        <v/>
      </c>
      <c r="Q994">
        <f>IF(P994="","",IFERROR(IF(AND(H994="W7",OR(F994="causal",F994="predictive")),IF(AND(OR(K994=1,K994="1"),OR(L994=1,L994="1"),OR(M994=1,M994="1")),"adequate","partial"),IF(AND(H994="W4",F994="predictive",OR(J994="P2",J994="P3",J994="P4")),IF(OR(U994=1,U994="1"),"adequate","partial"),INDEX(Fit_Matrix!$B:$B,MATCH(P994,Fit_Matrix!$A:$A,0)))),"CHECK KEY"))</f>
        <v/>
      </c>
      <c r="U994" s="10" t="n"/>
      <c r="V994" s="10" t="n"/>
      <c r="W994" s="10" t="n"/>
      <c r="X994" s="10" t="n"/>
      <c r="Y994" s="10" t="n"/>
      <c r="Z994" s="10" t="n"/>
      <c r="AA994" s="11">
        <f>IF(A994="","",IF(AND(J994="P4",F994="causal"),"P4-CAUSAL",""))</f>
        <v/>
      </c>
    </row>
    <row r="995" ht="15" customHeight="1" s="1">
      <c r="P995">
        <f>IF(OR(F995="",H995="",J995=""),"",J995&amp;"|"&amp;F995&amp;"|"&amp;IF(H995="W3","W3_"&amp;IF(I995="","unknown",I995),H995))</f>
        <v/>
      </c>
      <c r="Q995">
        <f>IF(P995="","",IFERROR(IF(AND(H995="W7",OR(F995="causal",F995="predictive")),IF(AND(OR(K995=1,K995="1"),OR(L995=1,L995="1"),OR(M995=1,M995="1")),"adequate","partial"),IF(AND(H995="W4",F995="predictive",OR(J995="P2",J995="P3",J995="P4")),IF(OR(U995=1,U995="1"),"adequate","partial"),INDEX(Fit_Matrix!$B:$B,MATCH(P995,Fit_Matrix!$A:$A,0)))),"CHECK KEY"))</f>
        <v/>
      </c>
      <c r="U995" s="10" t="n"/>
      <c r="V995" s="10" t="n"/>
      <c r="W995" s="10" t="n"/>
      <c r="X995" s="10" t="n"/>
      <c r="Y995" s="10" t="n"/>
      <c r="Z995" s="10" t="n"/>
      <c r="AA995" s="11">
        <f>IF(A995="","",IF(AND(J995="P4",F995="causal"),"P4-CAUSAL",""))</f>
        <v/>
      </c>
    </row>
    <row r="996" ht="15" customHeight="1" s="1">
      <c r="P996">
        <f>IF(OR(F996="",H996="",J996=""),"",J996&amp;"|"&amp;F996&amp;"|"&amp;IF(H996="W3","W3_"&amp;IF(I996="","unknown",I996),H996))</f>
        <v/>
      </c>
      <c r="Q996">
        <f>IF(P996="","",IFERROR(IF(AND(H996="W7",OR(F996="causal",F996="predictive")),IF(AND(OR(K996=1,K996="1"),OR(L996=1,L996="1"),OR(M996=1,M996="1")),"adequate","partial"),IF(AND(H996="W4",F996="predictive",OR(J996="P2",J996="P3",J996="P4")),IF(OR(U996=1,U996="1"),"adequate","partial"),INDEX(Fit_Matrix!$B:$B,MATCH(P996,Fit_Matrix!$A:$A,0)))),"CHECK KEY"))</f>
        <v/>
      </c>
      <c r="U996" s="10" t="n"/>
      <c r="V996" s="10" t="n"/>
      <c r="W996" s="10" t="n"/>
      <c r="X996" s="10" t="n"/>
      <c r="Y996" s="10" t="n"/>
      <c r="Z996" s="10" t="n"/>
      <c r="AA996" s="11">
        <f>IF(A996="","",IF(AND(J996="P4",F996="causal"),"P4-CAUSAL",""))</f>
        <v/>
      </c>
    </row>
    <row r="997" ht="15" customHeight="1" s="1">
      <c r="P997">
        <f>IF(OR(F997="",H997="",J997=""),"",J997&amp;"|"&amp;F997&amp;"|"&amp;IF(H997="W3","W3_"&amp;IF(I997="","unknown",I997),H997))</f>
        <v/>
      </c>
      <c r="Q997">
        <f>IF(P997="","",IFERROR(IF(AND(H997="W7",OR(F997="causal",F997="predictive")),IF(AND(OR(K997=1,K997="1"),OR(L997=1,L997="1"),OR(M997=1,M997="1")),"adequate","partial"),IF(AND(H997="W4",F997="predictive",OR(J997="P2",J997="P3",J997="P4")),IF(OR(U997=1,U997="1"),"adequate","partial"),INDEX(Fit_Matrix!$B:$B,MATCH(P997,Fit_Matrix!$A:$A,0)))),"CHECK KEY"))</f>
        <v/>
      </c>
      <c r="U997" s="10" t="n"/>
      <c r="V997" s="10" t="n"/>
      <c r="W997" s="10" t="n"/>
      <c r="X997" s="10" t="n"/>
      <c r="Y997" s="10" t="n"/>
      <c r="Z997" s="10" t="n"/>
      <c r="AA997" s="11">
        <f>IF(A997="","",IF(AND(J997="P4",F997="causal"),"P4-CAUSAL",""))</f>
        <v/>
      </c>
    </row>
    <row r="998" ht="15" customHeight="1" s="1">
      <c r="P998">
        <f>IF(OR(F998="",H998="",J998=""),"",J998&amp;"|"&amp;F998&amp;"|"&amp;IF(H998="W3","W3_"&amp;IF(I998="","unknown",I998),H998))</f>
        <v/>
      </c>
      <c r="Q998">
        <f>IF(P998="","",IFERROR(IF(AND(H998="W7",OR(F998="causal",F998="predictive")),IF(AND(OR(K998=1,K998="1"),OR(L998=1,L998="1"),OR(M998=1,M998="1")),"adequate","partial"),IF(AND(H998="W4",F998="predictive",OR(J998="P2",J998="P3",J998="P4")),IF(OR(U998=1,U998="1"),"adequate","partial"),INDEX(Fit_Matrix!$B:$B,MATCH(P998,Fit_Matrix!$A:$A,0)))),"CHECK KEY"))</f>
        <v/>
      </c>
      <c r="U998" s="10" t="n"/>
      <c r="V998" s="10" t="n"/>
      <c r="W998" s="10" t="n"/>
      <c r="X998" s="10" t="n"/>
      <c r="Y998" s="10" t="n"/>
      <c r="Z998" s="10" t="n"/>
      <c r="AA998" s="11">
        <f>IF(A998="","",IF(AND(J998="P4",F998="causal"),"P4-CAUSAL",""))</f>
        <v/>
      </c>
    </row>
    <row r="999" ht="15" customHeight="1" s="1">
      <c r="P999">
        <f>IF(OR(F999="",H999="",J999=""),"",J999&amp;"|"&amp;F999&amp;"|"&amp;IF(H999="W3","W3_"&amp;IF(I999="","unknown",I999),H999))</f>
        <v/>
      </c>
      <c r="Q999">
        <f>IF(P999="","",IFERROR(IF(AND(H999="W7",OR(F999="causal",F999="predictive")),IF(AND(OR(K999=1,K999="1"),OR(L999=1,L999="1"),OR(M999=1,M999="1")),"adequate","partial"),IF(AND(H999="W4",F999="predictive",OR(J999="P2",J999="P3",J999="P4")),IF(OR(U999=1,U999="1"),"adequate","partial"),INDEX(Fit_Matrix!$B:$B,MATCH(P999,Fit_Matrix!$A:$A,0)))),"CHECK KEY"))</f>
        <v/>
      </c>
      <c r="U999" s="10" t="n"/>
      <c r="V999" s="10" t="n"/>
      <c r="W999" s="10" t="n"/>
      <c r="X999" s="10" t="n"/>
      <c r="Y999" s="10" t="n"/>
      <c r="Z999" s="10" t="n"/>
      <c r="AA999" s="11">
        <f>IF(A999="","",IF(AND(J999="P4",F999="causal"),"P4-CAUSAL",""))</f>
        <v/>
      </c>
    </row>
    <row r="1000" ht="15" customHeight="1" s="1">
      <c r="P1000">
        <f>IF(OR(F1000="",H1000="",J1000=""),"",J1000&amp;"|"&amp;F1000&amp;"|"&amp;IF(H1000="W3","W3_"&amp;IF(I1000="","unknown",I1000),H1000))</f>
        <v/>
      </c>
      <c r="Q1000">
        <f>IF(P1000="","",IFERROR(IF(AND(H1000="W7",OR(F1000="causal",F1000="predictive")),IF(AND(OR(K1000=1,K1000="1"),OR(L1000=1,L1000="1"),OR(M1000=1,M1000="1")),"adequate","partial"),IF(AND(H1000="W4",F1000="predictive",OR(J1000="P2",J1000="P3",J1000="P4")),IF(OR(U1000=1,U1000="1"),"adequate","partial"),INDEX(Fit_Matrix!$B:$B,MATCH(P1000,Fit_Matrix!$A:$A,0)))),"CHECK KEY"))</f>
        <v/>
      </c>
      <c r="U1000" s="10" t="n"/>
      <c r="V1000" s="10" t="n"/>
      <c r="W1000" s="10" t="n"/>
      <c r="X1000" s="10" t="n"/>
      <c r="Y1000" s="10" t="n"/>
      <c r="Z1000" s="10" t="n"/>
      <c r="AA1000" s="11">
        <f>IF(A1000="","",IF(AND(J1000="P4",F1000="causal"),"P4-CAUSAL",""))</f>
        <v/>
      </c>
    </row>
    <row r="1001" ht="15" customHeight="1" s="1">
      <c r="P1001">
        <f>IF(OR(F1001="",H1001="",J1001=""),"",J1001&amp;"|"&amp;F1001&amp;"|"&amp;IF(H1001="W3","W3_"&amp;IF(I1001="","unknown",I1001),H1001))</f>
        <v/>
      </c>
      <c r="Q1001">
        <f>IF(P1001="","",IFERROR(IF(AND(H1001="W7",OR(F1001="causal",F1001="predictive")),IF(AND(OR(K1001=1,K1001="1"),OR(L1001=1,L1001="1"),OR(M1001=1,M1001="1")),"adequate","partial"),IF(AND(H1001="W4",F1001="predictive",OR(J1001="P2",J1001="P3",J1001="P4")),IF(OR(U1001=1,U1001="1"),"adequate","partial"),INDEX(Fit_Matrix!$B:$B,MATCH(P1001,Fit_Matrix!$A:$A,0)))),"CHECK KEY"))</f>
        <v/>
      </c>
      <c r="U1001" s="10" t="n"/>
      <c r="V1001" s="10" t="n"/>
      <c r="W1001" s="10" t="n"/>
      <c r="X1001" s="10" t="n"/>
      <c r="Y1001" s="10" t="n"/>
      <c r="Z1001" s="10" t="n"/>
      <c r="AA1001" s="11">
        <f>IF(A1001="","",IF(AND(J1001="P4",F1001="causal"),"P4-CAUSAL",""))</f>
        <v/>
      </c>
    </row>
    <row r="1002" ht="15" customHeight="1" s="1">
      <c r="P1002">
        <f>IF(OR(F1002="",H1002="",J1002=""),"",J1002&amp;"|"&amp;F1002&amp;"|"&amp;IF(H1002="W3","W3_"&amp;IF(I1002="","unknown",I1002),H1002))</f>
        <v/>
      </c>
      <c r="Q1002">
        <f>IF(P1002="","",IFERROR(IF(AND(H1002="W7",OR(F1002="causal",F1002="predictive")),IF(AND(OR(K1002=1,K1002="1"),OR(L1002=1,L1002="1"),OR(M1002=1,M1002="1")),"adequate","partial"),IF(AND(H1002="W4",F1002="predictive",OR(J1002="P2",J1002="P3",J1002="P4")),IF(OR(U1002=1,U1002="1"),"adequate","partial"),INDEX(Fit_Matrix!$B:$B,MATCH(P1002,Fit_Matrix!$A:$A,0)))),"CHECK KEY"))</f>
        <v/>
      </c>
      <c r="U1002" s="10" t="n"/>
      <c r="V1002" s="10" t="n"/>
      <c r="W1002" s="10" t="n"/>
      <c r="X1002" s="10" t="n"/>
      <c r="Y1002" s="10" t="n"/>
      <c r="Z1002" s="10" t="n"/>
      <c r="AA1002" s="11">
        <f>IF(A1002="","",IF(AND(J1002="P4",F1002="causal"),"P4-CAUSAL",""))</f>
        <v/>
      </c>
    </row>
    <row r="1003" ht="15" customHeight="1" s="1">
      <c r="P1003">
        <f>IF(OR(F1003="",H1003="",J1003=""),"",J1003&amp;"|"&amp;F1003&amp;"|"&amp;IF(H1003="W3","W3_"&amp;IF(I1003="","unknown",I1003),H1003))</f>
        <v/>
      </c>
      <c r="Q1003">
        <f>IF(P1003="","",IFERROR(IF(AND(H1003="W7",OR(F1003="causal",F1003="predictive")),IF(AND(OR(K1003=1,K1003="1"),OR(L1003=1,L1003="1"),OR(M1003=1,M1003="1")),"adequate","partial"),IF(AND(H1003="W4",F1003="predictive",OR(J1003="P2",J1003="P3",J1003="P4")),IF(OR(U1003=1,U1003="1"),"adequate","partial"),INDEX(Fit_Matrix!$B:$B,MATCH(P1003,Fit_Matrix!$A:$A,0)))),"CHECK KEY"))</f>
        <v/>
      </c>
      <c r="U1003" s="10" t="n"/>
      <c r="V1003" s="10" t="n"/>
      <c r="W1003" s="10" t="n"/>
      <c r="X1003" s="10" t="n"/>
      <c r="Y1003" s="10" t="n"/>
      <c r="Z1003" s="10" t="n"/>
      <c r="AA1003" s="11">
        <f>IF(A1003="","",IF(AND(J1003="P4",F1003="causal"),"P4-CAUSAL",""))</f>
        <v/>
      </c>
    </row>
    <row r="1004" ht="15" customHeight="1" s="1">
      <c r="P1004">
        <f>IF(OR(F1004="",H1004="",J1004=""),"",J1004&amp;"|"&amp;F1004&amp;"|"&amp;IF(H1004="W3","W3_"&amp;IF(I1004="","unknown",I1004),H1004))</f>
        <v/>
      </c>
      <c r="Q1004">
        <f>IF(P1004="","",IFERROR(IF(AND(H1004="W7",OR(F1004="causal",F1004="predictive")),IF(AND(OR(K1004=1,K1004="1"),OR(L1004=1,L1004="1"),OR(M1004=1,M1004="1")),"adequate","partial"),IF(AND(H1004="W4",F1004="predictive",OR(J1004="P2",J1004="P3",J1004="P4")),IF(OR(U1004=1,U1004="1"),"adequate","partial"),INDEX(Fit_Matrix!$B:$B,MATCH(P1004,Fit_Matrix!$A:$A,0)))),"CHECK KEY"))</f>
        <v/>
      </c>
      <c r="U1004" s="10" t="n"/>
      <c r="V1004" s="10" t="n"/>
      <c r="W1004" s="10" t="n"/>
      <c r="X1004" s="10" t="n"/>
      <c r="Y1004" s="10" t="n"/>
      <c r="Z1004" s="10" t="n"/>
      <c r="AA1004" s="11">
        <f>IF(A1004="","",IF(AND(J1004="P4",F1004="causal"),"P4-CAUSAL",""))</f>
        <v/>
      </c>
    </row>
    <row r="1005" ht="15" customHeight="1" s="1">
      <c r="P1005">
        <f>IF(OR(F1005="",H1005="",J1005=""),"",J1005&amp;"|"&amp;F1005&amp;"|"&amp;IF(H1005="W3","W3_"&amp;IF(I1005="","unknown",I1005),H1005))</f>
        <v/>
      </c>
      <c r="Q1005">
        <f>IF(P1005="","",IFERROR(IF(AND(H1005="W7",OR(F1005="causal",F1005="predictive")),IF(AND(OR(K1005=1,K1005="1"),OR(L1005=1,L1005="1"),OR(M1005=1,M1005="1")),"adequate","partial"),IF(AND(H1005="W4",F1005="predictive",OR(J1005="P2",J1005="P3",J1005="P4")),IF(OR(U1005=1,U1005="1"),"adequate","partial"),INDEX(Fit_Matrix!$B:$B,MATCH(P1005,Fit_Matrix!$A:$A,0)))),"CHECK KEY"))</f>
        <v/>
      </c>
      <c r="U1005" s="10" t="n"/>
      <c r="V1005" s="10" t="n"/>
      <c r="W1005" s="10" t="n"/>
      <c r="X1005" s="10" t="n"/>
      <c r="Y1005" s="10" t="n"/>
      <c r="Z1005" s="10" t="n"/>
      <c r="AA1005" s="11">
        <f>IF(A1005="","",IF(AND(J1005="P4",F1005="causal"),"P4-CAUSAL",""))</f>
        <v/>
      </c>
    </row>
    <row r="1006" ht="15" customHeight="1" s="1">
      <c r="P1006">
        <f>IF(OR(F1006="",H1006="",J1006=""),"",J1006&amp;"|"&amp;F1006&amp;"|"&amp;IF(H1006="W3","W3_"&amp;IF(I1006="","unknown",I1006),H1006))</f>
        <v/>
      </c>
      <c r="Q1006">
        <f>IF(P1006="","",IFERROR(IF(AND(H1006="W7",OR(F1006="causal",F1006="predictive")),IF(AND(OR(K1006=1,K1006="1"),OR(L1006=1,L1006="1"),OR(M1006=1,M1006="1")),"adequate","partial"),IF(AND(H1006="W4",F1006="predictive",OR(J1006="P2",J1006="P3",J1006="P4")),IF(OR(U1006=1,U1006="1"),"adequate","partial"),INDEX(Fit_Matrix!$B:$B,MATCH(P1006,Fit_Matrix!$A:$A,0)))),"CHECK KEY"))</f>
        <v/>
      </c>
      <c r="U1006" s="10" t="n"/>
      <c r="V1006" s="10" t="n"/>
      <c r="W1006" s="10" t="n"/>
      <c r="X1006" s="10" t="n"/>
      <c r="Y1006" s="10" t="n"/>
      <c r="Z1006" s="10" t="n"/>
      <c r="AA1006" s="11">
        <f>IF(A1006="","",IF(AND(J1006="P4",F1006="causal"),"P4-CAUSAL",""))</f>
        <v/>
      </c>
    </row>
    <row r="1007" ht="15" customHeight="1" s="1">
      <c r="P1007">
        <f>IF(OR(F1007="",H1007="",J1007=""),"",J1007&amp;"|"&amp;F1007&amp;"|"&amp;IF(H1007="W3","W3_"&amp;IF(I1007="","unknown",I1007),H1007))</f>
        <v/>
      </c>
      <c r="Q1007">
        <f>IF(P1007="","",IFERROR(IF(AND(H1007="W7",OR(F1007="causal",F1007="predictive")),IF(AND(OR(K1007=1,K1007="1"),OR(L1007=1,L1007="1"),OR(M1007=1,M1007="1")),"adequate","partial"),IF(AND(H1007="W4",F1007="predictive",OR(J1007="P2",J1007="P3",J1007="P4")),IF(OR(U1007=1,U1007="1"),"adequate","partial"),INDEX(Fit_Matrix!$B:$B,MATCH(P1007,Fit_Matrix!$A:$A,0)))),"CHECK KEY"))</f>
        <v/>
      </c>
      <c r="U1007" s="10" t="n"/>
      <c r="V1007" s="10" t="n"/>
      <c r="W1007" s="10" t="n"/>
      <c r="X1007" s="10" t="n"/>
      <c r="Y1007" s="10" t="n"/>
      <c r="Z1007" s="10" t="n"/>
      <c r="AA1007" s="11">
        <f>IF(A1007="","",IF(AND(J1007="P4",F1007="causal"),"P4-CAUSAL",""))</f>
        <v/>
      </c>
    </row>
    <row r="1008" ht="15" customHeight="1" s="1">
      <c r="P1008">
        <f>IF(OR(F1008="",H1008="",J1008=""),"",J1008&amp;"|"&amp;F1008&amp;"|"&amp;IF(H1008="W3","W3_"&amp;IF(I1008="","unknown",I1008),H1008))</f>
        <v/>
      </c>
      <c r="Q1008">
        <f>IF(P1008="","",IFERROR(IF(AND(H1008="W7",OR(F1008="causal",F1008="predictive")),IF(AND(OR(K1008=1,K1008="1"),OR(L1008=1,L1008="1"),OR(M1008=1,M1008="1")),"adequate","partial"),IF(AND(H1008="W4",F1008="predictive",OR(J1008="P2",J1008="P3",J1008="P4")),IF(OR(U1008=1,U1008="1"),"adequate","partial"),INDEX(Fit_Matrix!$B:$B,MATCH(P1008,Fit_Matrix!$A:$A,0)))),"CHECK KEY"))</f>
        <v/>
      </c>
      <c r="U1008" s="10" t="n"/>
      <c r="V1008" s="10" t="n"/>
      <c r="W1008" s="10" t="n"/>
      <c r="X1008" s="10" t="n"/>
      <c r="Y1008" s="10" t="n"/>
      <c r="Z1008" s="10" t="n"/>
      <c r="AA1008" s="11">
        <f>IF(A1008="","",IF(AND(J1008="P4",F1008="causal"),"P4-CAUSAL",""))</f>
        <v/>
      </c>
    </row>
    <row r="1009" ht="15" customHeight="1" s="1">
      <c r="P1009">
        <f>IF(OR(F1009="",H1009="",J1009=""),"",J1009&amp;"|"&amp;F1009&amp;"|"&amp;IF(H1009="W3","W3_"&amp;IF(I1009="","unknown",I1009),H1009))</f>
        <v/>
      </c>
      <c r="Q1009">
        <f>IF(P1009="","",IFERROR(IF(AND(H1009="W7",OR(F1009="causal",F1009="predictive")),IF(AND(OR(K1009=1,K1009="1"),OR(L1009=1,L1009="1"),OR(M1009=1,M1009="1")),"adequate","partial"),IF(AND(H1009="W4",F1009="predictive",OR(J1009="P2",J1009="P3",J1009="P4")),IF(OR(U1009=1,U1009="1"),"adequate","partial"),INDEX(Fit_Matrix!$B:$B,MATCH(P1009,Fit_Matrix!$A:$A,0)))),"CHECK KEY"))</f>
        <v/>
      </c>
      <c r="U1009" s="10" t="n"/>
      <c r="V1009" s="10" t="n"/>
      <c r="W1009" s="10" t="n"/>
      <c r="X1009" s="10" t="n"/>
      <c r="Y1009" s="10" t="n"/>
      <c r="Z1009" s="10" t="n"/>
      <c r="AA1009" s="11">
        <f>IF(A1009="","",IF(AND(J1009="P4",F1009="causal"),"P4-CAUSAL",""))</f>
        <v/>
      </c>
    </row>
    <row r="1010" ht="15" customHeight="1" s="1">
      <c r="P1010">
        <f>IF(OR(F1010="",H1010="",J1010=""),"",J1010&amp;"|"&amp;F1010&amp;"|"&amp;IF(H1010="W3","W3_"&amp;IF(I1010="","unknown",I1010),H1010))</f>
        <v/>
      </c>
      <c r="Q1010">
        <f>IF(P1010="","",IFERROR(IF(AND(H1010="W7",OR(F1010="causal",F1010="predictive")),IF(AND(OR(K1010=1,K1010="1"),OR(L1010=1,L1010="1"),OR(M1010=1,M1010="1")),"adequate","partial"),IF(AND(H1010="W4",F1010="predictive",OR(J1010="P2",J1010="P3",J1010="P4")),IF(OR(U1010=1,U1010="1"),"adequate","partial"),INDEX(Fit_Matrix!$B:$B,MATCH(P1010,Fit_Matrix!$A:$A,0)))),"CHECK KEY"))</f>
        <v/>
      </c>
      <c r="U1010" s="10" t="n"/>
      <c r="V1010" s="10" t="n"/>
      <c r="W1010" s="10" t="n"/>
      <c r="X1010" s="10" t="n"/>
      <c r="Y1010" s="10" t="n"/>
      <c r="Z1010" s="10" t="n"/>
      <c r="AA1010" s="11">
        <f>IF(A1010="","",IF(AND(J1010="P4",F1010="causal"),"P4-CAUSAL",""))</f>
        <v/>
      </c>
    </row>
    <row r="1011" ht="15" customHeight="1" s="1">
      <c r="P1011">
        <f>IF(OR(F1011="",H1011="",J1011=""),"",J1011&amp;"|"&amp;F1011&amp;"|"&amp;IF(H1011="W3","W3_"&amp;IF(I1011="","unknown",I1011),H1011))</f>
        <v/>
      </c>
      <c r="Q1011">
        <f>IF(P1011="","",IFERROR(IF(AND(H1011="W7",OR(F1011="causal",F1011="predictive")),IF(AND(OR(K1011=1,K1011="1"),OR(L1011=1,L1011="1"),OR(M1011=1,M1011="1")),"adequate","partial"),IF(AND(H1011="W4",F1011="predictive",OR(J1011="P2",J1011="P3",J1011="P4")),IF(OR(U1011=1,U1011="1"),"adequate","partial"),INDEX(Fit_Matrix!$B:$B,MATCH(P1011,Fit_Matrix!$A:$A,0)))),"CHECK KEY"))</f>
        <v/>
      </c>
      <c r="U1011" s="10" t="n"/>
      <c r="V1011" s="10" t="n"/>
      <c r="W1011" s="10" t="n"/>
      <c r="X1011" s="10" t="n"/>
      <c r="Y1011" s="10" t="n"/>
      <c r="Z1011" s="10" t="n"/>
      <c r="AA1011" s="11">
        <f>IF(A1011="","",IF(AND(J1011="P4",F1011="causal"),"P4-CAUSAL",""))</f>
        <v/>
      </c>
    </row>
    <row r="1012" ht="15" customHeight="1" s="1">
      <c r="P1012">
        <f>IF(OR(F1012="",H1012="",J1012=""),"",J1012&amp;"|"&amp;F1012&amp;"|"&amp;IF(H1012="W3","W3_"&amp;IF(I1012="","unknown",I1012),H1012))</f>
        <v/>
      </c>
      <c r="Q1012">
        <f>IF(P1012="","",IFERROR(IF(AND(H1012="W7",OR(F1012="causal",F1012="predictive")),IF(AND(OR(K1012=1,K1012="1"),OR(L1012=1,L1012="1"),OR(M1012=1,M1012="1")),"adequate","partial"),IF(AND(H1012="W4",F1012="predictive",OR(J1012="P2",J1012="P3",J1012="P4")),IF(OR(U1012=1,U1012="1"),"adequate","partial"),INDEX(Fit_Matrix!$B:$B,MATCH(P1012,Fit_Matrix!$A:$A,0)))),"CHECK KEY"))</f>
        <v/>
      </c>
      <c r="U1012" s="10" t="n"/>
      <c r="V1012" s="10" t="n"/>
      <c r="W1012" s="10" t="n"/>
      <c r="X1012" s="10" t="n"/>
      <c r="Y1012" s="10" t="n"/>
      <c r="Z1012" s="10" t="n"/>
      <c r="AA1012" s="11">
        <f>IF(A1012="","",IF(AND(J1012="P4",F1012="causal"),"P4-CAUSAL",""))</f>
        <v/>
      </c>
    </row>
    <row r="1013" ht="15" customHeight="1" s="1">
      <c r="P1013">
        <f>IF(OR(F1013="",H1013="",J1013=""),"",J1013&amp;"|"&amp;F1013&amp;"|"&amp;IF(H1013="W3","W3_"&amp;IF(I1013="","unknown",I1013),H1013))</f>
        <v/>
      </c>
      <c r="Q1013">
        <f>IF(P1013="","",IFERROR(IF(AND(H1013="W7",OR(F1013="causal",F1013="predictive")),IF(AND(OR(K1013=1,K1013="1"),OR(L1013=1,L1013="1"),OR(M1013=1,M1013="1")),"adequate","partial"),IF(AND(H1013="W4",F1013="predictive",OR(J1013="P2",J1013="P3",J1013="P4")),IF(OR(U1013=1,U1013="1"),"adequate","partial"),INDEX(Fit_Matrix!$B:$B,MATCH(P1013,Fit_Matrix!$A:$A,0)))),"CHECK KEY"))</f>
        <v/>
      </c>
      <c r="U1013" s="10" t="n"/>
      <c r="V1013" s="10" t="n"/>
      <c r="W1013" s="10" t="n"/>
      <c r="X1013" s="10" t="n"/>
      <c r="Y1013" s="10" t="n"/>
      <c r="Z1013" s="10" t="n"/>
      <c r="AA1013" s="11">
        <f>IF(A1013="","",IF(AND(J1013="P4",F1013="causal"),"P4-CAUSAL",""))</f>
        <v/>
      </c>
    </row>
    <row r="1014" ht="15" customHeight="1" s="1">
      <c r="P1014">
        <f>IF(OR(F1014="",H1014="",J1014=""),"",J1014&amp;"|"&amp;F1014&amp;"|"&amp;IF(H1014="W3","W3_"&amp;IF(I1014="","unknown",I1014),H1014))</f>
        <v/>
      </c>
      <c r="Q1014">
        <f>IF(P1014="","",IFERROR(IF(AND(H1014="W7",OR(F1014="causal",F1014="predictive")),IF(AND(OR(K1014=1,K1014="1"),OR(L1014=1,L1014="1"),OR(M1014=1,M1014="1")),"adequate","partial"),IF(AND(H1014="W4",F1014="predictive",OR(J1014="P2",J1014="P3",J1014="P4")),IF(OR(U1014=1,U1014="1"),"adequate","partial"),INDEX(Fit_Matrix!$B:$B,MATCH(P1014,Fit_Matrix!$A:$A,0)))),"CHECK KEY"))</f>
        <v/>
      </c>
      <c r="U1014" s="10" t="n"/>
      <c r="V1014" s="10" t="n"/>
      <c r="W1014" s="10" t="n"/>
      <c r="X1014" s="10" t="n"/>
      <c r="Y1014" s="10" t="n"/>
      <c r="Z1014" s="10" t="n"/>
      <c r="AA1014" s="11">
        <f>IF(A1014="","",IF(AND(J1014="P4",F1014="causal"),"P4-CAUSAL",""))</f>
        <v/>
      </c>
    </row>
    <row r="1015" ht="15" customHeight="1" s="1">
      <c r="P1015">
        <f>IF(OR(F1015="",H1015="",J1015=""),"",J1015&amp;"|"&amp;F1015&amp;"|"&amp;IF(H1015="W3","W3_"&amp;IF(I1015="","unknown",I1015),H1015))</f>
        <v/>
      </c>
      <c r="Q1015">
        <f>IF(P1015="","",IFERROR(IF(AND(H1015="W7",OR(F1015="causal",F1015="predictive")),IF(AND(OR(K1015=1,K1015="1"),OR(L1015=1,L1015="1"),OR(M1015=1,M1015="1")),"adequate","partial"),IF(AND(H1015="W4",F1015="predictive",OR(J1015="P2",J1015="P3",J1015="P4")),IF(OR(U1015=1,U1015="1"),"adequate","partial"),INDEX(Fit_Matrix!$B:$B,MATCH(P1015,Fit_Matrix!$A:$A,0)))),"CHECK KEY"))</f>
        <v/>
      </c>
      <c r="U1015" s="10" t="n"/>
      <c r="V1015" s="10" t="n"/>
      <c r="W1015" s="10" t="n"/>
      <c r="X1015" s="10" t="n"/>
      <c r="Y1015" s="10" t="n"/>
      <c r="Z1015" s="10" t="n"/>
      <c r="AA1015" s="11">
        <f>IF(A1015="","",IF(AND(J1015="P4",F1015="causal"),"P4-CAUSAL",""))</f>
        <v/>
      </c>
    </row>
    <row r="1016" ht="15" customHeight="1" s="1">
      <c r="P1016">
        <f>IF(OR(F1016="",H1016="",J1016=""),"",J1016&amp;"|"&amp;F1016&amp;"|"&amp;IF(H1016="W3","W3_"&amp;IF(I1016="","unknown",I1016),H1016))</f>
        <v/>
      </c>
      <c r="Q1016">
        <f>IF(P1016="","",IFERROR(IF(AND(H1016="W7",OR(F1016="causal",F1016="predictive")),IF(AND(OR(K1016=1,K1016="1"),OR(L1016=1,L1016="1"),OR(M1016=1,M1016="1")),"adequate","partial"),IF(AND(H1016="W4",F1016="predictive",OR(J1016="P2",J1016="P3",J1016="P4")),IF(OR(U1016=1,U1016="1"),"adequate","partial"),INDEX(Fit_Matrix!$B:$B,MATCH(P1016,Fit_Matrix!$A:$A,0)))),"CHECK KEY"))</f>
        <v/>
      </c>
      <c r="U1016" s="10" t="n"/>
      <c r="V1016" s="10" t="n"/>
      <c r="W1016" s="10" t="n"/>
      <c r="X1016" s="10" t="n"/>
      <c r="Y1016" s="10" t="n"/>
      <c r="Z1016" s="10" t="n"/>
      <c r="AA1016" s="11">
        <f>IF(A1016="","",IF(AND(J1016="P4",F1016="causal"),"P4-CAUSAL",""))</f>
        <v/>
      </c>
    </row>
    <row r="1017" ht="15" customHeight="1" s="1">
      <c r="P1017">
        <f>IF(OR(F1017="",H1017="",J1017=""),"",J1017&amp;"|"&amp;F1017&amp;"|"&amp;IF(H1017="W3","W3_"&amp;IF(I1017="","unknown",I1017),H1017))</f>
        <v/>
      </c>
      <c r="Q1017">
        <f>IF(P1017="","",IFERROR(IF(AND(H1017="W7",OR(F1017="causal",F1017="predictive")),IF(AND(OR(K1017=1,K1017="1"),OR(L1017=1,L1017="1"),OR(M1017=1,M1017="1")),"adequate","partial"),IF(AND(H1017="W4",F1017="predictive",OR(J1017="P2",J1017="P3",J1017="P4")),IF(OR(U1017=1,U1017="1"),"adequate","partial"),INDEX(Fit_Matrix!$B:$B,MATCH(P1017,Fit_Matrix!$A:$A,0)))),"CHECK KEY"))</f>
        <v/>
      </c>
      <c r="U1017" s="10" t="n"/>
      <c r="V1017" s="10" t="n"/>
      <c r="W1017" s="10" t="n"/>
      <c r="X1017" s="10" t="n"/>
      <c r="Y1017" s="10" t="n"/>
      <c r="Z1017" s="10" t="n"/>
      <c r="AA1017" s="11">
        <f>IF(A1017="","",IF(AND(J1017="P4",F1017="causal"),"P4-CAUSAL",""))</f>
        <v/>
      </c>
    </row>
    <row r="1018" ht="15" customHeight="1" s="1">
      <c r="P1018">
        <f>IF(OR(F1018="",H1018="",J1018=""),"",J1018&amp;"|"&amp;F1018&amp;"|"&amp;IF(H1018="W3","W3_"&amp;IF(I1018="","unknown",I1018),H1018))</f>
        <v/>
      </c>
      <c r="Q1018">
        <f>IF(P1018="","",IFERROR(IF(AND(H1018="W7",OR(F1018="causal",F1018="predictive")),IF(AND(OR(K1018=1,K1018="1"),OR(L1018=1,L1018="1"),OR(M1018=1,M1018="1")),"adequate","partial"),IF(AND(H1018="W4",F1018="predictive",OR(J1018="P2",J1018="P3",J1018="P4")),IF(OR(U1018=1,U1018="1"),"adequate","partial"),INDEX(Fit_Matrix!$B:$B,MATCH(P1018,Fit_Matrix!$A:$A,0)))),"CHECK KEY"))</f>
        <v/>
      </c>
      <c r="U1018" s="10" t="n"/>
      <c r="V1018" s="10" t="n"/>
      <c r="W1018" s="10" t="n"/>
      <c r="X1018" s="10" t="n"/>
      <c r="Y1018" s="10" t="n"/>
      <c r="Z1018" s="10" t="n"/>
      <c r="AA1018" s="11">
        <f>IF(A1018="","",IF(AND(J1018="P4",F1018="causal"),"P4-CAUSAL",""))</f>
        <v/>
      </c>
    </row>
    <row r="1019" ht="15" customHeight="1" s="1">
      <c r="P1019">
        <f>IF(OR(F1019="",H1019="",J1019=""),"",J1019&amp;"|"&amp;F1019&amp;"|"&amp;IF(H1019="W3","W3_"&amp;IF(I1019="","unknown",I1019),H1019))</f>
        <v/>
      </c>
      <c r="Q1019">
        <f>IF(P1019="","",IFERROR(IF(AND(H1019="W7",OR(F1019="causal",F1019="predictive")),IF(AND(OR(K1019=1,K1019="1"),OR(L1019=1,L1019="1"),OR(M1019=1,M1019="1")),"adequate","partial"),IF(AND(H1019="W4",F1019="predictive",OR(J1019="P2",J1019="P3",J1019="P4")),IF(OR(U1019=1,U1019="1"),"adequate","partial"),INDEX(Fit_Matrix!$B:$B,MATCH(P1019,Fit_Matrix!$A:$A,0)))),"CHECK KEY"))</f>
        <v/>
      </c>
      <c r="U1019" s="10" t="n"/>
      <c r="V1019" s="10" t="n"/>
      <c r="W1019" s="10" t="n"/>
      <c r="X1019" s="10" t="n"/>
      <c r="Y1019" s="10" t="n"/>
      <c r="Z1019" s="10" t="n"/>
      <c r="AA1019" s="11">
        <f>IF(A1019="","",IF(AND(J1019="P4",F1019="causal"),"P4-CAUSAL",""))</f>
        <v/>
      </c>
    </row>
    <row r="1020" ht="15" customHeight="1" s="1">
      <c r="P1020">
        <f>IF(OR(F1020="",H1020="",J1020=""),"",J1020&amp;"|"&amp;F1020&amp;"|"&amp;IF(H1020="W3","W3_"&amp;IF(I1020="","unknown",I1020),H1020))</f>
        <v/>
      </c>
      <c r="Q1020">
        <f>IF(P1020="","",IFERROR(IF(AND(H1020="W7",OR(F1020="causal",F1020="predictive")),IF(AND(OR(K1020=1,K1020="1"),OR(L1020=1,L1020="1"),OR(M1020=1,M1020="1")),"adequate","partial"),IF(AND(H1020="W4",F1020="predictive",OR(J1020="P2",J1020="P3",J1020="P4")),IF(OR(U1020=1,U1020="1"),"adequate","partial"),INDEX(Fit_Matrix!$B:$B,MATCH(P1020,Fit_Matrix!$A:$A,0)))),"CHECK KEY"))</f>
        <v/>
      </c>
      <c r="U1020" s="10" t="n"/>
      <c r="V1020" s="10" t="n"/>
      <c r="W1020" s="10" t="n"/>
      <c r="X1020" s="10" t="n"/>
      <c r="Y1020" s="10" t="n"/>
      <c r="Z1020" s="10" t="n"/>
      <c r="AA1020" s="11">
        <f>IF(A1020="","",IF(AND(J1020="P4",F1020="causal"),"P4-CAUSAL",""))</f>
        <v/>
      </c>
    </row>
    <row r="1021" ht="15" customHeight="1" s="1">
      <c r="P1021">
        <f>IF(OR(F1021="",H1021="",J1021=""),"",J1021&amp;"|"&amp;F1021&amp;"|"&amp;IF(H1021="W3","W3_"&amp;IF(I1021="","unknown",I1021),H1021))</f>
        <v/>
      </c>
      <c r="Q1021">
        <f>IF(P1021="","",IFERROR(IF(AND(H1021="W7",OR(F1021="causal",F1021="predictive")),IF(AND(OR(K1021=1,K1021="1"),OR(L1021=1,L1021="1"),OR(M1021=1,M1021="1")),"adequate","partial"),IF(AND(H1021="W4",F1021="predictive",OR(J1021="P2",J1021="P3",J1021="P4")),IF(OR(U1021=1,U1021="1"),"adequate","partial"),INDEX(Fit_Matrix!$B:$B,MATCH(P1021,Fit_Matrix!$A:$A,0)))),"CHECK KEY"))</f>
        <v/>
      </c>
      <c r="U1021" s="10" t="n"/>
      <c r="V1021" s="10" t="n"/>
      <c r="W1021" s="10" t="n"/>
      <c r="X1021" s="10" t="n"/>
      <c r="Y1021" s="10" t="n"/>
      <c r="Z1021" s="10" t="n"/>
      <c r="AA1021" s="11">
        <f>IF(A1021="","",IF(AND(J1021="P4",F1021="causal"),"P4-CAUSAL",""))</f>
        <v/>
      </c>
    </row>
    <row r="1022" ht="15" customHeight="1" s="1">
      <c r="P1022">
        <f>IF(OR(F1022="",H1022="",J1022=""),"",J1022&amp;"|"&amp;F1022&amp;"|"&amp;IF(H1022="W3","W3_"&amp;IF(I1022="","unknown",I1022),H1022))</f>
        <v/>
      </c>
      <c r="Q1022">
        <f>IF(P1022="","",IFERROR(IF(AND(H1022="W7",OR(F1022="causal",F1022="predictive")),IF(AND(OR(K1022=1,K1022="1"),OR(L1022=1,L1022="1"),OR(M1022=1,M1022="1")),"adequate","partial"),IF(AND(H1022="W4",F1022="predictive",OR(J1022="P2",J1022="P3",J1022="P4")),IF(OR(U1022=1,U1022="1"),"adequate","partial"),INDEX(Fit_Matrix!$B:$B,MATCH(P1022,Fit_Matrix!$A:$A,0)))),"CHECK KEY"))</f>
        <v/>
      </c>
      <c r="U1022" s="10" t="n"/>
      <c r="V1022" s="10" t="n"/>
      <c r="W1022" s="10" t="n"/>
      <c r="X1022" s="10" t="n"/>
      <c r="Y1022" s="10" t="n"/>
      <c r="Z1022" s="10" t="n"/>
      <c r="AA1022" s="11">
        <f>IF(A1022="","",IF(AND(J1022="P4",F1022="causal"),"P4-CAUSAL",""))</f>
        <v/>
      </c>
    </row>
    <row r="1023" ht="15" customHeight="1" s="1">
      <c r="P1023">
        <f>IF(OR(F1023="",H1023="",J1023=""),"",J1023&amp;"|"&amp;F1023&amp;"|"&amp;IF(H1023="W3","W3_"&amp;IF(I1023="","unknown",I1023),H1023))</f>
        <v/>
      </c>
      <c r="Q1023">
        <f>IF(P1023="","",IFERROR(IF(AND(H1023="W7",OR(F1023="causal",F1023="predictive")),IF(AND(OR(K1023=1,K1023="1"),OR(L1023=1,L1023="1"),OR(M1023=1,M1023="1")),"adequate","partial"),IF(AND(H1023="W4",F1023="predictive",OR(J1023="P2",J1023="P3",J1023="P4")),IF(OR(U1023=1,U1023="1"),"adequate","partial"),INDEX(Fit_Matrix!$B:$B,MATCH(P1023,Fit_Matrix!$A:$A,0)))),"CHECK KEY"))</f>
        <v/>
      </c>
      <c r="U1023" s="10" t="n"/>
      <c r="V1023" s="10" t="n"/>
      <c r="W1023" s="10" t="n"/>
      <c r="X1023" s="10" t="n"/>
      <c r="Y1023" s="10" t="n"/>
      <c r="Z1023" s="10" t="n"/>
      <c r="AA1023" s="11">
        <f>IF(A1023="","",IF(AND(J1023="P4",F1023="causal"),"P4-CAUSAL",""))</f>
        <v/>
      </c>
    </row>
    <row r="1024" ht="15" customHeight="1" s="1">
      <c r="P1024">
        <f>IF(OR(F1024="",H1024="",J1024=""),"",J1024&amp;"|"&amp;F1024&amp;"|"&amp;IF(H1024="W3","W3_"&amp;IF(I1024="","unknown",I1024),H1024))</f>
        <v/>
      </c>
      <c r="Q1024">
        <f>IF(P1024="","",IFERROR(IF(AND(H1024="W7",OR(F1024="causal",F1024="predictive")),IF(AND(OR(K1024=1,K1024="1"),OR(L1024=1,L1024="1"),OR(M1024=1,M1024="1")),"adequate","partial"),IF(AND(H1024="W4",F1024="predictive",OR(J1024="P2",J1024="P3",J1024="P4")),IF(OR(U1024=1,U1024="1"),"adequate","partial"),INDEX(Fit_Matrix!$B:$B,MATCH(P1024,Fit_Matrix!$A:$A,0)))),"CHECK KEY"))</f>
        <v/>
      </c>
      <c r="U1024" s="10" t="n"/>
      <c r="V1024" s="10" t="n"/>
      <c r="W1024" s="10" t="n"/>
      <c r="X1024" s="10" t="n"/>
      <c r="Y1024" s="10" t="n"/>
      <c r="Z1024" s="10" t="n"/>
      <c r="AA1024" s="11">
        <f>IF(A1024="","",IF(AND(J1024="P4",F1024="causal"),"P4-CAUSAL",""))</f>
        <v/>
      </c>
    </row>
    <row r="1025" ht="15" customHeight="1" s="1">
      <c r="P1025">
        <f>IF(OR(F1025="",H1025="",J1025=""),"",J1025&amp;"|"&amp;F1025&amp;"|"&amp;IF(H1025="W3","W3_"&amp;IF(I1025="","unknown",I1025),H1025))</f>
        <v/>
      </c>
      <c r="Q1025">
        <f>IF(P1025="","",IFERROR(IF(AND(H1025="W7",OR(F1025="causal",F1025="predictive")),IF(AND(OR(K1025=1,K1025="1"),OR(L1025=1,L1025="1"),OR(M1025=1,M1025="1")),"adequate","partial"),IF(AND(H1025="W4",F1025="predictive",OR(J1025="P2",J1025="P3",J1025="P4")),IF(OR(U1025=1,U1025="1"),"adequate","partial"),INDEX(Fit_Matrix!$B:$B,MATCH(P1025,Fit_Matrix!$A:$A,0)))),"CHECK KEY"))</f>
        <v/>
      </c>
      <c r="U1025" s="10" t="n"/>
      <c r="V1025" s="10" t="n"/>
      <c r="W1025" s="10" t="n"/>
      <c r="X1025" s="10" t="n"/>
      <c r="Y1025" s="10" t="n"/>
      <c r="Z1025" s="10" t="n"/>
      <c r="AA1025" s="11">
        <f>IF(A1025="","",IF(AND(J1025="P4",F1025="causal"),"P4-CAUSAL",""))</f>
        <v/>
      </c>
    </row>
    <row r="1026" ht="15" customHeight="1" s="1">
      <c r="P1026">
        <f>IF(OR(F1026="",H1026="",J1026=""),"",J1026&amp;"|"&amp;F1026&amp;"|"&amp;IF(H1026="W3","W3_"&amp;IF(I1026="","unknown",I1026),H1026))</f>
        <v/>
      </c>
      <c r="Q1026">
        <f>IF(P1026="","",IFERROR(IF(AND(H1026="W7",OR(F1026="causal",F1026="predictive")),IF(AND(OR(K1026=1,K1026="1"),OR(L1026=1,L1026="1"),OR(M1026=1,M1026="1")),"adequate","partial"),IF(AND(H1026="W4",F1026="predictive",OR(J1026="P2",J1026="P3",J1026="P4")),IF(OR(U1026=1,U1026="1"),"adequate","partial"),INDEX(Fit_Matrix!$B:$B,MATCH(P1026,Fit_Matrix!$A:$A,0)))),"CHECK KEY"))</f>
        <v/>
      </c>
      <c r="U1026" s="10" t="n"/>
      <c r="V1026" s="10" t="n"/>
      <c r="W1026" s="10" t="n"/>
      <c r="X1026" s="10" t="n"/>
      <c r="Y1026" s="10" t="n"/>
      <c r="Z1026" s="10" t="n"/>
      <c r="AA1026" s="11">
        <f>IF(A1026="","",IF(AND(J1026="P4",F1026="causal"),"P4-CAUSAL",""))</f>
        <v/>
      </c>
    </row>
    <row r="1027" ht="15" customHeight="1" s="1">
      <c r="P1027">
        <f>IF(OR(F1027="",H1027="",J1027=""),"",J1027&amp;"|"&amp;F1027&amp;"|"&amp;IF(H1027="W3","W3_"&amp;IF(I1027="","unknown",I1027),H1027))</f>
        <v/>
      </c>
      <c r="Q1027">
        <f>IF(P1027="","",IFERROR(IF(AND(H1027="W7",OR(F1027="causal",F1027="predictive")),IF(AND(OR(K1027=1,K1027="1"),OR(L1027=1,L1027="1"),OR(M1027=1,M1027="1")),"adequate","partial"),IF(AND(H1027="W4",F1027="predictive",OR(J1027="P2",J1027="P3",J1027="P4")),IF(OR(U1027=1,U1027="1"),"adequate","partial"),INDEX(Fit_Matrix!$B:$B,MATCH(P1027,Fit_Matrix!$A:$A,0)))),"CHECK KEY"))</f>
        <v/>
      </c>
      <c r="U1027" s="10" t="n"/>
      <c r="V1027" s="10" t="n"/>
      <c r="W1027" s="10" t="n"/>
      <c r="X1027" s="10" t="n"/>
      <c r="Y1027" s="10" t="n"/>
      <c r="Z1027" s="10" t="n"/>
      <c r="AA1027" s="11">
        <f>IF(A1027="","",IF(AND(J1027="P4",F1027="causal"),"P4-CAUSAL",""))</f>
        <v/>
      </c>
    </row>
    <row r="1028" ht="15" customHeight="1" s="1">
      <c r="P1028">
        <f>IF(OR(F1028="",H1028="",J1028=""),"",J1028&amp;"|"&amp;F1028&amp;"|"&amp;IF(H1028="W3","W3_"&amp;IF(I1028="","unknown",I1028),H1028))</f>
        <v/>
      </c>
      <c r="Q1028">
        <f>IF(P1028="","",IFERROR(IF(AND(H1028="W7",OR(F1028="causal",F1028="predictive")),IF(AND(OR(K1028=1,K1028="1"),OR(L1028=1,L1028="1"),OR(M1028=1,M1028="1")),"adequate","partial"),IF(AND(H1028="W4",F1028="predictive",OR(J1028="P2",J1028="P3",J1028="P4")),IF(OR(U1028=1,U1028="1"),"adequate","partial"),INDEX(Fit_Matrix!$B:$B,MATCH(P1028,Fit_Matrix!$A:$A,0)))),"CHECK KEY"))</f>
        <v/>
      </c>
      <c r="U1028" s="10" t="n"/>
      <c r="V1028" s="10" t="n"/>
      <c r="W1028" s="10" t="n"/>
      <c r="X1028" s="10" t="n"/>
      <c r="Y1028" s="10" t="n"/>
      <c r="Z1028" s="10" t="n"/>
      <c r="AA1028" s="11">
        <f>IF(A1028="","",IF(AND(J1028="P4",F1028="causal"),"P4-CAUSAL",""))</f>
        <v/>
      </c>
    </row>
    <row r="1029" ht="15" customHeight="1" s="1">
      <c r="P1029">
        <f>IF(OR(F1029="",H1029="",J1029=""),"",J1029&amp;"|"&amp;F1029&amp;"|"&amp;IF(H1029="W3","W3_"&amp;IF(I1029="","unknown",I1029),H1029))</f>
        <v/>
      </c>
      <c r="Q1029">
        <f>IF(P1029="","",IFERROR(IF(AND(H1029="W7",OR(F1029="causal",F1029="predictive")),IF(AND(OR(K1029=1,K1029="1"),OR(L1029=1,L1029="1"),OR(M1029=1,M1029="1")),"adequate","partial"),IF(AND(H1029="W4",F1029="predictive",OR(J1029="P2",J1029="P3",J1029="P4")),IF(OR(U1029=1,U1029="1"),"adequate","partial"),INDEX(Fit_Matrix!$B:$B,MATCH(P1029,Fit_Matrix!$A:$A,0)))),"CHECK KEY"))</f>
        <v/>
      </c>
      <c r="U1029" s="10" t="n"/>
      <c r="V1029" s="10" t="n"/>
      <c r="W1029" s="10" t="n"/>
      <c r="X1029" s="10" t="n"/>
      <c r="Y1029" s="10" t="n"/>
      <c r="Z1029" s="10" t="n"/>
      <c r="AA1029" s="11">
        <f>IF(A1029="","",IF(AND(J1029="P4",F1029="causal"),"P4-CAUSAL",""))</f>
        <v/>
      </c>
    </row>
    <row r="1030" ht="15" customHeight="1" s="1">
      <c r="P1030">
        <f>IF(OR(F1030="",H1030="",J1030=""),"",J1030&amp;"|"&amp;F1030&amp;"|"&amp;IF(H1030="W3","W3_"&amp;IF(I1030="","unknown",I1030),H1030))</f>
        <v/>
      </c>
      <c r="Q1030">
        <f>IF(P1030="","",IFERROR(IF(AND(H1030="W7",OR(F1030="causal",F1030="predictive")),IF(AND(OR(K1030=1,K1030="1"),OR(L1030=1,L1030="1"),OR(M1030=1,M1030="1")),"adequate","partial"),IF(AND(H1030="W4",F1030="predictive",OR(J1030="P2",J1030="P3",J1030="P4")),IF(OR(U1030=1,U1030="1"),"adequate","partial"),INDEX(Fit_Matrix!$B:$B,MATCH(P1030,Fit_Matrix!$A:$A,0)))),"CHECK KEY"))</f>
        <v/>
      </c>
      <c r="U1030" s="10" t="n"/>
      <c r="V1030" s="10" t="n"/>
      <c r="W1030" s="10" t="n"/>
      <c r="X1030" s="10" t="n"/>
      <c r="Y1030" s="10" t="n"/>
      <c r="Z1030" s="10" t="n"/>
      <c r="AA1030" s="11">
        <f>IF(A1030="","",IF(AND(J1030="P4",F1030="causal"),"P4-CAUSAL",""))</f>
        <v/>
      </c>
    </row>
    <row r="1031" ht="15" customHeight="1" s="1">
      <c r="P1031">
        <f>IF(OR(F1031="",H1031="",J1031=""),"",J1031&amp;"|"&amp;F1031&amp;"|"&amp;IF(H1031="W3","W3_"&amp;IF(I1031="","unknown",I1031),H1031))</f>
        <v/>
      </c>
      <c r="Q1031">
        <f>IF(P1031="","",IFERROR(IF(AND(H1031="W7",OR(F1031="causal",F1031="predictive")),IF(AND(OR(K1031=1,K1031="1"),OR(L1031=1,L1031="1"),OR(M1031=1,M1031="1")),"adequate","partial"),IF(AND(H1031="W4",F1031="predictive",OR(J1031="P2",J1031="P3",J1031="P4")),IF(OR(U1031=1,U1031="1"),"adequate","partial"),INDEX(Fit_Matrix!$B:$B,MATCH(P1031,Fit_Matrix!$A:$A,0)))),"CHECK KEY"))</f>
        <v/>
      </c>
      <c r="U1031" s="10" t="n"/>
      <c r="V1031" s="10" t="n"/>
      <c r="W1031" s="10" t="n"/>
      <c r="X1031" s="10" t="n"/>
      <c r="Y1031" s="10" t="n"/>
      <c r="Z1031" s="10" t="n"/>
      <c r="AA1031" s="11">
        <f>IF(A1031="","",IF(AND(J1031="P4",F1031="causal"),"P4-CAUSAL",""))</f>
        <v/>
      </c>
    </row>
    <row r="1032" ht="15" customHeight="1" s="1">
      <c r="P1032">
        <f>IF(OR(F1032="",H1032="",J1032=""),"",J1032&amp;"|"&amp;F1032&amp;"|"&amp;IF(H1032="W3","W3_"&amp;IF(I1032="","unknown",I1032),H1032))</f>
        <v/>
      </c>
      <c r="Q1032">
        <f>IF(P1032="","",IFERROR(IF(AND(H1032="W7",OR(F1032="causal",F1032="predictive")),IF(AND(OR(K1032=1,K1032="1"),OR(L1032=1,L1032="1"),OR(M1032=1,M1032="1")),"adequate","partial"),IF(AND(H1032="W4",F1032="predictive",OR(J1032="P2",J1032="P3",J1032="P4")),IF(OR(U1032=1,U1032="1"),"adequate","partial"),INDEX(Fit_Matrix!$B:$B,MATCH(P1032,Fit_Matrix!$A:$A,0)))),"CHECK KEY"))</f>
        <v/>
      </c>
      <c r="U1032" s="10" t="n"/>
      <c r="V1032" s="10" t="n"/>
      <c r="W1032" s="10" t="n"/>
      <c r="X1032" s="10" t="n"/>
      <c r="Y1032" s="10" t="n"/>
      <c r="Z1032" s="10" t="n"/>
      <c r="AA1032" s="11">
        <f>IF(A1032="","",IF(AND(J1032="P4",F1032="causal"),"P4-CAUSAL",""))</f>
        <v/>
      </c>
    </row>
    <row r="1033" ht="15" customHeight="1" s="1">
      <c r="P1033">
        <f>IF(OR(F1033="",H1033="",J1033=""),"",J1033&amp;"|"&amp;F1033&amp;"|"&amp;IF(H1033="W3","W3_"&amp;IF(I1033="","unknown",I1033),H1033))</f>
        <v/>
      </c>
      <c r="Q1033">
        <f>IF(P1033="","",IFERROR(IF(AND(H1033="W7",OR(F1033="causal",F1033="predictive")),IF(AND(OR(K1033=1,K1033="1"),OR(L1033=1,L1033="1"),OR(M1033=1,M1033="1")),"adequate","partial"),IF(AND(H1033="W4",F1033="predictive",OR(J1033="P2",J1033="P3",J1033="P4")),IF(OR(U1033=1,U1033="1"),"adequate","partial"),INDEX(Fit_Matrix!$B:$B,MATCH(P1033,Fit_Matrix!$A:$A,0)))),"CHECK KEY"))</f>
        <v/>
      </c>
      <c r="U1033" s="10" t="n"/>
      <c r="V1033" s="10" t="n"/>
      <c r="W1033" s="10" t="n"/>
      <c r="X1033" s="10" t="n"/>
      <c r="Y1033" s="10" t="n"/>
      <c r="Z1033" s="10" t="n"/>
      <c r="AA1033" s="11">
        <f>IF(A1033="","",IF(AND(J1033="P4",F1033="causal"),"P4-CAUSAL",""))</f>
        <v/>
      </c>
    </row>
    <row r="1034" ht="15" customHeight="1" s="1">
      <c r="P1034">
        <f>IF(OR(F1034="",H1034="",J1034=""),"",J1034&amp;"|"&amp;F1034&amp;"|"&amp;IF(H1034="W3","W3_"&amp;IF(I1034="","unknown",I1034),H1034))</f>
        <v/>
      </c>
      <c r="Q1034">
        <f>IF(P1034="","",IFERROR(IF(AND(H1034="W7",OR(F1034="causal",F1034="predictive")),IF(AND(OR(K1034=1,K1034="1"),OR(L1034=1,L1034="1"),OR(M1034=1,M1034="1")),"adequate","partial"),IF(AND(H1034="W4",F1034="predictive",OR(J1034="P2",J1034="P3",J1034="P4")),IF(OR(U1034=1,U1034="1"),"adequate","partial"),INDEX(Fit_Matrix!$B:$B,MATCH(P1034,Fit_Matrix!$A:$A,0)))),"CHECK KEY"))</f>
        <v/>
      </c>
      <c r="U1034" s="10" t="n"/>
      <c r="V1034" s="10" t="n"/>
      <c r="W1034" s="10" t="n"/>
      <c r="X1034" s="10" t="n"/>
      <c r="Y1034" s="10" t="n"/>
      <c r="Z1034" s="10" t="n"/>
      <c r="AA1034" s="11">
        <f>IF(A1034="","",IF(AND(J1034="P4",F1034="causal"),"P4-CAUSAL",""))</f>
        <v/>
      </c>
    </row>
    <row r="1035" ht="15" customHeight="1" s="1">
      <c r="P1035">
        <f>IF(OR(F1035="",H1035="",J1035=""),"",J1035&amp;"|"&amp;F1035&amp;"|"&amp;IF(H1035="W3","W3_"&amp;IF(I1035="","unknown",I1035),H1035))</f>
        <v/>
      </c>
      <c r="Q1035">
        <f>IF(P1035="","",IFERROR(IF(AND(H1035="W7",OR(F1035="causal",F1035="predictive")),IF(AND(OR(K1035=1,K1035="1"),OR(L1035=1,L1035="1"),OR(M1035=1,M1035="1")),"adequate","partial"),IF(AND(H1035="W4",F1035="predictive",OR(J1035="P2",J1035="P3",J1035="P4")),IF(OR(U1035=1,U1035="1"),"adequate","partial"),INDEX(Fit_Matrix!$B:$B,MATCH(P1035,Fit_Matrix!$A:$A,0)))),"CHECK KEY"))</f>
        <v/>
      </c>
      <c r="U1035" s="10" t="n"/>
      <c r="V1035" s="10" t="n"/>
      <c r="W1035" s="10" t="n"/>
      <c r="X1035" s="10" t="n"/>
      <c r="Y1035" s="10" t="n"/>
      <c r="Z1035" s="10" t="n"/>
      <c r="AA1035" s="11">
        <f>IF(A1035="","",IF(AND(J1035="P4",F1035="causal"),"P4-CAUSAL",""))</f>
        <v/>
      </c>
    </row>
    <row r="1036" ht="15" customHeight="1" s="1">
      <c r="P1036">
        <f>IF(OR(F1036="",H1036="",J1036=""),"",J1036&amp;"|"&amp;F1036&amp;"|"&amp;IF(H1036="W3","W3_"&amp;IF(I1036="","unknown",I1036),H1036))</f>
        <v/>
      </c>
      <c r="Q1036">
        <f>IF(P1036="","",IFERROR(IF(AND(H1036="W7",OR(F1036="causal",F1036="predictive")),IF(AND(OR(K1036=1,K1036="1"),OR(L1036=1,L1036="1"),OR(M1036=1,M1036="1")),"adequate","partial"),IF(AND(H1036="W4",F1036="predictive",OR(J1036="P2",J1036="P3",J1036="P4")),IF(OR(U1036=1,U1036="1"),"adequate","partial"),INDEX(Fit_Matrix!$B:$B,MATCH(P1036,Fit_Matrix!$A:$A,0)))),"CHECK KEY"))</f>
        <v/>
      </c>
      <c r="U1036" s="10" t="n"/>
      <c r="V1036" s="10" t="n"/>
      <c r="W1036" s="10" t="n"/>
      <c r="X1036" s="10" t="n"/>
      <c r="Y1036" s="10" t="n"/>
      <c r="Z1036" s="10" t="n"/>
      <c r="AA1036" s="11">
        <f>IF(A1036="","",IF(AND(J1036="P4",F1036="causal"),"P4-CAUSAL",""))</f>
        <v/>
      </c>
    </row>
    <row r="1037" ht="15" customHeight="1" s="1">
      <c r="P1037">
        <f>IF(OR(F1037="",H1037="",J1037=""),"",J1037&amp;"|"&amp;F1037&amp;"|"&amp;IF(H1037="W3","W3_"&amp;IF(I1037="","unknown",I1037),H1037))</f>
        <v/>
      </c>
      <c r="Q1037">
        <f>IF(P1037="","",IFERROR(IF(AND(H1037="W7",OR(F1037="causal",F1037="predictive")),IF(AND(OR(K1037=1,K1037="1"),OR(L1037=1,L1037="1"),OR(M1037=1,M1037="1")),"adequate","partial"),IF(AND(H1037="W4",F1037="predictive",OR(J1037="P2",J1037="P3",J1037="P4")),IF(OR(U1037=1,U1037="1"),"adequate","partial"),INDEX(Fit_Matrix!$B:$B,MATCH(P1037,Fit_Matrix!$A:$A,0)))),"CHECK KEY"))</f>
        <v/>
      </c>
      <c r="U1037" s="10" t="n"/>
      <c r="V1037" s="10" t="n"/>
      <c r="W1037" s="10" t="n"/>
      <c r="X1037" s="10" t="n"/>
      <c r="Y1037" s="10" t="n"/>
      <c r="Z1037" s="10" t="n"/>
      <c r="AA1037" s="11">
        <f>IF(A1037="","",IF(AND(J1037="P4",F1037="causal"),"P4-CAUSAL",""))</f>
        <v/>
      </c>
    </row>
    <row r="1038" ht="15" customHeight="1" s="1">
      <c r="P1038">
        <f>IF(OR(F1038="",H1038="",J1038=""),"",J1038&amp;"|"&amp;F1038&amp;"|"&amp;IF(H1038="W3","W3_"&amp;IF(I1038="","unknown",I1038),H1038))</f>
        <v/>
      </c>
      <c r="Q1038">
        <f>IF(P1038="","",IFERROR(IF(AND(H1038="W7",OR(F1038="causal",F1038="predictive")),IF(AND(OR(K1038=1,K1038="1"),OR(L1038=1,L1038="1"),OR(M1038=1,M1038="1")),"adequate","partial"),IF(AND(H1038="W4",F1038="predictive",OR(J1038="P2",J1038="P3",J1038="P4")),IF(OR(U1038=1,U1038="1"),"adequate","partial"),INDEX(Fit_Matrix!$B:$B,MATCH(P1038,Fit_Matrix!$A:$A,0)))),"CHECK KEY"))</f>
        <v/>
      </c>
      <c r="U1038" s="10" t="n"/>
      <c r="V1038" s="10" t="n"/>
      <c r="W1038" s="10" t="n"/>
      <c r="X1038" s="10" t="n"/>
      <c r="Y1038" s="10" t="n"/>
      <c r="Z1038" s="10" t="n"/>
      <c r="AA1038" s="11">
        <f>IF(A1038="","",IF(AND(J1038="P4",F1038="causal"),"P4-CAUSAL",""))</f>
        <v/>
      </c>
    </row>
    <row r="1039" ht="15" customHeight="1" s="1">
      <c r="P1039">
        <f>IF(OR(F1039="",H1039="",J1039=""),"",J1039&amp;"|"&amp;F1039&amp;"|"&amp;IF(H1039="W3","W3_"&amp;IF(I1039="","unknown",I1039),H1039))</f>
        <v/>
      </c>
      <c r="Q1039">
        <f>IF(P1039="","",IFERROR(IF(AND(H1039="W7",OR(F1039="causal",F1039="predictive")),IF(AND(OR(K1039=1,K1039="1"),OR(L1039=1,L1039="1"),OR(M1039=1,M1039="1")),"adequate","partial"),IF(AND(H1039="W4",F1039="predictive",OR(J1039="P2",J1039="P3",J1039="P4")),IF(OR(U1039=1,U1039="1"),"adequate","partial"),INDEX(Fit_Matrix!$B:$B,MATCH(P1039,Fit_Matrix!$A:$A,0)))),"CHECK KEY"))</f>
        <v/>
      </c>
      <c r="U1039" s="10" t="n"/>
      <c r="V1039" s="10" t="n"/>
      <c r="W1039" s="10" t="n"/>
      <c r="X1039" s="10" t="n"/>
      <c r="Y1039" s="10" t="n"/>
      <c r="Z1039" s="10" t="n"/>
      <c r="AA1039" s="11">
        <f>IF(A1039="","",IF(AND(J1039="P4",F1039="causal"),"P4-CAUSAL",""))</f>
        <v/>
      </c>
    </row>
    <row r="1040" ht="15" customHeight="1" s="1">
      <c r="P1040">
        <f>IF(OR(F1040="",H1040="",J1040=""),"",J1040&amp;"|"&amp;F1040&amp;"|"&amp;IF(H1040="W3","W3_"&amp;IF(I1040="","unknown",I1040),H1040))</f>
        <v/>
      </c>
      <c r="Q1040">
        <f>IF(P1040="","",IFERROR(IF(AND(H1040="W7",OR(F1040="causal",F1040="predictive")),IF(AND(OR(K1040=1,K1040="1"),OR(L1040=1,L1040="1"),OR(M1040=1,M1040="1")),"adequate","partial"),IF(AND(H1040="W4",F1040="predictive",OR(J1040="P2",J1040="P3",J1040="P4")),IF(OR(U1040=1,U1040="1"),"adequate","partial"),INDEX(Fit_Matrix!$B:$B,MATCH(P1040,Fit_Matrix!$A:$A,0)))),"CHECK KEY"))</f>
        <v/>
      </c>
      <c r="U1040" s="10" t="n"/>
      <c r="V1040" s="10" t="n"/>
      <c r="W1040" s="10" t="n"/>
      <c r="X1040" s="10" t="n"/>
      <c r="Y1040" s="10" t="n"/>
      <c r="Z1040" s="10" t="n"/>
      <c r="AA1040" s="11">
        <f>IF(A1040="","",IF(AND(J1040="P4",F1040="causal"),"P4-CAUSAL",""))</f>
        <v/>
      </c>
    </row>
    <row r="1041" ht="15" customHeight="1" s="1">
      <c r="P1041">
        <f>IF(OR(F1041="",H1041="",J1041=""),"",J1041&amp;"|"&amp;F1041&amp;"|"&amp;IF(H1041="W3","W3_"&amp;IF(I1041="","unknown",I1041),H1041))</f>
        <v/>
      </c>
      <c r="Q1041">
        <f>IF(P1041="","",IFERROR(IF(AND(H1041="W7",OR(F1041="causal",F1041="predictive")),IF(AND(OR(K1041=1,K1041="1"),OR(L1041=1,L1041="1"),OR(M1041=1,M1041="1")),"adequate","partial"),IF(AND(H1041="W4",F1041="predictive",OR(J1041="P2",J1041="P3",J1041="P4")),IF(OR(U1041=1,U1041="1"),"adequate","partial"),INDEX(Fit_Matrix!$B:$B,MATCH(P1041,Fit_Matrix!$A:$A,0)))),"CHECK KEY"))</f>
        <v/>
      </c>
      <c r="U1041" s="10" t="n"/>
      <c r="V1041" s="10" t="n"/>
      <c r="W1041" s="10" t="n"/>
      <c r="X1041" s="10" t="n"/>
      <c r="Y1041" s="10" t="n"/>
      <c r="Z1041" s="10" t="n"/>
      <c r="AA1041" s="11">
        <f>IF(A1041="","",IF(AND(J1041="P4",F1041="causal"),"P4-CAUSAL",""))</f>
        <v/>
      </c>
    </row>
    <row r="1042" ht="15" customHeight="1" s="1">
      <c r="P1042">
        <f>IF(OR(F1042="",H1042="",J1042=""),"",J1042&amp;"|"&amp;F1042&amp;"|"&amp;IF(H1042="W3","W3_"&amp;IF(I1042="","unknown",I1042),H1042))</f>
        <v/>
      </c>
      <c r="Q1042">
        <f>IF(P1042="","",IFERROR(IF(AND(H1042="W7",OR(F1042="causal",F1042="predictive")),IF(AND(OR(K1042=1,K1042="1"),OR(L1042=1,L1042="1"),OR(M1042=1,M1042="1")),"adequate","partial"),IF(AND(H1042="W4",F1042="predictive",OR(J1042="P2",J1042="P3",J1042="P4")),IF(OR(U1042=1,U1042="1"),"adequate","partial"),INDEX(Fit_Matrix!$B:$B,MATCH(P1042,Fit_Matrix!$A:$A,0)))),"CHECK KEY"))</f>
        <v/>
      </c>
      <c r="U1042" s="10" t="n"/>
      <c r="V1042" s="10" t="n"/>
      <c r="W1042" s="10" t="n"/>
      <c r="X1042" s="10" t="n"/>
      <c r="Y1042" s="10" t="n"/>
      <c r="Z1042" s="10" t="n"/>
      <c r="AA1042" s="11">
        <f>IF(A1042="","",IF(AND(J1042="P4",F1042="causal"),"P4-CAUSAL",""))</f>
        <v/>
      </c>
    </row>
    <row r="1043" ht="15" customHeight="1" s="1">
      <c r="P1043">
        <f>IF(OR(F1043="",H1043="",J1043=""),"",J1043&amp;"|"&amp;F1043&amp;"|"&amp;IF(H1043="W3","W3_"&amp;IF(I1043="","unknown",I1043),H1043))</f>
        <v/>
      </c>
      <c r="Q1043">
        <f>IF(P1043="","",IFERROR(IF(AND(H1043="W7",OR(F1043="causal",F1043="predictive")),IF(AND(OR(K1043=1,K1043="1"),OR(L1043=1,L1043="1"),OR(M1043=1,M1043="1")),"adequate","partial"),IF(AND(H1043="W4",F1043="predictive",OR(J1043="P2",J1043="P3",J1043="P4")),IF(OR(U1043=1,U1043="1"),"adequate","partial"),INDEX(Fit_Matrix!$B:$B,MATCH(P1043,Fit_Matrix!$A:$A,0)))),"CHECK KEY"))</f>
        <v/>
      </c>
      <c r="U1043" s="10" t="n"/>
      <c r="V1043" s="10" t="n"/>
      <c r="W1043" s="10" t="n"/>
      <c r="X1043" s="10" t="n"/>
      <c r="Y1043" s="10" t="n"/>
      <c r="Z1043" s="10" t="n"/>
      <c r="AA1043" s="11">
        <f>IF(A1043="","",IF(AND(J1043="P4",F1043="causal"),"P4-CAUSAL",""))</f>
        <v/>
      </c>
    </row>
    <row r="1044" ht="15" customHeight="1" s="1">
      <c r="P1044">
        <f>IF(OR(F1044="",H1044="",J1044=""),"",J1044&amp;"|"&amp;F1044&amp;"|"&amp;IF(H1044="W3","W3_"&amp;IF(I1044="","unknown",I1044),H1044))</f>
        <v/>
      </c>
      <c r="Q1044">
        <f>IF(P1044="","",IFERROR(IF(AND(H1044="W7",OR(F1044="causal",F1044="predictive")),IF(AND(OR(K1044=1,K1044="1"),OR(L1044=1,L1044="1"),OR(M1044=1,M1044="1")),"adequate","partial"),IF(AND(H1044="W4",F1044="predictive",OR(J1044="P2",J1044="P3",J1044="P4")),IF(OR(U1044=1,U1044="1"),"adequate","partial"),INDEX(Fit_Matrix!$B:$B,MATCH(P1044,Fit_Matrix!$A:$A,0)))),"CHECK KEY"))</f>
        <v/>
      </c>
      <c r="U1044" s="10" t="n"/>
      <c r="V1044" s="10" t="n"/>
      <c r="W1044" s="10" t="n"/>
      <c r="X1044" s="10" t="n"/>
      <c r="Y1044" s="10" t="n"/>
      <c r="Z1044" s="10" t="n"/>
      <c r="AA1044" s="11">
        <f>IF(A1044="","",IF(AND(J1044="P4",F1044="causal"),"P4-CAUSAL",""))</f>
        <v/>
      </c>
    </row>
    <row r="1045" ht="15" customHeight="1" s="1">
      <c r="P1045">
        <f>IF(OR(F1045="",H1045="",J1045=""),"",J1045&amp;"|"&amp;F1045&amp;"|"&amp;IF(H1045="W3","W3_"&amp;IF(I1045="","unknown",I1045),H1045))</f>
        <v/>
      </c>
      <c r="Q1045">
        <f>IF(P1045="","",IFERROR(IF(AND(H1045="W7",OR(F1045="causal",F1045="predictive")),IF(AND(OR(K1045=1,K1045="1"),OR(L1045=1,L1045="1"),OR(M1045=1,M1045="1")),"adequate","partial"),IF(AND(H1045="W4",F1045="predictive",OR(J1045="P2",J1045="P3",J1045="P4")),IF(OR(U1045=1,U1045="1"),"adequate","partial"),INDEX(Fit_Matrix!$B:$B,MATCH(P1045,Fit_Matrix!$A:$A,0)))),"CHECK KEY"))</f>
        <v/>
      </c>
      <c r="U1045" s="10" t="n"/>
      <c r="V1045" s="10" t="n"/>
      <c r="W1045" s="10" t="n"/>
      <c r="X1045" s="10" t="n"/>
      <c r="Y1045" s="10" t="n"/>
      <c r="Z1045" s="10" t="n"/>
      <c r="AA1045" s="11">
        <f>IF(A1045="","",IF(AND(J1045="P4",F1045="causal"),"P4-CAUSAL",""))</f>
        <v/>
      </c>
    </row>
    <row r="1046" ht="15" customHeight="1" s="1">
      <c r="P1046">
        <f>IF(OR(F1046="",H1046="",J1046=""),"",J1046&amp;"|"&amp;F1046&amp;"|"&amp;IF(H1046="W3","W3_"&amp;IF(I1046="","unknown",I1046),H1046))</f>
        <v/>
      </c>
      <c r="Q1046">
        <f>IF(P1046="","",IFERROR(IF(AND(H1046="W7",OR(F1046="causal",F1046="predictive")),IF(AND(OR(K1046=1,K1046="1"),OR(L1046=1,L1046="1"),OR(M1046=1,M1046="1")),"adequate","partial"),IF(AND(H1046="W4",F1046="predictive",OR(J1046="P2",J1046="P3",J1046="P4")),IF(OR(U1046=1,U1046="1"),"adequate","partial"),INDEX(Fit_Matrix!$B:$B,MATCH(P1046,Fit_Matrix!$A:$A,0)))),"CHECK KEY"))</f>
        <v/>
      </c>
      <c r="U1046" s="10" t="n"/>
      <c r="V1046" s="10" t="n"/>
      <c r="W1046" s="10" t="n"/>
      <c r="X1046" s="10" t="n"/>
      <c r="Y1046" s="10" t="n"/>
      <c r="Z1046" s="10" t="n"/>
      <c r="AA1046" s="11">
        <f>IF(A1046="","",IF(AND(J1046="P4",F1046="causal"),"P4-CAUSAL",""))</f>
        <v/>
      </c>
    </row>
    <row r="1047" ht="15" customHeight="1" s="1">
      <c r="P1047">
        <f>IF(OR(F1047="",H1047="",J1047=""),"",J1047&amp;"|"&amp;F1047&amp;"|"&amp;IF(H1047="W3","W3_"&amp;IF(I1047="","unknown",I1047),H1047))</f>
        <v/>
      </c>
      <c r="Q1047">
        <f>IF(P1047="","",IFERROR(IF(AND(H1047="W7",OR(F1047="causal",F1047="predictive")),IF(AND(OR(K1047=1,K1047="1"),OR(L1047=1,L1047="1"),OR(M1047=1,M1047="1")),"adequate","partial"),IF(AND(H1047="W4",F1047="predictive",OR(J1047="P2",J1047="P3",J1047="P4")),IF(OR(U1047=1,U1047="1"),"adequate","partial"),INDEX(Fit_Matrix!$B:$B,MATCH(P1047,Fit_Matrix!$A:$A,0)))),"CHECK KEY"))</f>
        <v/>
      </c>
      <c r="U1047" s="10" t="n"/>
      <c r="V1047" s="10" t="n"/>
      <c r="W1047" s="10" t="n"/>
      <c r="X1047" s="10" t="n"/>
      <c r="Y1047" s="10" t="n"/>
      <c r="Z1047" s="10" t="n"/>
      <c r="AA1047" s="11">
        <f>IF(A1047="","",IF(AND(J1047="P4",F1047="causal"),"P4-CAUSAL",""))</f>
        <v/>
      </c>
    </row>
    <row r="1048" ht="15" customHeight="1" s="1">
      <c r="P1048">
        <f>IF(OR(F1048="",H1048="",J1048=""),"",J1048&amp;"|"&amp;F1048&amp;"|"&amp;IF(H1048="W3","W3_"&amp;IF(I1048="","unknown",I1048),H1048))</f>
        <v/>
      </c>
      <c r="Q1048">
        <f>IF(P1048="","",IFERROR(IF(AND(H1048="W7",OR(F1048="causal",F1048="predictive")),IF(AND(OR(K1048=1,K1048="1"),OR(L1048=1,L1048="1"),OR(M1048=1,M1048="1")),"adequate","partial"),IF(AND(H1048="W4",F1048="predictive",OR(J1048="P2",J1048="P3",J1048="P4")),IF(OR(U1048=1,U1048="1"),"adequate","partial"),INDEX(Fit_Matrix!$B:$B,MATCH(P1048,Fit_Matrix!$A:$A,0)))),"CHECK KEY"))</f>
        <v/>
      </c>
      <c r="U1048" s="10" t="n"/>
      <c r="V1048" s="10" t="n"/>
      <c r="W1048" s="10" t="n"/>
      <c r="X1048" s="10" t="n"/>
      <c r="Y1048" s="10" t="n"/>
      <c r="Z1048" s="10" t="n"/>
      <c r="AA1048" s="11">
        <f>IF(A1048="","",IF(AND(J1048="P4",F1048="causal"),"P4-CAUSAL",""))</f>
        <v/>
      </c>
    </row>
    <row r="1049" ht="15" customHeight="1" s="1">
      <c r="P1049">
        <f>IF(OR(F1049="",H1049="",J1049=""),"",J1049&amp;"|"&amp;F1049&amp;"|"&amp;IF(H1049="W3","W3_"&amp;IF(I1049="","unknown",I1049),H1049))</f>
        <v/>
      </c>
      <c r="Q1049">
        <f>IF(P1049="","",IFERROR(IF(AND(H1049="W7",OR(F1049="causal",F1049="predictive")),IF(AND(OR(K1049=1,K1049="1"),OR(L1049=1,L1049="1"),OR(M1049=1,M1049="1")),"adequate","partial"),IF(AND(H1049="W4",F1049="predictive",OR(J1049="P2",J1049="P3",J1049="P4")),IF(OR(U1049=1,U1049="1"),"adequate","partial"),INDEX(Fit_Matrix!$B:$B,MATCH(P1049,Fit_Matrix!$A:$A,0)))),"CHECK KEY"))</f>
        <v/>
      </c>
      <c r="U1049" s="10" t="n"/>
      <c r="V1049" s="10" t="n"/>
      <c r="W1049" s="10" t="n"/>
      <c r="X1049" s="10" t="n"/>
      <c r="Y1049" s="10" t="n"/>
      <c r="Z1049" s="10" t="n"/>
      <c r="AA1049" s="11">
        <f>IF(A1049="","",IF(AND(J1049="P4",F1049="causal"),"P4-CAUSAL",""))</f>
        <v/>
      </c>
    </row>
    <row r="1050" ht="15" customHeight="1" s="1">
      <c r="P1050">
        <f>IF(OR(F1050="",H1050="",J1050=""),"",J1050&amp;"|"&amp;F1050&amp;"|"&amp;IF(H1050="W3","W3_"&amp;IF(I1050="","unknown",I1050),H1050))</f>
        <v/>
      </c>
      <c r="Q1050">
        <f>IF(P1050="","",IFERROR(IF(AND(H1050="W7",OR(F1050="causal",F1050="predictive")),IF(AND(OR(K1050=1,K1050="1"),OR(L1050=1,L1050="1"),OR(M1050=1,M1050="1")),"adequate","partial"),IF(AND(H1050="W4",F1050="predictive",OR(J1050="P2",J1050="P3",J1050="P4")),IF(OR(U1050=1,U1050="1"),"adequate","partial"),INDEX(Fit_Matrix!$B:$B,MATCH(P1050,Fit_Matrix!$A:$A,0)))),"CHECK KEY"))</f>
        <v/>
      </c>
      <c r="U1050" s="10" t="n"/>
      <c r="V1050" s="10" t="n"/>
      <c r="W1050" s="10" t="n"/>
      <c r="X1050" s="10" t="n"/>
      <c r="Y1050" s="10" t="n"/>
      <c r="Z1050" s="10" t="n"/>
      <c r="AA1050" s="11">
        <f>IF(A1050="","",IF(AND(J1050="P4",F1050="causal"),"P4-CAUSAL",""))</f>
        <v/>
      </c>
    </row>
    <row r="1051" ht="15" customHeight="1" s="1">
      <c r="P1051">
        <f>IF(OR(F1051="",H1051="",J1051=""),"",J1051&amp;"|"&amp;F1051&amp;"|"&amp;IF(H1051="W3","W3_"&amp;IF(I1051="","unknown",I1051),H1051))</f>
        <v/>
      </c>
      <c r="Q1051">
        <f>IF(P1051="","",IFERROR(IF(AND(H1051="W7",OR(F1051="causal",F1051="predictive")),IF(AND(OR(K1051=1,K1051="1"),OR(L1051=1,L1051="1"),OR(M1051=1,M1051="1")),"adequate","partial"),IF(AND(H1051="W4",F1051="predictive",OR(J1051="P2",J1051="P3",J1051="P4")),IF(OR(U1051=1,U1051="1"),"adequate","partial"),INDEX(Fit_Matrix!$B:$B,MATCH(P1051,Fit_Matrix!$A:$A,0)))),"CHECK KEY"))</f>
        <v/>
      </c>
      <c r="U1051" s="10" t="n"/>
      <c r="V1051" s="10" t="n"/>
      <c r="W1051" s="10" t="n"/>
      <c r="X1051" s="10" t="n"/>
      <c r="Y1051" s="10" t="n"/>
      <c r="Z1051" s="10" t="n"/>
      <c r="AA1051" s="11">
        <f>IF(A1051="","",IF(AND(J1051="P4",F1051="causal"),"P4-CAUSAL",""))</f>
        <v/>
      </c>
    </row>
    <row r="1052" ht="15" customHeight="1" s="1">
      <c r="P1052">
        <f>IF(OR(F1052="",H1052="",J1052=""),"",J1052&amp;"|"&amp;F1052&amp;"|"&amp;IF(H1052="W3","W3_"&amp;IF(I1052="","unknown",I1052),H1052))</f>
        <v/>
      </c>
      <c r="Q1052">
        <f>IF(P1052="","",IFERROR(IF(AND(H1052="W7",OR(F1052="causal",F1052="predictive")),IF(AND(OR(K1052=1,K1052="1"),OR(L1052=1,L1052="1"),OR(M1052=1,M1052="1")),"adequate","partial"),IF(AND(H1052="W4",F1052="predictive",OR(J1052="P2",J1052="P3",J1052="P4")),IF(OR(U1052=1,U1052="1"),"adequate","partial"),INDEX(Fit_Matrix!$B:$B,MATCH(P1052,Fit_Matrix!$A:$A,0)))),"CHECK KEY"))</f>
        <v/>
      </c>
      <c r="U1052" s="10" t="n"/>
      <c r="V1052" s="10" t="n"/>
      <c r="W1052" s="10" t="n"/>
      <c r="X1052" s="10" t="n"/>
      <c r="Y1052" s="10" t="n"/>
      <c r="Z1052" s="10" t="n"/>
      <c r="AA1052" s="11">
        <f>IF(A1052="","",IF(AND(J1052="P4",F1052="causal"),"P4-CAUSAL",""))</f>
        <v/>
      </c>
    </row>
    <row r="1053" ht="15" customHeight="1" s="1">
      <c r="P1053">
        <f>IF(OR(F1053="",H1053="",J1053=""),"",J1053&amp;"|"&amp;F1053&amp;"|"&amp;IF(H1053="W3","W3_"&amp;IF(I1053="","unknown",I1053),H1053))</f>
        <v/>
      </c>
      <c r="Q1053">
        <f>IF(P1053="","",IFERROR(IF(AND(H1053="W7",OR(F1053="causal",F1053="predictive")),IF(AND(OR(K1053=1,K1053="1"),OR(L1053=1,L1053="1"),OR(M1053=1,M1053="1")),"adequate","partial"),IF(AND(H1053="W4",F1053="predictive",OR(J1053="P2",J1053="P3",J1053="P4")),IF(OR(U1053=1,U1053="1"),"adequate","partial"),INDEX(Fit_Matrix!$B:$B,MATCH(P1053,Fit_Matrix!$A:$A,0)))),"CHECK KEY"))</f>
        <v/>
      </c>
      <c r="U1053" s="10" t="n"/>
      <c r="V1053" s="10" t="n"/>
      <c r="W1053" s="10" t="n"/>
      <c r="X1053" s="10" t="n"/>
      <c r="Y1053" s="10" t="n"/>
      <c r="Z1053" s="10" t="n"/>
      <c r="AA1053" s="11">
        <f>IF(A1053="","",IF(AND(J1053="P4",F1053="causal"),"P4-CAUSAL",""))</f>
        <v/>
      </c>
    </row>
    <row r="1054" ht="15" customHeight="1" s="1">
      <c r="P1054">
        <f>IF(OR(F1054="",H1054="",J1054=""),"",J1054&amp;"|"&amp;F1054&amp;"|"&amp;IF(H1054="W3","W3_"&amp;IF(I1054="","unknown",I1054),H1054))</f>
        <v/>
      </c>
      <c r="Q1054">
        <f>IF(P1054="","",IFERROR(IF(AND(H1054="W7",OR(F1054="causal",F1054="predictive")),IF(AND(OR(K1054=1,K1054="1"),OR(L1054=1,L1054="1"),OR(M1054=1,M1054="1")),"adequate","partial"),IF(AND(H1054="W4",F1054="predictive",OR(J1054="P2",J1054="P3",J1054="P4")),IF(OR(U1054=1,U1054="1"),"adequate","partial"),INDEX(Fit_Matrix!$B:$B,MATCH(P1054,Fit_Matrix!$A:$A,0)))),"CHECK KEY"))</f>
        <v/>
      </c>
      <c r="U1054" s="10" t="n"/>
      <c r="V1054" s="10" t="n"/>
      <c r="W1054" s="10" t="n"/>
      <c r="X1054" s="10" t="n"/>
      <c r="Y1054" s="10" t="n"/>
      <c r="Z1054" s="10" t="n"/>
      <c r="AA1054" s="11">
        <f>IF(A1054="","",IF(AND(J1054="P4",F1054="causal"),"P4-CAUSAL",""))</f>
        <v/>
      </c>
    </row>
    <row r="1055" ht="15" customHeight="1" s="1">
      <c r="P1055">
        <f>IF(OR(F1055="",H1055="",J1055=""),"",J1055&amp;"|"&amp;F1055&amp;"|"&amp;IF(H1055="W3","W3_"&amp;IF(I1055="","unknown",I1055),H1055))</f>
        <v/>
      </c>
      <c r="Q1055">
        <f>IF(P1055="","",IFERROR(IF(AND(H1055="W7",OR(F1055="causal",F1055="predictive")),IF(AND(OR(K1055=1,K1055="1"),OR(L1055=1,L1055="1"),OR(M1055=1,M1055="1")),"adequate","partial"),IF(AND(H1055="W4",F1055="predictive",OR(J1055="P2",J1055="P3",J1055="P4")),IF(OR(U1055=1,U1055="1"),"adequate","partial"),INDEX(Fit_Matrix!$B:$B,MATCH(P1055,Fit_Matrix!$A:$A,0)))),"CHECK KEY"))</f>
        <v/>
      </c>
      <c r="U1055" s="10" t="n"/>
      <c r="V1055" s="10" t="n"/>
      <c r="W1055" s="10" t="n"/>
      <c r="X1055" s="10" t="n"/>
      <c r="Y1055" s="10" t="n"/>
      <c r="Z1055" s="10" t="n"/>
      <c r="AA1055" s="11">
        <f>IF(A1055="","",IF(AND(J1055="P4",F1055="causal"),"P4-CAUSAL",""))</f>
        <v/>
      </c>
    </row>
    <row r="1056" ht="15" customHeight="1" s="1">
      <c r="P1056">
        <f>IF(OR(F1056="",H1056="",J1056=""),"",J1056&amp;"|"&amp;F1056&amp;"|"&amp;IF(H1056="W3","W3_"&amp;IF(I1056="","unknown",I1056),H1056))</f>
        <v/>
      </c>
      <c r="Q1056">
        <f>IF(P1056="","",IFERROR(IF(AND(H1056="W7",OR(F1056="causal",F1056="predictive")),IF(AND(OR(K1056=1,K1056="1"),OR(L1056=1,L1056="1"),OR(M1056=1,M1056="1")),"adequate","partial"),IF(AND(H1056="W4",F1056="predictive",OR(J1056="P2",J1056="P3",J1056="P4")),IF(OR(U1056=1,U1056="1"),"adequate","partial"),INDEX(Fit_Matrix!$B:$B,MATCH(P1056,Fit_Matrix!$A:$A,0)))),"CHECK KEY"))</f>
        <v/>
      </c>
      <c r="U1056" s="10" t="n"/>
      <c r="V1056" s="10" t="n"/>
      <c r="W1056" s="10" t="n"/>
      <c r="X1056" s="10" t="n"/>
      <c r="Y1056" s="10" t="n"/>
      <c r="Z1056" s="10" t="n"/>
      <c r="AA1056" s="11">
        <f>IF(A1056="","",IF(AND(J1056="P4",F1056="causal"),"P4-CAUSAL",""))</f>
        <v/>
      </c>
    </row>
    <row r="1057" ht="15" customHeight="1" s="1">
      <c r="P1057">
        <f>IF(OR(F1057="",H1057="",J1057=""),"",J1057&amp;"|"&amp;F1057&amp;"|"&amp;IF(H1057="W3","W3_"&amp;IF(I1057="","unknown",I1057),H1057))</f>
        <v/>
      </c>
      <c r="Q1057">
        <f>IF(P1057="","",IFERROR(IF(AND(H1057="W7",OR(F1057="causal",F1057="predictive")),IF(AND(OR(K1057=1,K1057="1"),OR(L1057=1,L1057="1"),OR(M1057=1,M1057="1")),"adequate","partial"),IF(AND(H1057="W4",F1057="predictive",OR(J1057="P2",J1057="P3",J1057="P4")),IF(OR(U1057=1,U1057="1"),"adequate","partial"),INDEX(Fit_Matrix!$B:$B,MATCH(P1057,Fit_Matrix!$A:$A,0)))),"CHECK KEY"))</f>
        <v/>
      </c>
      <c r="U1057" s="10" t="n"/>
      <c r="V1057" s="10" t="n"/>
      <c r="W1057" s="10" t="n"/>
      <c r="X1057" s="10" t="n"/>
      <c r="Y1057" s="10" t="n"/>
      <c r="Z1057" s="10" t="n"/>
      <c r="AA1057" s="11">
        <f>IF(A1057="","",IF(AND(J1057="P4",F1057="causal"),"P4-CAUSAL",""))</f>
        <v/>
      </c>
    </row>
    <row r="1058" ht="15" customHeight="1" s="1">
      <c r="P1058">
        <f>IF(OR(F1058="",H1058="",J1058=""),"",J1058&amp;"|"&amp;F1058&amp;"|"&amp;IF(H1058="W3","W3_"&amp;IF(I1058="","unknown",I1058),H1058))</f>
        <v/>
      </c>
      <c r="Q1058">
        <f>IF(P1058="","",IFERROR(IF(AND(H1058="W7",OR(F1058="causal",F1058="predictive")),IF(AND(OR(K1058=1,K1058="1"),OR(L1058=1,L1058="1"),OR(M1058=1,M1058="1")),"adequate","partial"),IF(AND(H1058="W4",F1058="predictive",OR(J1058="P2",J1058="P3",J1058="P4")),IF(OR(U1058=1,U1058="1"),"adequate","partial"),INDEX(Fit_Matrix!$B:$B,MATCH(P1058,Fit_Matrix!$A:$A,0)))),"CHECK KEY"))</f>
        <v/>
      </c>
      <c r="U1058" s="10" t="n"/>
      <c r="V1058" s="10" t="n"/>
      <c r="W1058" s="10" t="n"/>
      <c r="X1058" s="10" t="n"/>
      <c r="Y1058" s="10" t="n"/>
      <c r="Z1058" s="10" t="n"/>
      <c r="AA1058" s="11">
        <f>IF(A1058="","",IF(AND(J1058="P4",F1058="causal"),"P4-CAUSAL",""))</f>
        <v/>
      </c>
    </row>
    <row r="1059" ht="15" customHeight="1" s="1">
      <c r="P1059">
        <f>IF(OR(F1059="",H1059="",J1059=""),"",J1059&amp;"|"&amp;F1059&amp;"|"&amp;IF(H1059="W3","W3_"&amp;IF(I1059="","unknown",I1059),H1059))</f>
        <v/>
      </c>
      <c r="Q1059">
        <f>IF(P1059="","",IFERROR(IF(AND(H1059="W7",OR(F1059="causal",F1059="predictive")),IF(AND(OR(K1059=1,K1059="1"),OR(L1059=1,L1059="1"),OR(M1059=1,M1059="1")),"adequate","partial"),IF(AND(H1059="W4",F1059="predictive",OR(J1059="P2",J1059="P3",J1059="P4")),IF(OR(U1059=1,U1059="1"),"adequate","partial"),INDEX(Fit_Matrix!$B:$B,MATCH(P1059,Fit_Matrix!$A:$A,0)))),"CHECK KEY"))</f>
        <v/>
      </c>
      <c r="U1059" s="10" t="n"/>
      <c r="V1059" s="10" t="n"/>
      <c r="W1059" s="10" t="n"/>
      <c r="X1059" s="10" t="n"/>
      <c r="Y1059" s="10" t="n"/>
      <c r="Z1059" s="10" t="n"/>
      <c r="AA1059" s="11">
        <f>IF(A1059="","",IF(AND(J1059="P4",F1059="causal"),"P4-CAUSAL",""))</f>
        <v/>
      </c>
    </row>
    <row r="1060" ht="15" customHeight="1" s="1">
      <c r="P1060">
        <f>IF(OR(F1060="",H1060="",J1060=""),"",J1060&amp;"|"&amp;F1060&amp;"|"&amp;IF(H1060="W3","W3_"&amp;IF(I1060="","unknown",I1060),H1060))</f>
        <v/>
      </c>
      <c r="Q1060">
        <f>IF(P1060="","",IFERROR(IF(AND(H1060="W7",OR(F1060="causal",F1060="predictive")),IF(AND(OR(K1060=1,K1060="1"),OR(L1060=1,L1060="1"),OR(M1060=1,M1060="1")),"adequate","partial"),IF(AND(H1060="W4",F1060="predictive",OR(J1060="P2",J1060="P3",J1060="P4")),IF(OR(U1060=1,U1060="1"),"adequate","partial"),INDEX(Fit_Matrix!$B:$B,MATCH(P1060,Fit_Matrix!$A:$A,0)))),"CHECK KEY"))</f>
        <v/>
      </c>
      <c r="U1060" s="10" t="n"/>
      <c r="V1060" s="10" t="n"/>
      <c r="W1060" s="10" t="n"/>
      <c r="X1060" s="10" t="n"/>
      <c r="Y1060" s="10" t="n"/>
      <c r="Z1060" s="10" t="n"/>
      <c r="AA1060" s="11">
        <f>IF(A1060="","",IF(AND(J1060="P4",F1060="causal"),"P4-CAUSAL",""))</f>
        <v/>
      </c>
    </row>
    <row r="1061" ht="15" customHeight="1" s="1">
      <c r="P1061">
        <f>IF(OR(F1061="",H1061="",J1061=""),"",J1061&amp;"|"&amp;F1061&amp;"|"&amp;IF(H1061="W3","W3_"&amp;IF(I1061="","unknown",I1061),H1061))</f>
        <v/>
      </c>
      <c r="Q1061">
        <f>IF(P1061="","",IFERROR(IF(AND(H1061="W7",OR(F1061="causal",F1061="predictive")),IF(AND(OR(K1061=1,K1061="1"),OR(L1061=1,L1061="1"),OR(M1061=1,M1061="1")),"adequate","partial"),IF(AND(H1061="W4",F1061="predictive",OR(J1061="P2",J1061="P3",J1061="P4")),IF(OR(U1061=1,U1061="1"),"adequate","partial"),INDEX(Fit_Matrix!$B:$B,MATCH(P1061,Fit_Matrix!$A:$A,0)))),"CHECK KEY"))</f>
        <v/>
      </c>
      <c r="U1061" s="10" t="n"/>
      <c r="V1061" s="10" t="n"/>
      <c r="W1061" s="10" t="n"/>
      <c r="X1061" s="10" t="n"/>
      <c r="Y1061" s="10" t="n"/>
      <c r="Z1061" s="10" t="n"/>
      <c r="AA1061" s="11">
        <f>IF(A1061="","",IF(AND(J1061="P4",F1061="causal"),"P4-CAUSAL",""))</f>
        <v/>
      </c>
    </row>
    <row r="1062" ht="15" customHeight="1" s="1">
      <c r="P1062">
        <f>IF(OR(F1062="",H1062="",J1062=""),"",J1062&amp;"|"&amp;F1062&amp;"|"&amp;IF(H1062="W3","W3_"&amp;IF(I1062="","unknown",I1062),H1062))</f>
        <v/>
      </c>
      <c r="Q1062">
        <f>IF(P1062="","",IFERROR(IF(AND(H1062="W7",OR(F1062="causal",F1062="predictive")),IF(AND(OR(K1062=1,K1062="1"),OR(L1062=1,L1062="1"),OR(M1062=1,M1062="1")),"adequate","partial"),IF(AND(H1062="W4",F1062="predictive",OR(J1062="P2",J1062="P3",J1062="P4")),IF(OR(U1062=1,U1062="1"),"adequate","partial"),INDEX(Fit_Matrix!$B:$B,MATCH(P1062,Fit_Matrix!$A:$A,0)))),"CHECK KEY"))</f>
        <v/>
      </c>
      <c r="U1062" s="10" t="n"/>
      <c r="V1062" s="10" t="n"/>
      <c r="W1062" s="10" t="n"/>
      <c r="X1062" s="10" t="n"/>
      <c r="Y1062" s="10" t="n"/>
      <c r="Z1062" s="10" t="n"/>
      <c r="AA1062" s="11">
        <f>IF(A1062="","",IF(AND(J1062="P4",F1062="causal"),"P4-CAUSAL",""))</f>
        <v/>
      </c>
    </row>
    <row r="1063" ht="15" customHeight="1" s="1">
      <c r="P1063">
        <f>IF(OR(F1063="",H1063="",J1063=""),"",J1063&amp;"|"&amp;F1063&amp;"|"&amp;IF(H1063="W3","W3_"&amp;IF(I1063="","unknown",I1063),H1063))</f>
        <v/>
      </c>
      <c r="Q1063">
        <f>IF(P1063="","",IFERROR(IF(AND(H1063="W7",OR(F1063="causal",F1063="predictive")),IF(AND(OR(K1063=1,K1063="1"),OR(L1063=1,L1063="1"),OR(M1063=1,M1063="1")),"adequate","partial"),IF(AND(H1063="W4",F1063="predictive",OR(J1063="P2",J1063="P3",J1063="P4")),IF(OR(U1063=1,U1063="1"),"adequate","partial"),INDEX(Fit_Matrix!$B:$B,MATCH(P1063,Fit_Matrix!$A:$A,0)))),"CHECK KEY"))</f>
        <v/>
      </c>
      <c r="U1063" s="10" t="n"/>
      <c r="V1063" s="10" t="n"/>
      <c r="W1063" s="10" t="n"/>
      <c r="X1063" s="10" t="n"/>
      <c r="Y1063" s="10" t="n"/>
      <c r="Z1063" s="10" t="n"/>
      <c r="AA1063" s="11">
        <f>IF(A1063="","",IF(AND(J1063="P4",F1063="causal"),"P4-CAUSAL",""))</f>
        <v/>
      </c>
    </row>
    <row r="1064" ht="15" customHeight="1" s="1">
      <c r="P1064">
        <f>IF(OR(F1064="",H1064="",J1064=""),"",J1064&amp;"|"&amp;F1064&amp;"|"&amp;IF(H1064="W3","W3_"&amp;IF(I1064="","unknown",I1064),H1064))</f>
        <v/>
      </c>
      <c r="Q1064">
        <f>IF(P1064="","",IFERROR(IF(AND(H1064="W7",OR(F1064="causal",F1064="predictive")),IF(AND(OR(K1064=1,K1064="1"),OR(L1064=1,L1064="1"),OR(M1064=1,M1064="1")),"adequate","partial"),IF(AND(H1064="W4",F1064="predictive",OR(J1064="P2",J1064="P3",J1064="P4")),IF(OR(U1064=1,U1064="1"),"adequate","partial"),INDEX(Fit_Matrix!$B:$B,MATCH(P1064,Fit_Matrix!$A:$A,0)))),"CHECK KEY"))</f>
        <v/>
      </c>
      <c r="U1064" s="10" t="n"/>
      <c r="V1064" s="10" t="n"/>
      <c r="W1064" s="10" t="n"/>
      <c r="X1064" s="10" t="n"/>
      <c r="Y1064" s="10" t="n"/>
      <c r="Z1064" s="10" t="n"/>
      <c r="AA1064" s="11">
        <f>IF(A1064="","",IF(AND(J1064="P4",F1064="causal"),"P4-CAUSAL",""))</f>
        <v/>
      </c>
    </row>
    <row r="1065" ht="15" customHeight="1" s="1">
      <c r="P1065">
        <f>IF(OR(F1065="",H1065="",J1065=""),"",J1065&amp;"|"&amp;F1065&amp;"|"&amp;IF(H1065="W3","W3_"&amp;IF(I1065="","unknown",I1065),H1065))</f>
        <v/>
      </c>
      <c r="Q1065">
        <f>IF(P1065="","",IFERROR(IF(AND(H1065="W7",OR(F1065="causal",F1065="predictive")),IF(AND(OR(K1065=1,K1065="1"),OR(L1065=1,L1065="1"),OR(M1065=1,M1065="1")),"adequate","partial"),IF(AND(H1065="W4",F1065="predictive",OR(J1065="P2",J1065="P3",J1065="P4")),IF(OR(U1065=1,U1065="1"),"adequate","partial"),INDEX(Fit_Matrix!$B:$B,MATCH(P1065,Fit_Matrix!$A:$A,0)))),"CHECK KEY"))</f>
        <v/>
      </c>
      <c r="U1065" s="10" t="n"/>
      <c r="V1065" s="10" t="n"/>
      <c r="W1065" s="10" t="n"/>
      <c r="X1065" s="10" t="n"/>
      <c r="Y1065" s="10" t="n"/>
      <c r="Z1065" s="10" t="n"/>
      <c r="AA1065" s="11">
        <f>IF(A1065="","",IF(AND(J1065="P4",F1065="causal"),"P4-CAUSAL",""))</f>
        <v/>
      </c>
    </row>
    <row r="1066" ht="15" customHeight="1" s="1">
      <c r="P1066">
        <f>IF(OR(F1066="",H1066="",J1066=""),"",J1066&amp;"|"&amp;F1066&amp;"|"&amp;IF(H1066="W3","W3_"&amp;IF(I1066="","unknown",I1066),H1066))</f>
        <v/>
      </c>
      <c r="Q1066">
        <f>IF(P1066="","",IFERROR(IF(AND(H1066="W7",OR(F1066="causal",F1066="predictive")),IF(AND(OR(K1066=1,K1066="1"),OR(L1066=1,L1066="1"),OR(M1066=1,M1066="1")),"adequate","partial"),IF(AND(H1066="W4",F1066="predictive",OR(J1066="P2",J1066="P3",J1066="P4")),IF(OR(U1066=1,U1066="1"),"adequate","partial"),INDEX(Fit_Matrix!$B:$B,MATCH(P1066,Fit_Matrix!$A:$A,0)))),"CHECK KEY"))</f>
        <v/>
      </c>
      <c r="U1066" s="10" t="n"/>
      <c r="V1066" s="10" t="n"/>
      <c r="W1066" s="10" t="n"/>
      <c r="X1066" s="10" t="n"/>
      <c r="Y1066" s="10" t="n"/>
      <c r="Z1066" s="10" t="n"/>
      <c r="AA1066" s="11">
        <f>IF(A1066="","",IF(AND(J1066="P4",F1066="causal"),"P4-CAUSAL",""))</f>
        <v/>
      </c>
    </row>
    <row r="1067" ht="15" customHeight="1" s="1">
      <c r="P1067">
        <f>IF(OR(F1067="",H1067="",J1067=""),"",J1067&amp;"|"&amp;F1067&amp;"|"&amp;IF(H1067="W3","W3_"&amp;IF(I1067="","unknown",I1067),H1067))</f>
        <v/>
      </c>
      <c r="Q1067">
        <f>IF(P1067="","",IFERROR(IF(AND(H1067="W7",OR(F1067="causal",F1067="predictive")),IF(AND(OR(K1067=1,K1067="1"),OR(L1067=1,L1067="1"),OR(M1067=1,M1067="1")),"adequate","partial"),IF(AND(H1067="W4",F1067="predictive",OR(J1067="P2",J1067="P3",J1067="P4")),IF(OR(U1067=1,U1067="1"),"adequate","partial"),INDEX(Fit_Matrix!$B:$B,MATCH(P1067,Fit_Matrix!$A:$A,0)))),"CHECK KEY"))</f>
        <v/>
      </c>
      <c r="U1067" s="10" t="n"/>
      <c r="V1067" s="10" t="n"/>
      <c r="W1067" s="10" t="n"/>
      <c r="X1067" s="10" t="n"/>
      <c r="Y1067" s="10" t="n"/>
      <c r="Z1067" s="10" t="n"/>
      <c r="AA1067" s="11">
        <f>IF(A1067="","",IF(AND(J1067="P4",F1067="causal"),"P4-CAUSAL",""))</f>
        <v/>
      </c>
    </row>
    <row r="1068" ht="15" customHeight="1" s="1">
      <c r="P1068">
        <f>IF(OR(F1068="",H1068="",J1068=""),"",J1068&amp;"|"&amp;F1068&amp;"|"&amp;IF(H1068="W3","W3_"&amp;IF(I1068="","unknown",I1068),H1068))</f>
        <v/>
      </c>
      <c r="Q1068">
        <f>IF(P1068="","",IFERROR(IF(AND(H1068="W7",OR(F1068="causal",F1068="predictive")),IF(AND(OR(K1068=1,K1068="1"),OR(L1068=1,L1068="1"),OR(M1068=1,M1068="1")),"adequate","partial"),IF(AND(H1068="W4",F1068="predictive",OR(J1068="P2",J1068="P3",J1068="P4")),IF(OR(U1068=1,U1068="1"),"adequate","partial"),INDEX(Fit_Matrix!$B:$B,MATCH(P1068,Fit_Matrix!$A:$A,0)))),"CHECK KEY"))</f>
        <v/>
      </c>
      <c r="U1068" s="10" t="n"/>
      <c r="V1068" s="10" t="n"/>
      <c r="W1068" s="10" t="n"/>
      <c r="X1068" s="10" t="n"/>
      <c r="Y1068" s="10" t="n"/>
      <c r="Z1068" s="10" t="n"/>
      <c r="AA1068" s="11">
        <f>IF(A1068="","",IF(AND(J1068="P4",F1068="causal"),"P4-CAUSAL",""))</f>
        <v/>
      </c>
    </row>
    <row r="1069" ht="15" customHeight="1" s="1">
      <c r="P1069">
        <f>IF(OR(F1069="",H1069="",J1069=""),"",J1069&amp;"|"&amp;F1069&amp;"|"&amp;IF(H1069="W3","W3_"&amp;IF(I1069="","unknown",I1069),H1069))</f>
        <v/>
      </c>
      <c r="Q1069">
        <f>IF(P1069="","",IFERROR(IF(AND(H1069="W7",OR(F1069="causal",F1069="predictive")),IF(AND(OR(K1069=1,K1069="1"),OR(L1069=1,L1069="1"),OR(M1069=1,M1069="1")),"adequate","partial"),IF(AND(H1069="W4",F1069="predictive",OR(J1069="P2",J1069="P3",J1069="P4")),IF(OR(U1069=1,U1069="1"),"adequate","partial"),INDEX(Fit_Matrix!$B:$B,MATCH(P1069,Fit_Matrix!$A:$A,0)))),"CHECK KEY"))</f>
        <v/>
      </c>
      <c r="U1069" s="10" t="n"/>
      <c r="V1069" s="10" t="n"/>
      <c r="W1069" s="10" t="n"/>
      <c r="X1069" s="10" t="n"/>
      <c r="Y1069" s="10" t="n"/>
      <c r="Z1069" s="10" t="n"/>
      <c r="AA1069" s="11">
        <f>IF(A1069="","",IF(AND(J1069="P4",F1069="causal"),"P4-CAUSAL",""))</f>
        <v/>
      </c>
    </row>
    <row r="1070" ht="15" customHeight="1" s="1">
      <c r="P1070">
        <f>IF(OR(F1070="",H1070="",J1070=""),"",J1070&amp;"|"&amp;F1070&amp;"|"&amp;IF(H1070="W3","W3_"&amp;IF(I1070="","unknown",I1070),H1070))</f>
        <v/>
      </c>
      <c r="Q1070">
        <f>IF(P1070="","",IFERROR(IF(AND(H1070="W7",OR(F1070="causal",F1070="predictive")),IF(AND(OR(K1070=1,K1070="1"),OR(L1070=1,L1070="1"),OR(M1070=1,M1070="1")),"adequate","partial"),IF(AND(H1070="W4",F1070="predictive",OR(J1070="P2",J1070="P3",J1070="P4")),IF(OR(U1070=1,U1070="1"),"adequate","partial"),INDEX(Fit_Matrix!$B:$B,MATCH(P1070,Fit_Matrix!$A:$A,0)))),"CHECK KEY"))</f>
        <v/>
      </c>
      <c r="U1070" s="10" t="n"/>
      <c r="V1070" s="10" t="n"/>
      <c r="W1070" s="10" t="n"/>
      <c r="X1070" s="10" t="n"/>
      <c r="Y1070" s="10" t="n"/>
      <c r="Z1070" s="10" t="n"/>
      <c r="AA1070" s="11">
        <f>IF(A1070="","",IF(AND(J1070="P4",F1070="causal"),"P4-CAUSAL",""))</f>
        <v/>
      </c>
    </row>
    <row r="1071" ht="15" customHeight="1" s="1">
      <c r="P1071">
        <f>IF(OR(F1071="",H1071="",J1071=""),"",J1071&amp;"|"&amp;F1071&amp;"|"&amp;IF(H1071="W3","W3_"&amp;IF(I1071="","unknown",I1071),H1071))</f>
        <v/>
      </c>
      <c r="Q1071">
        <f>IF(P1071="","",IFERROR(IF(AND(H1071="W7",OR(F1071="causal",F1071="predictive")),IF(AND(OR(K1071=1,K1071="1"),OR(L1071=1,L1071="1"),OR(M1071=1,M1071="1")),"adequate","partial"),IF(AND(H1071="W4",F1071="predictive",OR(J1071="P2",J1071="P3",J1071="P4")),IF(OR(U1071=1,U1071="1"),"adequate","partial"),INDEX(Fit_Matrix!$B:$B,MATCH(P1071,Fit_Matrix!$A:$A,0)))),"CHECK KEY"))</f>
        <v/>
      </c>
      <c r="U1071" s="10" t="n"/>
      <c r="V1071" s="10" t="n"/>
      <c r="W1071" s="10" t="n"/>
      <c r="X1071" s="10" t="n"/>
      <c r="Y1071" s="10" t="n"/>
      <c r="Z1071" s="10" t="n"/>
      <c r="AA1071" s="11">
        <f>IF(A1071="","",IF(AND(J1071="P4",F1071="causal"),"P4-CAUSAL",""))</f>
        <v/>
      </c>
    </row>
    <row r="1072" ht="15" customHeight="1" s="1">
      <c r="P1072">
        <f>IF(OR(F1072="",H1072="",J1072=""),"",J1072&amp;"|"&amp;F1072&amp;"|"&amp;IF(H1072="W3","W3_"&amp;IF(I1072="","unknown",I1072),H1072))</f>
        <v/>
      </c>
      <c r="Q1072">
        <f>IF(P1072="","",IFERROR(IF(AND(H1072="W7",OR(F1072="causal",F1072="predictive")),IF(AND(OR(K1072=1,K1072="1"),OR(L1072=1,L1072="1"),OR(M1072=1,M1072="1")),"adequate","partial"),IF(AND(H1072="W4",F1072="predictive",OR(J1072="P2",J1072="P3",J1072="P4")),IF(OR(U1072=1,U1072="1"),"adequate","partial"),INDEX(Fit_Matrix!$B:$B,MATCH(P1072,Fit_Matrix!$A:$A,0)))),"CHECK KEY"))</f>
        <v/>
      </c>
      <c r="U1072" s="10" t="n"/>
      <c r="V1072" s="10" t="n"/>
      <c r="W1072" s="10" t="n"/>
      <c r="X1072" s="10" t="n"/>
      <c r="Y1072" s="10" t="n"/>
      <c r="Z1072" s="10" t="n"/>
      <c r="AA1072" s="11">
        <f>IF(A1072="","",IF(AND(J1072="P4",F1072="causal"),"P4-CAUSAL",""))</f>
        <v/>
      </c>
    </row>
    <row r="1073" ht="15" customHeight="1" s="1">
      <c r="P1073">
        <f>IF(OR(F1073="",H1073="",J1073=""),"",J1073&amp;"|"&amp;F1073&amp;"|"&amp;IF(H1073="W3","W3_"&amp;IF(I1073="","unknown",I1073),H1073))</f>
        <v/>
      </c>
      <c r="Q1073">
        <f>IF(P1073="","",IFERROR(IF(AND(H1073="W7",OR(F1073="causal",F1073="predictive")),IF(AND(OR(K1073=1,K1073="1"),OR(L1073=1,L1073="1"),OR(M1073=1,M1073="1")),"adequate","partial"),IF(AND(H1073="W4",F1073="predictive",OR(J1073="P2",J1073="P3",J1073="P4")),IF(OR(U1073=1,U1073="1"),"adequate","partial"),INDEX(Fit_Matrix!$B:$B,MATCH(P1073,Fit_Matrix!$A:$A,0)))),"CHECK KEY"))</f>
        <v/>
      </c>
      <c r="U1073" s="10" t="n"/>
      <c r="V1073" s="10" t="n"/>
      <c r="W1073" s="10" t="n"/>
      <c r="X1073" s="10" t="n"/>
      <c r="Y1073" s="10" t="n"/>
      <c r="Z1073" s="10" t="n"/>
      <c r="AA1073" s="11">
        <f>IF(A1073="","",IF(AND(J1073="P4",F1073="causal"),"P4-CAUSAL",""))</f>
        <v/>
      </c>
    </row>
    <row r="1074" ht="15" customHeight="1" s="1">
      <c r="P1074">
        <f>IF(OR(F1074="",H1074="",J1074=""),"",J1074&amp;"|"&amp;F1074&amp;"|"&amp;IF(H1074="W3","W3_"&amp;IF(I1074="","unknown",I1074),H1074))</f>
        <v/>
      </c>
      <c r="Q1074">
        <f>IF(P1074="","",IFERROR(IF(AND(H1074="W7",OR(F1074="causal",F1074="predictive")),IF(AND(OR(K1074=1,K1074="1"),OR(L1074=1,L1074="1"),OR(M1074=1,M1074="1")),"adequate","partial"),IF(AND(H1074="W4",F1074="predictive",OR(J1074="P2",J1074="P3",J1074="P4")),IF(OR(U1074=1,U1074="1"),"adequate","partial"),INDEX(Fit_Matrix!$B:$B,MATCH(P1074,Fit_Matrix!$A:$A,0)))),"CHECK KEY"))</f>
        <v/>
      </c>
      <c r="U1074" s="10" t="n"/>
      <c r="V1074" s="10" t="n"/>
      <c r="W1074" s="10" t="n"/>
      <c r="X1074" s="10" t="n"/>
      <c r="Y1074" s="10" t="n"/>
      <c r="Z1074" s="10" t="n"/>
      <c r="AA1074" s="11">
        <f>IF(A1074="","",IF(AND(J1074="P4",F1074="causal"),"P4-CAUSAL",""))</f>
        <v/>
      </c>
    </row>
    <row r="1075" ht="15" customHeight="1" s="1">
      <c r="P1075">
        <f>IF(OR(F1075="",H1075="",J1075=""),"",J1075&amp;"|"&amp;F1075&amp;"|"&amp;IF(H1075="W3","W3_"&amp;IF(I1075="","unknown",I1075),H1075))</f>
        <v/>
      </c>
      <c r="Q1075">
        <f>IF(P1075="","",IFERROR(IF(AND(H1075="W7",OR(F1075="causal",F1075="predictive")),IF(AND(OR(K1075=1,K1075="1"),OR(L1075=1,L1075="1"),OR(M1075=1,M1075="1")),"adequate","partial"),IF(AND(H1075="W4",F1075="predictive",OR(J1075="P2",J1075="P3",J1075="P4")),IF(OR(U1075=1,U1075="1"),"adequate","partial"),INDEX(Fit_Matrix!$B:$B,MATCH(P1075,Fit_Matrix!$A:$A,0)))),"CHECK KEY"))</f>
        <v/>
      </c>
      <c r="U1075" s="10" t="n"/>
      <c r="V1075" s="10" t="n"/>
      <c r="W1075" s="10" t="n"/>
      <c r="X1075" s="10" t="n"/>
      <c r="Y1075" s="10" t="n"/>
      <c r="Z1075" s="10" t="n"/>
      <c r="AA1075" s="11">
        <f>IF(A1075="","",IF(AND(J1075="P4",F1075="causal"),"P4-CAUSAL",""))</f>
        <v/>
      </c>
    </row>
    <row r="1076" ht="15" customHeight="1" s="1">
      <c r="P1076">
        <f>IF(OR(F1076="",H1076="",J1076=""),"",J1076&amp;"|"&amp;F1076&amp;"|"&amp;IF(H1076="W3","W3_"&amp;IF(I1076="","unknown",I1076),H1076))</f>
        <v/>
      </c>
      <c r="Q1076">
        <f>IF(P1076="","",IFERROR(IF(AND(H1076="W7",OR(F1076="causal",F1076="predictive")),IF(AND(OR(K1076=1,K1076="1"),OR(L1076=1,L1076="1"),OR(M1076=1,M1076="1")),"adequate","partial"),IF(AND(H1076="W4",F1076="predictive",OR(J1076="P2",J1076="P3",J1076="P4")),IF(OR(U1076=1,U1076="1"),"adequate","partial"),INDEX(Fit_Matrix!$B:$B,MATCH(P1076,Fit_Matrix!$A:$A,0)))),"CHECK KEY"))</f>
        <v/>
      </c>
      <c r="U1076" s="10" t="n"/>
      <c r="V1076" s="10" t="n"/>
      <c r="W1076" s="10" t="n"/>
      <c r="X1076" s="10" t="n"/>
      <c r="Y1076" s="10" t="n"/>
      <c r="Z1076" s="10" t="n"/>
      <c r="AA1076" s="11">
        <f>IF(A1076="","",IF(AND(J1076="P4",F1076="causal"),"P4-CAUSAL",""))</f>
        <v/>
      </c>
    </row>
    <row r="1077" ht="15" customHeight="1" s="1">
      <c r="P1077">
        <f>IF(OR(F1077="",H1077="",J1077=""),"",J1077&amp;"|"&amp;F1077&amp;"|"&amp;IF(H1077="W3","W3_"&amp;IF(I1077="","unknown",I1077),H1077))</f>
        <v/>
      </c>
      <c r="Q1077">
        <f>IF(P1077="","",IFERROR(IF(AND(H1077="W7",OR(F1077="causal",F1077="predictive")),IF(AND(OR(K1077=1,K1077="1"),OR(L1077=1,L1077="1"),OR(M1077=1,M1077="1")),"adequate","partial"),IF(AND(H1077="W4",F1077="predictive",OR(J1077="P2",J1077="P3",J1077="P4")),IF(OR(U1077=1,U1077="1"),"adequate","partial"),INDEX(Fit_Matrix!$B:$B,MATCH(P1077,Fit_Matrix!$A:$A,0)))),"CHECK KEY"))</f>
        <v/>
      </c>
      <c r="U1077" s="10" t="n"/>
      <c r="V1077" s="10" t="n"/>
      <c r="W1077" s="10" t="n"/>
      <c r="X1077" s="10" t="n"/>
      <c r="Y1077" s="10" t="n"/>
      <c r="Z1077" s="10" t="n"/>
      <c r="AA1077" s="11">
        <f>IF(A1077="","",IF(AND(J1077="P4",F1077="causal"),"P4-CAUSAL",""))</f>
        <v/>
      </c>
    </row>
    <row r="1078" ht="15" customHeight="1" s="1">
      <c r="P1078">
        <f>IF(OR(F1078="",H1078="",J1078=""),"",J1078&amp;"|"&amp;F1078&amp;"|"&amp;IF(H1078="W3","W3_"&amp;IF(I1078="","unknown",I1078),H1078))</f>
        <v/>
      </c>
      <c r="Q1078">
        <f>IF(P1078="","",IFERROR(IF(AND(H1078="W7",OR(F1078="causal",F1078="predictive")),IF(AND(OR(K1078=1,K1078="1"),OR(L1078=1,L1078="1"),OR(M1078=1,M1078="1")),"adequate","partial"),IF(AND(H1078="W4",F1078="predictive",OR(J1078="P2",J1078="P3",J1078="P4")),IF(OR(U1078=1,U1078="1"),"adequate","partial"),INDEX(Fit_Matrix!$B:$B,MATCH(P1078,Fit_Matrix!$A:$A,0)))),"CHECK KEY"))</f>
        <v/>
      </c>
      <c r="U1078" s="10" t="n"/>
      <c r="V1078" s="10" t="n"/>
      <c r="W1078" s="10" t="n"/>
      <c r="X1078" s="10" t="n"/>
      <c r="Y1078" s="10" t="n"/>
      <c r="Z1078" s="10" t="n"/>
      <c r="AA1078" s="11">
        <f>IF(A1078="","",IF(AND(J1078="P4",F1078="causal"),"P4-CAUSAL",""))</f>
        <v/>
      </c>
    </row>
    <row r="1079" ht="15" customHeight="1" s="1">
      <c r="P1079">
        <f>IF(OR(F1079="",H1079="",J1079=""),"",J1079&amp;"|"&amp;F1079&amp;"|"&amp;IF(H1079="W3","W3_"&amp;IF(I1079="","unknown",I1079),H1079))</f>
        <v/>
      </c>
      <c r="Q1079">
        <f>IF(P1079="","",IFERROR(IF(AND(H1079="W7",OR(F1079="causal",F1079="predictive")),IF(AND(OR(K1079=1,K1079="1"),OR(L1079=1,L1079="1"),OR(M1079=1,M1079="1")),"adequate","partial"),IF(AND(H1079="W4",F1079="predictive",OR(J1079="P2",J1079="P3",J1079="P4")),IF(OR(U1079=1,U1079="1"),"adequate","partial"),INDEX(Fit_Matrix!$B:$B,MATCH(P1079,Fit_Matrix!$A:$A,0)))),"CHECK KEY"))</f>
        <v/>
      </c>
      <c r="U1079" s="10" t="n"/>
      <c r="V1079" s="10" t="n"/>
      <c r="W1079" s="10" t="n"/>
      <c r="X1079" s="10" t="n"/>
      <c r="Y1079" s="10" t="n"/>
      <c r="Z1079" s="10" t="n"/>
      <c r="AA1079" s="11">
        <f>IF(A1079="","",IF(AND(J1079="P4",F1079="causal"),"P4-CAUSAL",""))</f>
        <v/>
      </c>
    </row>
    <row r="1080" ht="15" customHeight="1" s="1">
      <c r="P1080">
        <f>IF(OR(F1080="",H1080="",J1080=""),"",J1080&amp;"|"&amp;F1080&amp;"|"&amp;IF(H1080="W3","W3_"&amp;IF(I1080="","unknown",I1080),H1080))</f>
        <v/>
      </c>
      <c r="Q1080">
        <f>IF(P1080="","",IFERROR(IF(AND(H1080="W7",OR(F1080="causal",F1080="predictive")),IF(AND(OR(K1080=1,K1080="1"),OR(L1080=1,L1080="1"),OR(M1080=1,M1080="1")),"adequate","partial"),IF(AND(H1080="W4",F1080="predictive",OR(J1080="P2",J1080="P3",J1080="P4")),IF(OR(U1080=1,U1080="1"),"adequate","partial"),INDEX(Fit_Matrix!$B:$B,MATCH(P1080,Fit_Matrix!$A:$A,0)))),"CHECK KEY"))</f>
        <v/>
      </c>
      <c r="U1080" s="10" t="n"/>
      <c r="V1080" s="10" t="n"/>
      <c r="W1080" s="10" t="n"/>
      <c r="X1080" s="10" t="n"/>
      <c r="Y1080" s="10" t="n"/>
      <c r="Z1080" s="10" t="n"/>
      <c r="AA1080" s="11">
        <f>IF(A1080="","",IF(AND(J1080="P4",F1080="causal"),"P4-CAUSAL",""))</f>
        <v/>
      </c>
    </row>
    <row r="1081" ht="15" customHeight="1" s="1">
      <c r="P1081">
        <f>IF(OR(F1081="",H1081="",J1081=""),"",J1081&amp;"|"&amp;F1081&amp;"|"&amp;IF(H1081="W3","W3_"&amp;IF(I1081="","unknown",I1081),H1081))</f>
        <v/>
      </c>
      <c r="Q1081">
        <f>IF(P1081="","",IFERROR(IF(AND(H1081="W7",OR(F1081="causal",F1081="predictive")),IF(AND(OR(K1081=1,K1081="1"),OR(L1081=1,L1081="1"),OR(M1081=1,M1081="1")),"adequate","partial"),IF(AND(H1081="W4",F1081="predictive",OR(J1081="P2",J1081="P3",J1081="P4")),IF(OR(U1081=1,U1081="1"),"adequate","partial"),INDEX(Fit_Matrix!$B:$B,MATCH(P1081,Fit_Matrix!$A:$A,0)))),"CHECK KEY"))</f>
        <v/>
      </c>
      <c r="U1081" s="10" t="n"/>
      <c r="V1081" s="10" t="n"/>
      <c r="W1081" s="10" t="n"/>
      <c r="X1081" s="10" t="n"/>
      <c r="Y1081" s="10" t="n"/>
      <c r="Z1081" s="10" t="n"/>
      <c r="AA1081" s="11">
        <f>IF(A1081="","",IF(AND(J1081="P4",F1081="causal"),"P4-CAUSAL",""))</f>
        <v/>
      </c>
    </row>
    <row r="1082" ht="15" customHeight="1" s="1">
      <c r="P1082">
        <f>IF(OR(F1082="",H1082="",J1082=""),"",J1082&amp;"|"&amp;F1082&amp;"|"&amp;IF(H1082="W3","W3_"&amp;IF(I1082="","unknown",I1082),H1082))</f>
        <v/>
      </c>
      <c r="Q1082">
        <f>IF(P1082="","",IFERROR(IF(AND(H1082="W7",OR(F1082="causal",F1082="predictive")),IF(AND(OR(K1082=1,K1082="1"),OR(L1082=1,L1082="1"),OR(M1082=1,M1082="1")),"adequate","partial"),IF(AND(H1082="W4",F1082="predictive",OR(J1082="P2",J1082="P3",J1082="P4")),IF(OR(U1082=1,U1082="1"),"adequate","partial"),INDEX(Fit_Matrix!$B:$B,MATCH(P1082,Fit_Matrix!$A:$A,0)))),"CHECK KEY"))</f>
        <v/>
      </c>
      <c r="U1082" s="10" t="n"/>
      <c r="V1082" s="10" t="n"/>
      <c r="W1082" s="10" t="n"/>
      <c r="X1082" s="10" t="n"/>
      <c r="Y1082" s="10" t="n"/>
      <c r="Z1082" s="10" t="n"/>
      <c r="AA1082" s="11">
        <f>IF(A1082="","",IF(AND(J1082="P4",F1082="causal"),"P4-CAUSAL",""))</f>
        <v/>
      </c>
    </row>
    <row r="1083" ht="15" customHeight="1" s="1">
      <c r="P1083">
        <f>IF(OR(F1083="",H1083="",J1083=""),"",J1083&amp;"|"&amp;F1083&amp;"|"&amp;IF(H1083="W3","W3_"&amp;IF(I1083="","unknown",I1083),H1083))</f>
        <v/>
      </c>
      <c r="Q1083">
        <f>IF(P1083="","",IFERROR(IF(AND(H1083="W7",OR(F1083="causal",F1083="predictive")),IF(AND(OR(K1083=1,K1083="1"),OR(L1083=1,L1083="1"),OR(M1083=1,M1083="1")),"adequate","partial"),IF(AND(H1083="W4",F1083="predictive",OR(J1083="P2",J1083="P3",J1083="P4")),IF(OR(U1083=1,U1083="1"),"adequate","partial"),INDEX(Fit_Matrix!$B:$B,MATCH(P1083,Fit_Matrix!$A:$A,0)))),"CHECK KEY"))</f>
        <v/>
      </c>
      <c r="U1083" s="10" t="n"/>
      <c r="V1083" s="10" t="n"/>
      <c r="W1083" s="10" t="n"/>
      <c r="X1083" s="10" t="n"/>
      <c r="Y1083" s="10" t="n"/>
      <c r="Z1083" s="10" t="n"/>
      <c r="AA1083" s="11">
        <f>IF(A1083="","",IF(AND(J1083="P4",F1083="causal"),"P4-CAUSAL",""))</f>
        <v/>
      </c>
    </row>
    <row r="1084" ht="15" customHeight="1" s="1">
      <c r="P1084">
        <f>IF(OR(F1084="",H1084="",J1084=""),"",J1084&amp;"|"&amp;F1084&amp;"|"&amp;IF(H1084="W3","W3_"&amp;IF(I1084="","unknown",I1084),H1084))</f>
        <v/>
      </c>
      <c r="Q1084">
        <f>IF(P1084="","",IFERROR(IF(AND(H1084="W7",OR(F1084="causal",F1084="predictive")),IF(AND(OR(K1084=1,K1084="1"),OR(L1084=1,L1084="1"),OR(M1084=1,M1084="1")),"adequate","partial"),IF(AND(H1084="W4",F1084="predictive",OR(J1084="P2",J1084="P3",J1084="P4")),IF(OR(U1084=1,U1084="1"),"adequate","partial"),INDEX(Fit_Matrix!$B:$B,MATCH(P1084,Fit_Matrix!$A:$A,0)))),"CHECK KEY"))</f>
        <v/>
      </c>
      <c r="U1084" s="10" t="n"/>
      <c r="V1084" s="10" t="n"/>
      <c r="W1084" s="10" t="n"/>
      <c r="X1084" s="10" t="n"/>
      <c r="Y1084" s="10" t="n"/>
      <c r="Z1084" s="10" t="n"/>
      <c r="AA1084" s="11">
        <f>IF(A1084="","",IF(AND(J1084="P4",F1084="causal"),"P4-CAUSAL",""))</f>
        <v/>
      </c>
    </row>
    <row r="1085" ht="15" customHeight="1" s="1">
      <c r="P1085">
        <f>IF(OR(F1085="",H1085="",J1085=""),"",J1085&amp;"|"&amp;F1085&amp;"|"&amp;IF(H1085="W3","W3_"&amp;IF(I1085="","unknown",I1085),H1085))</f>
        <v/>
      </c>
      <c r="Q1085">
        <f>IF(P1085="","",IFERROR(IF(AND(H1085="W7",OR(F1085="causal",F1085="predictive")),IF(AND(OR(K1085=1,K1085="1"),OR(L1085=1,L1085="1"),OR(M1085=1,M1085="1")),"adequate","partial"),IF(AND(H1085="W4",F1085="predictive",OR(J1085="P2",J1085="P3",J1085="P4")),IF(OR(U1085=1,U1085="1"),"adequate","partial"),INDEX(Fit_Matrix!$B:$B,MATCH(P1085,Fit_Matrix!$A:$A,0)))),"CHECK KEY"))</f>
        <v/>
      </c>
      <c r="U1085" s="10" t="n"/>
      <c r="V1085" s="10" t="n"/>
      <c r="W1085" s="10" t="n"/>
      <c r="X1085" s="10" t="n"/>
      <c r="Y1085" s="10" t="n"/>
      <c r="Z1085" s="10" t="n"/>
      <c r="AA1085" s="11">
        <f>IF(A1085="","",IF(AND(J1085="P4",F1085="causal"),"P4-CAUSAL",""))</f>
        <v/>
      </c>
    </row>
    <row r="1086" ht="15" customHeight="1" s="1">
      <c r="P1086">
        <f>IF(OR(F1086="",H1086="",J1086=""),"",J1086&amp;"|"&amp;F1086&amp;"|"&amp;IF(H1086="W3","W3_"&amp;IF(I1086="","unknown",I1086),H1086))</f>
        <v/>
      </c>
      <c r="Q1086">
        <f>IF(P1086="","",IFERROR(IF(AND(H1086="W7",OR(F1086="causal",F1086="predictive")),IF(AND(OR(K1086=1,K1086="1"),OR(L1086=1,L1086="1"),OR(M1086=1,M1086="1")),"adequate","partial"),IF(AND(H1086="W4",F1086="predictive",OR(J1086="P2",J1086="P3",J1086="P4")),IF(OR(U1086=1,U1086="1"),"adequate","partial"),INDEX(Fit_Matrix!$B:$B,MATCH(P1086,Fit_Matrix!$A:$A,0)))),"CHECK KEY"))</f>
        <v/>
      </c>
      <c r="U1086" s="10" t="n"/>
      <c r="V1086" s="10" t="n"/>
      <c r="W1086" s="10" t="n"/>
      <c r="X1086" s="10" t="n"/>
      <c r="Y1086" s="10" t="n"/>
      <c r="Z1086" s="10" t="n"/>
      <c r="AA1086" s="11">
        <f>IF(A1086="","",IF(AND(J1086="P4",F1086="causal"),"P4-CAUSAL",""))</f>
        <v/>
      </c>
    </row>
    <row r="1087" ht="15" customHeight="1" s="1">
      <c r="P1087">
        <f>IF(OR(F1087="",H1087="",J1087=""),"",J1087&amp;"|"&amp;F1087&amp;"|"&amp;IF(H1087="W3","W3_"&amp;IF(I1087="","unknown",I1087),H1087))</f>
        <v/>
      </c>
      <c r="Q1087">
        <f>IF(P1087="","",IFERROR(IF(AND(H1087="W7",OR(F1087="causal",F1087="predictive")),IF(AND(OR(K1087=1,K1087="1"),OR(L1087=1,L1087="1"),OR(M1087=1,M1087="1")),"adequate","partial"),IF(AND(H1087="W4",F1087="predictive",OR(J1087="P2",J1087="P3",J1087="P4")),IF(OR(U1087=1,U1087="1"),"adequate","partial"),INDEX(Fit_Matrix!$B:$B,MATCH(P1087,Fit_Matrix!$A:$A,0)))),"CHECK KEY"))</f>
        <v/>
      </c>
      <c r="U1087" s="10" t="n"/>
      <c r="V1087" s="10" t="n"/>
      <c r="W1087" s="10" t="n"/>
      <c r="X1087" s="10" t="n"/>
      <c r="Y1087" s="10" t="n"/>
      <c r="Z1087" s="10" t="n"/>
      <c r="AA1087" s="11">
        <f>IF(A1087="","",IF(AND(J1087="P4",F1087="causal"),"P4-CAUSAL",""))</f>
        <v/>
      </c>
    </row>
    <row r="1088" ht="15" customHeight="1" s="1">
      <c r="P1088">
        <f>IF(OR(F1088="",H1088="",J1088=""),"",J1088&amp;"|"&amp;F1088&amp;"|"&amp;IF(H1088="W3","W3_"&amp;IF(I1088="","unknown",I1088),H1088))</f>
        <v/>
      </c>
      <c r="Q1088">
        <f>IF(P1088="","",IFERROR(IF(AND(H1088="W7",OR(F1088="causal",F1088="predictive")),IF(AND(OR(K1088=1,K1088="1"),OR(L1088=1,L1088="1"),OR(M1088=1,M1088="1")),"adequate","partial"),IF(AND(H1088="W4",F1088="predictive",OR(J1088="P2",J1088="P3",J1088="P4")),IF(OR(U1088=1,U1088="1"),"adequate","partial"),INDEX(Fit_Matrix!$B:$B,MATCH(P1088,Fit_Matrix!$A:$A,0)))),"CHECK KEY"))</f>
        <v/>
      </c>
      <c r="U1088" s="10" t="n"/>
      <c r="V1088" s="10" t="n"/>
      <c r="W1088" s="10" t="n"/>
      <c r="X1088" s="10" t="n"/>
      <c r="Y1088" s="10" t="n"/>
      <c r="Z1088" s="10" t="n"/>
      <c r="AA1088" s="11">
        <f>IF(A1088="","",IF(AND(J1088="P4",F1088="causal"),"P4-CAUSAL",""))</f>
        <v/>
      </c>
    </row>
    <row r="1089" ht="15" customHeight="1" s="1">
      <c r="P1089">
        <f>IF(OR(F1089="",H1089="",J1089=""),"",J1089&amp;"|"&amp;F1089&amp;"|"&amp;IF(H1089="W3","W3_"&amp;IF(I1089="","unknown",I1089),H1089))</f>
        <v/>
      </c>
      <c r="Q1089">
        <f>IF(P1089="","",IFERROR(IF(AND(H1089="W7",OR(F1089="causal",F1089="predictive")),IF(AND(OR(K1089=1,K1089="1"),OR(L1089=1,L1089="1"),OR(M1089=1,M1089="1")),"adequate","partial"),IF(AND(H1089="W4",F1089="predictive",OR(J1089="P2",J1089="P3",J1089="P4")),IF(OR(U1089=1,U1089="1"),"adequate","partial"),INDEX(Fit_Matrix!$B:$B,MATCH(P1089,Fit_Matrix!$A:$A,0)))),"CHECK KEY"))</f>
        <v/>
      </c>
      <c r="U1089" s="10" t="n"/>
      <c r="V1089" s="10" t="n"/>
      <c r="W1089" s="10" t="n"/>
      <c r="X1089" s="10" t="n"/>
      <c r="Y1089" s="10" t="n"/>
      <c r="Z1089" s="10" t="n"/>
      <c r="AA1089" s="11">
        <f>IF(A1089="","",IF(AND(J1089="P4",F1089="causal"),"P4-CAUSAL",""))</f>
        <v/>
      </c>
    </row>
    <row r="1090" ht="15" customHeight="1" s="1">
      <c r="P1090">
        <f>IF(OR(F1090="",H1090="",J1090=""),"",J1090&amp;"|"&amp;F1090&amp;"|"&amp;IF(H1090="W3","W3_"&amp;IF(I1090="","unknown",I1090),H1090))</f>
        <v/>
      </c>
      <c r="Q1090">
        <f>IF(P1090="","",IFERROR(IF(AND(H1090="W7",OR(F1090="causal",F1090="predictive")),IF(AND(OR(K1090=1,K1090="1"),OR(L1090=1,L1090="1"),OR(M1090=1,M1090="1")),"adequate","partial"),IF(AND(H1090="W4",F1090="predictive",OR(J1090="P2",J1090="P3",J1090="P4")),IF(OR(U1090=1,U1090="1"),"adequate","partial"),INDEX(Fit_Matrix!$B:$B,MATCH(P1090,Fit_Matrix!$A:$A,0)))),"CHECK KEY"))</f>
        <v/>
      </c>
      <c r="U1090" s="10" t="n"/>
      <c r="V1090" s="10" t="n"/>
      <c r="W1090" s="10" t="n"/>
      <c r="X1090" s="10" t="n"/>
      <c r="Y1090" s="10" t="n"/>
      <c r="Z1090" s="10" t="n"/>
      <c r="AA1090" s="11">
        <f>IF(A1090="","",IF(AND(J1090="P4",F1090="causal"),"P4-CAUSAL",""))</f>
        <v/>
      </c>
    </row>
    <row r="1091" ht="15" customHeight="1" s="1">
      <c r="P1091">
        <f>IF(OR(F1091="",H1091="",J1091=""),"",J1091&amp;"|"&amp;F1091&amp;"|"&amp;IF(H1091="W3","W3_"&amp;IF(I1091="","unknown",I1091),H1091))</f>
        <v/>
      </c>
      <c r="Q1091">
        <f>IF(P1091="","",IFERROR(IF(AND(H1091="W7",OR(F1091="causal",F1091="predictive")),IF(AND(OR(K1091=1,K1091="1"),OR(L1091=1,L1091="1"),OR(M1091=1,M1091="1")),"adequate","partial"),IF(AND(H1091="W4",F1091="predictive",OR(J1091="P2",J1091="P3",J1091="P4")),IF(OR(U1091=1,U1091="1"),"adequate","partial"),INDEX(Fit_Matrix!$B:$B,MATCH(P1091,Fit_Matrix!$A:$A,0)))),"CHECK KEY"))</f>
        <v/>
      </c>
      <c r="U1091" s="10" t="n"/>
      <c r="V1091" s="10" t="n"/>
      <c r="W1091" s="10" t="n"/>
      <c r="X1091" s="10" t="n"/>
      <c r="Y1091" s="10" t="n"/>
      <c r="Z1091" s="10" t="n"/>
      <c r="AA1091" s="11">
        <f>IF(A1091="","",IF(AND(J1091="P4",F1091="causal"),"P4-CAUSAL",""))</f>
        <v/>
      </c>
    </row>
    <row r="1092" ht="15" customHeight="1" s="1">
      <c r="P1092">
        <f>IF(OR(F1092="",H1092="",J1092=""),"",J1092&amp;"|"&amp;F1092&amp;"|"&amp;IF(H1092="W3","W3_"&amp;IF(I1092="","unknown",I1092),H1092))</f>
        <v/>
      </c>
      <c r="Q1092">
        <f>IF(P1092="","",IFERROR(IF(AND(H1092="W7",OR(F1092="causal",F1092="predictive")),IF(AND(OR(K1092=1,K1092="1"),OR(L1092=1,L1092="1"),OR(M1092=1,M1092="1")),"adequate","partial"),IF(AND(H1092="W4",F1092="predictive",OR(J1092="P2",J1092="P3",J1092="P4")),IF(OR(U1092=1,U1092="1"),"adequate","partial"),INDEX(Fit_Matrix!$B:$B,MATCH(P1092,Fit_Matrix!$A:$A,0)))),"CHECK KEY"))</f>
        <v/>
      </c>
      <c r="U1092" s="10" t="n"/>
      <c r="V1092" s="10" t="n"/>
      <c r="W1092" s="10" t="n"/>
      <c r="X1092" s="10" t="n"/>
      <c r="Y1092" s="10" t="n"/>
      <c r="Z1092" s="10" t="n"/>
      <c r="AA1092" s="11">
        <f>IF(A1092="","",IF(AND(J1092="P4",F1092="causal"),"P4-CAUSAL",""))</f>
        <v/>
      </c>
    </row>
    <row r="1093" ht="15" customHeight="1" s="1">
      <c r="P1093">
        <f>IF(OR(F1093="",H1093="",J1093=""),"",J1093&amp;"|"&amp;F1093&amp;"|"&amp;IF(H1093="W3","W3_"&amp;IF(I1093="","unknown",I1093),H1093))</f>
        <v/>
      </c>
      <c r="Q1093">
        <f>IF(P1093="","",IFERROR(IF(AND(H1093="W7",OR(F1093="causal",F1093="predictive")),IF(AND(OR(K1093=1,K1093="1"),OR(L1093=1,L1093="1"),OR(M1093=1,M1093="1")),"adequate","partial"),IF(AND(H1093="W4",F1093="predictive",OR(J1093="P2",J1093="P3",J1093="P4")),IF(OR(U1093=1,U1093="1"),"adequate","partial"),INDEX(Fit_Matrix!$B:$B,MATCH(P1093,Fit_Matrix!$A:$A,0)))),"CHECK KEY"))</f>
        <v/>
      </c>
      <c r="U1093" s="10" t="n"/>
      <c r="V1093" s="10" t="n"/>
      <c r="W1093" s="10" t="n"/>
      <c r="X1093" s="10" t="n"/>
      <c r="Y1093" s="10" t="n"/>
      <c r="Z1093" s="10" t="n"/>
      <c r="AA1093" s="11">
        <f>IF(A1093="","",IF(AND(J1093="P4",F1093="causal"),"P4-CAUSAL",""))</f>
        <v/>
      </c>
    </row>
    <row r="1094" ht="15" customHeight="1" s="1">
      <c r="P1094">
        <f>IF(OR(F1094="",H1094="",J1094=""),"",J1094&amp;"|"&amp;F1094&amp;"|"&amp;IF(H1094="W3","W3_"&amp;IF(I1094="","unknown",I1094),H1094))</f>
        <v/>
      </c>
      <c r="Q1094">
        <f>IF(P1094="","",IFERROR(IF(AND(H1094="W7",OR(F1094="causal",F1094="predictive")),IF(AND(OR(K1094=1,K1094="1"),OR(L1094=1,L1094="1"),OR(M1094=1,M1094="1")),"adequate","partial"),IF(AND(H1094="W4",F1094="predictive",OR(J1094="P2",J1094="P3",J1094="P4")),IF(OR(U1094=1,U1094="1"),"adequate","partial"),INDEX(Fit_Matrix!$B:$B,MATCH(P1094,Fit_Matrix!$A:$A,0)))),"CHECK KEY"))</f>
        <v/>
      </c>
      <c r="U1094" s="10" t="n"/>
      <c r="V1094" s="10" t="n"/>
      <c r="W1094" s="10" t="n"/>
      <c r="X1094" s="10" t="n"/>
      <c r="Y1094" s="10" t="n"/>
      <c r="Z1094" s="10" t="n"/>
      <c r="AA1094" s="11">
        <f>IF(A1094="","",IF(AND(J1094="P4",F1094="causal"),"P4-CAUSAL",""))</f>
        <v/>
      </c>
    </row>
    <row r="1095" ht="15" customHeight="1" s="1">
      <c r="P1095">
        <f>IF(OR(F1095="",H1095="",J1095=""),"",J1095&amp;"|"&amp;F1095&amp;"|"&amp;IF(H1095="W3","W3_"&amp;IF(I1095="","unknown",I1095),H1095))</f>
        <v/>
      </c>
      <c r="Q1095">
        <f>IF(P1095="","",IFERROR(IF(AND(H1095="W7",OR(F1095="causal",F1095="predictive")),IF(AND(OR(K1095=1,K1095="1"),OR(L1095=1,L1095="1"),OR(M1095=1,M1095="1")),"adequate","partial"),IF(AND(H1095="W4",F1095="predictive",OR(J1095="P2",J1095="P3",J1095="P4")),IF(OR(U1095=1,U1095="1"),"adequate","partial"),INDEX(Fit_Matrix!$B:$B,MATCH(P1095,Fit_Matrix!$A:$A,0)))),"CHECK KEY"))</f>
        <v/>
      </c>
      <c r="U1095" s="10" t="n"/>
      <c r="V1095" s="10" t="n"/>
      <c r="W1095" s="10" t="n"/>
      <c r="X1095" s="10" t="n"/>
      <c r="Y1095" s="10" t="n"/>
      <c r="Z1095" s="10" t="n"/>
      <c r="AA1095" s="11">
        <f>IF(A1095="","",IF(AND(J1095="P4",F1095="causal"),"P4-CAUSAL",""))</f>
        <v/>
      </c>
    </row>
    <row r="1096" ht="15" customHeight="1" s="1">
      <c r="P1096">
        <f>IF(OR(F1096="",H1096="",J1096=""),"",J1096&amp;"|"&amp;F1096&amp;"|"&amp;IF(H1096="W3","W3_"&amp;IF(I1096="","unknown",I1096),H1096))</f>
        <v/>
      </c>
      <c r="Q1096">
        <f>IF(P1096="","",IFERROR(IF(AND(H1096="W7",OR(F1096="causal",F1096="predictive")),IF(AND(OR(K1096=1,K1096="1"),OR(L1096=1,L1096="1"),OR(M1096=1,M1096="1")),"adequate","partial"),IF(AND(H1096="W4",F1096="predictive",OR(J1096="P2",J1096="P3",J1096="P4")),IF(OR(U1096=1,U1096="1"),"adequate","partial"),INDEX(Fit_Matrix!$B:$B,MATCH(P1096,Fit_Matrix!$A:$A,0)))),"CHECK KEY"))</f>
        <v/>
      </c>
      <c r="U1096" s="10" t="n"/>
      <c r="V1096" s="10" t="n"/>
      <c r="W1096" s="10" t="n"/>
      <c r="X1096" s="10" t="n"/>
      <c r="Y1096" s="10" t="n"/>
      <c r="Z1096" s="10" t="n"/>
      <c r="AA1096" s="11">
        <f>IF(A1096="","",IF(AND(J1096="P4",F1096="causal"),"P4-CAUSAL",""))</f>
        <v/>
      </c>
    </row>
    <row r="1097" ht="15" customHeight="1" s="1">
      <c r="P1097">
        <f>IF(OR(F1097="",H1097="",J1097=""),"",J1097&amp;"|"&amp;F1097&amp;"|"&amp;IF(H1097="W3","W3_"&amp;IF(I1097="","unknown",I1097),H1097))</f>
        <v/>
      </c>
      <c r="Q1097">
        <f>IF(P1097="","",IFERROR(IF(AND(H1097="W7",OR(F1097="causal",F1097="predictive")),IF(AND(OR(K1097=1,K1097="1"),OR(L1097=1,L1097="1"),OR(M1097=1,M1097="1")),"adequate","partial"),IF(AND(H1097="W4",F1097="predictive",OR(J1097="P2",J1097="P3",J1097="P4")),IF(OR(U1097=1,U1097="1"),"adequate","partial"),INDEX(Fit_Matrix!$B:$B,MATCH(P1097,Fit_Matrix!$A:$A,0)))),"CHECK KEY"))</f>
        <v/>
      </c>
      <c r="U1097" s="10" t="n"/>
      <c r="V1097" s="10" t="n"/>
      <c r="W1097" s="10" t="n"/>
      <c r="X1097" s="10" t="n"/>
      <c r="Y1097" s="10" t="n"/>
      <c r="Z1097" s="10" t="n"/>
      <c r="AA1097" s="11">
        <f>IF(A1097="","",IF(AND(J1097="P4",F1097="causal"),"P4-CAUSAL",""))</f>
        <v/>
      </c>
    </row>
    <row r="1098" ht="15" customHeight="1" s="1">
      <c r="P1098">
        <f>IF(OR(F1098="",H1098="",J1098=""),"",J1098&amp;"|"&amp;F1098&amp;"|"&amp;IF(H1098="W3","W3_"&amp;IF(I1098="","unknown",I1098),H1098))</f>
        <v/>
      </c>
      <c r="Q1098">
        <f>IF(P1098="","",IFERROR(IF(AND(H1098="W7",OR(F1098="causal",F1098="predictive")),IF(AND(OR(K1098=1,K1098="1"),OR(L1098=1,L1098="1"),OR(M1098=1,M1098="1")),"adequate","partial"),IF(AND(H1098="W4",F1098="predictive",OR(J1098="P2",J1098="P3",J1098="P4")),IF(OR(U1098=1,U1098="1"),"adequate","partial"),INDEX(Fit_Matrix!$B:$B,MATCH(P1098,Fit_Matrix!$A:$A,0)))),"CHECK KEY"))</f>
        <v/>
      </c>
      <c r="U1098" s="10" t="n"/>
      <c r="V1098" s="10" t="n"/>
      <c r="W1098" s="10" t="n"/>
      <c r="X1098" s="10" t="n"/>
      <c r="Y1098" s="10" t="n"/>
      <c r="Z1098" s="10" t="n"/>
      <c r="AA1098" s="11">
        <f>IF(A1098="","",IF(AND(J1098="P4",F1098="causal"),"P4-CAUSAL",""))</f>
        <v/>
      </c>
    </row>
    <row r="1099" ht="15" customHeight="1" s="1">
      <c r="P1099">
        <f>IF(OR(F1099="",H1099="",J1099=""),"",J1099&amp;"|"&amp;F1099&amp;"|"&amp;IF(H1099="W3","W3_"&amp;IF(I1099="","unknown",I1099),H1099))</f>
        <v/>
      </c>
      <c r="Q1099">
        <f>IF(P1099="","",IFERROR(IF(AND(H1099="W7",OR(F1099="causal",F1099="predictive")),IF(AND(OR(K1099=1,K1099="1"),OR(L1099=1,L1099="1"),OR(M1099=1,M1099="1")),"adequate","partial"),IF(AND(H1099="W4",F1099="predictive",OR(J1099="P2",J1099="P3",J1099="P4")),IF(OR(U1099=1,U1099="1"),"adequate","partial"),INDEX(Fit_Matrix!$B:$B,MATCH(P1099,Fit_Matrix!$A:$A,0)))),"CHECK KEY"))</f>
        <v/>
      </c>
      <c r="U1099" s="10" t="n"/>
      <c r="V1099" s="10" t="n"/>
      <c r="W1099" s="10" t="n"/>
      <c r="X1099" s="10" t="n"/>
      <c r="Y1099" s="10" t="n"/>
      <c r="Z1099" s="10" t="n"/>
      <c r="AA1099" s="11">
        <f>IF(A1099="","",IF(AND(J1099="P4",F1099="causal"),"P4-CAUSAL",""))</f>
        <v/>
      </c>
    </row>
    <row r="1100" ht="15" customHeight="1" s="1">
      <c r="P1100">
        <f>IF(OR(F1100="",H1100="",J1100=""),"",J1100&amp;"|"&amp;F1100&amp;"|"&amp;IF(H1100="W3","W3_"&amp;IF(I1100="","unknown",I1100),H1100))</f>
        <v/>
      </c>
      <c r="Q1100">
        <f>IF(P1100="","",IFERROR(IF(AND(H1100="W7",OR(F1100="causal",F1100="predictive")),IF(AND(OR(K1100=1,K1100="1"),OR(L1100=1,L1100="1"),OR(M1100=1,M1100="1")),"adequate","partial"),IF(AND(H1100="W4",F1100="predictive",OR(J1100="P2",J1100="P3",J1100="P4")),IF(OR(U1100=1,U1100="1"),"adequate","partial"),INDEX(Fit_Matrix!$B:$B,MATCH(P1100,Fit_Matrix!$A:$A,0)))),"CHECK KEY"))</f>
        <v/>
      </c>
      <c r="U1100" s="10" t="n"/>
      <c r="V1100" s="10" t="n"/>
      <c r="W1100" s="10" t="n"/>
      <c r="X1100" s="10" t="n"/>
      <c r="Y1100" s="10" t="n"/>
      <c r="Z1100" s="10" t="n"/>
      <c r="AA1100" s="11">
        <f>IF(A1100="","",IF(AND(J1100="P4",F1100="causal"),"P4-CAUSAL",""))</f>
        <v/>
      </c>
    </row>
    <row r="1101" ht="15" customHeight="1" s="1">
      <c r="P1101">
        <f>IF(OR(F1101="",H1101="",J1101=""),"",J1101&amp;"|"&amp;F1101&amp;"|"&amp;IF(H1101="W3","W3_"&amp;IF(I1101="","unknown",I1101),H1101))</f>
        <v/>
      </c>
      <c r="Q1101">
        <f>IF(P1101="","",IFERROR(IF(AND(H1101="W7",OR(F1101="causal",F1101="predictive")),IF(AND(OR(K1101=1,K1101="1"),OR(L1101=1,L1101="1"),OR(M1101=1,M1101="1")),"adequate","partial"),IF(AND(H1101="W4",F1101="predictive",OR(J1101="P2",J1101="P3",J1101="P4")),IF(OR(U1101=1,U1101="1"),"adequate","partial"),INDEX(Fit_Matrix!$B:$B,MATCH(P1101,Fit_Matrix!$A:$A,0)))),"CHECK KEY"))</f>
        <v/>
      </c>
      <c r="U1101" s="10" t="n"/>
      <c r="V1101" s="10" t="n"/>
      <c r="W1101" s="10" t="n"/>
      <c r="X1101" s="10" t="n"/>
      <c r="Y1101" s="10" t="n"/>
      <c r="Z1101" s="10" t="n"/>
      <c r="AA1101" s="11">
        <f>IF(A1101="","",IF(AND(J1101="P4",F1101="causal"),"P4-CAUSAL",""))</f>
        <v/>
      </c>
    </row>
    <row r="1102" ht="15" customHeight="1" s="1">
      <c r="P1102">
        <f>IF(OR(F1102="",H1102="",J1102=""),"",J1102&amp;"|"&amp;F1102&amp;"|"&amp;IF(H1102="W3","W3_"&amp;IF(I1102="","unknown",I1102),H1102))</f>
        <v/>
      </c>
      <c r="Q1102">
        <f>IF(P1102="","",IFERROR(IF(AND(H1102="W7",OR(F1102="causal",F1102="predictive")),IF(AND(OR(K1102=1,K1102="1"),OR(L1102=1,L1102="1"),OR(M1102=1,M1102="1")),"adequate","partial"),IF(AND(H1102="W4",F1102="predictive",OR(J1102="P2",J1102="P3",J1102="P4")),IF(OR(U1102=1,U1102="1"),"adequate","partial"),INDEX(Fit_Matrix!$B:$B,MATCH(P1102,Fit_Matrix!$A:$A,0)))),"CHECK KEY"))</f>
        <v/>
      </c>
      <c r="U1102" s="10" t="n"/>
      <c r="V1102" s="10" t="n"/>
      <c r="W1102" s="10" t="n"/>
      <c r="X1102" s="10" t="n"/>
      <c r="Y1102" s="10" t="n"/>
      <c r="Z1102" s="10" t="n"/>
      <c r="AA1102" s="11">
        <f>IF(A1102="","",IF(AND(J1102="P4",F1102="causal"),"P4-CAUSAL",""))</f>
        <v/>
      </c>
    </row>
    <row r="1103" ht="15" customHeight="1" s="1">
      <c r="P1103">
        <f>IF(OR(F1103="",H1103="",J1103=""),"",J1103&amp;"|"&amp;F1103&amp;"|"&amp;IF(H1103="W3","W3_"&amp;IF(I1103="","unknown",I1103),H1103))</f>
        <v/>
      </c>
      <c r="Q1103">
        <f>IF(P1103="","",IFERROR(IF(AND(H1103="W7",OR(F1103="causal",F1103="predictive")),IF(AND(OR(K1103=1,K1103="1"),OR(L1103=1,L1103="1"),OR(M1103=1,M1103="1")),"adequate","partial"),IF(AND(H1103="W4",F1103="predictive",OR(J1103="P2",J1103="P3",J1103="P4")),IF(OR(U1103=1,U1103="1"),"adequate","partial"),INDEX(Fit_Matrix!$B:$B,MATCH(P1103,Fit_Matrix!$A:$A,0)))),"CHECK KEY"))</f>
        <v/>
      </c>
      <c r="U1103" s="10" t="n"/>
      <c r="V1103" s="10" t="n"/>
      <c r="W1103" s="10" t="n"/>
      <c r="X1103" s="10" t="n"/>
      <c r="Y1103" s="10" t="n"/>
      <c r="Z1103" s="10" t="n"/>
      <c r="AA1103" s="11">
        <f>IF(A1103="","",IF(AND(J1103="P4",F1103="causal"),"P4-CAUSAL",""))</f>
        <v/>
      </c>
    </row>
    <row r="1104" ht="15" customHeight="1" s="1">
      <c r="P1104">
        <f>IF(OR(F1104="",H1104="",J1104=""),"",J1104&amp;"|"&amp;F1104&amp;"|"&amp;IF(H1104="W3","W3_"&amp;IF(I1104="","unknown",I1104),H1104))</f>
        <v/>
      </c>
      <c r="Q1104">
        <f>IF(P1104="","",IFERROR(IF(AND(H1104="W7",OR(F1104="causal",F1104="predictive")),IF(AND(OR(K1104=1,K1104="1"),OR(L1104=1,L1104="1"),OR(M1104=1,M1104="1")),"adequate","partial"),IF(AND(H1104="W4",F1104="predictive",OR(J1104="P2",J1104="P3",J1104="P4")),IF(OR(U1104=1,U1104="1"),"adequate","partial"),INDEX(Fit_Matrix!$B:$B,MATCH(P1104,Fit_Matrix!$A:$A,0)))),"CHECK KEY"))</f>
        <v/>
      </c>
      <c r="U1104" s="10" t="n"/>
      <c r="V1104" s="10" t="n"/>
      <c r="W1104" s="10" t="n"/>
      <c r="X1104" s="10" t="n"/>
      <c r="Y1104" s="10" t="n"/>
      <c r="Z1104" s="10" t="n"/>
      <c r="AA1104" s="11">
        <f>IF(A1104="","",IF(AND(J1104="P4",F1104="causal"),"P4-CAUSAL",""))</f>
        <v/>
      </c>
    </row>
    <row r="1105" ht="15" customHeight="1" s="1">
      <c r="P1105">
        <f>IF(OR(F1105="",H1105="",J1105=""),"",J1105&amp;"|"&amp;F1105&amp;"|"&amp;IF(H1105="W3","W3_"&amp;IF(I1105="","unknown",I1105),H1105))</f>
        <v/>
      </c>
      <c r="Q1105">
        <f>IF(P1105="","",IFERROR(IF(AND(H1105="W7",OR(F1105="causal",F1105="predictive")),IF(AND(OR(K1105=1,K1105="1"),OR(L1105=1,L1105="1"),OR(M1105=1,M1105="1")),"adequate","partial"),IF(AND(H1105="W4",F1105="predictive",OR(J1105="P2",J1105="P3",J1105="P4")),IF(OR(U1105=1,U1105="1"),"adequate","partial"),INDEX(Fit_Matrix!$B:$B,MATCH(P1105,Fit_Matrix!$A:$A,0)))),"CHECK KEY"))</f>
        <v/>
      </c>
      <c r="U1105" s="10" t="n"/>
      <c r="V1105" s="10" t="n"/>
      <c r="W1105" s="10" t="n"/>
      <c r="X1105" s="10" t="n"/>
      <c r="Y1105" s="10" t="n"/>
      <c r="Z1105" s="10" t="n"/>
      <c r="AA1105" s="11">
        <f>IF(A1105="","",IF(AND(J1105="P4",F1105="causal"),"P4-CAUSAL",""))</f>
        <v/>
      </c>
    </row>
    <row r="1106" ht="15" customHeight="1" s="1">
      <c r="P1106">
        <f>IF(OR(F1106="",H1106="",J1106=""),"",J1106&amp;"|"&amp;F1106&amp;"|"&amp;IF(H1106="W3","W3_"&amp;IF(I1106="","unknown",I1106),H1106))</f>
        <v/>
      </c>
      <c r="Q1106">
        <f>IF(P1106="","",IFERROR(IF(AND(H1106="W7",OR(F1106="causal",F1106="predictive")),IF(AND(OR(K1106=1,K1106="1"),OR(L1106=1,L1106="1"),OR(M1106=1,M1106="1")),"adequate","partial"),IF(AND(H1106="W4",F1106="predictive",OR(J1106="P2",J1106="P3",J1106="P4")),IF(OR(U1106=1,U1106="1"),"adequate","partial"),INDEX(Fit_Matrix!$B:$B,MATCH(P1106,Fit_Matrix!$A:$A,0)))),"CHECK KEY"))</f>
        <v/>
      </c>
      <c r="U1106" s="10" t="n"/>
      <c r="V1106" s="10" t="n"/>
      <c r="W1106" s="10" t="n"/>
      <c r="X1106" s="10" t="n"/>
      <c r="Y1106" s="10" t="n"/>
      <c r="Z1106" s="10" t="n"/>
      <c r="AA1106" s="11">
        <f>IF(A1106="","",IF(AND(J1106="P4",F1106="causal"),"P4-CAUSAL",""))</f>
        <v/>
      </c>
    </row>
    <row r="1107" ht="15" customHeight="1" s="1">
      <c r="P1107">
        <f>IF(OR(F1107="",H1107="",J1107=""),"",J1107&amp;"|"&amp;F1107&amp;"|"&amp;IF(H1107="W3","W3_"&amp;IF(I1107="","unknown",I1107),H1107))</f>
        <v/>
      </c>
      <c r="Q1107">
        <f>IF(P1107="","",IFERROR(IF(AND(H1107="W7",OR(F1107="causal",F1107="predictive")),IF(AND(OR(K1107=1,K1107="1"),OR(L1107=1,L1107="1"),OR(M1107=1,M1107="1")),"adequate","partial"),IF(AND(H1107="W4",F1107="predictive",OR(J1107="P2",J1107="P3",J1107="P4")),IF(OR(U1107=1,U1107="1"),"adequate","partial"),INDEX(Fit_Matrix!$B:$B,MATCH(P1107,Fit_Matrix!$A:$A,0)))),"CHECK KEY"))</f>
        <v/>
      </c>
      <c r="U1107" s="10" t="n"/>
      <c r="V1107" s="10" t="n"/>
      <c r="W1107" s="10" t="n"/>
      <c r="X1107" s="10" t="n"/>
      <c r="Y1107" s="10" t="n"/>
      <c r="Z1107" s="10" t="n"/>
      <c r="AA1107" s="11">
        <f>IF(A1107="","",IF(AND(J1107="P4",F1107="causal"),"P4-CAUSAL",""))</f>
        <v/>
      </c>
    </row>
    <row r="1108" ht="15" customHeight="1" s="1">
      <c r="P1108">
        <f>IF(OR(F1108="",H1108="",J1108=""),"",J1108&amp;"|"&amp;F1108&amp;"|"&amp;IF(H1108="W3","W3_"&amp;IF(I1108="","unknown",I1108),H1108))</f>
        <v/>
      </c>
      <c r="Q1108">
        <f>IF(P1108="","",IFERROR(IF(AND(H1108="W7",OR(F1108="causal",F1108="predictive")),IF(AND(OR(K1108=1,K1108="1"),OR(L1108=1,L1108="1"),OR(M1108=1,M1108="1")),"adequate","partial"),IF(AND(H1108="W4",F1108="predictive",OR(J1108="P2",J1108="P3",J1108="P4")),IF(OR(U1108=1,U1108="1"),"adequate","partial"),INDEX(Fit_Matrix!$B:$B,MATCH(P1108,Fit_Matrix!$A:$A,0)))),"CHECK KEY"))</f>
        <v/>
      </c>
      <c r="U1108" s="10" t="n"/>
      <c r="V1108" s="10" t="n"/>
      <c r="W1108" s="10" t="n"/>
      <c r="X1108" s="10" t="n"/>
      <c r="Y1108" s="10" t="n"/>
      <c r="Z1108" s="10" t="n"/>
      <c r="AA1108" s="11">
        <f>IF(A1108="","",IF(AND(J1108="P4",F1108="causal"),"P4-CAUSAL",""))</f>
        <v/>
      </c>
    </row>
    <row r="1109" ht="15" customHeight="1" s="1">
      <c r="P1109">
        <f>IF(OR(F1109="",H1109="",J1109=""),"",J1109&amp;"|"&amp;F1109&amp;"|"&amp;IF(H1109="W3","W3_"&amp;IF(I1109="","unknown",I1109),H1109))</f>
        <v/>
      </c>
      <c r="Q1109">
        <f>IF(P1109="","",IFERROR(IF(AND(H1109="W7",OR(F1109="causal",F1109="predictive")),IF(AND(OR(K1109=1,K1109="1"),OR(L1109=1,L1109="1"),OR(M1109=1,M1109="1")),"adequate","partial"),IF(AND(H1109="W4",F1109="predictive",OR(J1109="P2",J1109="P3",J1109="P4")),IF(OR(U1109=1,U1109="1"),"adequate","partial"),INDEX(Fit_Matrix!$B:$B,MATCH(P1109,Fit_Matrix!$A:$A,0)))),"CHECK KEY"))</f>
        <v/>
      </c>
      <c r="U1109" s="10" t="n"/>
      <c r="V1109" s="10" t="n"/>
      <c r="W1109" s="10" t="n"/>
      <c r="X1109" s="10" t="n"/>
      <c r="Y1109" s="10" t="n"/>
      <c r="Z1109" s="10" t="n"/>
      <c r="AA1109" s="11">
        <f>IF(A1109="","",IF(AND(J1109="P4",F1109="causal"),"P4-CAUSAL",""))</f>
        <v/>
      </c>
    </row>
    <row r="1110" ht="15" customHeight="1" s="1">
      <c r="P1110">
        <f>IF(OR(F1110="",H1110="",J1110=""),"",J1110&amp;"|"&amp;F1110&amp;"|"&amp;IF(H1110="W3","W3_"&amp;IF(I1110="","unknown",I1110),H1110))</f>
        <v/>
      </c>
      <c r="Q1110">
        <f>IF(P1110="","",IFERROR(IF(AND(H1110="W7",OR(F1110="causal",F1110="predictive")),IF(AND(OR(K1110=1,K1110="1"),OR(L1110=1,L1110="1"),OR(M1110=1,M1110="1")),"adequate","partial"),IF(AND(H1110="W4",F1110="predictive",OR(J1110="P2",J1110="P3",J1110="P4")),IF(OR(U1110=1,U1110="1"),"adequate","partial"),INDEX(Fit_Matrix!$B:$B,MATCH(P1110,Fit_Matrix!$A:$A,0)))),"CHECK KEY"))</f>
        <v/>
      </c>
      <c r="U1110" s="10" t="n"/>
      <c r="V1110" s="10" t="n"/>
      <c r="W1110" s="10" t="n"/>
      <c r="X1110" s="10" t="n"/>
      <c r="Y1110" s="10" t="n"/>
      <c r="Z1110" s="10" t="n"/>
      <c r="AA1110" s="11">
        <f>IF(A1110="","",IF(AND(J1110="P4",F1110="causal"),"P4-CAUSAL",""))</f>
        <v/>
      </c>
    </row>
    <row r="1111" ht="15" customHeight="1" s="1">
      <c r="P1111">
        <f>IF(OR(F1111="",H1111="",J1111=""),"",J1111&amp;"|"&amp;F1111&amp;"|"&amp;IF(H1111="W3","W3_"&amp;IF(I1111="","unknown",I1111),H1111))</f>
        <v/>
      </c>
      <c r="Q1111">
        <f>IF(P1111="","",IFERROR(IF(AND(H1111="W7",OR(F1111="causal",F1111="predictive")),IF(AND(OR(K1111=1,K1111="1"),OR(L1111=1,L1111="1"),OR(M1111=1,M1111="1")),"adequate","partial"),IF(AND(H1111="W4",F1111="predictive",OR(J1111="P2",J1111="P3",J1111="P4")),IF(OR(U1111=1,U1111="1"),"adequate","partial"),INDEX(Fit_Matrix!$B:$B,MATCH(P1111,Fit_Matrix!$A:$A,0)))),"CHECK KEY"))</f>
        <v/>
      </c>
      <c r="U1111" s="10" t="n"/>
      <c r="V1111" s="10" t="n"/>
      <c r="W1111" s="10" t="n"/>
      <c r="X1111" s="10" t="n"/>
      <c r="Y1111" s="10" t="n"/>
      <c r="Z1111" s="10" t="n"/>
      <c r="AA1111" s="11">
        <f>IF(A1111="","",IF(AND(J1111="P4",F1111="causal"),"P4-CAUSAL",""))</f>
        <v/>
      </c>
    </row>
    <row r="1112" ht="15" customHeight="1" s="1">
      <c r="P1112">
        <f>IF(OR(F1112="",H1112="",J1112=""),"",J1112&amp;"|"&amp;F1112&amp;"|"&amp;IF(H1112="W3","W3_"&amp;IF(I1112="","unknown",I1112),H1112))</f>
        <v/>
      </c>
      <c r="Q1112">
        <f>IF(P1112="","",IFERROR(IF(AND(H1112="W7",OR(F1112="causal",F1112="predictive")),IF(AND(OR(K1112=1,K1112="1"),OR(L1112=1,L1112="1"),OR(M1112=1,M1112="1")),"adequate","partial"),IF(AND(H1112="W4",F1112="predictive",OR(J1112="P2",J1112="P3",J1112="P4")),IF(OR(U1112=1,U1112="1"),"adequate","partial"),INDEX(Fit_Matrix!$B:$B,MATCH(P1112,Fit_Matrix!$A:$A,0)))),"CHECK KEY"))</f>
        <v/>
      </c>
      <c r="U1112" s="10" t="n"/>
      <c r="V1112" s="10" t="n"/>
      <c r="W1112" s="10" t="n"/>
      <c r="X1112" s="10" t="n"/>
      <c r="Y1112" s="10" t="n"/>
      <c r="Z1112" s="10" t="n"/>
      <c r="AA1112" s="11">
        <f>IF(A1112="","",IF(AND(J1112="P4",F1112="causal"),"P4-CAUSAL",""))</f>
        <v/>
      </c>
    </row>
    <row r="1113" ht="15" customHeight="1" s="1">
      <c r="P1113">
        <f>IF(OR(F1113="",H1113="",J1113=""),"",J1113&amp;"|"&amp;F1113&amp;"|"&amp;IF(H1113="W3","W3_"&amp;IF(I1113="","unknown",I1113),H1113))</f>
        <v/>
      </c>
      <c r="Q1113">
        <f>IF(P1113="","",IFERROR(IF(AND(H1113="W7",OR(F1113="causal",F1113="predictive")),IF(AND(OR(K1113=1,K1113="1"),OR(L1113=1,L1113="1"),OR(M1113=1,M1113="1")),"adequate","partial"),IF(AND(H1113="W4",F1113="predictive",OR(J1113="P2",J1113="P3",J1113="P4")),IF(OR(U1113=1,U1113="1"),"adequate","partial"),INDEX(Fit_Matrix!$B:$B,MATCH(P1113,Fit_Matrix!$A:$A,0)))),"CHECK KEY"))</f>
        <v/>
      </c>
      <c r="U1113" s="10" t="n"/>
      <c r="V1113" s="10" t="n"/>
      <c r="W1113" s="10" t="n"/>
      <c r="X1113" s="10" t="n"/>
      <c r="Y1113" s="10" t="n"/>
      <c r="Z1113" s="10" t="n"/>
      <c r="AA1113" s="11">
        <f>IF(A1113="","",IF(AND(J1113="P4",F1113="causal"),"P4-CAUSAL",""))</f>
        <v/>
      </c>
    </row>
    <row r="1114" ht="15" customHeight="1" s="1">
      <c r="P1114">
        <f>IF(OR(F1114="",H1114="",J1114=""),"",J1114&amp;"|"&amp;F1114&amp;"|"&amp;IF(H1114="W3","W3_"&amp;IF(I1114="","unknown",I1114),H1114))</f>
        <v/>
      </c>
      <c r="Q1114">
        <f>IF(P1114="","",IFERROR(IF(AND(H1114="W7",OR(F1114="causal",F1114="predictive")),IF(AND(OR(K1114=1,K1114="1"),OR(L1114=1,L1114="1"),OR(M1114=1,M1114="1")),"adequate","partial"),IF(AND(H1114="W4",F1114="predictive",OR(J1114="P2",J1114="P3",J1114="P4")),IF(OR(U1114=1,U1114="1"),"adequate","partial"),INDEX(Fit_Matrix!$B:$B,MATCH(P1114,Fit_Matrix!$A:$A,0)))),"CHECK KEY"))</f>
        <v/>
      </c>
      <c r="U1114" s="10" t="n"/>
      <c r="V1114" s="10" t="n"/>
      <c r="W1114" s="10" t="n"/>
      <c r="X1114" s="10" t="n"/>
      <c r="Y1114" s="10" t="n"/>
      <c r="Z1114" s="10" t="n"/>
      <c r="AA1114" s="11">
        <f>IF(A1114="","",IF(AND(J1114="P4",F1114="causal"),"P4-CAUSAL",""))</f>
        <v/>
      </c>
    </row>
    <row r="1115" ht="15" customHeight="1" s="1">
      <c r="P1115">
        <f>IF(OR(F1115="",H1115="",J1115=""),"",J1115&amp;"|"&amp;F1115&amp;"|"&amp;IF(H1115="W3","W3_"&amp;IF(I1115="","unknown",I1115),H1115))</f>
        <v/>
      </c>
      <c r="Q1115">
        <f>IF(P1115="","",IFERROR(IF(AND(H1115="W7",OR(F1115="causal",F1115="predictive")),IF(AND(OR(K1115=1,K1115="1"),OR(L1115=1,L1115="1"),OR(M1115=1,M1115="1")),"adequate","partial"),IF(AND(H1115="W4",F1115="predictive",OR(J1115="P2",J1115="P3",J1115="P4")),IF(OR(U1115=1,U1115="1"),"adequate","partial"),INDEX(Fit_Matrix!$B:$B,MATCH(P1115,Fit_Matrix!$A:$A,0)))),"CHECK KEY"))</f>
        <v/>
      </c>
      <c r="U1115" s="10" t="n"/>
      <c r="V1115" s="10" t="n"/>
      <c r="W1115" s="10" t="n"/>
      <c r="X1115" s="10" t="n"/>
      <c r="Y1115" s="10" t="n"/>
      <c r="Z1115" s="10" t="n"/>
      <c r="AA1115" s="11">
        <f>IF(A1115="","",IF(AND(J1115="P4",F1115="causal"),"P4-CAUSAL",""))</f>
        <v/>
      </c>
    </row>
    <row r="1116" ht="15" customHeight="1" s="1">
      <c r="P1116">
        <f>IF(OR(F1116="",H1116="",J1116=""),"",J1116&amp;"|"&amp;F1116&amp;"|"&amp;IF(H1116="W3","W3_"&amp;IF(I1116="","unknown",I1116),H1116))</f>
        <v/>
      </c>
      <c r="Q1116">
        <f>IF(P1116="","",IFERROR(IF(AND(H1116="W7",OR(F1116="causal",F1116="predictive")),IF(AND(OR(K1116=1,K1116="1"),OR(L1116=1,L1116="1"),OR(M1116=1,M1116="1")),"adequate","partial"),IF(AND(H1116="W4",F1116="predictive",OR(J1116="P2",J1116="P3",J1116="P4")),IF(OR(U1116=1,U1116="1"),"adequate","partial"),INDEX(Fit_Matrix!$B:$B,MATCH(P1116,Fit_Matrix!$A:$A,0)))),"CHECK KEY"))</f>
        <v/>
      </c>
      <c r="U1116" s="10" t="n"/>
      <c r="V1116" s="10" t="n"/>
      <c r="W1116" s="10" t="n"/>
      <c r="X1116" s="10" t="n"/>
      <c r="Y1116" s="10" t="n"/>
      <c r="Z1116" s="10" t="n"/>
      <c r="AA1116" s="11">
        <f>IF(A1116="","",IF(AND(J1116="P4",F1116="causal"),"P4-CAUSAL",""))</f>
        <v/>
      </c>
    </row>
    <row r="1117" ht="15" customHeight="1" s="1">
      <c r="P1117">
        <f>IF(OR(F1117="",H1117="",J1117=""),"",J1117&amp;"|"&amp;F1117&amp;"|"&amp;IF(H1117="W3","W3_"&amp;IF(I1117="","unknown",I1117),H1117))</f>
        <v/>
      </c>
      <c r="Q1117">
        <f>IF(P1117="","",IFERROR(IF(AND(H1117="W7",OR(F1117="causal",F1117="predictive")),IF(AND(OR(K1117=1,K1117="1"),OR(L1117=1,L1117="1"),OR(M1117=1,M1117="1")),"adequate","partial"),IF(AND(H1117="W4",F1117="predictive",OR(J1117="P2",J1117="P3",J1117="P4")),IF(OR(U1117=1,U1117="1"),"adequate","partial"),INDEX(Fit_Matrix!$B:$B,MATCH(P1117,Fit_Matrix!$A:$A,0)))),"CHECK KEY"))</f>
        <v/>
      </c>
      <c r="U1117" s="10" t="n"/>
      <c r="V1117" s="10" t="n"/>
      <c r="W1117" s="10" t="n"/>
      <c r="X1117" s="10" t="n"/>
      <c r="Y1117" s="10" t="n"/>
      <c r="Z1117" s="10" t="n"/>
      <c r="AA1117" s="11">
        <f>IF(A1117="","",IF(AND(J1117="P4",F1117="causal"),"P4-CAUSAL",""))</f>
        <v/>
      </c>
    </row>
    <row r="1118" ht="15" customHeight="1" s="1">
      <c r="P1118">
        <f>IF(OR(F1118="",H1118="",J1118=""),"",J1118&amp;"|"&amp;F1118&amp;"|"&amp;IF(H1118="W3","W3_"&amp;IF(I1118="","unknown",I1118),H1118))</f>
        <v/>
      </c>
      <c r="Q1118">
        <f>IF(P1118="","",IFERROR(IF(AND(H1118="W7",OR(F1118="causal",F1118="predictive")),IF(AND(OR(K1118=1,K1118="1"),OR(L1118=1,L1118="1"),OR(M1118=1,M1118="1")),"adequate","partial"),IF(AND(H1118="W4",F1118="predictive",OR(J1118="P2",J1118="P3",J1118="P4")),IF(OR(U1118=1,U1118="1"),"adequate","partial"),INDEX(Fit_Matrix!$B:$B,MATCH(P1118,Fit_Matrix!$A:$A,0)))),"CHECK KEY"))</f>
        <v/>
      </c>
      <c r="U1118" s="10" t="n"/>
      <c r="V1118" s="10" t="n"/>
      <c r="W1118" s="10" t="n"/>
      <c r="X1118" s="10" t="n"/>
      <c r="Y1118" s="10" t="n"/>
      <c r="Z1118" s="10" t="n"/>
      <c r="AA1118" s="11">
        <f>IF(A1118="","",IF(AND(J1118="P4",F1118="causal"),"P4-CAUSAL",""))</f>
        <v/>
      </c>
    </row>
    <row r="1119" ht="15" customHeight="1" s="1">
      <c r="P1119">
        <f>IF(OR(F1119="",H1119="",J1119=""),"",J1119&amp;"|"&amp;F1119&amp;"|"&amp;IF(H1119="W3","W3_"&amp;IF(I1119="","unknown",I1119),H1119))</f>
        <v/>
      </c>
      <c r="Q1119">
        <f>IF(P1119="","",IFERROR(IF(AND(H1119="W7",OR(F1119="causal",F1119="predictive")),IF(AND(OR(K1119=1,K1119="1"),OR(L1119=1,L1119="1"),OR(M1119=1,M1119="1")),"adequate","partial"),IF(AND(H1119="W4",F1119="predictive",OR(J1119="P2",J1119="P3",J1119="P4")),IF(OR(U1119=1,U1119="1"),"adequate","partial"),INDEX(Fit_Matrix!$B:$B,MATCH(P1119,Fit_Matrix!$A:$A,0)))),"CHECK KEY"))</f>
        <v/>
      </c>
      <c r="U1119" s="10" t="n"/>
      <c r="V1119" s="10" t="n"/>
      <c r="W1119" s="10" t="n"/>
      <c r="X1119" s="10" t="n"/>
      <c r="Y1119" s="10" t="n"/>
      <c r="Z1119" s="10" t="n"/>
      <c r="AA1119" s="11">
        <f>IF(A1119="","",IF(AND(J1119="P4",F1119="causal"),"P4-CAUSAL",""))</f>
        <v/>
      </c>
    </row>
    <row r="1120" ht="15" customHeight="1" s="1">
      <c r="P1120">
        <f>IF(OR(F1120="",H1120="",J1120=""),"",J1120&amp;"|"&amp;F1120&amp;"|"&amp;IF(H1120="W3","W3_"&amp;IF(I1120="","unknown",I1120),H1120))</f>
        <v/>
      </c>
      <c r="Q1120">
        <f>IF(P1120="","",IFERROR(IF(AND(H1120="W7",OR(F1120="causal",F1120="predictive")),IF(AND(OR(K1120=1,K1120="1"),OR(L1120=1,L1120="1"),OR(M1120=1,M1120="1")),"adequate","partial"),IF(AND(H1120="W4",F1120="predictive",OR(J1120="P2",J1120="P3",J1120="P4")),IF(OR(U1120=1,U1120="1"),"adequate","partial"),INDEX(Fit_Matrix!$B:$B,MATCH(P1120,Fit_Matrix!$A:$A,0)))),"CHECK KEY"))</f>
        <v/>
      </c>
      <c r="U1120" s="10" t="n"/>
      <c r="V1120" s="10" t="n"/>
      <c r="W1120" s="10" t="n"/>
      <c r="X1120" s="10" t="n"/>
      <c r="Y1120" s="10" t="n"/>
      <c r="Z1120" s="10" t="n"/>
      <c r="AA1120" s="11">
        <f>IF(A1120="","",IF(AND(J1120="P4",F1120="causal"),"P4-CAUSAL",""))</f>
        <v/>
      </c>
    </row>
    <row r="1121" ht="15" customHeight="1" s="1">
      <c r="P1121">
        <f>IF(OR(F1121="",H1121="",J1121=""),"",J1121&amp;"|"&amp;F1121&amp;"|"&amp;IF(H1121="W3","W3_"&amp;IF(I1121="","unknown",I1121),H1121))</f>
        <v/>
      </c>
      <c r="Q1121">
        <f>IF(P1121="","",IFERROR(IF(AND(H1121="W7",OR(F1121="causal",F1121="predictive")),IF(AND(OR(K1121=1,K1121="1"),OR(L1121=1,L1121="1"),OR(M1121=1,M1121="1")),"adequate","partial"),IF(AND(H1121="W4",F1121="predictive",OR(J1121="P2",J1121="P3",J1121="P4")),IF(OR(U1121=1,U1121="1"),"adequate","partial"),INDEX(Fit_Matrix!$B:$B,MATCH(P1121,Fit_Matrix!$A:$A,0)))),"CHECK KEY"))</f>
        <v/>
      </c>
      <c r="U1121" s="10" t="n"/>
      <c r="V1121" s="10" t="n"/>
      <c r="W1121" s="10" t="n"/>
      <c r="X1121" s="10" t="n"/>
      <c r="Y1121" s="10" t="n"/>
      <c r="Z1121" s="10" t="n"/>
      <c r="AA1121" s="11">
        <f>IF(A1121="","",IF(AND(J1121="P4",F1121="causal"),"P4-CAUSAL",""))</f>
        <v/>
      </c>
    </row>
    <row r="1122" ht="15" customHeight="1" s="1">
      <c r="P1122">
        <f>IF(OR(F1122="",H1122="",J1122=""),"",J1122&amp;"|"&amp;F1122&amp;"|"&amp;IF(H1122="W3","W3_"&amp;IF(I1122="","unknown",I1122),H1122))</f>
        <v/>
      </c>
      <c r="Q1122">
        <f>IF(P1122="","",IFERROR(IF(AND(H1122="W7",OR(F1122="causal",F1122="predictive")),IF(AND(OR(K1122=1,K1122="1"),OR(L1122=1,L1122="1"),OR(M1122=1,M1122="1")),"adequate","partial"),IF(AND(H1122="W4",F1122="predictive",OR(J1122="P2",J1122="P3",J1122="P4")),IF(OR(U1122=1,U1122="1"),"adequate","partial"),INDEX(Fit_Matrix!$B:$B,MATCH(P1122,Fit_Matrix!$A:$A,0)))),"CHECK KEY"))</f>
        <v/>
      </c>
      <c r="U1122" s="10" t="n"/>
      <c r="V1122" s="10" t="n"/>
      <c r="W1122" s="10" t="n"/>
      <c r="X1122" s="10" t="n"/>
      <c r="Y1122" s="10" t="n"/>
      <c r="Z1122" s="10" t="n"/>
      <c r="AA1122" s="11">
        <f>IF(A1122="","",IF(AND(J1122="P4",F1122="causal"),"P4-CAUSAL",""))</f>
        <v/>
      </c>
    </row>
    <row r="1123" ht="15" customHeight="1" s="1">
      <c r="P1123">
        <f>IF(OR(F1123="",H1123="",J1123=""),"",J1123&amp;"|"&amp;F1123&amp;"|"&amp;IF(H1123="W3","W3_"&amp;IF(I1123="","unknown",I1123),H1123))</f>
        <v/>
      </c>
      <c r="Q1123">
        <f>IF(P1123="","",IFERROR(IF(AND(H1123="W7",OR(F1123="causal",F1123="predictive")),IF(AND(OR(K1123=1,K1123="1"),OR(L1123=1,L1123="1"),OR(M1123=1,M1123="1")),"adequate","partial"),IF(AND(H1123="W4",F1123="predictive",OR(J1123="P2",J1123="P3",J1123="P4")),IF(OR(U1123=1,U1123="1"),"adequate","partial"),INDEX(Fit_Matrix!$B:$B,MATCH(P1123,Fit_Matrix!$A:$A,0)))),"CHECK KEY"))</f>
        <v/>
      </c>
      <c r="U1123" s="10" t="n"/>
      <c r="V1123" s="10" t="n"/>
      <c r="W1123" s="10" t="n"/>
      <c r="X1123" s="10" t="n"/>
      <c r="Y1123" s="10" t="n"/>
      <c r="Z1123" s="10" t="n"/>
      <c r="AA1123" s="11">
        <f>IF(A1123="","",IF(AND(J1123="P4",F1123="causal"),"P4-CAUSAL",""))</f>
        <v/>
      </c>
    </row>
    <row r="1124" ht="15" customHeight="1" s="1">
      <c r="P1124">
        <f>IF(OR(F1124="",H1124="",J1124=""),"",J1124&amp;"|"&amp;F1124&amp;"|"&amp;IF(H1124="W3","W3_"&amp;IF(I1124="","unknown",I1124),H1124))</f>
        <v/>
      </c>
      <c r="Q1124">
        <f>IF(P1124="","",IFERROR(IF(AND(H1124="W7",OR(F1124="causal",F1124="predictive")),IF(AND(OR(K1124=1,K1124="1"),OR(L1124=1,L1124="1"),OR(M1124=1,M1124="1")),"adequate","partial"),IF(AND(H1124="W4",F1124="predictive",OR(J1124="P2",J1124="P3",J1124="P4")),IF(OR(U1124=1,U1124="1"),"adequate","partial"),INDEX(Fit_Matrix!$B:$B,MATCH(P1124,Fit_Matrix!$A:$A,0)))),"CHECK KEY"))</f>
        <v/>
      </c>
      <c r="U1124" s="10" t="n"/>
      <c r="V1124" s="10" t="n"/>
      <c r="W1124" s="10" t="n"/>
      <c r="X1124" s="10" t="n"/>
      <c r="Y1124" s="10" t="n"/>
      <c r="Z1124" s="10" t="n"/>
      <c r="AA1124" s="11">
        <f>IF(A1124="","",IF(AND(J1124="P4",F1124="causal"),"P4-CAUSAL",""))</f>
        <v/>
      </c>
    </row>
    <row r="1125" ht="15" customHeight="1" s="1">
      <c r="P1125">
        <f>IF(OR(F1125="",H1125="",J1125=""),"",J1125&amp;"|"&amp;F1125&amp;"|"&amp;IF(H1125="W3","W3_"&amp;IF(I1125="","unknown",I1125),H1125))</f>
        <v/>
      </c>
      <c r="Q1125">
        <f>IF(P1125="","",IFERROR(IF(AND(H1125="W7",OR(F1125="causal",F1125="predictive")),IF(AND(OR(K1125=1,K1125="1"),OR(L1125=1,L1125="1"),OR(M1125=1,M1125="1")),"adequate","partial"),IF(AND(H1125="W4",F1125="predictive",OR(J1125="P2",J1125="P3",J1125="P4")),IF(OR(U1125=1,U1125="1"),"adequate","partial"),INDEX(Fit_Matrix!$B:$B,MATCH(P1125,Fit_Matrix!$A:$A,0)))),"CHECK KEY"))</f>
        <v/>
      </c>
      <c r="U1125" s="10" t="n"/>
      <c r="V1125" s="10" t="n"/>
      <c r="W1125" s="10" t="n"/>
      <c r="X1125" s="10" t="n"/>
      <c r="Y1125" s="10" t="n"/>
      <c r="Z1125" s="10" t="n"/>
      <c r="AA1125" s="11">
        <f>IF(A1125="","",IF(AND(J1125="P4",F1125="causal"),"P4-CAUSAL",""))</f>
        <v/>
      </c>
    </row>
    <row r="1126" ht="15" customHeight="1" s="1">
      <c r="P1126">
        <f>IF(OR(F1126="",H1126="",J1126=""),"",J1126&amp;"|"&amp;F1126&amp;"|"&amp;IF(H1126="W3","W3_"&amp;IF(I1126="","unknown",I1126),H1126))</f>
        <v/>
      </c>
      <c r="Q1126">
        <f>IF(P1126="","",IFERROR(IF(AND(H1126="W7",OR(F1126="causal",F1126="predictive")),IF(AND(OR(K1126=1,K1126="1"),OR(L1126=1,L1126="1"),OR(M1126=1,M1126="1")),"adequate","partial"),IF(AND(H1126="W4",F1126="predictive",OR(J1126="P2",J1126="P3",J1126="P4")),IF(OR(U1126=1,U1126="1"),"adequate","partial"),INDEX(Fit_Matrix!$B:$B,MATCH(P1126,Fit_Matrix!$A:$A,0)))),"CHECK KEY"))</f>
        <v/>
      </c>
      <c r="U1126" s="10" t="n"/>
      <c r="V1126" s="10" t="n"/>
      <c r="W1126" s="10" t="n"/>
      <c r="X1126" s="10" t="n"/>
      <c r="Y1126" s="10" t="n"/>
      <c r="Z1126" s="10" t="n"/>
      <c r="AA1126" s="11">
        <f>IF(A1126="","",IF(AND(J1126="P4",F1126="causal"),"P4-CAUSAL",""))</f>
        <v/>
      </c>
    </row>
    <row r="1127" ht="15" customHeight="1" s="1">
      <c r="P1127">
        <f>IF(OR(F1127="",H1127="",J1127=""),"",J1127&amp;"|"&amp;F1127&amp;"|"&amp;IF(H1127="W3","W3_"&amp;IF(I1127="","unknown",I1127),H1127))</f>
        <v/>
      </c>
      <c r="Q1127">
        <f>IF(P1127="","",IFERROR(IF(AND(H1127="W7",OR(F1127="causal",F1127="predictive")),IF(AND(OR(K1127=1,K1127="1"),OR(L1127=1,L1127="1"),OR(M1127=1,M1127="1")),"adequate","partial"),IF(AND(H1127="W4",F1127="predictive",OR(J1127="P2",J1127="P3",J1127="P4")),IF(OR(U1127=1,U1127="1"),"adequate","partial"),INDEX(Fit_Matrix!$B:$B,MATCH(P1127,Fit_Matrix!$A:$A,0)))),"CHECK KEY"))</f>
        <v/>
      </c>
      <c r="U1127" s="10" t="n"/>
      <c r="V1127" s="10" t="n"/>
      <c r="W1127" s="10" t="n"/>
      <c r="X1127" s="10" t="n"/>
      <c r="Y1127" s="10" t="n"/>
      <c r="Z1127" s="10" t="n"/>
      <c r="AA1127" s="11">
        <f>IF(A1127="","",IF(AND(J1127="P4",F1127="causal"),"P4-CAUSAL",""))</f>
        <v/>
      </c>
    </row>
    <row r="1128" ht="15" customHeight="1" s="1">
      <c r="P1128">
        <f>IF(OR(F1128="",H1128="",J1128=""),"",J1128&amp;"|"&amp;F1128&amp;"|"&amp;IF(H1128="W3","W3_"&amp;IF(I1128="","unknown",I1128),H1128))</f>
        <v/>
      </c>
      <c r="Q1128">
        <f>IF(P1128="","",IFERROR(IF(AND(H1128="W7",OR(F1128="causal",F1128="predictive")),IF(AND(OR(K1128=1,K1128="1"),OR(L1128=1,L1128="1"),OR(M1128=1,M1128="1")),"adequate","partial"),IF(AND(H1128="W4",F1128="predictive",OR(J1128="P2",J1128="P3",J1128="P4")),IF(OR(U1128=1,U1128="1"),"adequate","partial"),INDEX(Fit_Matrix!$B:$B,MATCH(P1128,Fit_Matrix!$A:$A,0)))),"CHECK KEY"))</f>
        <v/>
      </c>
      <c r="U1128" s="10" t="n"/>
      <c r="V1128" s="10" t="n"/>
      <c r="W1128" s="10" t="n"/>
      <c r="X1128" s="10" t="n"/>
      <c r="Y1128" s="10" t="n"/>
      <c r="Z1128" s="10" t="n"/>
      <c r="AA1128" s="11">
        <f>IF(A1128="","",IF(AND(J1128="P4",F1128="causal"),"P4-CAUSAL",""))</f>
        <v/>
      </c>
    </row>
    <row r="1129" ht="15" customHeight="1" s="1">
      <c r="P1129">
        <f>IF(OR(F1129="",H1129="",J1129=""),"",J1129&amp;"|"&amp;F1129&amp;"|"&amp;IF(H1129="W3","W3_"&amp;IF(I1129="","unknown",I1129),H1129))</f>
        <v/>
      </c>
      <c r="Q1129">
        <f>IF(P1129="","",IFERROR(IF(AND(H1129="W7",OR(F1129="causal",F1129="predictive")),IF(AND(OR(K1129=1,K1129="1"),OR(L1129=1,L1129="1"),OR(M1129=1,M1129="1")),"adequate","partial"),IF(AND(H1129="W4",F1129="predictive",OR(J1129="P2",J1129="P3",J1129="P4")),IF(OR(U1129=1,U1129="1"),"adequate","partial"),INDEX(Fit_Matrix!$B:$B,MATCH(P1129,Fit_Matrix!$A:$A,0)))),"CHECK KEY"))</f>
        <v/>
      </c>
      <c r="U1129" s="10" t="n"/>
      <c r="V1129" s="10" t="n"/>
      <c r="W1129" s="10" t="n"/>
      <c r="X1129" s="10" t="n"/>
      <c r="Y1129" s="10" t="n"/>
      <c r="Z1129" s="10" t="n"/>
      <c r="AA1129" s="11">
        <f>IF(A1129="","",IF(AND(J1129="P4",F1129="causal"),"P4-CAUSAL",""))</f>
        <v/>
      </c>
    </row>
    <row r="1130" ht="15" customHeight="1" s="1">
      <c r="P1130">
        <f>IF(OR(F1130="",H1130="",J1130=""),"",J1130&amp;"|"&amp;F1130&amp;"|"&amp;IF(H1130="W3","W3_"&amp;IF(I1130="","unknown",I1130),H1130))</f>
        <v/>
      </c>
      <c r="Q1130">
        <f>IF(P1130="","",IFERROR(IF(AND(H1130="W7",OR(F1130="causal",F1130="predictive")),IF(AND(OR(K1130=1,K1130="1"),OR(L1130=1,L1130="1"),OR(M1130=1,M1130="1")),"adequate","partial"),IF(AND(H1130="W4",F1130="predictive",OR(J1130="P2",J1130="P3",J1130="P4")),IF(OR(U1130=1,U1130="1"),"adequate","partial"),INDEX(Fit_Matrix!$B:$B,MATCH(P1130,Fit_Matrix!$A:$A,0)))),"CHECK KEY"))</f>
        <v/>
      </c>
      <c r="U1130" s="10" t="n"/>
      <c r="V1130" s="10" t="n"/>
      <c r="W1130" s="10" t="n"/>
      <c r="X1130" s="10" t="n"/>
      <c r="Y1130" s="10" t="n"/>
      <c r="Z1130" s="10" t="n"/>
      <c r="AA1130" s="11">
        <f>IF(A1130="","",IF(AND(J1130="P4",F1130="causal"),"P4-CAUSAL",""))</f>
        <v/>
      </c>
    </row>
    <row r="1131" ht="15" customHeight="1" s="1">
      <c r="P1131">
        <f>IF(OR(F1131="",H1131="",J1131=""),"",J1131&amp;"|"&amp;F1131&amp;"|"&amp;IF(H1131="W3","W3_"&amp;IF(I1131="","unknown",I1131),H1131))</f>
        <v/>
      </c>
      <c r="Q1131">
        <f>IF(P1131="","",IFERROR(IF(AND(H1131="W7",OR(F1131="causal",F1131="predictive")),IF(AND(OR(K1131=1,K1131="1"),OR(L1131=1,L1131="1"),OR(M1131=1,M1131="1")),"adequate","partial"),IF(AND(H1131="W4",F1131="predictive",OR(J1131="P2",J1131="P3",J1131="P4")),IF(OR(U1131=1,U1131="1"),"adequate","partial"),INDEX(Fit_Matrix!$B:$B,MATCH(P1131,Fit_Matrix!$A:$A,0)))),"CHECK KEY"))</f>
        <v/>
      </c>
      <c r="U1131" s="10" t="n"/>
      <c r="V1131" s="10" t="n"/>
      <c r="W1131" s="10" t="n"/>
      <c r="X1131" s="10" t="n"/>
      <c r="Y1131" s="10" t="n"/>
      <c r="Z1131" s="10" t="n"/>
      <c r="AA1131" s="11">
        <f>IF(A1131="","",IF(AND(J1131="P4",F1131="causal"),"P4-CAUSAL",""))</f>
        <v/>
      </c>
    </row>
    <row r="1132" ht="15" customHeight="1" s="1">
      <c r="P1132">
        <f>IF(OR(F1132="",H1132="",J1132=""),"",J1132&amp;"|"&amp;F1132&amp;"|"&amp;IF(H1132="W3","W3_"&amp;IF(I1132="","unknown",I1132),H1132))</f>
        <v/>
      </c>
      <c r="Q1132">
        <f>IF(P1132="","",IFERROR(IF(AND(H1132="W7",OR(F1132="causal",F1132="predictive")),IF(AND(OR(K1132=1,K1132="1"),OR(L1132=1,L1132="1"),OR(M1132=1,M1132="1")),"adequate","partial"),IF(AND(H1132="W4",F1132="predictive",OR(J1132="P2",J1132="P3",J1132="P4")),IF(OR(U1132=1,U1132="1"),"adequate","partial"),INDEX(Fit_Matrix!$B:$B,MATCH(P1132,Fit_Matrix!$A:$A,0)))),"CHECK KEY"))</f>
        <v/>
      </c>
      <c r="U1132" s="10" t="n"/>
      <c r="V1132" s="10" t="n"/>
      <c r="W1132" s="10" t="n"/>
      <c r="X1132" s="10" t="n"/>
      <c r="Y1132" s="10" t="n"/>
      <c r="Z1132" s="10" t="n"/>
      <c r="AA1132" s="11">
        <f>IF(A1132="","",IF(AND(J1132="P4",F1132="causal"),"P4-CAUSAL",""))</f>
        <v/>
      </c>
    </row>
    <row r="1133" ht="15" customHeight="1" s="1">
      <c r="P1133">
        <f>IF(OR(F1133="",H1133="",J1133=""),"",J1133&amp;"|"&amp;F1133&amp;"|"&amp;IF(H1133="W3","W3_"&amp;IF(I1133="","unknown",I1133),H1133))</f>
        <v/>
      </c>
      <c r="Q1133">
        <f>IF(P1133="","",IFERROR(IF(AND(H1133="W7",OR(F1133="causal",F1133="predictive")),IF(AND(OR(K1133=1,K1133="1"),OR(L1133=1,L1133="1"),OR(M1133=1,M1133="1")),"adequate","partial"),IF(AND(H1133="W4",F1133="predictive",OR(J1133="P2",J1133="P3",J1133="P4")),IF(OR(U1133=1,U1133="1"),"adequate","partial"),INDEX(Fit_Matrix!$B:$B,MATCH(P1133,Fit_Matrix!$A:$A,0)))),"CHECK KEY"))</f>
        <v/>
      </c>
      <c r="U1133" s="10" t="n"/>
      <c r="V1133" s="10" t="n"/>
      <c r="W1133" s="10" t="n"/>
      <c r="X1133" s="10" t="n"/>
      <c r="Y1133" s="10" t="n"/>
      <c r="Z1133" s="10" t="n"/>
      <c r="AA1133" s="11">
        <f>IF(A1133="","",IF(AND(J1133="P4",F1133="causal"),"P4-CAUSAL",""))</f>
        <v/>
      </c>
    </row>
    <row r="1134" ht="15" customHeight="1" s="1">
      <c r="P1134">
        <f>IF(OR(F1134="",H1134="",J1134=""),"",J1134&amp;"|"&amp;F1134&amp;"|"&amp;IF(H1134="W3","W3_"&amp;IF(I1134="","unknown",I1134),H1134))</f>
        <v/>
      </c>
      <c r="Q1134">
        <f>IF(P1134="","",IFERROR(IF(AND(H1134="W7",OR(F1134="causal",F1134="predictive")),IF(AND(OR(K1134=1,K1134="1"),OR(L1134=1,L1134="1"),OR(M1134=1,M1134="1")),"adequate","partial"),IF(AND(H1134="W4",F1134="predictive",OR(J1134="P2",J1134="P3",J1134="P4")),IF(OR(U1134=1,U1134="1"),"adequate","partial"),INDEX(Fit_Matrix!$B:$B,MATCH(P1134,Fit_Matrix!$A:$A,0)))),"CHECK KEY"))</f>
        <v/>
      </c>
      <c r="U1134" s="10" t="n"/>
      <c r="V1134" s="10" t="n"/>
      <c r="W1134" s="10" t="n"/>
      <c r="X1134" s="10" t="n"/>
      <c r="Y1134" s="10" t="n"/>
      <c r="Z1134" s="10" t="n"/>
      <c r="AA1134" s="11">
        <f>IF(A1134="","",IF(AND(J1134="P4",F1134="causal"),"P4-CAUSAL",""))</f>
        <v/>
      </c>
    </row>
    <row r="1135" ht="15" customHeight="1" s="1">
      <c r="P1135">
        <f>IF(OR(F1135="",H1135="",J1135=""),"",J1135&amp;"|"&amp;F1135&amp;"|"&amp;IF(H1135="W3","W3_"&amp;IF(I1135="","unknown",I1135),H1135))</f>
        <v/>
      </c>
      <c r="Q1135">
        <f>IF(P1135="","",IFERROR(IF(AND(H1135="W7",OR(F1135="causal",F1135="predictive")),IF(AND(OR(K1135=1,K1135="1"),OR(L1135=1,L1135="1"),OR(M1135=1,M1135="1")),"adequate","partial"),IF(AND(H1135="W4",F1135="predictive",OR(J1135="P2",J1135="P3",J1135="P4")),IF(OR(U1135=1,U1135="1"),"adequate","partial"),INDEX(Fit_Matrix!$B:$B,MATCH(P1135,Fit_Matrix!$A:$A,0)))),"CHECK KEY"))</f>
        <v/>
      </c>
      <c r="U1135" s="10" t="n"/>
      <c r="V1135" s="10" t="n"/>
      <c r="W1135" s="10" t="n"/>
      <c r="X1135" s="10" t="n"/>
      <c r="Y1135" s="10" t="n"/>
      <c r="Z1135" s="10" t="n"/>
      <c r="AA1135" s="11">
        <f>IF(A1135="","",IF(AND(J1135="P4",F1135="causal"),"P4-CAUSAL",""))</f>
        <v/>
      </c>
    </row>
    <row r="1136" ht="15" customHeight="1" s="1">
      <c r="P1136">
        <f>IF(OR(F1136="",H1136="",J1136=""),"",J1136&amp;"|"&amp;F1136&amp;"|"&amp;IF(H1136="W3","W3_"&amp;IF(I1136="","unknown",I1136),H1136))</f>
        <v/>
      </c>
      <c r="Q1136">
        <f>IF(P1136="","",IFERROR(IF(AND(H1136="W7",OR(F1136="causal",F1136="predictive")),IF(AND(OR(K1136=1,K1136="1"),OR(L1136=1,L1136="1"),OR(M1136=1,M1136="1")),"adequate","partial"),IF(AND(H1136="W4",F1136="predictive",OR(J1136="P2",J1136="P3",J1136="P4")),IF(OR(U1136=1,U1136="1"),"adequate","partial"),INDEX(Fit_Matrix!$B:$B,MATCH(P1136,Fit_Matrix!$A:$A,0)))),"CHECK KEY"))</f>
        <v/>
      </c>
      <c r="U1136" s="10" t="n"/>
      <c r="V1136" s="10" t="n"/>
      <c r="W1136" s="10" t="n"/>
      <c r="X1136" s="10" t="n"/>
      <c r="Y1136" s="10" t="n"/>
      <c r="Z1136" s="10" t="n"/>
      <c r="AA1136" s="11">
        <f>IF(A1136="","",IF(AND(J1136="P4",F1136="causal"),"P4-CAUSAL",""))</f>
        <v/>
      </c>
    </row>
    <row r="1137" ht="15" customHeight="1" s="1">
      <c r="P1137">
        <f>IF(OR(F1137="",H1137="",J1137=""),"",J1137&amp;"|"&amp;F1137&amp;"|"&amp;IF(H1137="W3","W3_"&amp;IF(I1137="","unknown",I1137),H1137))</f>
        <v/>
      </c>
      <c r="Q1137">
        <f>IF(P1137="","",IFERROR(IF(AND(H1137="W7",OR(F1137="causal",F1137="predictive")),IF(AND(OR(K1137=1,K1137="1"),OR(L1137=1,L1137="1"),OR(M1137=1,M1137="1")),"adequate","partial"),IF(AND(H1137="W4",F1137="predictive",OR(J1137="P2",J1137="P3",J1137="P4")),IF(OR(U1137=1,U1137="1"),"adequate","partial"),INDEX(Fit_Matrix!$B:$B,MATCH(P1137,Fit_Matrix!$A:$A,0)))),"CHECK KEY"))</f>
        <v/>
      </c>
      <c r="U1137" s="10" t="n"/>
      <c r="V1137" s="10" t="n"/>
      <c r="W1137" s="10" t="n"/>
      <c r="X1137" s="10" t="n"/>
      <c r="Y1137" s="10" t="n"/>
      <c r="Z1137" s="10" t="n"/>
      <c r="AA1137" s="11">
        <f>IF(A1137="","",IF(AND(J1137="P4",F1137="causal"),"P4-CAUSAL",""))</f>
        <v/>
      </c>
    </row>
    <row r="1138" ht="15" customHeight="1" s="1">
      <c r="P1138">
        <f>IF(OR(F1138="",H1138="",J1138=""),"",J1138&amp;"|"&amp;F1138&amp;"|"&amp;IF(H1138="W3","W3_"&amp;IF(I1138="","unknown",I1138),H1138))</f>
        <v/>
      </c>
      <c r="Q1138">
        <f>IF(P1138="","",IFERROR(IF(AND(H1138="W7",OR(F1138="causal",F1138="predictive")),IF(AND(OR(K1138=1,K1138="1"),OR(L1138=1,L1138="1"),OR(M1138=1,M1138="1")),"adequate","partial"),IF(AND(H1138="W4",F1138="predictive",OR(J1138="P2",J1138="P3",J1138="P4")),IF(OR(U1138=1,U1138="1"),"adequate","partial"),INDEX(Fit_Matrix!$B:$B,MATCH(P1138,Fit_Matrix!$A:$A,0)))),"CHECK KEY"))</f>
        <v/>
      </c>
      <c r="U1138" s="10" t="n"/>
      <c r="V1138" s="10" t="n"/>
      <c r="W1138" s="10" t="n"/>
      <c r="X1138" s="10" t="n"/>
      <c r="Y1138" s="10" t="n"/>
      <c r="Z1138" s="10" t="n"/>
      <c r="AA1138" s="11">
        <f>IF(A1138="","",IF(AND(J1138="P4",F1138="causal"),"P4-CAUSAL",""))</f>
        <v/>
      </c>
    </row>
    <row r="1139" ht="15" customHeight="1" s="1">
      <c r="P1139">
        <f>IF(OR(F1139="",H1139="",J1139=""),"",J1139&amp;"|"&amp;F1139&amp;"|"&amp;IF(H1139="W3","W3_"&amp;IF(I1139="","unknown",I1139),H1139))</f>
        <v/>
      </c>
      <c r="Q1139">
        <f>IF(P1139="","",IFERROR(IF(AND(H1139="W7",OR(F1139="causal",F1139="predictive")),IF(AND(OR(K1139=1,K1139="1"),OR(L1139=1,L1139="1"),OR(M1139=1,M1139="1")),"adequate","partial"),IF(AND(H1139="W4",F1139="predictive",OR(J1139="P2",J1139="P3",J1139="P4")),IF(OR(U1139=1,U1139="1"),"adequate","partial"),INDEX(Fit_Matrix!$B:$B,MATCH(P1139,Fit_Matrix!$A:$A,0)))),"CHECK KEY"))</f>
        <v/>
      </c>
      <c r="U1139" s="10" t="n"/>
      <c r="V1139" s="10" t="n"/>
      <c r="W1139" s="10" t="n"/>
      <c r="X1139" s="10" t="n"/>
      <c r="Y1139" s="10" t="n"/>
      <c r="Z1139" s="10" t="n"/>
      <c r="AA1139" s="11">
        <f>IF(A1139="","",IF(AND(J1139="P4",F1139="causal"),"P4-CAUSAL",""))</f>
        <v/>
      </c>
    </row>
    <row r="1140" ht="15" customHeight="1" s="1">
      <c r="P1140">
        <f>IF(OR(F1140="",H1140="",J1140=""),"",J1140&amp;"|"&amp;F1140&amp;"|"&amp;IF(H1140="W3","W3_"&amp;IF(I1140="","unknown",I1140),H1140))</f>
        <v/>
      </c>
      <c r="Q1140">
        <f>IF(P1140="","",IFERROR(IF(AND(H1140="W7",OR(F1140="causal",F1140="predictive")),IF(AND(OR(K1140=1,K1140="1"),OR(L1140=1,L1140="1"),OR(M1140=1,M1140="1")),"adequate","partial"),IF(AND(H1140="W4",F1140="predictive",OR(J1140="P2",J1140="P3",J1140="P4")),IF(OR(U1140=1,U1140="1"),"adequate","partial"),INDEX(Fit_Matrix!$B:$B,MATCH(P1140,Fit_Matrix!$A:$A,0)))),"CHECK KEY"))</f>
        <v/>
      </c>
      <c r="U1140" s="10" t="n"/>
      <c r="V1140" s="10" t="n"/>
      <c r="W1140" s="10" t="n"/>
      <c r="X1140" s="10" t="n"/>
      <c r="Y1140" s="10" t="n"/>
      <c r="Z1140" s="10" t="n"/>
      <c r="AA1140" s="11">
        <f>IF(A1140="","",IF(AND(J1140="P4",F1140="causal"),"P4-CAUSAL",""))</f>
        <v/>
      </c>
    </row>
    <row r="1141" ht="15" customHeight="1" s="1">
      <c r="P1141">
        <f>IF(OR(F1141="",H1141="",J1141=""),"",J1141&amp;"|"&amp;F1141&amp;"|"&amp;IF(H1141="W3","W3_"&amp;IF(I1141="","unknown",I1141),H1141))</f>
        <v/>
      </c>
      <c r="Q1141">
        <f>IF(P1141="","",IFERROR(IF(AND(H1141="W7",OR(F1141="causal",F1141="predictive")),IF(AND(OR(K1141=1,K1141="1"),OR(L1141=1,L1141="1"),OR(M1141=1,M1141="1")),"adequate","partial"),IF(AND(H1141="W4",F1141="predictive",OR(J1141="P2",J1141="P3",J1141="P4")),IF(OR(U1141=1,U1141="1"),"adequate","partial"),INDEX(Fit_Matrix!$B:$B,MATCH(P1141,Fit_Matrix!$A:$A,0)))),"CHECK KEY"))</f>
        <v/>
      </c>
      <c r="U1141" s="10" t="n"/>
      <c r="V1141" s="10" t="n"/>
      <c r="W1141" s="10" t="n"/>
      <c r="X1141" s="10" t="n"/>
      <c r="Y1141" s="10" t="n"/>
      <c r="Z1141" s="10" t="n"/>
      <c r="AA1141" s="11">
        <f>IF(A1141="","",IF(AND(J1141="P4",F1141="causal"),"P4-CAUSAL",""))</f>
        <v/>
      </c>
    </row>
    <row r="1142" ht="15" customHeight="1" s="1">
      <c r="P1142">
        <f>IF(OR(F1142="",H1142="",J1142=""),"",J1142&amp;"|"&amp;F1142&amp;"|"&amp;IF(H1142="W3","W3_"&amp;IF(I1142="","unknown",I1142),H1142))</f>
        <v/>
      </c>
      <c r="Q1142">
        <f>IF(P1142="","",IFERROR(IF(AND(H1142="W7",OR(F1142="causal",F1142="predictive")),IF(AND(OR(K1142=1,K1142="1"),OR(L1142=1,L1142="1"),OR(M1142=1,M1142="1")),"adequate","partial"),IF(AND(H1142="W4",F1142="predictive",OR(J1142="P2",J1142="P3",J1142="P4")),IF(OR(U1142=1,U1142="1"),"adequate","partial"),INDEX(Fit_Matrix!$B:$B,MATCH(P1142,Fit_Matrix!$A:$A,0)))),"CHECK KEY"))</f>
        <v/>
      </c>
      <c r="U1142" s="10" t="n"/>
      <c r="V1142" s="10" t="n"/>
      <c r="W1142" s="10" t="n"/>
      <c r="X1142" s="10" t="n"/>
      <c r="Y1142" s="10" t="n"/>
      <c r="Z1142" s="10" t="n"/>
      <c r="AA1142" s="11">
        <f>IF(A1142="","",IF(AND(J1142="P4",F1142="causal"),"P4-CAUSAL",""))</f>
        <v/>
      </c>
    </row>
    <row r="1143" ht="15" customHeight="1" s="1">
      <c r="P1143">
        <f>IF(OR(F1143="",H1143="",J1143=""),"",J1143&amp;"|"&amp;F1143&amp;"|"&amp;IF(H1143="W3","W3_"&amp;IF(I1143="","unknown",I1143),H1143))</f>
        <v/>
      </c>
      <c r="Q1143">
        <f>IF(P1143="","",IFERROR(IF(AND(H1143="W7",OR(F1143="causal",F1143="predictive")),IF(AND(OR(K1143=1,K1143="1"),OR(L1143=1,L1143="1"),OR(M1143=1,M1143="1")),"adequate","partial"),IF(AND(H1143="W4",F1143="predictive",OR(J1143="P2",J1143="P3",J1143="P4")),IF(OR(U1143=1,U1143="1"),"adequate","partial"),INDEX(Fit_Matrix!$B:$B,MATCH(P1143,Fit_Matrix!$A:$A,0)))),"CHECK KEY"))</f>
        <v/>
      </c>
      <c r="U1143" s="10" t="n"/>
      <c r="V1143" s="10" t="n"/>
      <c r="W1143" s="10" t="n"/>
      <c r="X1143" s="10" t="n"/>
      <c r="Y1143" s="10" t="n"/>
      <c r="Z1143" s="10" t="n"/>
      <c r="AA1143" s="11">
        <f>IF(A1143="","",IF(AND(J1143="P4",F1143="causal"),"P4-CAUSAL",""))</f>
        <v/>
      </c>
    </row>
    <row r="1144" ht="15" customHeight="1" s="1">
      <c r="P1144">
        <f>IF(OR(F1144="",H1144="",J1144=""),"",J1144&amp;"|"&amp;F1144&amp;"|"&amp;IF(H1144="W3","W3_"&amp;IF(I1144="","unknown",I1144),H1144))</f>
        <v/>
      </c>
      <c r="Q1144">
        <f>IF(P1144="","",IFERROR(IF(AND(H1144="W7",OR(F1144="causal",F1144="predictive")),IF(AND(OR(K1144=1,K1144="1"),OR(L1144=1,L1144="1"),OR(M1144=1,M1144="1")),"adequate","partial"),IF(AND(H1144="W4",F1144="predictive",OR(J1144="P2",J1144="P3",J1144="P4")),IF(OR(U1144=1,U1144="1"),"adequate","partial"),INDEX(Fit_Matrix!$B:$B,MATCH(P1144,Fit_Matrix!$A:$A,0)))),"CHECK KEY"))</f>
        <v/>
      </c>
      <c r="U1144" s="10" t="n"/>
      <c r="V1144" s="10" t="n"/>
      <c r="W1144" s="10" t="n"/>
      <c r="X1144" s="10" t="n"/>
      <c r="Y1144" s="10" t="n"/>
      <c r="Z1144" s="10" t="n"/>
      <c r="AA1144" s="11">
        <f>IF(A1144="","",IF(AND(J1144="P4",F1144="causal"),"P4-CAUSAL",""))</f>
        <v/>
      </c>
    </row>
    <row r="1145" ht="15" customHeight="1" s="1">
      <c r="P1145">
        <f>IF(OR(F1145="",H1145="",J1145=""),"",J1145&amp;"|"&amp;F1145&amp;"|"&amp;IF(H1145="W3","W3_"&amp;IF(I1145="","unknown",I1145),H1145))</f>
        <v/>
      </c>
      <c r="Q1145">
        <f>IF(P1145="","",IFERROR(IF(AND(H1145="W7",OR(F1145="causal",F1145="predictive")),IF(AND(OR(K1145=1,K1145="1"),OR(L1145=1,L1145="1"),OR(M1145=1,M1145="1")),"adequate","partial"),IF(AND(H1145="W4",F1145="predictive",OR(J1145="P2",J1145="P3",J1145="P4")),IF(OR(U1145=1,U1145="1"),"adequate","partial"),INDEX(Fit_Matrix!$B:$B,MATCH(P1145,Fit_Matrix!$A:$A,0)))),"CHECK KEY"))</f>
        <v/>
      </c>
      <c r="U1145" s="10" t="n"/>
      <c r="V1145" s="10" t="n"/>
      <c r="W1145" s="10" t="n"/>
      <c r="X1145" s="10" t="n"/>
      <c r="Y1145" s="10" t="n"/>
      <c r="Z1145" s="10" t="n"/>
      <c r="AA1145" s="11">
        <f>IF(A1145="","",IF(AND(J1145="P4",F1145="causal"),"P4-CAUSAL",""))</f>
        <v/>
      </c>
    </row>
    <row r="1146" ht="15" customHeight="1" s="1">
      <c r="P1146">
        <f>IF(OR(F1146="",H1146="",J1146=""),"",J1146&amp;"|"&amp;F1146&amp;"|"&amp;IF(H1146="W3","W3_"&amp;IF(I1146="","unknown",I1146),H1146))</f>
        <v/>
      </c>
      <c r="Q1146">
        <f>IF(P1146="","",IFERROR(IF(AND(H1146="W7",OR(F1146="causal",F1146="predictive")),IF(AND(OR(K1146=1,K1146="1"),OR(L1146=1,L1146="1"),OR(M1146=1,M1146="1")),"adequate","partial"),IF(AND(H1146="W4",F1146="predictive",OR(J1146="P2",J1146="P3",J1146="P4")),IF(OR(U1146=1,U1146="1"),"adequate","partial"),INDEX(Fit_Matrix!$B:$B,MATCH(P1146,Fit_Matrix!$A:$A,0)))),"CHECK KEY"))</f>
        <v/>
      </c>
      <c r="U1146" s="10" t="n"/>
      <c r="V1146" s="10" t="n"/>
      <c r="W1146" s="10" t="n"/>
      <c r="X1146" s="10" t="n"/>
      <c r="Y1146" s="10" t="n"/>
      <c r="Z1146" s="10" t="n"/>
      <c r="AA1146" s="11">
        <f>IF(A1146="","",IF(AND(J1146="P4",F1146="causal"),"P4-CAUSAL",""))</f>
        <v/>
      </c>
    </row>
    <row r="1147" ht="15" customHeight="1" s="1">
      <c r="P1147">
        <f>IF(OR(F1147="",H1147="",J1147=""),"",J1147&amp;"|"&amp;F1147&amp;"|"&amp;IF(H1147="W3","W3_"&amp;IF(I1147="","unknown",I1147),H1147))</f>
        <v/>
      </c>
      <c r="Q1147">
        <f>IF(P1147="","",IFERROR(IF(AND(H1147="W7",OR(F1147="causal",F1147="predictive")),IF(AND(OR(K1147=1,K1147="1"),OR(L1147=1,L1147="1"),OR(M1147=1,M1147="1")),"adequate","partial"),IF(AND(H1147="W4",F1147="predictive",OR(J1147="P2",J1147="P3",J1147="P4")),IF(OR(U1147=1,U1147="1"),"adequate","partial"),INDEX(Fit_Matrix!$B:$B,MATCH(P1147,Fit_Matrix!$A:$A,0)))),"CHECK KEY"))</f>
        <v/>
      </c>
      <c r="U1147" s="10" t="n"/>
      <c r="V1147" s="10" t="n"/>
      <c r="W1147" s="10" t="n"/>
      <c r="X1147" s="10" t="n"/>
      <c r="Y1147" s="10" t="n"/>
      <c r="Z1147" s="10" t="n"/>
      <c r="AA1147" s="11">
        <f>IF(A1147="","",IF(AND(J1147="P4",F1147="causal"),"P4-CAUSAL",""))</f>
        <v/>
      </c>
    </row>
    <row r="1148" ht="15" customHeight="1" s="1">
      <c r="P1148">
        <f>IF(OR(F1148="",H1148="",J1148=""),"",J1148&amp;"|"&amp;F1148&amp;"|"&amp;IF(H1148="W3","W3_"&amp;IF(I1148="","unknown",I1148),H1148))</f>
        <v/>
      </c>
      <c r="Q1148">
        <f>IF(P1148="","",IFERROR(IF(AND(H1148="W7",OR(F1148="causal",F1148="predictive")),IF(AND(OR(K1148=1,K1148="1"),OR(L1148=1,L1148="1"),OR(M1148=1,M1148="1")),"adequate","partial"),IF(AND(H1148="W4",F1148="predictive",OR(J1148="P2",J1148="P3",J1148="P4")),IF(OR(U1148=1,U1148="1"),"adequate","partial"),INDEX(Fit_Matrix!$B:$B,MATCH(P1148,Fit_Matrix!$A:$A,0)))),"CHECK KEY"))</f>
        <v/>
      </c>
      <c r="U1148" s="10" t="n"/>
      <c r="V1148" s="10" t="n"/>
      <c r="W1148" s="10" t="n"/>
      <c r="X1148" s="10" t="n"/>
      <c r="Y1148" s="10" t="n"/>
      <c r="Z1148" s="10" t="n"/>
      <c r="AA1148" s="11">
        <f>IF(A1148="","",IF(AND(J1148="P4",F1148="causal"),"P4-CAUSAL",""))</f>
        <v/>
      </c>
    </row>
    <row r="1149" ht="15" customHeight="1" s="1">
      <c r="P1149">
        <f>IF(OR(F1149="",H1149="",J1149=""),"",J1149&amp;"|"&amp;F1149&amp;"|"&amp;IF(H1149="W3","W3_"&amp;IF(I1149="","unknown",I1149),H1149))</f>
        <v/>
      </c>
      <c r="Q1149">
        <f>IF(P1149="","",IFERROR(IF(AND(H1149="W7",OR(F1149="causal",F1149="predictive")),IF(AND(OR(K1149=1,K1149="1"),OR(L1149=1,L1149="1"),OR(M1149=1,M1149="1")),"adequate","partial"),IF(AND(H1149="W4",F1149="predictive",OR(J1149="P2",J1149="P3",J1149="P4")),IF(OR(U1149=1,U1149="1"),"adequate","partial"),INDEX(Fit_Matrix!$B:$B,MATCH(P1149,Fit_Matrix!$A:$A,0)))),"CHECK KEY"))</f>
        <v/>
      </c>
      <c r="U1149" s="10" t="n"/>
      <c r="V1149" s="10" t="n"/>
      <c r="W1149" s="10" t="n"/>
      <c r="X1149" s="10" t="n"/>
      <c r="Y1149" s="10" t="n"/>
      <c r="Z1149" s="10" t="n"/>
      <c r="AA1149" s="11">
        <f>IF(A1149="","",IF(AND(J1149="P4",F1149="causal"),"P4-CAUSAL",""))</f>
        <v/>
      </c>
    </row>
    <row r="1150" ht="15" customHeight="1" s="1">
      <c r="P1150">
        <f>IF(OR(F1150="",H1150="",J1150=""),"",J1150&amp;"|"&amp;F1150&amp;"|"&amp;IF(H1150="W3","W3_"&amp;IF(I1150="","unknown",I1150),H1150))</f>
        <v/>
      </c>
      <c r="Q1150">
        <f>IF(P1150="","",IFERROR(IF(AND(H1150="W7",OR(F1150="causal",F1150="predictive")),IF(AND(OR(K1150=1,K1150="1"),OR(L1150=1,L1150="1"),OR(M1150=1,M1150="1")),"adequate","partial"),IF(AND(H1150="W4",F1150="predictive",OR(J1150="P2",J1150="P3",J1150="P4")),IF(OR(U1150=1,U1150="1"),"adequate","partial"),INDEX(Fit_Matrix!$B:$B,MATCH(P1150,Fit_Matrix!$A:$A,0)))),"CHECK KEY"))</f>
        <v/>
      </c>
      <c r="U1150" s="10" t="n"/>
      <c r="V1150" s="10" t="n"/>
      <c r="W1150" s="10" t="n"/>
      <c r="X1150" s="10" t="n"/>
      <c r="Y1150" s="10" t="n"/>
      <c r="Z1150" s="10" t="n"/>
      <c r="AA1150" s="11">
        <f>IF(A1150="","",IF(AND(J1150="P4",F1150="causal"),"P4-CAUSAL",""))</f>
        <v/>
      </c>
    </row>
    <row r="1151" ht="15" customHeight="1" s="1">
      <c r="P1151">
        <f>IF(OR(F1151="",H1151="",J1151=""),"",J1151&amp;"|"&amp;F1151&amp;"|"&amp;IF(H1151="W3","W3_"&amp;IF(I1151="","unknown",I1151),H1151))</f>
        <v/>
      </c>
      <c r="Q1151">
        <f>IF(P1151="","",IFERROR(IF(AND(H1151="W7",OR(F1151="causal",F1151="predictive")),IF(AND(OR(K1151=1,K1151="1"),OR(L1151=1,L1151="1"),OR(M1151=1,M1151="1")),"adequate","partial"),IF(AND(H1151="W4",F1151="predictive",OR(J1151="P2",J1151="P3",J1151="P4")),IF(OR(U1151=1,U1151="1"),"adequate","partial"),INDEX(Fit_Matrix!$B:$B,MATCH(P1151,Fit_Matrix!$A:$A,0)))),"CHECK KEY"))</f>
        <v/>
      </c>
      <c r="U1151" s="10" t="n"/>
      <c r="V1151" s="10" t="n"/>
      <c r="W1151" s="10" t="n"/>
      <c r="X1151" s="10" t="n"/>
      <c r="Y1151" s="10" t="n"/>
      <c r="Z1151" s="10" t="n"/>
      <c r="AA1151" s="11">
        <f>IF(A1151="","",IF(AND(J1151="P4",F1151="causal"),"P4-CAUSAL",""))</f>
        <v/>
      </c>
    </row>
    <row r="1152" ht="15" customHeight="1" s="1">
      <c r="P1152">
        <f>IF(OR(F1152="",H1152="",J1152=""),"",J1152&amp;"|"&amp;F1152&amp;"|"&amp;IF(H1152="W3","W3_"&amp;IF(I1152="","unknown",I1152),H1152))</f>
        <v/>
      </c>
      <c r="Q1152">
        <f>IF(P1152="","",IFERROR(IF(AND(H1152="W7",OR(F1152="causal",F1152="predictive")),IF(AND(OR(K1152=1,K1152="1"),OR(L1152=1,L1152="1"),OR(M1152=1,M1152="1")),"adequate","partial"),IF(AND(H1152="W4",F1152="predictive",OR(J1152="P2",J1152="P3",J1152="P4")),IF(OR(U1152=1,U1152="1"),"adequate","partial"),INDEX(Fit_Matrix!$B:$B,MATCH(P1152,Fit_Matrix!$A:$A,0)))),"CHECK KEY"))</f>
        <v/>
      </c>
      <c r="U1152" s="10" t="n"/>
      <c r="V1152" s="10" t="n"/>
      <c r="W1152" s="10" t="n"/>
      <c r="X1152" s="10" t="n"/>
      <c r="Y1152" s="10" t="n"/>
      <c r="Z1152" s="10" t="n"/>
      <c r="AA1152" s="11">
        <f>IF(A1152="","",IF(AND(J1152="P4",F1152="causal"),"P4-CAUSAL",""))</f>
        <v/>
      </c>
    </row>
    <row r="1153" ht="15" customHeight="1" s="1">
      <c r="P1153">
        <f>IF(OR(F1153="",H1153="",J1153=""),"",J1153&amp;"|"&amp;F1153&amp;"|"&amp;IF(H1153="W3","W3_"&amp;IF(I1153="","unknown",I1153),H1153))</f>
        <v/>
      </c>
      <c r="Q1153">
        <f>IF(P1153="","",IFERROR(IF(AND(H1153="W7",OR(F1153="causal",F1153="predictive")),IF(AND(OR(K1153=1,K1153="1"),OR(L1153=1,L1153="1"),OR(M1153=1,M1153="1")),"adequate","partial"),IF(AND(H1153="W4",F1153="predictive",OR(J1153="P2",J1153="P3",J1153="P4")),IF(OR(U1153=1,U1153="1"),"adequate","partial"),INDEX(Fit_Matrix!$B:$B,MATCH(P1153,Fit_Matrix!$A:$A,0)))),"CHECK KEY"))</f>
        <v/>
      </c>
      <c r="U1153" s="10" t="n"/>
      <c r="V1153" s="10" t="n"/>
      <c r="W1153" s="10" t="n"/>
      <c r="X1153" s="10" t="n"/>
      <c r="Y1153" s="10" t="n"/>
      <c r="Z1153" s="10" t="n"/>
      <c r="AA1153" s="11">
        <f>IF(A1153="","",IF(AND(J1153="P4",F1153="causal"),"P4-CAUSAL",""))</f>
        <v/>
      </c>
    </row>
    <row r="1154" ht="15" customHeight="1" s="1">
      <c r="P1154">
        <f>IF(OR(F1154="",H1154="",J1154=""),"",J1154&amp;"|"&amp;F1154&amp;"|"&amp;IF(H1154="W3","W3_"&amp;IF(I1154="","unknown",I1154),H1154))</f>
        <v/>
      </c>
      <c r="Q1154">
        <f>IF(P1154="","",IFERROR(IF(AND(H1154="W7",OR(F1154="causal",F1154="predictive")),IF(AND(OR(K1154=1,K1154="1"),OR(L1154=1,L1154="1"),OR(M1154=1,M1154="1")),"adequate","partial"),IF(AND(H1154="W4",F1154="predictive",OR(J1154="P2",J1154="P3",J1154="P4")),IF(OR(U1154=1,U1154="1"),"adequate","partial"),INDEX(Fit_Matrix!$B:$B,MATCH(P1154,Fit_Matrix!$A:$A,0)))),"CHECK KEY"))</f>
        <v/>
      </c>
      <c r="U1154" s="10" t="n"/>
      <c r="V1154" s="10" t="n"/>
      <c r="W1154" s="10" t="n"/>
      <c r="X1154" s="10" t="n"/>
      <c r="Y1154" s="10" t="n"/>
      <c r="Z1154" s="10" t="n"/>
      <c r="AA1154" s="11">
        <f>IF(A1154="","",IF(AND(J1154="P4",F1154="causal"),"P4-CAUSAL",""))</f>
        <v/>
      </c>
    </row>
    <row r="1155" ht="15" customHeight="1" s="1">
      <c r="P1155">
        <f>IF(OR(F1155="",H1155="",J1155=""),"",J1155&amp;"|"&amp;F1155&amp;"|"&amp;IF(H1155="W3","W3_"&amp;IF(I1155="","unknown",I1155),H1155))</f>
        <v/>
      </c>
      <c r="Q1155">
        <f>IF(P1155="","",IFERROR(IF(AND(H1155="W7",OR(F1155="causal",F1155="predictive")),IF(AND(OR(K1155=1,K1155="1"),OR(L1155=1,L1155="1"),OR(M1155=1,M1155="1")),"adequate","partial"),IF(AND(H1155="W4",F1155="predictive",OR(J1155="P2",J1155="P3",J1155="P4")),IF(OR(U1155=1,U1155="1"),"adequate","partial"),INDEX(Fit_Matrix!$B:$B,MATCH(P1155,Fit_Matrix!$A:$A,0)))),"CHECK KEY"))</f>
        <v/>
      </c>
      <c r="U1155" s="10" t="n"/>
      <c r="V1155" s="10" t="n"/>
      <c r="W1155" s="10" t="n"/>
      <c r="X1155" s="10" t="n"/>
      <c r="Y1155" s="10" t="n"/>
      <c r="Z1155" s="10" t="n"/>
      <c r="AA1155" s="11">
        <f>IF(A1155="","",IF(AND(J1155="P4",F1155="causal"),"P4-CAUSAL",""))</f>
        <v/>
      </c>
    </row>
    <row r="1156" ht="15" customHeight="1" s="1">
      <c r="P1156">
        <f>IF(OR(F1156="",H1156="",J1156=""),"",J1156&amp;"|"&amp;F1156&amp;"|"&amp;IF(H1156="W3","W3_"&amp;IF(I1156="","unknown",I1156),H1156))</f>
        <v/>
      </c>
      <c r="Q1156">
        <f>IF(P1156="","",IFERROR(IF(AND(H1156="W7",OR(F1156="causal",F1156="predictive")),IF(AND(OR(K1156=1,K1156="1"),OR(L1156=1,L1156="1"),OR(M1156=1,M1156="1")),"adequate","partial"),IF(AND(H1156="W4",F1156="predictive",OR(J1156="P2",J1156="P3",J1156="P4")),IF(OR(U1156=1,U1156="1"),"adequate","partial"),INDEX(Fit_Matrix!$B:$B,MATCH(P1156,Fit_Matrix!$A:$A,0)))),"CHECK KEY"))</f>
        <v/>
      </c>
      <c r="U1156" s="10" t="n"/>
      <c r="V1156" s="10" t="n"/>
      <c r="W1156" s="10" t="n"/>
      <c r="X1156" s="10" t="n"/>
      <c r="Y1156" s="10" t="n"/>
      <c r="Z1156" s="10" t="n"/>
      <c r="AA1156" s="11">
        <f>IF(A1156="","",IF(AND(J1156="P4",F1156="causal"),"P4-CAUSAL",""))</f>
        <v/>
      </c>
    </row>
    <row r="1157" ht="15" customHeight="1" s="1">
      <c r="P1157">
        <f>IF(OR(F1157="",H1157="",J1157=""),"",J1157&amp;"|"&amp;F1157&amp;"|"&amp;IF(H1157="W3","W3_"&amp;IF(I1157="","unknown",I1157),H1157))</f>
        <v/>
      </c>
      <c r="Q1157">
        <f>IF(P1157="","",IFERROR(IF(AND(H1157="W7",OR(F1157="causal",F1157="predictive")),IF(AND(OR(K1157=1,K1157="1"),OR(L1157=1,L1157="1"),OR(M1157=1,M1157="1")),"adequate","partial"),IF(AND(H1157="W4",F1157="predictive",OR(J1157="P2",J1157="P3",J1157="P4")),IF(OR(U1157=1,U1157="1"),"adequate","partial"),INDEX(Fit_Matrix!$B:$B,MATCH(P1157,Fit_Matrix!$A:$A,0)))),"CHECK KEY"))</f>
        <v/>
      </c>
      <c r="U1157" s="10" t="n"/>
      <c r="V1157" s="10" t="n"/>
      <c r="W1157" s="10" t="n"/>
      <c r="X1157" s="10" t="n"/>
      <c r="Y1157" s="10" t="n"/>
      <c r="Z1157" s="10" t="n"/>
      <c r="AA1157" s="11">
        <f>IF(A1157="","",IF(AND(J1157="P4",F1157="causal"),"P4-CAUSAL",""))</f>
        <v/>
      </c>
    </row>
    <row r="1158" ht="15" customHeight="1" s="1">
      <c r="P1158">
        <f>IF(OR(F1158="",H1158="",J1158=""),"",J1158&amp;"|"&amp;F1158&amp;"|"&amp;IF(H1158="W3","W3_"&amp;IF(I1158="","unknown",I1158),H1158))</f>
        <v/>
      </c>
      <c r="Q1158">
        <f>IF(P1158="","",IFERROR(IF(AND(H1158="W7",OR(F1158="causal",F1158="predictive")),IF(AND(OR(K1158=1,K1158="1"),OR(L1158=1,L1158="1"),OR(M1158=1,M1158="1")),"adequate","partial"),IF(AND(H1158="W4",F1158="predictive",OR(J1158="P2",J1158="P3",J1158="P4")),IF(OR(U1158=1,U1158="1"),"adequate","partial"),INDEX(Fit_Matrix!$B:$B,MATCH(P1158,Fit_Matrix!$A:$A,0)))),"CHECK KEY"))</f>
        <v/>
      </c>
      <c r="U1158" s="10" t="n"/>
      <c r="V1158" s="10" t="n"/>
      <c r="W1158" s="10" t="n"/>
      <c r="X1158" s="10" t="n"/>
      <c r="Y1158" s="10" t="n"/>
      <c r="Z1158" s="10" t="n"/>
      <c r="AA1158" s="11">
        <f>IF(A1158="","",IF(AND(J1158="P4",F1158="causal"),"P4-CAUSAL",""))</f>
        <v/>
      </c>
    </row>
    <row r="1159" ht="15" customHeight="1" s="1">
      <c r="P1159">
        <f>IF(OR(F1159="",H1159="",J1159=""),"",J1159&amp;"|"&amp;F1159&amp;"|"&amp;IF(H1159="W3","W3_"&amp;IF(I1159="","unknown",I1159),H1159))</f>
        <v/>
      </c>
      <c r="Q1159">
        <f>IF(P1159="","",IFERROR(IF(AND(H1159="W7",OR(F1159="causal",F1159="predictive")),IF(AND(OR(K1159=1,K1159="1"),OR(L1159=1,L1159="1"),OR(M1159=1,M1159="1")),"adequate","partial"),IF(AND(H1159="W4",F1159="predictive",OR(J1159="P2",J1159="P3",J1159="P4")),IF(OR(U1159=1,U1159="1"),"adequate","partial"),INDEX(Fit_Matrix!$B:$B,MATCH(P1159,Fit_Matrix!$A:$A,0)))),"CHECK KEY"))</f>
        <v/>
      </c>
      <c r="U1159" s="10" t="n"/>
      <c r="V1159" s="10" t="n"/>
      <c r="W1159" s="10" t="n"/>
      <c r="X1159" s="10" t="n"/>
      <c r="Y1159" s="10" t="n"/>
      <c r="Z1159" s="10" t="n"/>
      <c r="AA1159" s="11">
        <f>IF(A1159="","",IF(AND(J1159="P4",F1159="causal"),"P4-CAUSAL",""))</f>
        <v/>
      </c>
    </row>
    <row r="1160" ht="15" customHeight="1" s="1">
      <c r="P1160">
        <f>IF(OR(F1160="",H1160="",J1160=""),"",J1160&amp;"|"&amp;F1160&amp;"|"&amp;IF(H1160="W3","W3_"&amp;IF(I1160="","unknown",I1160),H1160))</f>
        <v/>
      </c>
      <c r="Q1160">
        <f>IF(P1160="","",IFERROR(IF(AND(H1160="W7",OR(F1160="causal",F1160="predictive")),IF(AND(OR(K1160=1,K1160="1"),OR(L1160=1,L1160="1"),OR(M1160=1,M1160="1")),"adequate","partial"),IF(AND(H1160="W4",F1160="predictive",OR(J1160="P2",J1160="P3",J1160="P4")),IF(OR(U1160=1,U1160="1"),"adequate","partial"),INDEX(Fit_Matrix!$B:$B,MATCH(P1160,Fit_Matrix!$A:$A,0)))),"CHECK KEY"))</f>
        <v/>
      </c>
      <c r="U1160" s="10" t="n"/>
      <c r="V1160" s="10" t="n"/>
      <c r="W1160" s="10" t="n"/>
      <c r="X1160" s="10" t="n"/>
      <c r="Y1160" s="10" t="n"/>
      <c r="Z1160" s="10" t="n"/>
      <c r="AA1160" s="11">
        <f>IF(A1160="","",IF(AND(J1160="P4",F1160="causal"),"P4-CAUSAL",""))</f>
        <v/>
      </c>
    </row>
    <row r="1161" ht="15" customHeight="1" s="1">
      <c r="P1161">
        <f>IF(OR(F1161="",H1161="",J1161=""),"",J1161&amp;"|"&amp;F1161&amp;"|"&amp;IF(H1161="W3","W3_"&amp;IF(I1161="","unknown",I1161),H1161))</f>
        <v/>
      </c>
      <c r="Q1161">
        <f>IF(P1161="","",IFERROR(IF(AND(H1161="W7",OR(F1161="causal",F1161="predictive")),IF(AND(OR(K1161=1,K1161="1"),OR(L1161=1,L1161="1"),OR(M1161=1,M1161="1")),"adequate","partial"),IF(AND(H1161="W4",F1161="predictive",OR(J1161="P2",J1161="P3",J1161="P4")),IF(OR(U1161=1,U1161="1"),"adequate","partial"),INDEX(Fit_Matrix!$B:$B,MATCH(P1161,Fit_Matrix!$A:$A,0)))),"CHECK KEY"))</f>
        <v/>
      </c>
      <c r="U1161" s="10" t="n"/>
      <c r="V1161" s="10" t="n"/>
      <c r="W1161" s="10" t="n"/>
      <c r="X1161" s="10" t="n"/>
      <c r="Y1161" s="10" t="n"/>
      <c r="Z1161" s="10" t="n"/>
      <c r="AA1161" s="11">
        <f>IF(A1161="","",IF(AND(J1161="P4",F1161="causal"),"P4-CAUSAL",""))</f>
        <v/>
      </c>
    </row>
    <row r="1162" ht="15" customHeight="1" s="1">
      <c r="P1162">
        <f>IF(OR(F1162="",H1162="",J1162=""),"",J1162&amp;"|"&amp;F1162&amp;"|"&amp;IF(H1162="W3","W3_"&amp;IF(I1162="","unknown",I1162),H1162))</f>
        <v/>
      </c>
      <c r="Q1162">
        <f>IF(P1162="","",IFERROR(IF(AND(H1162="W7",OR(F1162="causal",F1162="predictive")),IF(AND(OR(K1162=1,K1162="1"),OR(L1162=1,L1162="1"),OR(M1162=1,M1162="1")),"adequate","partial"),IF(AND(H1162="W4",F1162="predictive",OR(J1162="P2",J1162="P3",J1162="P4")),IF(OR(U1162=1,U1162="1"),"adequate","partial"),INDEX(Fit_Matrix!$B:$B,MATCH(P1162,Fit_Matrix!$A:$A,0)))),"CHECK KEY"))</f>
        <v/>
      </c>
      <c r="U1162" s="10" t="n"/>
      <c r="V1162" s="10" t="n"/>
      <c r="W1162" s="10" t="n"/>
      <c r="X1162" s="10" t="n"/>
      <c r="Y1162" s="10" t="n"/>
      <c r="Z1162" s="10" t="n"/>
      <c r="AA1162" s="11">
        <f>IF(A1162="","",IF(AND(J1162="P4",F1162="causal"),"P4-CAUSAL",""))</f>
        <v/>
      </c>
    </row>
    <row r="1163" ht="15" customHeight="1" s="1">
      <c r="P1163">
        <f>IF(OR(F1163="",H1163="",J1163=""),"",J1163&amp;"|"&amp;F1163&amp;"|"&amp;IF(H1163="W3","W3_"&amp;IF(I1163="","unknown",I1163),H1163))</f>
        <v/>
      </c>
      <c r="Q1163">
        <f>IF(P1163="","",IFERROR(IF(AND(H1163="W7",OR(F1163="causal",F1163="predictive")),IF(AND(OR(K1163=1,K1163="1"),OR(L1163=1,L1163="1"),OR(M1163=1,M1163="1")),"adequate","partial"),IF(AND(H1163="W4",F1163="predictive",OR(J1163="P2",J1163="P3",J1163="P4")),IF(OR(U1163=1,U1163="1"),"adequate","partial"),INDEX(Fit_Matrix!$B:$B,MATCH(P1163,Fit_Matrix!$A:$A,0)))),"CHECK KEY"))</f>
        <v/>
      </c>
      <c r="U1163" s="10" t="n"/>
      <c r="V1163" s="10" t="n"/>
      <c r="W1163" s="10" t="n"/>
      <c r="X1163" s="10" t="n"/>
      <c r="Y1163" s="10" t="n"/>
      <c r="Z1163" s="10" t="n"/>
      <c r="AA1163" s="11">
        <f>IF(A1163="","",IF(AND(J1163="P4",F1163="causal"),"P4-CAUSAL",""))</f>
        <v/>
      </c>
    </row>
    <row r="1164" ht="15" customHeight="1" s="1">
      <c r="P1164">
        <f>IF(OR(F1164="",H1164="",J1164=""),"",J1164&amp;"|"&amp;F1164&amp;"|"&amp;IF(H1164="W3","W3_"&amp;IF(I1164="","unknown",I1164),H1164))</f>
        <v/>
      </c>
      <c r="Q1164">
        <f>IF(P1164="","",IFERROR(IF(AND(H1164="W7",OR(F1164="causal",F1164="predictive")),IF(AND(OR(K1164=1,K1164="1"),OR(L1164=1,L1164="1"),OR(M1164=1,M1164="1")),"adequate","partial"),IF(AND(H1164="W4",F1164="predictive",OR(J1164="P2",J1164="P3",J1164="P4")),IF(OR(U1164=1,U1164="1"),"adequate","partial"),INDEX(Fit_Matrix!$B:$B,MATCH(P1164,Fit_Matrix!$A:$A,0)))),"CHECK KEY"))</f>
        <v/>
      </c>
      <c r="U1164" s="10" t="n"/>
      <c r="V1164" s="10" t="n"/>
      <c r="W1164" s="10" t="n"/>
      <c r="X1164" s="10" t="n"/>
      <c r="Y1164" s="10" t="n"/>
      <c r="Z1164" s="10" t="n"/>
      <c r="AA1164" s="11">
        <f>IF(A1164="","",IF(AND(J1164="P4",F1164="causal"),"P4-CAUSAL",""))</f>
        <v/>
      </c>
    </row>
    <row r="1165" ht="15" customHeight="1" s="1">
      <c r="P1165">
        <f>IF(OR(F1165="",H1165="",J1165=""),"",J1165&amp;"|"&amp;F1165&amp;"|"&amp;IF(H1165="W3","W3_"&amp;IF(I1165="","unknown",I1165),H1165))</f>
        <v/>
      </c>
      <c r="Q1165">
        <f>IF(P1165="","",IFERROR(IF(AND(H1165="W7",OR(F1165="causal",F1165="predictive")),IF(AND(OR(K1165=1,K1165="1"),OR(L1165=1,L1165="1"),OR(M1165=1,M1165="1")),"adequate","partial"),IF(AND(H1165="W4",F1165="predictive",OR(J1165="P2",J1165="P3",J1165="P4")),IF(OR(U1165=1,U1165="1"),"adequate","partial"),INDEX(Fit_Matrix!$B:$B,MATCH(P1165,Fit_Matrix!$A:$A,0)))),"CHECK KEY"))</f>
        <v/>
      </c>
      <c r="U1165" s="10" t="n"/>
      <c r="V1165" s="10" t="n"/>
      <c r="W1165" s="10" t="n"/>
      <c r="X1165" s="10" t="n"/>
      <c r="Y1165" s="10" t="n"/>
      <c r="Z1165" s="10" t="n"/>
      <c r="AA1165" s="11">
        <f>IF(A1165="","",IF(AND(J1165="P4",F1165="causal"),"P4-CAUSAL",""))</f>
        <v/>
      </c>
    </row>
    <row r="1166" ht="15" customHeight="1" s="1">
      <c r="P1166">
        <f>IF(OR(F1166="",H1166="",J1166=""),"",J1166&amp;"|"&amp;F1166&amp;"|"&amp;IF(H1166="W3","W3_"&amp;IF(I1166="","unknown",I1166),H1166))</f>
        <v/>
      </c>
      <c r="Q1166">
        <f>IF(P1166="","",IFERROR(IF(AND(H1166="W7",OR(F1166="causal",F1166="predictive")),IF(AND(OR(K1166=1,K1166="1"),OR(L1166=1,L1166="1"),OR(M1166=1,M1166="1")),"adequate","partial"),IF(AND(H1166="W4",F1166="predictive",OR(J1166="P2",J1166="P3",J1166="P4")),IF(OR(U1166=1,U1166="1"),"adequate","partial"),INDEX(Fit_Matrix!$B:$B,MATCH(P1166,Fit_Matrix!$A:$A,0)))),"CHECK KEY"))</f>
        <v/>
      </c>
      <c r="U1166" s="10" t="n"/>
      <c r="V1166" s="10" t="n"/>
      <c r="W1166" s="10" t="n"/>
      <c r="X1166" s="10" t="n"/>
      <c r="Y1166" s="10" t="n"/>
      <c r="Z1166" s="10" t="n"/>
      <c r="AA1166" s="11">
        <f>IF(A1166="","",IF(AND(J1166="P4",F1166="causal"),"P4-CAUSAL",""))</f>
        <v/>
      </c>
    </row>
    <row r="1167" ht="15" customHeight="1" s="1">
      <c r="P1167">
        <f>IF(OR(F1167="",H1167="",J1167=""),"",J1167&amp;"|"&amp;F1167&amp;"|"&amp;IF(H1167="W3","W3_"&amp;IF(I1167="","unknown",I1167),H1167))</f>
        <v/>
      </c>
      <c r="Q1167">
        <f>IF(P1167="","",IFERROR(IF(AND(H1167="W7",OR(F1167="causal",F1167="predictive")),IF(AND(OR(K1167=1,K1167="1"),OR(L1167=1,L1167="1"),OR(M1167=1,M1167="1")),"adequate","partial"),IF(AND(H1167="W4",F1167="predictive",OR(J1167="P2",J1167="P3",J1167="P4")),IF(OR(U1167=1,U1167="1"),"adequate","partial"),INDEX(Fit_Matrix!$B:$B,MATCH(P1167,Fit_Matrix!$A:$A,0)))),"CHECK KEY"))</f>
        <v/>
      </c>
      <c r="U1167" s="10" t="n"/>
      <c r="V1167" s="10" t="n"/>
      <c r="W1167" s="10" t="n"/>
      <c r="X1167" s="10" t="n"/>
      <c r="Y1167" s="10" t="n"/>
      <c r="Z1167" s="10" t="n"/>
      <c r="AA1167" s="11">
        <f>IF(A1167="","",IF(AND(J1167="P4",F1167="causal"),"P4-CAUSAL",""))</f>
        <v/>
      </c>
    </row>
    <row r="1168" ht="15" customHeight="1" s="1">
      <c r="P1168">
        <f>IF(OR(F1168="",H1168="",J1168=""),"",J1168&amp;"|"&amp;F1168&amp;"|"&amp;IF(H1168="W3","W3_"&amp;IF(I1168="","unknown",I1168),H1168))</f>
        <v/>
      </c>
      <c r="Q1168">
        <f>IF(P1168="","",IFERROR(IF(AND(H1168="W7",OR(F1168="causal",F1168="predictive")),IF(AND(OR(K1168=1,K1168="1"),OR(L1168=1,L1168="1"),OR(M1168=1,M1168="1")),"adequate","partial"),IF(AND(H1168="W4",F1168="predictive",OR(J1168="P2",J1168="P3",J1168="P4")),IF(OR(U1168=1,U1168="1"),"adequate","partial"),INDEX(Fit_Matrix!$B:$B,MATCH(P1168,Fit_Matrix!$A:$A,0)))),"CHECK KEY"))</f>
        <v/>
      </c>
      <c r="U1168" s="10" t="n"/>
      <c r="V1168" s="10" t="n"/>
      <c r="W1168" s="10" t="n"/>
      <c r="X1168" s="10" t="n"/>
      <c r="Y1168" s="10" t="n"/>
      <c r="Z1168" s="10" t="n"/>
      <c r="AA1168" s="11">
        <f>IF(A1168="","",IF(AND(J1168="P4",F1168="causal"),"P4-CAUSAL",""))</f>
        <v/>
      </c>
    </row>
    <row r="1169" ht="15" customHeight="1" s="1">
      <c r="P1169">
        <f>IF(OR(F1169="",H1169="",J1169=""),"",J1169&amp;"|"&amp;F1169&amp;"|"&amp;IF(H1169="W3","W3_"&amp;IF(I1169="","unknown",I1169),H1169))</f>
        <v/>
      </c>
      <c r="Q1169">
        <f>IF(P1169="","",IFERROR(IF(AND(H1169="W7",OR(F1169="causal",F1169="predictive")),IF(AND(OR(K1169=1,K1169="1"),OR(L1169=1,L1169="1"),OR(M1169=1,M1169="1")),"adequate","partial"),IF(AND(H1169="W4",F1169="predictive",OR(J1169="P2",J1169="P3",J1169="P4")),IF(OR(U1169=1,U1169="1"),"adequate","partial"),INDEX(Fit_Matrix!$B:$B,MATCH(P1169,Fit_Matrix!$A:$A,0)))),"CHECK KEY"))</f>
        <v/>
      </c>
      <c r="U1169" s="10" t="n"/>
      <c r="V1169" s="10" t="n"/>
      <c r="W1169" s="10" t="n"/>
      <c r="X1169" s="10" t="n"/>
      <c r="Y1169" s="10" t="n"/>
      <c r="Z1169" s="10" t="n"/>
      <c r="AA1169" s="11">
        <f>IF(A1169="","",IF(AND(J1169="P4",F1169="causal"),"P4-CAUSAL",""))</f>
        <v/>
      </c>
    </row>
    <row r="1170" ht="15" customHeight="1" s="1">
      <c r="P1170">
        <f>IF(OR(F1170="",H1170="",J1170=""),"",J1170&amp;"|"&amp;F1170&amp;"|"&amp;IF(H1170="W3","W3_"&amp;IF(I1170="","unknown",I1170),H1170))</f>
        <v/>
      </c>
      <c r="Q1170">
        <f>IF(P1170="","",IFERROR(IF(AND(H1170="W7",OR(F1170="causal",F1170="predictive")),IF(AND(OR(K1170=1,K1170="1"),OR(L1170=1,L1170="1"),OR(M1170=1,M1170="1")),"adequate","partial"),IF(AND(H1170="W4",F1170="predictive",OR(J1170="P2",J1170="P3",J1170="P4")),IF(OR(U1170=1,U1170="1"),"adequate","partial"),INDEX(Fit_Matrix!$B:$B,MATCH(P1170,Fit_Matrix!$A:$A,0)))),"CHECK KEY"))</f>
        <v/>
      </c>
      <c r="U1170" s="10" t="n"/>
      <c r="V1170" s="10" t="n"/>
      <c r="W1170" s="10" t="n"/>
      <c r="X1170" s="10" t="n"/>
      <c r="Y1170" s="10" t="n"/>
      <c r="Z1170" s="10" t="n"/>
      <c r="AA1170" s="11">
        <f>IF(A1170="","",IF(AND(J1170="P4",F1170="causal"),"P4-CAUSAL",""))</f>
        <v/>
      </c>
    </row>
    <row r="1171" ht="15" customHeight="1" s="1">
      <c r="P1171">
        <f>IF(OR(F1171="",H1171="",J1171=""),"",J1171&amp;"|"&amp;F1171&amp;"|"&amp;IF(H1171="W3","W3_"&amp;IF(I1171="","unknown",I1171),H1171))</f>
        <v/>
      </c>
      <c r="Q1171">
        <f>IF(P1171="","",IFERROR(IF(AND(H1171="W7",OR(F1171="causal",F1171="predictive")),IF(AND(OR(K1171=1,K1171="1"),OR(L1171=1,L1171="1"),OR(M1171=1,M1171="1")),"adequate","partial"),IF(AND(H1171="W4",F1171="predictive",OR(J1171="P2",J1171="P3",J1171="P4")),IF(OR(U1171=1,U1171="1"),"adequate","partial"),INDEX(Fit_Matrix!$B:$B,MATCH(P1171,Fit_Matrix!$A:$A,0)))),"CHECK KEY"))</f>
        <v/>
      </c>
      <c r="U1171" s="10" t="n"/>
      <c r="V1171" s="10" t="n"/>
      <c r="W1171" s="10" t="n"/>
      <c r="X1171" s="10" t="n"/>
      <c r="Y1171" s="10" t="n"/>
      <c r="Z1171" s="10" t="n"/>
      <c r="AA1171" s="11">
        <f>IF(A1171="","",IF(AND(J1171="P4",F1171="causal"),"P4-CAUSAL",""))</f>
        <v/>
      </c>
    </row>
    <row r="1172" ht="15" customHeight="1" s="1">
      <c r="P1172">
        <f>IF(OR(F1172="",H1172="",J1172=""),"",J1172&amp;"|"&amp;F1172&amp;"|"&amp;IF(H1172="W3","W3_"&amp;IF(I1172="","unknown",I1172),H1172))</f>
        <v/>
      </c>
      <c r="Q1172">
        <f>IF(P1172="","",IFERROR(IF(AND(H1172="W7",OR(F1172="causal",F1172="predictive")),IF(AND(OR(K1172=1,K1172="1"),OR(L1172=1,L1172="1"),OR(M1172=1,M1172="1")),"adequate","partial"),IF(AND(H1172="W4",F1172="predictive",OR(J1172="P2",J1172="P3",J1172="P4")),IF(OR(U1172=1,U1172="1"),"adequate","partial"),INDEX(Fit_Matrix!$B:$B,MATCH(P1172,Fit_Matrix!$A:$A,0)))),"CHECK KEY"))</f>
        <v/>
      </c>
      <c r="U1172" s="10" t="n"/>
      <c r="V1172" s="10" t="n"/>
      <c r="W1172" s="10" t="n"/>
      <c r="X1172" s="10" t="n"/>
      <c r="Y1172" s="10" t="n"/>
      <c r="Z1172" s="10" t="n"/>
      <c r="AA1172" s="11">
        <f>IF(A1172="","",IF(AND(J1172="P4",F1172="causal"),"P4-CAUSAL",""))</f>
        <v/>
      </c>
    </row>
    <row r="1173" ht="15" customHeight="1" s="1">
      <c r="P1173">
        <f>IF(OR(F1173="",H1173="",J1173=""),"",J1173&amp;"|"&amp;F1173&amp;"|"&amp;IF(H1173="W3","W3_"&amp;IF(I1173="","unknown",I1173),H1173))</f>
        <v/>
      </c>
      <c r="Q1173">
        <f>IF(P1173="","",IFERROR(IF(AND(H1173="W7",OR(F1173="causal",F1173="predictive")),IF(AND(OR(K1173=1,K1173="1"),OR(L1173=1,L1173="1"),OR(M1173=1,M1173="1")),"adequate","partial"),IF(AND(H1173="W4",F1173="predictive",OR(J1173="P2",J1173="P3",J1173="P4")),IF(OR(U1173=1,U1173="1"),"adequate","partial"),INDEX(Fit_Matrix!$B:$B,MATCH(P1173,Fit_Matrix!$A:$A,0)))),"CHECK KEY"))</f>
        <v/>
      </c>
      <c r="U1173" s="10" t="n"/>
      <c r="V1173" s="10" t="n"/>
      <c r="W1173" s="10" t="n"/>
      <c r="X1173" s="10" t="n"/>
      <c r="Y1173" s="10" t="n"/>
      <c r="Z1173" s="10" t="n"/>
      <c r="AA1173" s="11">
        <f>IF(A1173="","",IF(AND(J1173="P4",F1173="causal"),"P4-CAUSAL",""))</f>
        <v/>
      </c>
    </row>
    <row r="1174" ht="15" customHeight="1" s="1">
      <c r="P1174">
        <f>IF(OR(F1174="",H1174="",J1174=""),"",J1174&amp;"|"&amp;F1174&amp;"|"&amp;IF(H1174="W3","W3_"&amp;IF(I1174="","unknown",I1174),H1174))</f>
        <v/>
      </c>
      <c r="Q1174">
        <f>IF(P1174="","",IFERROR(IF(AND(H1174="W7",OR(F1174="causal",F1174="predictive")),IF(AND(OR(K1174=1,K1174="1"),OR(L1174=1,L1174="1"),OR(M1174=1,M1174="1")),"adequate","partial"),IF(AND(H1174="W4",F1174="predictive",OR(J1174="P2",J1174="P3",J1174="P4")),IF(OR(U1174=1,U1174="1"),"adequate","partial"),INDEX(Fit_Matrix!$B:$B,MATCH(P1174,Fit_Matrix!$A:$A,0)))),"CHECK KEY"))</f>
        <v/>
      </c>
      <c r="U1174" s="10" t="n"/>
      <c r="V1174" s="10" t="n"/>
      <c r="W1174" s="10" t="n"/>
      <c r="X1174" s="10" t="n"/>
      <c r="Y1174" s="10" t="n"/>
      <c r="Z1174" s="10" t="n"/>
      <c r="AA1174" s="11">
        <f>IF(A1174="","",IF(AND(J1174="P4",F1174="causal"),"P4-CAUSAL",""))</f>
        <v/>
      </c>
    </row>
    <row r="1175" ht="15" customHeight="1" s="1">
      <c r="P1175">
        <f>IF(OR(F1175="",H1175="",J1175=""),"",J1175&amp;"|"&amp;F1175&amp;"|"&amp;IF(H1175="W3","W3_"&amp;IF(I1175="","unknown",I1175),H1175))</f>
        <v/>
      </c>
      <c r="Q1175">
        <f>IF(P1175="","",IFERROR(IF(AND(H1175="W7",OR(F1175="causal",F1175="predictive")),IF(AND(OR(K1175=1,K1175="1"),OR(L1175=1,L1175="1"),OR(M1175=1,M1175="1")),"adequate","partial"),IF(AND(H1175="W4",F1175="predictive",OR(J1175="P2",J1175="P3",J1175="P4")),IF(OR(U1175=1,U1175="1"),"adequate","partial"),INDEX(Fit_Matrix!$B:$B,MATCH(P1175,Fit_Matrix!$A:$A,0)))),"CHECK KEY"))</f>
        <v/>
      </c>
      <c r="U1175" s="10" t="n"/>
      <c r="V1175" s="10" t="n"/>
      <c r="W1175" s="10" t="n"/>
      <c r="X1175" s="10" t="n"/>
      <c r="Y1175" s="10" t="n"/>
      <c r="Z1175" s="10" t="n"/>
      <c r="AA1175" s="11">
        <f>IF(A1175="","",IF(AND(J1175="P4",F1175="causal"),"P4-CAUSAL",""))</f>
        <v/>
      </c>
    </row>
    <row r="1176" ht="15" customHeight="1" s="1">
      <c r="P1176">
        <f>IF(OR(F1176="",H1176="",J1176=""),"",J1176&amp;"|"&amp;F1176&amp;"|"&amp;IF(H1176="W3","W3_"&amp;IF(I1176="","unknown",I1176),H1176))</f>
        <v/>
      </c>
      <c r="Q1176">
        <f>IF(P1176="","",IFERROR(IF(AND(H1176="W7",OR(F1176="causal",F1176="predictive")),IF(AND(OR(K1176=1,K1176="1"),OR(L1176=1,L1176="1"),OR(M1176=1,M1176="1")),"adequate","partial"),IF(AND(H1176="W4",F1176="predictive",OR(J1176="P2",J1176="P3",J1176="P4")),IF(OR(U1176=1,U1176="1"),"adequate","partial"),INDEX(Fit_Matrix!$B:$B,MATCH(P1176,Fit_Matrix!$A:$A,0)))),"CHECK KEY"))</f>
        <v/>
      </c>
      <c r="U1176" s="10" t="n"/>
      <c r="V1176" s="10" t="n"/>
      <c r="W1176" s="10" t="n"/>
      <c r="X1176" s="10" t="n"/>
      <c r="Y1176" s="10" t="n"/>
      <c r="Z1176" s="10" t="n"/>
      <c r="AA1176" s="11">
        <f>IF(A1176="","",IF(AND(J1176="P4",F1176="causal"),"P4-CAUSAL",""))</f>
        <v/>
      </c>
    </row>
    <row r="1177" ht="15" customHeight="1" s="1">
      <c r="P1177">
        <f>IF(OR(F1177="",H1177="",J1177=""),"",J1177&amp;"|"&amp;F1177&amp;"|"&amp;IF(H1177="W3","W3_"&amp;IF(I1177="","unknown",I1177),H1177))</f>
        <v/>
      </c>
      <c r="Q1177">
        <f>IF(P1177="","",IFERROR(IF(AND(H1177="W7",OR(F1177="causal",F1177="predictive")),IF(AND(OR(K1177=1,K1177="1"),OR(L1177=1,L1177="1"),OR(M1177=1,M1177="1")),"adequate","partial"),IF(AND(H1177="W4",F1177="predictive",OR(J1177="P2",J1177="P3",J1177="P4")),IF(OR(U1177=1,U1177="1"),"adequate","partial"),INDEX(Fit_Matrix!$B:$B,MATCH(P1177,Fit_Matrix!$A:$A,0)))),"CHECK KEY"))</f>
        <v/>
      </c>
      <c r="U1177" s="10" t="n"/>
      <c r="V1177" s="10" t="n"/>
      <c r="W1177" s="10" t="n"/>
      <c r="X1177" s="10" t="n"/>
      <c r="Y1177" s="10" t="n"/>
      <c r="Z1177" s="10" t="n"/>
      <c r="AA1177" s="11">
        <f>IF(A1177="","",IF(AND(J1177="P4",F1177="causal"),"P4-CAUSAL",""))</f>
        <v/>
      </c>
    </row>
    <row r="1178" ht="15" customHeight="1" s="1">
      <c r="P1178">
        <f>IF(OR(F1178="",H1178="",J1178=""),"",J1178&amp;"|"&amp;F1178&amp;"|"&amp;IF(H1178="W3","W3_"&amp;IF(I1178="","unknown",I1178),H1178))</f>
        <v/>
      </c>
      <c r="Q1178">
        <f>IF(P1178="","",IFERROR(IF(AND(H1178="W7",OR(F1178="causal",F1178="predictive")),IF(AND(OR(K1178=1,K1178="1"),OR(L1178=1,L1178="1"),OR(M1178=1,M1178="1")),"adequate","partial"),IF(AND(H1178="W4",F1178="predictive",OR(J1178="P2",J1178="P3",J1178="P4")),IF(OR(U1178=1,U1178="1"),"adequate","partial"),INDEX(Fit_Matrix!$B:$B,MATCH(P1178,Fit_Matrix!$A:$A,0)))),"CHECK KEY"))</f>
        <v/>
      </c>
      <c r="U1178" s="10" t="n"/>
      <c r="V1178" s="10" t="n"/>
      <c r="W1178" s="10" t="n"/>
      <c r="X1178" s="10" t="n"/>
      <c r="Y1178" s="10" t="n"/>
      <c r="Z1178" s="10" t="n"/>
      <c r="AA1178" s="11">
        <f>IF(A1178="","",IF(AND(J1178="P4",F1178="causal"),"P4-CAUSAL",""))</f>
        <v/>
      </c>
    </row>
    <row r="1179" ht="15" customHeight="1" s="1">
      <c r="P1179">
        <f>IF(OR(F1179="",H1179="",J1179=""),"",J1179&amp;"|"&amp;F1179&amp;"|"&amp;IF(H1179="W3","W3_"&amp;IF(I1179="","unknown",I1179),H1179))</f>
        <v/>
      </c>
      <c r="Q1179">
        <f>IF(P1179="","",IFERROR(IF(AND(H1179="W7",OR(F1179="causal",F1179="predictive")),IF(AND(OR(K1179=1,K1179="1"),OR(L1179=1,L1179="1"),OR(M1179=1,M1179="1")),"adequate","partial"),IF(AND(H1179="W4",F1179="predictive",OR(J1179="P2",J1179="P3",J1179="P4")),IF(OR(U1179=1,U1179="1"),"adequate","partial"),INDEX(Fit_Matrix!$B:$B,MATCH(P1179,Fit_Matrix!$A:$A,0)))),"CHECK KEY"))</f>
        <v/>
      </c>
      <c r="U1179" s="10" t="n"/>
      <c r="V1179" s="10" t="n"/>
      <c r="W1179" s="10" t="n"/>
      <c r="X1179" s="10" t="n"/>
      <c r="Y1179" s="10" t="n"/>
      <c r="Z1179" s="10" t="n"/>
      <c r="AA1179" s="11">
        <f>IF(A1179="","",IF(AND(J1179="P4",F1179="causal"),"P4-CAUSAL",""))</f>
        <v/>
      </c>
    </row>
    <row r="1180" ht="15" customHeight="1" s="1">
      <c r="P1180">
        <f>IF(OR(F1180="",H1180="",J1180=""),"",J1180&amp;"|"&amp;F1180&amp;"|"&amp;IF(H1180="W3","W3_"&amp;IF(I1180="","unknown",I1180),H1180))</f>
        <v/>
      </c>
      <c r="Q1180">
        <f>IF(P1180="","",IFERROR(IF(AND(H1180="W7",OR(F1180="causal",F1180="predictive")),IF(AND(OR(K1180=1,K1180="1"),OR(L1180=1,L1180="1"),OR(M1180=1,M1180="1")),"adequate","partial"),IF(AND(H1180="W4",F1180="predictive",OR(J1180="P2",J1180="P3",J1180="P4")),IF(OR(U1180=1,U1180="1"),"adequate","partial"),INDEX(Fit_Matrix!$B:$B,MATCH(P1180,Fit_Matrix!$A:$A,0)))),"CHECK KEY"))</f>
        <v/>
      </c>
      <c r="U1180" s="10" t="n"/>
      <c r="V1180" s="10" t="n"/>
      <c r="W1180" s="10" t="n"/>
      <c r="X1180" s="10" t="n"/>
      <c r="Y1180" s="10" t="n"/>
      <c r="Z1180" s="10" t="n"/>
      <c r="AA1180" s="11">
        <f>IF(A1180="","",IF(AND(J1180="P4",F1180="causal"),"P4-CAUSAL",""))</f>
        <v/>
      </c>
    </row>
    <row r="1181" ht="15" customHeight="1" s="1">
      <c r="P1181">
        <f>IF(OR(F1181="",H1181="",J1181=""),"",J1181&amp;"|"&amp;F1181&amp;"|"&amp;IF(H1181="W3","W3_"&amp;IF(I1181="","unknown",I1181),H1181))</f>
        <v/>
      </c>
      <c r="Q1181">
        <f>IF(P1181="","",IFERROR(IF(AND(H1181="W7",OR(F1181="causal",F1181="predictive")),IF(AND(OR(K1181=1,K1181="1"),OR(L1181=1,L1181="1"),OR(M1181=1,M1181="1")),"adequate","partial"),IF(AND(H1181="W4",F1181="predictive",OR(J1181="P2",J1181="P3",J1181="P4")),IF(OR(U1181=1,U1181="1"),"adequate","partial"),INDEX(Fit_Matrix!$B:$B,MATCH(P1181,Fit_Matrix!$A:$A,0)))),"CHECK KEY"))</f>
        <v/>
      </c>
      <c r="U1181" s="10" t="n"/>
      <c r="V1181" s="10" t="n"/>
      <c r="W1181" s="10" t="n"/>
      <c r="X1181" s="10" t="n"/>
      <c r="Y1181" s="10" t="n"/>
      <c r="Z1181" s="10" t="n"/>
      <c r="AA1181" s="11">
        <f>IF(A1181="","",IF(AND(J1181="P4",F1181="causal"),"P4-CAUSAL",""))</f>
        <v/>
      </c>
    </row>
    <row r="1182" ht="15" customHeight="1" s="1">
      <c r="P1182">
        <f>IF(OR(F1182="",H1182="",J1182=""),"",J1182&amp;"|"&amp;F1182&amp;"|"&amp;IF(H1182="W3","W3_"&amp;IF(I1182="","unknown",I1182),H1182))</f>
        <v/>
      </c>
      <c r="Q1182">
        <f>IF(P1182="","",IFERROR(IF(AND(H1182="W7",OR(F1182="causal",F1182="predictive")),IF(AND(OR(K1182=1,K1182="1"),OR(L1182=1,L1182="1"),OR(M1182=1,M1182="1")),"adequate","partial"),IF(AND(H1182="W4",F1182="predictive",OR(J1182="P2",J1182="P3",J1182="P4")),IF(OR(U1182=1,U1182="1"),"adequate","partial"),INDEX(Fit_Matrix!$B:$B,MATCH(P1182,Fit_Matrix!$A:$A,0)))),"CHECK KEY"))</f>
        <v/>
      </c>
      <c r="U1182" s="10" t="n"/>
      <c r="V1182" s="10" t="n"/>
      <c r="W1182" s="10" t="n"/>
      <c r="X1182" s="10" t="n"/>
      <c r="Y1182" s="10" t="n"/>
      <c r="Z1182" s="10" t="n"/>
      <c r="AA1182" s="11">
        <f>IF(A1182="","",IF(AND(J1182="P4",F1182="causal"),"P4-CAUSAL",""))</f>
        <v/>
      </c>
    </row>
    <row r="1183" ht="15" customHeight="1" s="1">
      <c r="P1183">
        <f>IF(OR(F1183="",H1183="",J1183=""),"",J1183&amp;"|"&amp;F1183&amp;"|"&amp;IF(H1183="W3","W3_"&amp;IF(I1183="","unknown",I1183),H1183))</f>
        <v/>
      </c>
      <c r="Q1183">
        <f>IF(P1183="","",IFERROR(IF(AND(H1183="W7",OR(F1183="causal",F1183="predictive")),IF(AND(OR(K1183=1,K1183="1"),OR(L1183=1,L1183="1"),OR(M1183=1,M1183="1")),"adequate","partial"),IF(AND(H1183="W4",F1183="predictive",OR(J1183="P2",J1183="P3",J1183="P4")),IF(OR(U1183=1,U1183="1"),"adequate","partial"),INDEX(Fit_Matrix!$B:$B,MATCH(P1183,Fit_Matrix!$A:$A,0)))),"CHECK KEY"))</f>
        <v/>
      </c>
      <c r="U1183" s="10" t="n"/>
      <c r="V1183" s="10" t="n"/>
      <c r="W1183" s="10" t="n"/>
      <c r="X1183" s="10" t="n"/>
      <c r="Y1183" s="10" t="n"/>
      <c r="Z1183" s="10" t="n"/>
      <c r="AA1183" s="11">
        <f>IF(A1183="","",IF(AND(J1183="P4",F1183="causal"),"P4-CAUSAL",""))</f>
        <v/>
      </c>
    </row>
    <row r="1184" ht="15" customHeight="1" s="1">
      <c r="P1184">
        <f>IF(OR(F1184="",H1184="",J1184=""),"",J1184&amp;"|"&amp;F1184&amp;"|"&amp;IF(H1184="W3","W3_"&amp;IF(I1184="","unknown",I1184),H1184))</f>
        <v/>
      </c>
      <c r="Q1184">
        <f>IF(P1184="","",IFERROR(IF(AND(H1184="W7",OR(F1184="causal",F1184="predictive")),IF(AND(OR(K1184=1,K1184="1"),OR(L1184=1,L1184="1"),OR(M1184=1,M1184="1")),"adequate","partial"),IF(AND(H1184="W4",F1184="predictive",OR(J1184="P2",J1184="P3",J1184="P4")),IF(OR(U1184=1,U1184="1"),"adequate","partial"),INDEX(Fit_Matrix!$B:$B,MATCH(P1184,Fit_Matrix!$A:$A,0)))),"CHECK KEY"))</f>
        <v/>
      </c>
      <c r="U1184" s="10" t="n"/>
      <c r="V1184" s="10" t="n"/>
      <c r="W1184" s="10" t="n"/>
      <c r="X1184" s="10" t="n"/>
      <c r="Y1184" s="10" t="n"/>
      <c r="Z1184" s="10" t="n"/>
      <c r="AA1184" s="11">
        <f>IF(A1184="","",IF(AND(J1184="P4",F1184="causal"),"P4-CAUSAL",""))</f>
        <v/>
      </c>
    </row>
    <row r="1185" ht="15" customHeight="1" s="1">
      <c r="P1185">
        <f>IF(OR(F1185="",H1185="",J1185=""),"",J1185&amp;"|"&amp;F1185&amp;"|"&amp;IF(H1185="W3","W3_"&amp;IF(I1185="","unknown",I1185),H1185))</f>
        <v/>
      </c>
      <c r="Q1185">
        <f>IF(P1185="","",IFERROR(IF(AND(H1185="W7",OR(F1185="causal",F1185="predictive")),IF(AND(OR(K1185=1,K1185="1"),OR(L1185=1,L1185="1"),OR(M1185=1,M1185="1")),"adequate","partial"),IF(AND(H1185="W4",F1185="predictive",OR(J1185="P2",J1185="P3",J1185="P4")),IF(OR(U1185=1,U1185="1"),"adequate","partial"),INDEX(Fit_Matrix!$B:$B,MATCH(P1185,Fit_Matrix!$A:$A,0)))),"CHECK KEY"))</f>
        <v/>
      </c>
      <c r="U1185" s="10" t="n"/>
      <c r="V1185" s="10" t="n"/>
      <c r="W1185" s="10" t="n"/>
      <c r="X1185" s="10" t="n"/>
      <c r="Y1185" s="10" t="n"/>
      <c r="Z1185" s="10" t="n"/>
      <c r="AA1185" s="11">
        <f>IF(A1185="","",IF(AND(J1185="P4",F1185="causal"),"P4-CAUSAL",""))</f>
        <v/>
      </c>
    </row>
    <row r="1186" ht="15" customHeight="1" s="1">
      <c r="P1186">
        <f>IF(OR(F1186="",H1186="",J1186=""),"",J1186&amp;"|"&amp;F1186&amp;"|"&amp;IF(H1186="W3","W3_"&amp;IF(I1186="","unknown",I1186),H1186))</f>
        <v/>
      </c>
      <c r="Q1186">
        <f>IF(P1186="","",IFERROR(IF(AND(H1186="W7",OR(F1186="causal",F1186="predictive")),IF(AND(OR(K1186=1,K1186="1"),OR(L1186=1,L1186="1"),OR(M1186=1,M1186="1")),"adequate","partial"),IF(AND(H1186="W4",F1186="predictive",OR(J1186="P2",J1186="P3",J1186="P4")),IF(OR(U1186=1,U1186="1"),"adequate","partial"),INDEX(Fit_Matrix!$B:$B,MATCH(P1186,Fit_Matrix!$A:$A,0)))),"CHECK KEY"))</f>
        <v/>
      </c>
      <c r="U1186" s="10" t="n"/>
      <c r="V1186" s="10" t="n"/>
      <c r="W1186" s="10" t="n"/>
      <c r="X1186" s="10" t="n"/>
      <c r="Y1186" s="10" t="n"/>
      <c r="Z1186" s="10" t="n"/>
      <c r="AA1186" s="11">
        <f>IF(A1186="","",IF(AND(J1186="P4",F1186="causal"),"P4-CAUSAL",""))</f>
        <v/>
      </c>
    </row>
    <row r="1187" ht="15" customHeight="1" s="1">
      <c r="P1187">
        <f>IF(OR(F1187="",H1187="",J1187=""),"",J1187&amp;"|"&amp;F1187&amp;"|"&amp;IF(H1187="W3","W3_"&amp;IF(I1187="","unknown",I1187),H1187))</f>
        <v/>
      </c>
      <c r="Q1187">
        <f>IF(P1187="","",IFERROR(IF(AND(H1187="W7",OR(F1187="causal",F1187="predictive")),IF(AND(OR(K1187=1,K1187="1"),OR(L1187=1,L1187="1"),OR(M1187=1,M1187="1")),"adequate","partial"),IF(AND(H1187="W4",F1187="predictive",OR(J1187="P2",J1187="P3",J1187="P4")),IF(OR(U1187=1,U1187="1"),"adequate","partial"),INDEX(Fit_Matrix!$B:$B,MATCH(P1187,Fit_Matrix!$A:$A,0)))),"CHECK KEY"))</f>
        <v/>
      </c>
      <c r="U1187" s="10" t="n"/>
      <c r="V1187" s="10" t="n"/>
      <c r="W1187" s="10" t="n"/>
      <c r="X1187" s="10" t="n"/>
      <c r="Y1187" s="10" t="n"/>
      <c r="Z1187" s="10" t="n"/>
      <c r="AA1187" s="11">
        <f>IF(A1187="","",IF(AND(J1187="P4",F1187="causal"),"P4-CAUSAL",""))</f>
        <v/>
      </c>
    </row>
    <row r="1188" ht="15" customHeight="1" s="1">
      <c r="P1188">
        <f>IF(OR(F1188="",H1188="",J1188=""),"",J1188&amp;"|"&amp;F1188&amp;"|"&amp;IF(H1188="W3","W3_"&amp;IF(I1188="","unknown",I1188),H1188))</f>
        <v/>
      </c>
      <c r="Q1188">
        <f>IF(P1188="","",IFERROR(IF(AND(H1188="W7",OR(F1188="causal",F1188="predictive")),IF(AND(OR(K1188=1,K1188="1"),OR(L1188=1,L1188="1"),OR(M1188=1,M1188="1")),"adequate","partial"),IF(AND(H1188="W4",F1188="predictive",OR(J1188="P2",J1188="P3",J1188="P4")),IF(OR(U1188=1,U1188="1"),"adequate","partial"),INDEX(Fit_Matrix!$B:$B,MATCH(P1188,Fit_Matrix!$A:$A,0)))),"CHECK KEY"))</f>
        <v/>
      </c>
      <c r="U1188" s="10" t="n"/>
      <c r="V1188" s="10" t="n"/>
      <c r="W1188" s="10" t="n"/>
      <c r="X1188" s="10" t="n"/>
      <c r="Y1188" s="10" t="n"/>
      <c r="Z1188" s="10" t="n"/>
      <c r="AA1188" s="11">
        <f>IF(A1188="","",IF(AND(J1188="P4",F1188="causal"),"P4-CAUSAL",""))</f>
        <v/>
      </c>
    </row>
    <row r="1189" ht="15" customHeight="1" s="1">
      <c r="P1189">
        <f>IF(OR(F1189="",H1189="",J1189=""),"",J1189&amp;"|"&amp;F1189&amp;"|"&amp;IF(H1189="W3","W3_"&amp;IF(I1189="","unknown",I1189),H1189))</f>
        <v/>
      </c>
      <c r="Q1189">
        <f>IF(P1189="","",IFERROR(IF(AND(H1189="W7",OR(F1189="causal",F1189="predictive")),IF(AND(OR(K1189=1,K1189="1"),OR(L1189=1,L1189="1"),OR(M1189=1,M1189="1")),"adequate","partial"),IF(AND(H1189="W4",F1189="predictive",OR(J1189="P2",J1189="P3",J1189="P4")),IF(OR(U1189=1,U1189="1"),"adequate","partial"),INDEX(Fit_Matrix!$B:$B,MATCH(P1189,Fit_Matrix!$A:$A,0)))),"CHECK KEY"))</f>
        <v/>
      </c>
      <c r="U1189" s="10" t="n"/>
      <c r="V1189" s="10" t="n"/>
      <c r="W1189" s="10" t="n"/>
      <c r="X1189" s="10" t="n"/>
      <c r="Y1189" s="10" t="n"/>
      <c r="Z1189" s="10" t="n"/>
      <c r="AA1189" s="11">
        <f>IF(A1189="","",IF(AND(J1189="P4",F1189="causal"),"P4-CAUSAL",""))</f>
        <v/>
      </c>
    </row>
    <row r="1190" ht="15" customHeight="1" s="1">
      <c r="P1190">
        <f>IF(OR(F1190="",H1190="",J1190=""),"",J1190&amp;"|"&amp;F1190&amp;"|"&amp;IF(H1190="W3","W3_"&amp;IF(I1190="","unknown",I1190),H1190))</f>
        <v/>
      </c>
      <c r="Q1190">
        <f>IF(P1190="","",IFERROR(IF(AND(H1190="W7",OR(F1190="causal",F1190="predictive")),IF(AND(OR(K1190=1,K1190="1"),OR(L1190=1,L1190="1"),OR(M1190=1,M1190="1")),"adequate","partial"),IF(AND(H1190="W4",F1190="predictive",OR(J1190="P2",J1190="P3",J1190="P4")),IF(OR(U1190=1,U1190="1"),"adequate","partial"),INDEX(Fit_Matrix!$B:$B,MATCH(P1190,Fit_Matrix!$A:$A,0)))),"CHECK KEY"))</f>
        <v/>
      </c>
      <c r="U1190" s="10" t="n"/>
      <c r="V1190" s="10" t="n"/>
      <c r="W1190" s="10" t="n"/>
      <c r="X1190" s="10" t="n"/>
      <c r="Y1190" s="10" t="n"/>
      <c r="Z1190" s="10" t="n"/>
      <c r="AA1190" s="11">
        <f>IF(A1190="","",IF(AND(J1190="P4",F1190="causal"),"P4-CAUSAL",""))</f>
        <v/>
      </c>
    </row>
    <row r="1191" ht="15" customHeight="1" s="1">
      <c r="P1191">
        <f>IF(OR(F1191="",H1191="",J1191=""),"",J1191&amp;"|"&amp;F1191&amp;"|"&amp;IF(H1191="W3","W3_"&amp;IF(I1191="","unknown",I1191),H1191))</f>
        <v/>
      </c>
      <c r="Q1191">
        <f>IF(P1191="","",IFERROR(IF(AND(H1191="W7",OR(F1191="causal",F1191="predictive")),IF(AND(OR(K1191=1,K1191="1"),OR(L1191=1,L1191="1"),OR(M1191=1,M1191="1")),"adequate","partial"),IF(AND(H1191="W4",F1191="predictive",OR(J1191="P2",J1191="P3",J1191="P4")),IF(OR(U1191=1,U1191="1"),"adequate","partial"),INDEX(Fit_Matrix!$B:$B,MATCH(P1191,Fit_Matrix!$A:$A,0)))),"CHECK KEY"))</f>
        <v/>
      </c>
      <c r="U1191" s="10" t="n"/>
      <c r="V1191" s="10" t="n"/>
      <c r="W1191" s="10" t="n"/>
      <c r="X1191" s="10" t="n"/>
      <c r="Y1191" s="10" t="n"/>
      <c r="Z1191" s="10" t="n"/>
      <c r="AA1191" s="11">
        <f>IF(A1191="","",IF(AND(J1191="P4",F1191="causal"),"P4-CAUSAL",""))</f>
        <v/>
      </c>
    </row>
    <row r="1192" ht="15" customHeight="1" s="1">
      <c r="P1192">
        <f>IF(OR(F1192="",H1192="",J1192=""),"",J1192&amp;"|"&amp;F1192&amp;"|"&amp;IF(H1192="W3","W3_"&amp;IF(I1192="","unknown",I1192),H1192))</f>
        <v/>
      </c>
      <c r="Q1192">
        <f>IF(P1192="","",IFERROR(IF(AND(H1192="W7",OR(F1192="causal",F1192="predictive")),IF(AND(OR(K1192=1,K1192="1"),OR(L1192=1,L1192="1"),OR(M1192=1,M1192="1")),"adequate","partial"),IF(AND(H1192="W4",F1192="predictive",OR(J1192="P2",J1192="P3",J1192="P4")),IF(OR(U1192=1,U1192="1"),"adequate","partial"),INDEX(Fit_Matrix!$B:$B,MATCH(P1192,Fit_Matrix!$A:$A,0)))),"CHECK KEY"))</f>
        <v/>
      </c>
      <c r="U1192" s="10" t="n"/>
      <c r="V1192" s="10" t="n"/>
      <c r="W1192" s="10" t="n"/>
      <c r="X1192" s="10" t="n"/>
      <c r="Y1192" s="10" t="n"/>
      <c r="Z1192" s="10" t="n"/>
      <c r="AA1192" s="11">
        <f>IF(A1192="","",IF(AND(J1192="P4",F1192="causal"),"P4-CAUSAL",""))</f>
        <v/>
      </c>
    </row>
    <row r="1193" ht="15" customHeight="1" s="1">
      <c r="P1193">
        <f>IF(OR(F1193="",H1193="",J1193=""),"",J1193&amp;"|"&amp;F1193&amp;"|"&amp;IF(H1193="W3","W3_"&amp;IF(I1193="","unknown",I1193),H1193))</f>
        <v/>
      </c>
      <c r="Q1193">
        <f>IF(P1193="","",IFERROR(IF(AND(H1193="W7",OR(F1193="causal",F1193="predictive")),IF(AND(OR(K1193=1,K1193="1"),OR(L1193=1,L1193="1"),OR(M1193=1,M1193="1")),"adequate","partial"),IF(AND(H1193="W4",F1193="predictive",OR(J1193="P2",J1193="P3",J1193="P4")),IF(OR(U1193=1,U1193="1"),"adequate","partial"),INDEX(Fit_Matrix!$B:$B,MATCH(P1193,Fit_Matrix!$A:$A,0)))),"CHECK KEY"))</f>
        <v/>
      </c>
      <c r="U1193" s="10" t="n"/>
      <c r="V1193" s="10" t="n"/>
      <c r="W1193" s="10" t="n"/>
      <c r="X1193" s="10" t="n"/>
      <c r="Y1193" s="10" t="n"/>
      <c r="Z1193" s="10" t="n"/>
      <c r="AA1193" s="11">
        <f>IF(A1193="","",IF(AND(J1193="P4",F1193="causal"),"P4-CAUSAL",""))</f>
        <v/>
      </c>
    </row>
    <row r="1194" ht="15" customHeight="1" s="1">
      <c r="P1194">
        <f>IF(OR(F1194="",H1194="",J1194=""),"",J1194&amp;"|"&amp;F1194&amp;"|"&amp;IF(H1194="W3","W3_"&amp;IF(I1194="","unknown",I1194),H1194))</f>
        <v/>
      </c>
      <c r="Q1194">
        <f>IF(P1194="","",IFERROR(IF(AND(H1194="W7",OR(F1194="causal",F1194="predictive")),IF(AND(OR(K1194=1,K1194="1"),OR(L1194=1,L1194="1"),OR(M1194=1,M1194="1")),"adequate","partial"),IF(AND(H1194="W4",F1194="predictive",OR(J1194="P2",J1194="P3",J1194="P4")),IF(OR(U1194=1,U1194="1"),"adequate","partial"),INDEX(Fit_Matrix!$B:$B,MATCH(P1194,Fit_Matrix!$A:$A,0)))),"CHECK KEY"))</f>
        <v/>
      </c>
      <c r="U1194" s="10" t="n"/>
      <c r="V1194" s="10" t="n"/>
      <c r="W1194" s="10" t="n"/>
      <c r="X1194" s="10" t="n"/>
      <c r="Y1194" s="10" t="n"/>
      <c r="Z1194" s="10" t="n"/>
      <c r="AA1194" s="11">
        <f>IF(A1194="","",IF(AND(J1194="P4",F1194="causal"),"P4-CAUSAL",""))</f>
        <v/>
      </c>
    </row>
    <row r="1195" ht="15" customHeight="1" s="1">
      <c r="P1195">
        <f>IF(OR(F1195="",H1195="",J1195=""),"",J1195&amp;"|"&amp;F1195&amp;"|"&amp;IF(H1195="W3","W3_"&amp;IF(I1195="","unknown",I1195),H1195))</f>
        <v/>
      </c>
      <c r="Q1195">
        <f>IF(P1195="","",IFERROR(IF(AND(H1195="W7",OR(F1195="causal",F1195="predictive")),IF(AND(OR(K1195=1,K1195="1"),OR(L1195=1,L1195="1"),OR(M1195=1,M1195="1")),"adequate","partial"),IF(AND(H1195="W4",F1195="predictive",OR(J1195="P2",J1195="P3",J1195="P4")),IF(OR(U1195=1,U1195="1"),"adequate","partial"),INDEX(Fit_Matrix!$B:$B,MATCH(P1195,Fit_Matrix!$A:$A,0)))),"CHECK KEY"))</f>
        <v/>
      </c>
      <c r="U1195" s="10" t="n"/>
      <c r="V1195" s="10" t="n"/>
      <c r="W1195" s="10" t="n"/>
      <c r="X1195" s="10" t="n"/>
      <c r="Y1195" s="10" t="n"/>
      <c r="Z1195" s="10" t="n"/>
      <c r="AA1195" s="11">
        <f>IF(A1195="","",IF(AND(J1195="P4",F1195="causal"),"P4-CAUSAL",""))</f>
        <v/>
      </c>
    </row>
    <row r="1196" ht="15" customHeight="1" s="1">
      <c r="P1196">
        <f>IF(OR(F1196="",H1196="",J1196=""),"",J1196&amp;"|"&amp;F1196&amp;"|"&amp;IF(H1196="W3","W3_"&amp;IF(I1196="","unknown",I1196),H1196))</f>
        <v/>
      </c>
      <c r="Q1196">
        <f>IF(P1196="","",IFERROR(IF(AND(H1196="W7",OR(F1196="causal",F1196="predictive")),IF(AND(OR(K1196=1,K1196="1"),OR(L1196=1,L1196="1"),OR(M1196=1,M1196="1")),"adequate","partial"),IF(AND(H1196="W4",F1196="predictive",OR(J1196="P2",J1196="P3",J1196="P4")),IF(OR(U1196=1,U1196="1"),"adequate","partial"),INDEX(Fit_Matrix!$B:$B,MATCH(P1196,Fit_Matrix!$A:$A,0)))),"CHECK KEY"))</f>
        <v/>
      </c>
      <c r="U1196" s="10" t="n"/>
      <c r="V1196" s="10" t="n"/>
      <c r="W1196" s="10" t="n"/>
      <c r="X1196" s="10" t="n"/>
      <c r="Y1196" s="10" t="n"/>
      <c r="Z1196" s="10" t="n"/>
      <c r="AA1196" s="11">
        <f>IF(A1196="","",IF(AND(J1196="P4",F1196="causal"),"P4-CAUSAL",""))</f>
        <v/>
      </c>
    </row>
    <row r="1197" ht="15" customHeight="1" s="1">
      <c r="P1197">
        <f>IF(OR(F1197="",H1197="",J1197=""),"",J1197&amp;"|"&amp;F1197&amp;"|"&amp;IF(H1197="W3","W3_"&amp;IF(I1197="","unknown",I1197),H1197))</f>
        <v/>
      </c>
      <c r="Q1197">
        <f>IF(P1197="","",IFERROR(IF(AND(H1197="W7",OR(F1197="causal",F1197="predictive")),IF(AND(OR(K1197=1,K1197="1"),OR(L1197=1,L1197="1"),OR(M1197=1,M1197="1")),"adequate","partial"),IF(AND(H1197="W4",F1197="predictive",OR(J1197="P2",J1197="P3",J1197="P4")),IF(OR(U1197=1,U1197="1"),"adequate","partial"),INDEX(Fit_Matrix!$B:$B,MATCH(P1197,Fit_Matrix!$A:$A,0)))),"CHECK KEY"))</f>
        <v/>
      </c>
      <c r="U1197" s="10" t="n"/>
      <c r="V1197" s="10" t="n"/>
      <c r="W1197" s="10" t="n"/>
      <c r="X1197" s="10" t="n"/>
      <c r="Y1197" s="10" t="n"/>
      <c r="Z1197" s="10" t="n"/>
      <c r="AA1197" s="11">
        <f>IF(A1197="","",IF(AND(J1197="P4",F1197="causal"),"P4-CAUSAL",""))</f>
        <v/>
      </c>
    </row>
    <row r="1198" ht="15" customHeight="1" s="1">
      <c r="P1198">
        <f>IF(OR(F1198="",H1198="",J1198=""),"",J1198&amp;"|"&amp;F1198&amp;"|"&amp;IF(H1198="W3","W3_"&amp;IF(I1198="","unknown",I1198),H1198))</f>
        <v/>
      </c>
      <c r="Q1198">
        <f>IF(P1198="","",IFERROR(IF(AND(H1198="W7",OR(F1198="causal",F1198="predictive")),IF(AND(OR(K1198=1,K1198="1"),OR(L1198=1,L1198="1"),OR(M1198=1,M1198="1")),"adequate","partial"),IF(AND(H1198="W4",F1198="predictive",OR(J1198="P2",J1198="P3",J1198="P4")),IF(OR(U1198=1,U1198="1"),"adequate","partial"),INDEX(Fit_Matrix!$B:$B,MATCH(P1198,Fit_Matrix!$A:$A,0)))),"CHECK KEY"))</f>
        <v/>
      </c>
      <c r="U1198" s="10" t="n"/>
      <c r="V1198" s="10" t="n"/>
      <c r="W1198" s="10" t="n"/>
      <c r="X1198" s="10" t="n"/>
      <c r="Y1198" s="10" t="n"/>
      <c r="Z1198" s="10" t="n"/>
      <c r="AA1198" s="11">
        <f>IF(A1198="","",IF(AND(J1198="P4",F1198="causal"),"P4-CAUSAL",""))</f>
        <v/>
      </c>
    </row>
    <row r="1199" ht="15" customHeight="1" s="1">
      <c r="P1199">
        <f>IF(OR(F1199="",H1199="",J1199=""),"",J1199&amp;"|"&amp;F1199&amp;"|"&amp;IF(H1199="W3","W3_"&amp;IF(I1199="","unknown",I1199),H1199))</f>
        <v/>
      </c>
      <c r="Q1199">
        <f>IF(P1199="","",IFERROR(IF(AND(H1199="W7",OR(F1199="causal",F1199="predictive")),IF(AND(OR(K1199=1,K1199="1"),OR(L1199=1,L1199="1"),OR(M1199=1,M1199="1")),"adequate","partial"),IF(AND(H1199="W4",F1199="predictive",OR(J1199="P2",J1199="P3",J1199="P4")),IF(OR(U1199=1,U1199="1"),"adequate","partial"),INDEX(Fit_Matrix!$B:$B,MATCH(P1199,Fit_Matrix!$A:$A,0)))),"CHECK KEY"))</f>
        <v/>
      </c>
      <c r="U1199" s="10" t="n"/>
      <c r="V1199" s="10" t="n"/>
      <c r="W1199" s="10" t="n"/>
      <c r="X1199" s="10" t="n"/>
      <c r="Y1199" s="10" t="n"/>
      <c r="Z1199" s="10" t="n"/>
      <c r="AA1199" s="11">
        <f>IF(A1199="","",IF(AND(J1199="P4",F1199="causal"),"P4-CAUSAL",""))</f>
        <v/>
      </c>
    </row>
    <row r="1200" ht="15" customHeight="1" s="1">
      <c r="P1200">
        <f>IF(OR(F1200="",H1200="",J1200=""),"",J1200&amp;"|"&amp;F1200&amp;"|"&amp;IF(H1200="W3","W3_"&amp;IF(I1200="","unknown",I1200),H1200))</f>
        <v/>
      </c>
      <c r="Q1200">
        <f>IF(P1200="","",IFERROR(IF(AND(H1200="W7",OR(F1200="causal",F1200="predictive")),IF(AND(OR(K1200=1,K1200="1"),OR(L1200=1,L1200="1"),OR(M1200=1,M1200="1")),"adequate","partial"),IF(AND(H1200="W4",F1200="predictive",OR(J1200="P2",J1200="P3",J1200="P4")),IF(OR(U1200=1,U1200="1"),"adequate","partial"),INDEX(Fit_Matrix!$B:$B,MATCH(P1200,Fit_Matrix!$A:$A,0)))),"CHECK KEY"))</f>
        <v/>
      </c>
      <c r="U1200" s="10" t="n"/>
      <c r="V1200" s="10" t="n"/>
      <c r="W1200" s="10" t="n"/>
      <c r="X1200" s="10" t="n"/>
      <c r="Y1200" s="10" t="n"/>
      <c r="Z1200" s="10" t="n"/>
      <c r="AA1200" s="11">
        <f>IF(A1200="","",IF(AND(J1200="P4",F1200="causal"),"P4-CAUSAL",""))</f>
        <v/>
      </c>
    </row>
    <row r="1201" ht="15" customHeight="1" s="1">
      <c r="P1201">
        <f>IF(OR(F1201="",H1201="",J1201=""),"",J1201&amp;"|"&amp;F1201&amp;"|"&amp;IF(H1201="W3","W3_"&amp;IF(I1201="","unknown",I1201),H1201))</f>
        <v/>
      </c>
      <c r="Q1201">
        <f>IF(P1201="","",IFERROR(IF(AND(H1201="W7",OR(F1201="causal",F1201="predictive")),IF(AND(OR(K1201=1,K1201="1"),OR(L1201=1,L1201="1"),OR(M1201=1,M1201="1")),"adequate","partial"),IF(AND(H1201="W4",F1201="predictive",OR(J1201="P2",J1201="P3",J1201="P4")),IF(OR(U1201=1,U1201="1"),"adequate","partial"),INDEX(Fit_Matrix!$B:$B,MATCH(P1201,Fit_Matrix!$A:$A,0)))),"CHECK KEY"))</f>
        <v/>
      </c>
      <c r="U1201" s="10" t="n"/>
      <c r="V1201" s="10" t="n"/>
      <c r="W1201" s="10" t="n"/>
      <c r="X1201" s="10" t="n"/>
      <c r="Y1201" s="10" t="n"/>
      <c r="Z1201" s="10" t="n"/>
      <c r="AA1201" s="11">
        <f>IF(A1201="","",IF(AND(J1201="P4",F1201="causal"),"P4-CAUSAL",""))</f>
        <v/>
      </c>
    </row>
    <row r="1202" ht="15" customHeight="1" s="1">
      <c r="P1202">
        <f>IF(OR(F1202="",H1202="",J1202=""),"",J1202&amp;"|"&amp;F1202&amp;"|"&amp;IF(H1202="W3","W3_"&amp;IF(I1202="","unknown",I1202),H1202))</f>
        <v/>
      </c>
      <c r="Q1202">
        <f>IF(P1202="","",IFERROR(IF(AND(H1202="W7",OR(F1202="causal",F1202="predictive")),IF(AND(OR(K1202=1,K1202="1"),OR(L1202=1,L1202="1"),OR(M1202=1,M1202="1")),"adequate","partial"),IF(AND(H1202="W4",F1202="predictive",OR(J1202="P2",J1202="P3",J1202="P4")),IF(OR(U1202=1,U1202="1"),"adequate","partial"),INDEX(Fit_Matrix!$B:$B,MATCH(P1202,Fit_Matrix!$A:$A,0)))),"CHECK KEY"))</f>
        <v/>
      </c>
      <c r="U1202" s="10" t="n"/>
      <c r="V1202" s="10" t="n"/>
      <c r="W1202" s="10" t="n"/>
      <c r="X1202" s="10" t="n"/>
      <c r="Y1202" s="10" t="n"/>
      <c r="Z1202" s="10" t="n"/>
      <c r="AA1202" s="11">
        <f>IF(A1202="","",IF(AND(J1202="P4",F1202="causal"),"P4-CAUSAL",""))</f>
        <v/>
      </c>
    </row>
    <row r="1203" ht="15" customHeight="1" s="1">
      <c r="P1203">
        <f>IF(OR(F1203="",H1203="",J1203=""),"",J1203&amp;"|"&amp;F1203&amp;"|"&amp;IF(H1203="W3","W3_"&amp;IF(I1203="","unknown",I1203),H1203))</f>
        <v/>
      </c>
      <c r="Q1203">
        <f>IF(P1203="","",IFERROR(IF(AND(H1203="W7",OR(F1203="causal",F1203="predictive")),IF(AND(OR(K1203=1,K1203="1"),OR(L1203=1,L1203="1"),OR(M1203=1,M1203="1")),"adequate","partial"),IF(AND(H1203="W4",F1203="predictive",OR(J1203="P2",J1203="P3",J1203="P4")),IF(OR(U1203=1,U1203="1"),"adequate","partial"),INDEX(Fit_Matrix!$B:$B,MATCH(P1203,Fit_Matrix!$A:$A,0)))),"CHECK KEY"))</f>
        <v/>
      </c>
      <c r="U1203" s="10" t="n"/>
      <c r="V1203" s="10" t="n"/>
      <c r="W1203" s="10" t="n"/>
      <c r="X1203" s="10" t="n"/>
      <c r="Y1203" s="10" t="n"/>
      <c r="Z1203" s="10" t="n"/>
      <c r="AA1203" s="11">
        <f>IF(A1203="","",IF(AND(J1203="P4",F1203="causal"),"P4-CAUSAL",""))</f>
        <v/>
      </c>
    </row>
    <row r="1204" ht="15" customHeight="1" s="1">
      <c r="P1204">
        <f>IF(OR(F1204="",H1204="",J1204=""),"",J1204&amp;"|"&amp;F1204&amp;"|"&amp;IF(H1204="W3","W3_"&amp;IF(I1204="","unknown",I1204),H1204))</f>
        <v/>
      </c>
      <c r="Q1204">
        <f>IF(P1204="","",IFERROR(IF(AND(H1204="W7",OR(F1204="causal",F1204="predictive")),IF(AND(OR(K1204=1,K1204="1"),OR(L1204=1,L1204="1"),OR(M1204=1,M1204="1")),"adequate","partial"),IF(AND(H1204="W4",F1204="predictive",OR(J1204="P2",J1204="P3",J1204="P4")),IF(OR(U1204=1,U1204="1"),"adequate","partial"),INDEX(Fit_Matrix!$B:$B,MATCH(P1204,Fit_Matrix!$A:$A,0)))),"CHECK KEY"))</f>
        <v/>
      </c>
      <c r="U1204" s="10" t="n"/>
      <c r="V1204" s="10" t="n"/>
      <c r="W1204" s="10" t="n"/>
      <c r="X1204" s="10" t="n"/>
      <c r="Y1204" s="10" t="n"/>
      <c r="Z1204" s="10" t="n"/>
      <c r="AA1204" s="11">
        <f>IF(A1204="","",IF(AND(J1204="P4",F1204="causal"),"P4-CAUSAL",""))</f>
        <v/>
      </c>
    </row>
    <row r="1205" ht="15" customHeight="1" s="1">
      <c r="P1205">
        <f>IF(OR(F1205="",H1205="",J1205=""),"",J1205&amp;"|"&amp;F1205&amp;"|"&amp;IF(H1205="W3","W3_"&amp;IF(I1205="","unknown",I1205),H1205))</f>
        <v/>
      </c>
      <c r="Q1205">
        <f>IF(P1205="","",IFERROR(IF(AND(H1205="W7",OR(F1205="causal",F1205="predictive")),IF(AND(OR(K1205=1,K1205="1"),OR(L1205=1,L1205="1"),OR(M1205=1,M1205="1")),"adequate","partial"),IF(AND(H1205="W4",F1205="predictive",OR(J1205="P2",J1205="P3",J1205="P4")),IF(OR(U1205=1,U1205="1"),"adequate","partial"),INDEX(Fit_Matrix!$B:$B,MATCH(P1205,Fit_Matrix!$A:$A,0)))),"CHECK KEY"))</f>
        <v/>
      </c>
      <c r="U1205" s="10" t="n"/>
      <c r="V1205" s="10" t="n"/>
      <c r="W1205" s="10" t="n"/>
      <c r="X1205" s="10" t="n"/>
      <c r="Y1205" s="10" t="n"/>
      <c r="Z1205" s="10" t="n"/>
      <c r="AA1205" s="11">
        <f>IF(A1205="","",IF(AND(J1205="P4",F1205="causal"),"P4-CAUSAL",""))</f>
        <v/>
      </c>
    </row>
    <row r="1206" ht="15" customHeight="1" s="1">
      <c r="P1206">
        <f>IF(OR(F1206="",H1206="",J1206=""),"",J1206&amp;"|"&amp;F1206&amp;"|"&amp;IF(H1206="W3","W3_"&amp;IF(I1206="","unknown",I1206),H1206))</f>
        <v/>
      </c>
      <c r="Q1206">
        <f>IF(P1206="","",IFERROR(IF(AND(H1206="W7",OR(F1206="causal",F1206="predictive")),IF(AND(OR(K1206=1,K1206="1"),OR(L1206=1,L1206="1"),OR(M1206=1,M1206="1")),"adequate","partial"),IF(AND(H1206="W4",F1206="predictive",OR(J1206="P2",J1206="P3",J1206="P4")),IF(OR(U1206=1,U1206="1"),"adequate","partial"),INDEX(Fit_Matrix!$B:$B,MATCH(P1206,Fit_Matrix!$A:$A,0)))),"CHECK KEY"))</f>
        <v/>
      </c>
      <c r="U1206" s="10" t="n"/>
      <c r="V1206" s="10" t="n"/>
      <c r="W1206" s="10" t="n"/>
      <c r="X1206" s="10" t="n"/>
      <c r="Y1206" s="10" t="n"/>
      <c r="Z1206" s="10" t="n"/>
      <c r="AA1206" s="11">
        <f>IF(A1206="","",IF(AND(J1206="P4",F1206="causal"),"P4-CAUSAL",""))</f>
        <v/>
      </c>
    </row>
    <row r="1207" ht="15" customHeight="1" s="1">
      <c r="P1207">
        <f>IF(OR(F1207="",H1207="",J1207=""),"",J1207&amp;"|"&amp;F1207&amp;"|"&amp;IF(H1207="W3","W3_"&amp;IF(I1207="","unknown",I1207),H1207))</f>
        <v/>
      </c>
      <c r="Q1207">
        <f>IF(P1207="","",IFERROR(IF(AND(H1207="W7",OR(F1207="causal",F1207="predictive")),IF(AND(OR(K1207=1,K1207="1"),OR(L1207=1,L1207="1"),OR(M1207=1,M1207="1")),"adequate","partial"),IF(AND(H1207="W4",F1207="predictive",OR(J1207="P2",J1207="P3",J1207="P4")),IF(OR(U1207=1,U1207="1"),"adequate","partial"),INDEX(Fit_Matrix!$B:$B,MATCH(P1207,Fit_Matrix!$A:$A,0)))),"CHECK KEY"))</f>
        <v/>
      </c>
      <c r="U1207" s="10" t="n"/>
      <c r="V1207" s="10" t="n"/>
      <c r="W1207" s="10" t="n"/>
      <c r="X1207" s="10" t="n"/>
      <c r="Y1207" s="10" t="n"/>
      <c r="Z1207" s="10" t="n"/>
      <c r="AA1207" s="11">
        <f>IF(A1207="","",IF(AND(J1207="P4",F1207="causal"),"P4-CAUSAL",""))</f>
        <v/>
      </c>
    </row>
    <row r="1208" ht="15" customHeight="1" s="1">
      <c r="P1208">
        <f>IF(OR(F1208="",H1208="",J1208=""),"",J1208&amp;"|"&amp;F1208&amp;"|"&amp;IF(H1208="W3","W3_"&amp;IF(I1208="","unknown",I1208),H1208))</f>
        <v/>
      </c>
      <c r="Q1208">
        <f>IF(P1208="","",IFERROR(IF(AND(H1208="W7",OR(F1208="causal",F1208="predictive")),IF(AND(OR(K1208=1,K1208="1"),OR(L1208=1,L1208="1"),OR(M1208=1,M1208="1")),"adequate","partial"),IF(AND(H1208="W4",F1208="predictive",OR(J1208="P2",J1208="P3",J1208="P4")),IF(OR(U1208=1,U1208="1"),"adequate","partial"),INDEX(Fit_Matrix!$B:$B,MATCH(P1208,Fit_Matrix!$A:$A,0)))),"CHECK KEY"))</f>
        <v/>
      </c>
      <c r="U1208" s="10" t="n"/>
      <c r="V1208" s="10" t="n"/>
      <c r="W1208" s="10" t="n"/>
      <c r="X1208" s="10" t="n"/>
      <c r="Y1208" s="10" t="n"/>
      <c r="Z1208" s="10" t="n"/>
      <c r="AA1208" s="11">
        <f>IF(A1208="","",IF(AND(J1208="P4",F1208="causal"),"P4-CAUSAL",""))</f>
        <v/>
      </c>
    </row>
    <row r="1209" ht="15" customHeight="1" s="1">
      <c r="P1209">
        <f>IF(OR(F1209="",H1209="",J1209=""),"",J1209&amp;"|"&amp;F1209&amp;"|"&amp;IF(H1209="W3","W3_"&amp;IF(I1209="","unknown",I1209),H1209))</f>
        <v/>
      </c>
      <c r="Q1209">
        <f>IF(P1209="","",IFERROR(IF(AND(H1209="W7",OR(F1209="causal",F1209="predictive")),IF(AND(OR(K1209=1,K1209="1"),OR(L1209=1,L1209="1"),OR(M1209=1,M1209="1")),"adequate","partial"),IF(AND(H1209="W4",F1209="predictive",OR(J1209="P2",J1209="P3",J1209="P4")),IF(OR(U1209=1,U1209="1"),"adequate","partial"),INDEX(Fit_Matrix!$B:$B,MATCH(P1209,Fit_Matrix!$A:$A,0)))),"CHECK KEY"))</f>
        <v/>
      </c>
      <c r="U1209" s="10" t="n"/>
      <c r="V1209" s="10" t="n"/>
      <c r="W1209" s="10" t="n"/>
      <c r="X1209" s="10" t="n"/>
      <c r="Y1209" s="10" t="n"/>
      <c r="Z1209" s="10" t="n"/>
      <c r="AA1209" s="11">
        <f>IF(A1209="","",IF(AND(J1209="P4",F1209="causal"),"P4-CAUSAL",""))</f>
        <v/>
      </c>
    </row>
    <row r="1210" ht="15" customHeight="1" s="1">
      <c r="P1210">
        <f>IF(OR(F1210="",H1210="",J1210=""),"",J1210&amp;"|"&amp;F1210&amp;"|"&amp;IF(H1210="W3","W3_"&amp;IF(I1210="","unknown",I1210),H1210))</f>
        <v/>
      </c>
      <c r="Q1210">
        <f>IF(P1210="","",IFERROR(IF(AND(H1210="W7",OR(F1210="causal",F1210="predictive")),IF(AND(OR(K1210=1,K1210="1"),OR(L1210=1,L1210="1"),OR(M1210=1,M1210="1")),"adequate","partial"),IF(AND(H1210="W4",F1210="predictive",OR(J1210="P2",J1210="P3",J1210="P4")),IF(OR(U1210=1,U1210="1"),"adequate","partial"),INDEX(Fit_Matrix!$B:$B,MATCH(P1210,Fit_Matrix!$A:$A,0)))),"CHECK KEY"))</f>
        <v/>
      </c>
      <c r="U1210" s="10" t="n"/>
      <c r="V1210" s="10" t="n"/>
      <c r="W1210" s="10" t="n"/>
      <c r="X1210" s="10" t="n"/>
      <c r="Y1210" s="10" t="n"/>
      <c r="Z1210" s="10" t="n"/>
      <c r="AA1210" s="11">
        <f>IF(A1210="","",IF(AND(J1210="P4",F1210="causal"),"P4-CAUSAL",""))</f>
        <v/>
      </c>
    </row>
    <row r="1211" ht="15" customHeight="1" s="1">
      <c r="P1211">
        <f>IF(OR(F1211="",H1211="",J1211=""),"",J1211&amp;"|"&amp;F1211&amp;"|"&amp;IF(H1211="W3","W3_"&amp;IF(I1211="","unknown",I1211),H1211))</f>
        <v/>
      </c>
      <c r="Q1211">
        <f>IF(P1211="","",IFERROR(IF(AND(H1211="W7",OR(F1211="causal",F1211="predictive")),IF(AND(OR(K1211=1,K1211="1"),OR(L1211=1,L1211="1"),OR(M1211=1,M1211="1")),"adequate","partial"),IF(AND(H1211="W4",F1211="predictive",OR(J1211="P2",J1211="P3",J1211="P4")),IF(OR(U1211=1,U1211="1"),"adequate","partial"),INDEX(Fit_Matrix!$B:$B,MATCH(P1211,Fit_Matrix!$A:$A,0)))),"CHECK KEY"))</f>
        <v/>
      </c>
      <c r="U1211" s="10" t="n"/>
      <c r="V1211" s="10" t="n"/>
      <c r="W1211" s="10" t="n"/>
      <c r="X1211" s="10" t="n"/>
      <c r="Y1211" s="10" t="n"/>
      <c r="Z1211" s="10" t="n"/>
      <c r="AA1211" s="11">
        <f>IF(A1211="","",IF(AND(J1211="P4",F1211="causal"),"P4-CAUSAL",""))</f>
        <v/>
      </c>
    </row>
    <row r="1212" ht="15" customHeight="1" s="1">
      <c r="P1212">
        <f>IF(OR(F1212="",H1212="",J1212=""),"",J1212&amp;"|"&amp;F1212&amp;"|"&amp;IF(H1212="W3","W3_"&amp;IF(I1212="","unknown",I1212),H1212))</f>
        <v/>
      </c>
      <c r="Q1212">
        <f>IF(P1212="","",IFERROR(IF(AND(H1212="W7",OR(F1212="causal",F1212="predictive")),IF(AND(OR(K1212=1,K1212="1"),OR(L1212=1,L1212="1"),OR(M1212=1,M1212="1")),"adequate","partial"),IF(AND(H1212="W4",F1212="predictive",OR(J1212="P2",J1212="P3",J1212="P4")),IF(OR(U1212=1,U1212="1"),"adequate","partial"),INDEX(Fit_Matrix!$B:$B,MATCH(P1212,Fit_Matrix!$A:$A,0)))),"CHECK KEY"))</f>
        <v/>
      </c>
      <c r="U1212" s="10" t="n"/>
      <c r="V1212" s="10" t="n"/>
      <c r="W1212" s="10" t="n"/>
      <c r="X1212" s="10" t="n"/>
      <c r="Y1212" s="10" t="n"/>
      <c r="Z1212" s="10" t="n"/>
      <c r="AA1212" s="11">
        <f>IF(A1212="","",IF(AND(J1212="P4",F1212="causal"),"P4-CAUSAL",""))</f>
        <v/>
      </c>
    </row>
    <row r="1213" ht="15" customHeight="1" s="1">
      <c r="P1213">
        <f>IF(OR(F1213="",H1213="",J1213=""),"",J1213&amp;"|"&amp;F1213&amp;"|"&amp;IF(H1213="W3","W3_"&amp;IF(I1213="","unknown",I1213),H1213))</f>
        <v/>
      </c>
      <c r="Q1213">
        <f>IF(P1213="","",IFERROR(IF(AND(H1213="W7",OR(F1213="causal",F1213="predictive")),IF(AND(OR(K1213=1,K1213="1"),OR(L1213=1,L1213="1"),OR(M1213=1,M1213="1")),"adequate","partial"),IF(AND(H1213="W4",F1213="predictive",OR(J1213="P2",J1213="P3",J1213="P4")),IF(OR(U1213=1,U1213="1"),"adequate","partial"),INDEX(Fit_Matrix!$B:$B,MATCH(P1213,Fit_Matrix!$A:$A,0)))),"CHECK KEY"))</f>
        <v/>
      </c>
      <c r="U1213" s="10" t="n"/>
      <c r="V1213" s="10" t="n"/>
      <c r="W1213" s="10" t="n"/>
      <c r="X1213" s="10" t="n"/>
      <c r="Y1213" s="10" t="n"/>
      <c r="Z1213" s="10" t="n"/>
      <c r="AA1213" s="11">
        <f>IF(A1213="","",IF(AND(J1213="P4",F1213="causal"),"P4-CAUSAL",""))</f>
        <v/>
      </c>
    </row>
    <row r="1214" ht="15" customHeight="1" s="1">
      <c r="P1214">
        <f>IF(OR(F1214="",H1214="",J1214=""),"",J1214&amp;"|"&amp;F1214&amp;"|"&amp;IF(H1214="W3","W3_"&amp;IF(I1214="","unknown",I1214),H1214))</f>
        <v/>
      </c>
      <c r="Q1214">
        <f>IF(P1214="","",IFERROR(IF(AND(H1214="W7",OR(F1214="causal",F1214="predictive")),IF(AND(OR(K1214=1,K1214="1"),OR(L1214=1,L1214="1"),OR(M1214=1,M1214="1")),"adequate","partial"),IF(AND(H1214="W4",F1214="predictive",OR(J1214="P2",J1214="P3",J1214="P4")),IF(OR(U1214=1,U1214="1"),"adequate","partial"),INDEX(Fit_Matrix!$B:$B,MATCH(P1214,Fit_Matrix!$A:$A,0)))),"CHECK KEY"))</f>
        <v/>
      </c>
      <c r="U1214" s="10" t="n"/>
      <c r="V1214" s="10" t="n"/>
      <c r="W1214" s="10" t="n"/>
      <c r="X1214" s="10" t="n"/>
      <c r="Y1214" s="10" t="n"/>
      <c r="Z1214" s="10" t="n"/>
      <c r="AA1214" s="11">
        <f>IF(A1214="","",IF(AND(J1214="P4",F1214="causal"),"P4-CAUSAL",""))</f>
        <v/>
      </c>
    </row>
    <row r="1215" ht="15" customHeight="1" s="1">
      <c r="P1215">
        <f>IF(OR(F1215="",H1215="",J1215=""),"",J1215&amp;"|"&amp;F1215&amp;"|"&amp;IF(H1215="W3","W3_"&amp;IF(I1215="","unknown",I1215),H1215))</f>
        <v/>
      </c>
      <c r="Q1215">
        <f>IF(P1215="","",IFERROR(IF(AND(H1215="W7",OR(F1215="causal",F1215="predictive")),IF(AND(OR(K1215=1,K1215="1"),OR(L1215=1,L1215="1"),OR(M1215=1,M1215="1")),"adequate","partial"),IF(AND(H1215="W4",F1215="predictive",OR(J1215="P2",J1215="P3",J1215="P4")),IF(OR(U1215=1,U1215="1"),"adequate","partial"),INDEX(Fit_Matrix!$B:$B,MATCH(P1215,Fit_Matrix!$A:$A,0)))),"CHECK KEY"))</f>
        <v/>
      </c>
      <c r="U1215" s="10" t="n"/>
      <c r="V1215" s="10" t="n"/>
      <c r="W1215" s="10" t="n"/>
      <c r="X1215" s="10" t="n"/>
      <c r="Y1215" s="10" t="n"/>
      <c r="Z1215" s="10" t="n"/>
      <c r="AA1215" s="11">
        <f>IF(A1215="","",IF(AND(J1215="P4",F1215="causal"),"P4-CAUSAL",""))</f>
        <v/>
      </c>
    </row>
    <row r="1216" ht="15" customHeight="1" s="1">
      <c r="P1216">
        <f>IF(OR(F1216="",H1216="",J1216=""),"",J1216&amp;"|"&amp;F1216&amp;"|"&amp;IF(H1216="W3","W3_"&amp;IF(I1216="","unknown",I1216),H1216))</f>
        <v/>
      </c>
      <c r="Q1216">
        <f>IF(P1216="","",IFERROR(IF(AND(H1216="W7",OR(F1216="causal",F1216="predictive")),IF(AND(OR(K1216=1,K1216="1"),OR(L1216=1,L1216="1"),OR(M1216=1,M1216="1")),"adequate","partial"),IF(AND(H1216="W4",F1216="predictive",OR(J1216="P2",J1216="P3",J1216="P4")),IF(OR(U1216=1,U1216="1"),"adequate","partial"),INDEX(Fit_Matrix!$B:$B,MATCH(P1216,Fit_Matrix!$A:$A,0)))),"CHECK KEY"))</f>
        <v/>
      </c>
      <c r="U1216" s="10" t="n"/>
      <c r="V1216" s="10" t="n"/>
      <c r="W1216" s="10" t="n"/>
      <c r="X1216" s="10" t="n"/>
      <c r="Y1216" s="10" t="n"/>
      <c r="Z1216" s="10" t="n"/>
      <c r="AA1216" s="11">
        <f>IF(A1216="","",IF(AND(J1216="P4",F1216="causal"),"P4-CAUSAL",""))</f>
        <v/>
      </c>
    </row>
    <row r="1217" ht="15" customHeight="1" s="1">
      <c r="P1217">
        <f>IF(OR(F1217="",H1217="",J1217=""),"",J1217&amp;"|"&amp;F1217&amp;"|"&amp;IF(H1217="W3","W3_"&amp;IF(I1217="","unknown",I1217),H1217))</f>
        <v/>
      </c>
      <c r="Q1217">
        <f>IF(P1217="","",IFERROR(IF(AND(H1217="W7",OR(F1217="causal",F1217="predictive")),IF(AND(OR(K1217=1,K1217="1"),OR(L1217=1,L1217="1"),OR(M1217=1,M1217="1")),"adequate","partial"),IF(AND(H1217="W4",F1217="predictive",OR(J1217="P2",J1217="P3",J1217="P4")),IF(OR(U1217=1,U1217="1"),"adequate","partial"),INDEX(Fit_Matrix!$B:$B,MATCH(P1217,Fit_Matrix!$A:$A,0)))),"CHECK KEY"))</f>
        <v/>
      </c>
      <c r="U1217" s="10" t="n"/>
      <c r="V1217" s="10" t="n"/>
      <c r="W1217" s="10" t="n"/>
      <c r="X1217" s="10" t="n"/>
      <c r="Y1217" s="10" t="n"/>
      <c r="Z1217" s="10" t="n"/>
      <c r="AA1217" s="11">
        <f>IF(A1217="","",IF(AND(J1217="P4",F1217="causal"),"P4-CAUSAL",""))</f>
        <v/>
      </c>
    </row>
    <row r="1218" ht="15" customHeight="1" s="1">
      <c r="P1218">
        <f>IF(OR(F1218="",H1218="",J1218=""),"",J1218&amp;"|"&amp;F1218&amp;"|"&amp;IF(H1218="W3","W3_"&amp;IF(I1218="","unknown",I1218),H1218))</f>
        <v/>
      </c>
      <c r="Q1218">
        <f>IF(P1218="","",IFERROR(IF(AND(H1218="W7",OR(F1218="causal",F1218="predictive")),IF(AND(OR(K1218=1,K1218="1"),OR(L1218=1,L1218="1"),OR(M1218=1,M1218="1")),"adequate","partial"),IF(AND(H1218="W4",F1218="predictive",OR(J1218="P2",J1218="P3",J1218="P4")),IF(OR(U1218=1,U1218="1"),"adequate","partial"),INDEX(Fit_Matrix!$B:$B,MATCH(P1218,Fit_Matrix!$A:$A,0)))),"CHECK KEY"))</f>
        <v/>
      </c>
      <c r="U1218" s="10" t="n"/>
      <c r="V1218" s="10" t="n"/>
      <c r="W1218" s="10" t="n"/>
      <c r="X1218" s="10" t="n"/>
      <c r="Y1218" s="10" t="n"/>
      <c r="Z1218" s="10" t="n"/>
      <c r="AA1218" s="11">
        <f>IF(A1218="","",IF(AND(J1218="P4",F1218="causal"),"P4-CAUSAL",""))</f>
        <v/>
      </c>
    </row>
    <row r="1219" ht="15" customHeight="1" s="1">
      <c r="P1219">
        <f>IF(OR(F1219="",H1219="",J1219=""),"",J1219&amp;"|"&amp;F1219&amp;"|"&amp;IF(H1219="W3","W3_"&amp;IF(I1219="","unknown",I1219),H1219))</f>
        <v/>
      </c>
      <c r="Q1219">
        <f>IF(P1219="","",IFERROR(IF(AND(H1219="W7",OR(F1219="causal",F1219="predictive")),IF(AND(OR(K1219=1,K1219="1"),OR(L1219=1,L1219="1"),OR(M1219=1,M1219="1")),"adequate","partial"),IF(AND(H1219="W4",F1219="predictive",OR(J1219="P2",J1219="P3",J1219="P4")),IF(OR(U1219=1,U1219="1"),"adequate","partial"),INDEX(Fit_Matrix!$B:$B,MATCH(P1219,Fit_Matrix!$A:$A,0)))),"CHECK KEY"))</f>
        <v/>
      </c>
      <c r="U1219" s="10" t="n"/>
      <c r="V1219" s="10" t="n"/>
      <c r="W1219" s="10" t="n"/>
      <c r="X1219" s="10" t="n"/>
      <c r="Y1219" s="10" t="n"/>
      <c r="Z1219" s="10" t="n"/>
      <c r="AA1219" s="11">
        <f>IF(A1219="","",IF(AND(J1219="P4",F1219="causal"),"P4-CAUSAL",""))</f>
        <v/>
      </c>
    </row>
    <row r="1220" ht="15" customHeight="1" s="1">
      <c r="P1220">
        <f>IF(OR(F1220="",H1220="",J1220=""),"",J1220&amp;"|"&amp;F1220&amp;"|"&amp;IF(H1220="W3","W3_"&amp;IF(I1220="","unknown",I1220),H1220))</f>
        <v/>
      </c>
      <c r="Q1220">
        <f>IF(P1220="","",IFERROR(IF(AND(H1220="W7",OR(F1220="causal",F1220="predictive")),IF(AND(OR(K1220=1,K1220="1"),OR(L1220=1,L1220="1"),OR(M1220=1,M1220="1")),"adequate","partial"),IF(AND(H1220="W4",F1220="predictive",OR(J1220="P2",J1220="P3",J1220="P4")),IF(OR(U1220=1,U1220="1"),"adequate","partial"),INDEX(Fit_Matrix!$B:$B,MATCH(P1220,Fit_Matrix!$A:$A,0)))),"CHECK KEY"))</f>
        <v/>
      </c>
      <c r="U1220" s="10" t="n"/>
      <c r="V1220" s="10" t="n"/>
      <c r="W1220" s="10" t="n"/>
      <c r="X1220" s="10" t="n"/>
      <c r="Y1220" s="10" t="n"/>
      <c r="Z1220" s="10" t="n"/>
      <c r="AA1220" s="11">
        <f>IF(A1220="","",IF(AND(J1220="P4",F1220="causal"),"P4-CAUSAL",""))</f>
        <v/>
      </c>
    </row>
    <row r="1221" ht="15" customHeight="1" s="1">
      <c r="P1221">
        <f>IF(OR(F1221="",H1221="",J1221=""),"",J1221&amp;"|"&amp;F1221&amp;"|"&amp;IF(H1221="W3","W3_"&amp;IF(I1221="","unknown",I1221),H1221))</f>
        <v/>
      </c>
      <c r="Q1221">
        <f>IF(P1221="","",IFERROR(IF(AND(H1221="W7",OR(F1221="causal",F1221="predictive")),IF(AND(OR(K1221=1,K1221="1"),OR(L1221=1,L1221="1"),OR(M1221=1,M1221="1")),"adequate","partial"),IF(AND(H1221="W4",F1221="predictive",OR(J1221="P2",J1221="P3",J1221="P4")),IF(OR(U1221=1,U1221="1"),"adequate","partial"),INDEX(Fit_Matrix!$B:$B,MATCH(P1221,Fit_Matrix!$A:$A,0)))),"CHECK KEY"))</f>
        <v/>
      </c>
      <c r="U1221" s="10" t="n"/>
      <c r="V1221" s="10" t="n"/>
      <c r="W1221" s="10" t="n"/>
      <c r="X1221" s="10" t="n"/>
      <c r="Y1221" s="10" t="n"/>
      <c r="Z1221" s="10" t="n"/>
      <c r="AA1221" s="11">
        <f>IF(A1221="","",IF(AND(J1221="P4",F1221="causal"),"P4-CAUSAL",""))</f>
        <v/>
      </c>
    </row>
    <row r="1222" ht="15" customHeight="1" s="1">
      <c r="P1222">
        <f>IF(OR(F1222="",H1222="",J1222=""),"",J1222&amp;"|"&amp;F1222&amp;"|"&amp;IF(H1222="W3","W3_"&amp;IF(I1222="","unknown",I1222),H1222))</f>
        <v/>
      </c>
      <c r="Q1222">
        <f>IF(P1222="","",IFERROR(IF(AND(H1222="W7",OR(F1222="causal",F1222="predictive")),IF(AND(OR(K1222=1,K1222="1"),OR(L1222=1,L1222="1"),OR(M1222=1,M1222="1")),"adequate","partial"),IF(AND(H1222="W4",F1222="predictive",OR(J1222="P2",J1222="P3",J1222="P4")),IF(OR(U1222=1,U1222="1"),"adequate","partial"),INDEX(Fit_Matrix!$B:$B,MATCH(P1222,Fit_Matrix!$A:$A,0)))),"CHECK KEY"))</f>
        <v/>
      </c>
      <c r="U1222" s="10" t="n"/>
      <c r="V1222" s="10" t="n"/>
      <c r="W1222" s="10" t="n"/>
      <c r="X1222" s="10" t="n"/>
      <c r="Y1222" s="10" t="n"/>
      <c r="Z1222" s="10" t="n"/>
      <c r="AA1222" s="11">
        <f>IF(A1222="","",IF(AND(J1222="P4",F1222="causal"),"P4-CAUSAL",""))</f>
        <v/>
      </c>
    </row>
    <row r="1223" ht="15" customHeight="1" s="1">
      <c r="P1223">
        <f>IF(OR(F1223="",H1223="",J1223=""),"",J1223&amp;"|"&amp;F1223&amp;"|"&amp;IF(H1223="W3","W3_"&amp;IF(I1223="","unknown",I1223),H1223))</f>
        <v/>
      </c>
      <c r="Q1223">
        <f>IF(P1223="","",IFERROR(IF(AND(H1223="W7",OR(F1223="causal",F1223="predictive")),IF(AND(OR(K1223=1,K1223="1"),OR(L1223=1,L1223="1"),OR(M1223=1,M1223="1")),"adequate","partial"),IF(AND(H1223="W4",F1223="predictive",OR(J1223="P2",J1223="P3",J1223="P4")),IF(OR(U1223=1,U1223="1"),"adequate","partial"),INDEX(Fit_Matrix!$B:$B,MATCH(P1223,Fit_Matrix!$A:$A,0)))),"CHECK KEY"))</f>
        <v/>
      </c>
      <c r="U1223" s="10" t="n"/>
      <c r="V1223" s="10" t="n"/>
      <c r="W1223" s="10" t="n"/>
      <c r="X1223" s="10" t="n"/>
      <c r="Y1223" s="10" t="n"/>
      <c r="Z1223" s="10" t="n"/>
      <c r="AA1223" s="11">
        <f>IF(A1223="","",IF(AND(J1223="P4",F1223="causal"),"P4-CAUSAL",""))</f>
        <v/>
      </c>
    </row>
    <row r="1224" ht="15" customHeight="1" s="1">
      <c r="P1224">
        <f>IF(OR(F1224="",H1224="",J1224=""),"",J1224&amp;"|"&amp;F1224&amp;"|"&amp;IF(H1224="W3","W3_"&amp;IF(I1224="","unknown",I1224),H1224))</f>
        <v/>
      </c>
      <c r="Q1224">
        <f>IF(P1224="","",IFERROR(IF(AND(H1224="W7",OR(F1224="causal",F1224="predictive")),IF(AND(OR(K1224=1,K1224="1"),OR(L1224=1,L1224="1"),OR(M1224=1,M1224="1")),"adequate","partial"),IF(AND(H1224="W4",F1224="predictive",OR(J1224="P2",J1224="P3",J1224="P4")),IF(OR(U1224=1,U1224="1"),"adequate","partial"),INDEX(Fit_Matrix!$B:$B,MATCH(P1224,Fit_Matrix!$A:$A,0)))),"CHECK KEY"))</f>
        <v/>
      </c>
      <c r="U1224" s="10" t="n"/>
      <c r="V1224" s="10" t="n"/>
      <c r="W1224" s="10" t="n"/>
      <c r="X1224" s="10" t="n"/>
      <c r="Y1224" s="10" t="n"/>
      <c r="Z1224" s="10" t="n"/>
      <c r="AA1224" s="11">
        <f>IF(A1224="","",IF(AND(J1224="P4",F1224="causal"),"P4-CAUSAL",""))</f>
        <v/>
      </c>
    </row>
    <row r="1225" ht="15" customHeight="1" s="1">
      <c r="P1225">
        <f>IF(OR(F1225="",H1225="",J1225=""),"",J1225&amp;"|"&amp;F1225&amp;"|"&amp;IF(H1225="W3","W3_"&amp;IF(I1225="","unknown",I1225),H1225))</f>
        <v/>
      </c>
      <c r="Q1225">
        <f>IF(P1225="","",IFERROR(IF(AND(H1225="W7",OR(F1225="causal",F1225="predictive")),IF(AND(OR(K1225=1,K1225="1"),OR(L1225=1,L1225="1"),OR(M1225=1,M1225="1")),"adequate","partial"),IF(AND(H1225="W4",F1225="predictive",OR(J1225="P2",J1225="P3",J1225="P4")),IF(OR(U1225=1,U1225="1"),"adequate","partial"),INDEX(Fit_Matrix!$B:$B,MATCH(P1225,Fit_Matrix!$A:$A,0)))),"CHECK KEY"))</f>
        <v/>
      </c>
      <c r="U1225" s="10" t="n"/>
      <c r="V1225" s="10" t="n"/>
      <c r="W1225" s="10" t="n"/>
      <c r="X1225" s="10" t="n"/>
      <c r="Y1225" s="10" t="n"/>
      <c r="Z1225" s="10" t="n"/>
      <c r="AA1225" s="11">
        <f>IF(A1225="","",IF(AND(J1225="P4",F1225="causal"),"P4-CAUSAL",""))</f>
        <v/>
      </c>
    </row>
    <row r="1226" ht="15" customHeight="1" s="1">
      <c r="P1226">
        <f>IF(OR(F1226="",H1226="",J1226=""),"",J1226&amp;"|"&amp;F1226&amp;"|"&amp;IF(H1226="W3","W3_"&amp;IF(I1226="","unknown",I1226),H1226))</f>
        <v/>
      </c>
      <c r="Q1226">
        <f>IF(P1226="","",IFERROR(IF(AND(H1226="W7",OR(F1226="causal",F1226="predictive")),IF(AND(OR(K1226=1,K1226="1"),OR(L1226=1,L1226="1"),OR(M1226=1,M1226="1")),"adequate","partial"),IF(AND(H1226="W4",F1226="predictive",OR(J1226="P2",J1226="P3",J1226="P4")),IF(OR(U1226=1,U1226="1"),"adequate","partial"),INDEX(Fit_Matrix!$B:$B,MATCH(P1226,Fit_Matrix!$A:$A,0)))),"CHECK KEY"))</f>
        <v/>
      </c>
      <c r="U1226" s="10" t="n"/>
      <c r="V1226" s="10" t="n"/>
      <c r="W1226" s="10" t="n"/>
      <c r="X1226" s="10" t="n"/>
      <c r="Y1226" s="10" t="n"/>
      <c r="Z1226" s="10" t="n"/>
      <c r="AA1226" s="11">
        <f>IF(A1226="","",IF(AND(J1226="P4",F1226="causal"),"P4-CAUSAL",""))</f>
        <v/>
      </c>
    </row>
    <row r="1227" ht="15" customHeight="1" s="1">
      <c r="P1227">
        <f>IF(OR(F1227="",H1227="",J1227=""),"",J1227&amp;"|"&amp;F1227&amp;"|"&amp;IF(H1227="W3","W3_"&amp;IF(I1227="","unknown",I1227),H1227))</f>
        <v/>
      </c>
      <c r="Q1227">
        <f>IF(P1227="","",IFERROR(IF(AND(H1227="W7",OR(F1227="causal",F1227="predictive")),IF(AND(OR(K1227=1,K1227="1"),OR(L1227=1,L1227="1"),OR(M1227=1,M1227="1")),"adequate","partial"),IF(AND(H1227="W4",F1227="predictive",OR(J1227="P2",J1227="P3",J1227="P4")),IF(OR(U1227=1,U1227="1"),"adequate","partial"),INDEX(Fit_Matrix!$B:$B,MATCH(P1227,Fit_Matrix!$A:$A,0)))),"CHECK KEY"))</f>
        <v/>
      </c>
      <c r="U1227" s="10" t="n"/>
      <c r="V1227" s="10" t="n"/>
      <c r="W1227" s="10" t="n"/>
      <c r="X1227" s="10" t="n"/>
      <c r="Y1227" s="10" t="n"/>
      <c r="Z1227" s="10" t="n"/>
      <c r="AA1227" s="11">
        <f>IF(A1227="","",IF(AND(J1227="P4",F1227="causal"),"P4-CAUSAL",""))</f>
        <v/>
      </c>
    </row>
    <row r="1228" ht="15" customHeight="1" s="1">
      <c r="P1228">
        <f>IF(OR(F1228="",H1228="",J1228=""),"",J1228&amp;"|"&amp;F1228&amp;"|"&amp;IF(H1228="W3","W3_"&amp;IF(I1228="","unknown",I1228),H1228))</f>
        <v/>
      </c>
      <c r="Q1228">
        <f>IF(P1228="","",IFERROR(IF(AND(H1228="W7",OR(F1228="causal",F1228="predictive")),IF(AND(OR(K1228=1,K1228="1"),OR(L1228=1,L1228="1"),OR(M1228=1,M1228="1")),"adequate","partial"),IF(AND(H1228="W4",F1228="predictive",OR(J1228="P2",J1228="P3",J1228="P4")),IF(OR(U1228=1,U1228="1"),"adequate","partial"),INDEX(Fit_Matrix!$B:$B,MATCH(P1228,Fit_Matrix!$A:$A,0)))),"CHECK KEY"))</f>
        <v/>
      </c>
      <c r="U1228" s="10" t="n"/>
      <c r="V1228" s="10" t="n"/>
      <c r="W1228" s="10" t="n"/>
      <c r="X1228" s="10" t="n"/>
      <c r="Y1228" s="10" t="n"/>
      <c r="Z1228" s="10" t="n"/>
      <c r="AA1228" s="11">
        <f>IF(A1228="","",IF(AND(J1228="P4",F1228="causal"),"P4-CAUSAL",""))</f>
        <v/>
      </c>
    </row>
    <row r="1229" ht="15" customHeight="1" s="1">
      <c r="P1229">
        <f>IF(OR(F1229="",H1229="",J1229=""),"",J1229&amp;"|"&amp;F1229&amp;"|"&amp;IF(H1229="W3","W3_"&amp;IF(I1229="","unknown",I1229),H1229))</f>
        <v/>
      </c>
      <c r="Q1229">
        <f>IF(P1229="","",IFERROR(IF(AND(H1229="W7",OR(F1229="causal",F1229="predictive")),IF(AND(OR(K1229=1,K1229="1"),OR(L1229=1,L1229="1"),OR(M1229=1,M1229="1")),"adequate","partial"),IF(AND(H1229="W4",F1229="predictive",OR(J1229="P2",J1229="P3",J1229="P4")),IF(OR(U1229=1,U1229="1"),"adequate","partial"),INDEX(Fit_Matrix!$B:$B,MATCH(P1229,Fit_Matrix!$A:$A,0)))),"CHECK KEY"))</f>
        <v/>
      </c>
      <c r="U1229" s="10" t="n"/>
      <c r="V1229" s="10" t="n"/>
      <c r="W1229" s="10" t="n"/>
      <c r="X1229" s="10" t="n"/>
      <c r="Y1229" s="10" t="n"/>
      <c r="Z1229" s="10" t="n"/>
      <c r="AA1229" s="11">
        <f>IF(A1229="","",IF(AND(J1229="P4",F1229="causal"),"P4-CAUSAL",""))</f>
        <v/>
      </c>
    </row>
    <row r="1230" ht="15" customHeight="1" s="1">
      <c r="P1230">
        <f>IF(OR(F1230="",H1230="",J1230=""),"",J1230&amp;"|"&amp;F1230&amp;"|"&amp;IF(H1230="W3","W3_"&amp;IF(I1230="","unknown",I1230),H1230))</f>
        <v/>
      </c>
      <c r="Q1230">
        <f>IF(P1230="","",IFERROR(IF(AND(H1230="W7",OR(F1230="causal",F1230="predictive")),IF(AND(OR(K1230=1,K1230="1"),OR(L1230=1,L1230="1"),OR(M1230=1,M1230="1")),"adequate","partial"),IF(AND(H1230="W4",F1230="predictive",OR(J1230="P2",J1230="P3",J1230="P4")),IF(OR(U1230=1,U1230="1"),"adequate","partial"),INDEX(Fit_Matrix!$B:$B,MATCH(P1230,Fit_Matrix!$A:$A,0)))),"CHECK KEY"))</f>
        <v/>
      </c>
      <c r="U1230" s="10" t="n"/>
      <c r="V1230" s="10" t="n"/>
      <c r="W1230" s="10" t="n"/>
      <c r="X1230" s="10" t="n"/>
      <c r="Y1230" s="10" t="n"/>
      <c r="Z1230" s="10" t="n"/>
      <c r="AA1230" s="11">
        <f>IF(A1230="","",IF(AND(J1230="P4",F1230="causal"),"P4-CAUSAL",""))</f>
        <v/>
      </c>
    </row>
    <row r="1231" ht="15" customHeight="1" s="1">
      <c r="P1231">
        <f>IF(OR(F1231="",H1231="",J1231=""),"",J1231&amp;"|"&amp;F1231&amp;"|"&amp;IF(H1231="W3","W3_"&amp;IF(I1231="","unknown",I1231),H1231))</f>
        <v/>
      </c>
      <c r="Q1231">
        <f>IF(P1231="","",IFERROR(IF(AND(H1231="W7",OR(F1231="causal",F1231="predictive")),IF(AND(OR(K1231=1,K1231="1"),OR(L1231=1,L1231="1"),OR(M1231=1,M1231="1")),"adequate","partial"),IF(AND(H1231="W4",F1231="predictive",OR(J1231="P2",J1231="P3",J1231="P4")),IF(OR(U1231=1,U1231="1"),"adequate","partial"),INDEX(Fit_Matrix!$B:$B,MATCH(P1231,Fit_Matrix!$A:$A,0)))),"CHECK KEY"))</f>
        <v/>
      </c>
      <c r="U1231" s="10" t="n"/>
      <c r="V1231" s="10" t="n"/>
      <c r="W1231" s="10" t="n"/>
      <c r="X1231" s="10" t="n"/>
      <c r="Y1231" s="10" t="n"/>
      <c r="Z1231" s="10" t="n"/>
      <c r="AA1231" s="11">
        <f>IF(A1231="","",IF(AND(J1231="P4",F1231="causal"),"P4-CAUSAL",""))</f>
        <v/>
      </c>
    </row>
    <row r="1232" ht="15" customHeight="1" s="1">
      <c r="P1232">
        <f>IF(OR(F1232="",H1232="",J1232=""),"",J1232&amp;"|"&amp;F1232&amp;"|"&amp;IF(H1232="W3","W3_"&amp;IF(I1232="","unknown",I1232),H1232))</f>
        <v/>
      </c>
      <c r="Q1232">
        <f>IF(P1232="","",IFERROR(IF(AND(H1232="W7",OR(F1232="causal",F1232="predictive")),IF(AND(OR(K1232=1,K1232="1"),OR(L1232=1,L1232="1"),OR(M1232=1,M1232="1")),"adequate","partial"),IF(AND(H1232="W4",F1232="predictive",OR(J1232="P2",J1232="P3",J1232="P4")),IF(OR(U1232=1,U1232="1"),"adequate","partial"),INDEX(Fit_Matrix!$B:$B,MATCH(P1232,Fit_Matrix!$A:$A,0)))),"CHECK KEY"))</f>
        <v/>
      </c>
      <c r="U1232" s="10" t="n"/>
      <c r="V1232" s="10" t="n"/>
      <c r="W1232" s="10" t="n"/>
      <c r="X1232" s="10" t="n"/>
      <c r="Y1232" s="10" t="n"/>
      <c r="Z1232" s="10" t="n"/>
      <c r="AA1232" s="11">
        <f>IF(A1232="","",IF(AND(J1232="P4",F1232="causal"),"P4-CAUSAL",""))</f>
        <v/>
      </c>
    </row>
    <row r="1233" ht="15" customHeight="1" s="1">
      <c r="P1233">
        <f>IF(OR(F1233="",H1233="",J1233=""),"",J1233&amp;"|"&amp;F1233&amp;"|"&amp;IF(H1233="W3","W3_"&amp;IF(I1233="","unknown",I1233),H1233))</f>
        <v/>
      </c>
      <c r="Q1233">
        <f>IF(P1233="","",IFERROR(IF(AND(H1233="W7",OR(F1233="causal",F1233="predictive")),IF(AND(OR(K1233=1,K1233="1"),OR(L1233=1,L1233="1"),OR(M1233=1,M1233="1")),"adequate","partial"),IF(AND(H1233="W4",F1233="predictive",OR(J1233="P2",J1233="P3",J1233="P4")),IF(OR(U1233=1,U1233="1"),"adequate","partial"),INDEX(Fit_Matrix!$B:$B,MATCH(P1233,Fit_Matrix!$A:$A,0)))),"CHECK KEY"))</f>
        <v/>
      </c>
      <c r="U1233" s="10" t="n"/>
      <c r="V1233" s="10" t="n"/>
      <c r="W1233" s="10" t="n"/>
      <c r="X1233" s="10" t="n"/>
      <c r="Y1233" s="10" t="n"/>
      <c r="Z1233" s="10" t="n"/>
      <c r="AA1233" s="11">
        <f>IF(A1233="","",IF(AND(J1233="P4",F1233="causal"),"P4-CAUSAL",""))</f>
        <v/>
      </c>
    </row>
    <row r="1234" ht="15" customHeight="1" s="1">
      <c r="P1234">
        <f>IF(OR(F1234="",H1234="",J1234=""),"",J1234&amp;"|"&amp;F1234&amp;"|"&amp;IF(H1234="W3","W3_"&amp;IF(I1234="","unknown",I1234),H1234))</f>
        <v/>
      </c>
      <c r="Q1234">
        <f>IF(P1234="","",IFERROR(IF(AND(H1234="W7",OR(F1234="causal",F1234="predictive")),IF(AND(OR(K1234=1,K1234="1"),OR(L1234=1,L1234="1"),OR(M1234=1,M1234="1")),"adequate","partial"),IF(AND(H1234="W4",F1234="predictive",OR(J1234="P2",J1234="P3",J1234="P4")),IF(OR(U1234=1,U1234="1"),"adequate","partial"),INDEX(Fit_Matrix!$B:$B,MATCH(P1234,Fit_Matrix!$A:$A,0)))),"CHECK KEY"))</f>
        <v/>
      </c>
      <c r="U1234" s="10" t="n"/>
      <c r="V1234" s="10" t="n"/>
      <c r="W1234" s="10" t="n"/>
      <c r="X1234" s="10" t="n"/>
      <c r="Y1234" s="10" t="n"/>
      <c r="Z1234" s="10" t="n"/>
      <c r="AA1234" s="11">
        <f>IF(A1234="","",IF(AND(J1234="P4",F1234="causal"),"P4-CAUSAL",""))</f>
        <v/>
      </c>
    </row>
    <row r="1235" ht="15" customHeight="1" s="1">
      <c r="P1235">
        <f>IF(OR(F1235="",H1235="",J1235=""),"",J1235&amp;"|"&amp;F1235&amp;"|"&amp;IF(H1235="W3","W3_"&amp;IF(I1235="","unknown",I1235),H1235))</f>
        <v/>
      </c>
      <c r="Q1235">
        <f>IF(P1235="","",IFERROR(IF(AND(H1235="W7",OR(F1235="causal",F1235="predictive")),IF(AND(OR(K1235=1,K1235="1"),OR(L1235=1,L1235="1"),OR(M1235=1,M1235="1")),"adequate","partial"),IF(AND(H1235="W4",F1235="predictive",OR(J1235="P2",J1235="P3",J1235="P4")),IF(OR(U1235=1,U1235="1"),"adequate","partial"),INDEX(Fit_Matrix!$B:$B,MATCH(P1235,Fit_Matrix!$A:$A,0)))),"CHECK KEY"))</f>
        <v/>
      </c>
      <c r="U1235" s="10" t="n"/>
      <c r="V1235" s="10" t="n"/>
      <c r="W1235" s="10" t="n"/>
      <c r="X1235" s="10" t="n"/>
      <c r="Y1235" s="10" t="n"/>
      <c r="Z1235" s="10" t="n"/>
      <c r="AA1235" s="11">
        <f>IF(A1235="","",IF(AND(J1235="P4",F1235="causal"),"P4-CAUSAL",""))</f>
        <v/>
      </c>
    </row>
    <row r="1236" ht="15" customHeight="1" s="1">
      <c r="P1236">
        <f>IF(OR(F1236="",H1236="",J1236=""),"",J1236&amp;"|"&amp;F1236&amp;"|"&amp;IF(H1236="W3","W3_"&amp;IF(I1236="","unknown",I1236),H1236))</f>
        <v/>
      </c>
      <c r="Q1236">
        <f>IF(P1236="","",IFERROR(IF(AND(H1236="W7",OR(F1236="causal",F1236="predictive")),IF(AND(OR(K1236=1,K1236="1"),OR(L1236=1,L1236="1"),OR(M1236=1,M1236="1")),"adequate","partial"),IF(AND(H1236="W4",F1236="predictive",OR(J1236="P2",J1236="P3",J1236="P4")),IF(OR(U1236=1,U1236="1"),"adequate","partial"),INDEX(Fit_Matrix!$B:$B,MATCH(P1236,Fit_Matrix!$A:$A,0)))),"CHECK KEY"))</f>
        <v/>
      </c>
      <c r="U1236" s="10" t="n"/>
      <c r="V1236" s="10" t="n"/>
      <c r="W1236" s="10" t="n"/>
      <c r="X1236" s="10" t="n"/>
      <c r="Y1236" s="10" t="n"/>
      <c r="Z1236" s="10" t="n"/>
      <c r="AA1236" s="11">
        <f>IF(A1236="","",IF(AND(J1236="P4",F1236="causal"),"P4-CAUSAL",""))</f>
        <v/>
      </c>
    </row>
    <row r="1237" ht="15" customHeight="1" s="1">
      <c r="P1237">
        <f>IF(OR(F1237="",H1237="",J1237=""),"",J1237&amp;"|"&amp;F1237&amp;"|"&amp;IF(H1237="W3","W3_"&amp;IF(I1237="","unknown",I1237),H1237))</f>
        <v/>
      </c>
      <c r="Q1237">
        <f>IF(P1237="","",IFERROR(IF(AND(H1237="W7",OR(F1237="causal",F1237="predictive")),IF(AND(OR(K1237=1,K1237="1"),OR(L1237=1,L1237="1"),OR(M1237=1,M1237="1")),"adequate","partial"),IF(AND(H1237="W4",F1237="predictive",OR(J1237="P2",J1237="P3",J1237="P4")),IF(OR(U1237=1,U1237="1"),"adequate","partial"),INDEX(Fit_Matrix!$B:$B,MATCH(P1237,Fit_Matrix!$A:$A,0)))),"CHECK KEY"))</f>
        <v/>
      </c>
      <c r="U1237" s="10" t="n"/>
      <c r="V1237" s="10" t="n"/>
      <c r="W1237" s="10" t="n"/>
      <c r="X1237" s="10" t="n"/>
      <c r="Y1237" s="10" t="n"/>
      <c r="Z1237" s="10" t="n"/>
      <c r="AA1237" s="11">
        <f>IF(A1237="","",IF(AND(J1237="P4",F1237="causal"),"P4-CAUSAL",""))</f>
        <v/>
      </c>
    </row>
    <row r="1238" ht="15" customHeight="1" s="1">
      <c r="P1238">
        <f>IF(OR(F1238="",H1238="",J1238=""),"",J1238&amp;"|"&amp;F1238&amp;"|"&amp;IF(H1238="W3","W3_"&amp;IF(I1238="","unknown",I1238),H1238))</f>
        <v/>
      </c>
      <c r="Q1238">
        <f>IF(P1238="","",IFERROR(IF(AND(H1238="W7",OR(F1238="causal",F1238="predictive")),IF(AND(OR(K1238=1,K1238="1"),OR(L1238=1,L1238="1"),OR(M1238=1,M1238="1")),"adequate","partial"),IF(AND(H1238="W4",F1238="predictive",OR(J1238="P2",J1238="P3",J1238="P4")),IF(OR(U1238=1,U1238="1"),"adequate","partial"),INDEX(Fit_Matrix!$B:$B,MATCH(P1238,Fit_Matrix!$A:$A,0)))),"CHECK KEY"))</f>
        <v/>
      </c>
      <c r="U1238" s="10" t="n"/>
      <c r="V1238" s="10" t="n"/>
      <c r="W1238" s="10" t="n"/>
      <c r="X1238" s="10" t="n"/>
      <c r="Y1238" s="10" t="n"/>
      <c r="Z1238" s="10" t="n"/>
      <c r="AA1238" s="11">
        <f>IF(A1238="","",IF(AND(J1238="P4",F1238="causal"),"P4-CAUSAL",""))</f>
        <v/>
      </c>
    </row>
    <row r="1239" ht="15" customHeight="1" s="1">
      <c r="P1239">
        <f>IF(OR(F1239="",H1239="",J1239=""),"",J1239&amp;"|"&amp;F1239&amp;"|"&amp;IF(H1239="W3","W3_"&amp;IF(I1239="","unknown",I1239),H1239))</f>
        <v/>
      </c>
      <c r="Q1239">
        <f>IF(P1239="","",IFERROR(IF(AND(H1239="W7",OR(F1239="causal",F1239="predictive")),IF(AND(OR(K1239=1,K1239="1"),OR(L1239=1,L1239="1"),OR(M1239=1,M1239="1")),"adequate","partial"),IF(AND(H1239="W4",F1239="predictive",OR(J1239="P2",J1239="P3",J1239="P4")),IF(OR(U1239=1,U1239="1"),"adequate","partial"),INDEX(Fit_Matrix!$B:$B,MATCH(P1239,Fit_Matrix!$A:$A,0)))),"CHECK KEY"))</f>
        <v/>
      </c>
      <c r="U1239" s="10" t="n"/>
      <c r="V1239" s="10" t="n"/>
      <c r="W1239" s="10" t="n"/>
      <c r="X1239" s="10" t="n"/>
      <c r="Y1239" s="10" t="n"/>
      <c r="Z1239" s="10" t="n"/>
      <c r="AA1239" s="11">
        <f>IF(A1239="","",IF(AND(J1239="P4",F1239="causal"),"P4-CAUSAL",""))</f>
        <v/>
      </c>
    </row>
    <row r="1240" ht="15" customHeight="1" s="1">
      <c r="P1240">
        <f>IF(OR(F1240="",H1240="",J1240=""),"",J1240&amp;"|"&amp;F1240&amp;"|"&amp;IF(H1240="W3","W3_"&amp;IF(I1240="","unknown",I1240),H1240))</f>
        <v/>
      </c>
      <c r="Q1240">
        <f>IF(P1240="","",IFERROR(IF(AND(H1240="W7",OR(F1240="causal",F1240="predictive")),IF(AND(OR(K1240=1,K1240="1"),OR(L1240=1,L1240="1"),OR(M1240=1,M1240="1")),"adequate","partial"),IF(AND(H1240="W4",F1240="predictive",OR(J1240="P2",J1240="P3",J1240="P4")),IF(OR(U1240=1,U1240="1"),"adequate","partial"),INDEX(Fit_Matrix!$B:$B,MATCH(P1240,Fit_Matrix!$A:$A,0)))),"CHECK KEY"))</f>
        <v/>
      </c>
      <c r="U1240" s="10" t="n"/>
      <c r="V1240" s="10" t="n"/>
      <c r="W1240" s="10" t="n"/>
      <c r="X1240" s="10" t="n"/>
      <c r="Y1240" s="10" t="n"/>
      <c r="Z1240" s="10" t="n"/>
      <c r="AA1240" s="11">
        <f>IF(A1240="","",IF(AND(J1240="P4",F1240="causal"),"P4-CAUSAL",""))</f>
        <v/>
      </c>
    </row>
    <row r="1241" ht="15" customHeight="1" s="1">
      <c r="P1241">
        <f>IF(OR(F1241="",H1241="",J1241=""),"",J1241&amp;"|"&amp;F1241&amp;"|"&amp;IF(H1241="W3","W3_"&amp;IF(I1241="","unknown",I1241),H1241))</f>
        <v/>
      </c>
      <c r="Q1241">
        <f>IF(P1241="","",IFERROR(IF(AND(H1241="W7",OR(F1241="causal",F1241="predictive")),IF(AND(OR(K1241=1,K1241="1"),OR(L1241=1,L1241="1"),OR(M1241=1,M1241="1")),"adequate","partial"),IF(AND(H1241="W4",F1241="predictive",OR(J1241="P2",J1241="P3",J1241="P4")),IF(OR(U1241=1,U1241="1"),"adequate","partial"),INDEX(Fit_Matrix!$B:$B,MATCH(P1241,Fit_Matrix!$A:$A,0)))),"CHECK KEY"))</f>
        <v/>
      </c>
      <c r="U1241" s="10" t="n"/>
      <c r="V1241" s="10" t="n"/>
      <c r="W1241" s="10" t="n"/>
      <c r="X1241" s="10" t="n"/>
      <c r="Y1241" s="10" t="n"/>
      <c r="Z1241" s="10" t="n"/>
      <c r="AA1241" s="11">
        <f>IF(A1241="","",IF(AND(J1241="P4",F1241="causal"),"P4-CAUSAL",""))</f>
        <v/>
      </c>
    </row>
    <row r="1242" ht="15" customHeight="1" s="1">
      <c r="P1242">
        <f>IF(OR(F1242="",H1242="",J1242=""),"",J1242&amp;"|"&amp;F1242&amp;"|"&amp;IF(H1242="W3","W3_"&amp;IF(I1242="","unknown",I1242),H1242))</f>
        <v/>
      </c>
      <c r="Q1242">
        <f>IF(P1242="","",IFERROR(IF(AND(H1242="W7",OR(F1242="causal",F1242="predictive")),IF(AND(OR(K1242=1,K1242="1"),OR(L1242=1,L1242="1"),OR(M1242=1,M1242="1")),"adequate","partial"),IF(AND(H1242="W4",F1242="predictive",OR(J1242="P2",J1242="P3",J1242="P4")),IF(OR(U1242=1,U1242="1"),"adequate","partial"),INDEX(Fit_Matrix!$B:$B,MATCH(P1242,Fit_Matrix!$A:$A,0)))),"CHECK KEY"))</f>
        <v/>
      </c>
      <c r="U1242" s="10" t="n"/>
      <c r="V1242" s="10" t="n"/>
      <c r="W1242" s="10" t="n"/>
      <c r="X1242" s="10" t="n"/>
      <c r="Y1242" s="10" t="n"/>
      <c r="Z1242" s="10" t="n"/>
      <c r="AA1242" s="11">
        <f>IF(A1242="","",IF(AND(J1242="P4",F1242="causal"),"P4-CAUSAL",""))</f>
        <v/>
      </c>
    </row>
    <row r="1243" ht="15" customHeight="1" s="1">
      <c r="P1243">
        <f>IF(OR(F1243="",H1243="",J1243=""),"",J1243&amp;"|"&amp;F1243&amp;"|"&amp;IF(H1243="W3","W3_"&amp;IF(I1243="","unknown",I1243),H1243))</f>
        <v/>
      </c>
      <c r="Q1243">
        <f>IF(P1243="","",IFERROR(IF(AND(H1243="W7",OR(F1243="causal",F1243="predictive")),IF(AND(OR(K1243=1,K1243="1"),OR(L1243=1,L1243="1"),OR(M1243=1,M1243="1")),"adequate","partial"),IF(AND(H1243="W4",F1243="predictive",OR(J1243="P2",J1243="P3",J1243="P4")),IF(OR(U1243=1,U1243="1"),"adequate","partial"),INDEX(Fit_Matrix!$B:$B,MATCH(P1243,Fit_Matrix!$A:$A,0)))),"CHECK KEY"))</f>
        <v/>
      </c>
      <c r="U1243" s="10" t="n"/>
      <c r="V1243" s="10" t="n"/>
      <c r="W1243" s="10" t="n"/>
      <c r="X1243" s="10" t="n"/>
      <c r="Y1243" s="10" t="n"/>
      <c r="Z1243" s="10" t="n"/>
      <c r="AA1243" s="11">
        <f>IF(A1243="","",IF(AND(J1243="P4",F1243="causal"),"P4-CAUSAL",""))</f>
        <v/>
      </c>
    </row>
    <row r="1244" ht="15" customHeight="1" s="1">
      <c r="P1244">
        <f>IF(OR(F1244="",H1244="",J1244=""),"",J1244&amp;"|"&amp;F1244&amp;"|"&amp;IF(H1244="W3","W3_"&amp;IF(I1244="","unknown",I1244),H1244))</f>
        <v/>
      </c>
      <c r="Q1244">
        <f>IF(P1244="","",IFERROR(IF(AND(H1244="W7",OR(F1244="causal",F1244="predictive")),IF(AND(OR(K1244=1,K1244="1"),OR(L1244=1,L1244="1"),OR(M1244=1,M1244="1")),"adequate","partial"),IF(AND(H1244="W4",F1244="predictive",OR(J1244="P2",J1244="P3",J1244="P4")),IF(OR(U1244=1,U1244="1"),"adequate","partial"),INDEX(Fit_Matrix!$B:$B,MATCH(P1244,Fit_Matrix!$A:$A,0)))),"CHECK KEY"))</f>
        <v/>
      </c>
      <c r="U1244" s="10" t="n"/>
      <c r="V1244" s="10" t="n"/>
      <c r="W1244" s="10" t="n"/>
      <c r="X1244" s="10" t="n"/>
      <c r="Y1244" s="10" t="n"/>
      <c r="Z1244" s="10" t="n"/>
      <c r="AA1244" s="11">
        <f>IF(A1244="","",IF(AND(J1244="P4",F1244="causal"),"P4-CAUSAL",""))</f>
        <v/>
      </c>
    </row>
    <row r="1245" ht="15" customHeight="1" s="1">
      <c r="P1245">
        <f>IF(OR(F1245="",H1245="",J1245=""),"",J1245&amp;"|"&amp;F1245&amp;"|"&amp;IF(H1245="W3","W3_"&amp;IF(I1245="","unknown",I1245),H1245))</f>
        <v/>
      </c>
      <c r="Q1245">
        <f>IF(P1245="","",IFERROR(IF(AND(H1245="W7",OR(F1245="causal",F1245="predictive")),IF(AND(OR(K1245=1,K1245="1"),OR(L1245=1,L1245="1"),OR(M1245=1,M1245="1")),"adequate","partial"),IF(AND(H1245="W4",F1245="predictive",OR(J1245="P2",J1245="P3",J1245="P4")),IF(OR(U1245=1,U1245="1"),"adequate","partial"),INDEX(Fit_Matrix!$B:$B,MATCH(P1245,Fit_Matrix!$A:$A,0)))),"CHECK KEY"))</f>
        <v/>
      </c>
      <c r="U1245" s="10" t="n"/>
      <c r="V1245" s="10" t="n"/>
      <c r="W1245" s="10" t="n"/>
      <c r="X1245" s="10" t="n"/>
      <c r="Y1245" s="10" t="n"/>
      <c r="Z1245" s="10" t="n"/>
      <c r="AA1245" s="11">
        <f>IF(A1245="","",IF(AND(J1245="P4",F1245="causal"),"P4-CAUSAL",""))</f>
        <v/>
      </c>
    </row>
    <row r="1246" ht="15" customHeight="1" s="1">
      <c r="P1246">
        <f>IF(OR(F1246="",H1246="",J1246=""),"",J1246&amp;"|"&amp;F1246&amp;"|"&amp;IF(H1246="W3","W3_"&amp;IF(I1246="","unknown",I1246),H1246))</f>
        <v/>
      </c>
      <c r="Q1246">
        <f>IF(P1246="","",IFERROR(IF(AND(H1246="W7",OR(F1246="causal",F1246="predictive")),IF(AND(OR(K1246=1,K1246="1"),OR(L1246=1,L1246="1"),OR(M1246=1,M1246="1")),"adequate","partial"),IF(AND(H1246="W4",F1246="predictive",OR(J1246="P2",J1246="P3",J1246="P4")),IF(OR(U1246=1,U1246="1"),"adequate","partial"),INDEX(Fit_Matrix!$B:$B,MATCH(P1246,Fit_Matrix!$A:$A,0)))),"CHECK KEY"))</f>
        <v/>
      </c>
      <c r="U1246" s="10" t="n"/>
      <c r="V1246" s="10" t="n"/>
      <c r="W1246" s="10" t="n"/>
      <c r="X1246" s="10" t="n"/>
      <c r="Y1246" s="10" t="n"/>
      <c r="Z1246" s="10" t="n"/>
      <c r="AA1246" s="11">
        <f>IF(A1246="","",IF(AND(J1246="P4",F1246="causal"),"P4-CAUSAL",""))</f>
        <v/>
      </c>
    </row>
    <row r="1247" ht="15" customHeight="1" s="1">
      <c r="P1247">
        <f>IF(OR(F1247="",H1247="",J1247=""),"",J1247&amp;"|"&amp;F1247&amp;"|"&amp;IF(H1247="W3","W3_"&amp;IF(I1247="","unknown",I1247),H1247))</f>
        <v/>
      </c>
      <c r="Q1247">
        <f>IF(P1247="","",IFERROR(IF(AND(H1247="W7",OR(F1247="causal",F1247="predictive")),IF(AND(OR(K1247=1,K1247="1"),OR(L1247=1,L1247="1"),OR(M1247=1,M1247="1")),"adequate","partial"),IF(AND(H1247="W4",F1247="predictive",OR(J1247="P2",J1247="P3",J1247="P4")),IF(OR(U1247=1,U1247="1"),"adequate","partial"),INDEX(Fit_Matrix!$B:$B,MATCH(P1247,Fit_Matrix!$A:$A,0)))),"CHECK KEY"))</f>
        <v/>
      </c>
      <c r="U1247" s="10" t="n"/>
      <c r="V1247" s="10" t="n"/>
      <c r="W1247" s="10" t="n"/>
      <c r="X1247" s="10" t="n"/>
      <c r="Y1247" s="10" t="n"/>
      <c r="Z1247" s="10" t="n"/>
      <c r="AA1247" s="11">
        <f>IF(A1247="","",IF(AND(J1247="P4",F1247="causal"),"P4-CAUSAL",""))</f>
        <v/>
      </c>
    </row>
    <row r="1248" ht="15" customHeight="1" s="1">
      <c r="P1248">
        <f>IF(OR(F1248="",H1248="",J1248=""),"",J1248&amp;"|"&amp;F1248&amp;"|"&amp;IF(H1248="W3","W3_"&amp;IF(I1248="","unknown",I1248),H1248))</f>
        <v/>
      </c>
      <c r="Q1248">
        <f>IF(P1248="","",IFERROR(IF(AND(H1248="W7",OR(F1248="causal",F1248="predictive")),IF(AND(OR(K1248=1,K1248="1"),OR(L1248=1,L1248="1"),OR(M1248=1,M1248="1")),"adequate","partial"),IF(AND(H1248="W4",F1248="predictive",OR(J1248="P2",J1248="P3",J1248="P4")),IF(OR(U1248=1,U1248="1"),"adequate","partial"),INDEX(Fit_Matrix!$B:$B,MATCH(P1248,Fit_Matrix!$A:$A,0)))),"CHECK KEY"))</f>
        <v/>
      </c>
      <c r="U1248" s="10" t="n"/>
      <c r="V1248" s="10" t="n"/>
      <c r="W1248" s="10" t="n"/>
      <c r="X1248" s="10" t="n"/>
      <c r="Y1248" s="10" t="n"/>
      <c r="Z1248" s="10" t="n"/>
      <c r="AA1248" s="11">
        <f>IF(A1248="","",IF(AND(J1248="P4",F1248="causal"),"P4-CAUSAL",""))</f>
        <v/>
      </c>
    </row>
    <row r="1249" ht="15" customHeight="1" s="1">
      <c r="P1249">
        <f>IF(OR(F1249="",H1249="",J1249=""),"",J1249&amp;"|"&amp;F1249&amp;"|"&amp;IF(H1249="W3","W3_"&amp;IF(I1249="","unknown",I1249),H1249))</f>
        <v/>
      </c>
      <c r="Q1249">
        <f>IF(P1249="","",IFERROR(IF(AND(H1249="W7",OR(F1249="causal",F1249="predictive")),IF(AND(OR(K1249=1,K1249="1"),OR(L1249=1,L1249="1"),OR(M1249=1,M1249="1")),"adequate","partial"),IF(AND(H1249="W4",F1249="predictive",OR(J1249="P2",J1249="P3",J1249="P4")),IF(OR(U1249=1,U1249="1"),"adequate","partial"),INDEX(Fit_Matrix!$B:$B,MATCH(P1249,Fit_Matrix!$A:$A,0)))),"CHECK KEY"))</f>
        <v/>
      </c>
      <c r="U1249" s="10" t="n"/>
      <c r="V1249" s="10" t="n"/>
      <c r="W1249" s="10" t="n"/>
      <c r="X1249" s="10" t="n"/>
      <c r="Y1249" s="10" t="n"/>
      <c r="Z1249" s="10" t="n"/>
      <c r="AA1249" s="11">
        <f>IF(A1249="","",IF(AND(J1249="P4",F1249="causal"),"P4-CAUSAL",""))</f>
        <v/>
      </c>
    </row>
    <row r="1250" ht="15" customHeight="1" s="1">
      <c r="P1250">
        <f>IF(OR(F1250="",H1250="",J1250=""),"",J1250&amp;"|"&amp;F1250&amp;"|"&amp;IF(H1250="W3","W3_"&amp;IF(I1250="","unknown",I1250),H1250))</f>
        <v/>
      </c>
      <c r="Q1250">
        <f>IF(P1250="","",IFERROR(IF(AND(H1250="W7",OR(F1250="causal",F1250="predictive")),IF(AND(OR(K1250=1,K1250="1"),OR(L1250=1,L1250="1"),OR(M1250=1,M1250="1")),"adequate","partial"),IF(AND(H1250="W4",F1250="predictive",OR(J1250="P2",J1250="P3",J1250="P4")),IF(OR(U1250=1,U1250="1"),"adequate","partial"),INDEX(Fit_Matrix!$B:$B,MATCH(P1250,Fit_Matrix!$A:$A,0)))),"CHECK KEY"))</f>
        <v/>
      </c>
      <c r="U1250" s="10" t="n"/>
      <c r="V1250" s="10" t="n"/>
      <c r="W1250" s="10" t="n"/>
      <c r="X1250" s="10" t="n"/>
      <c r="Y1250" s="10" t="n"/>
      <c r="Z1250" s="10" t="n"/>
      <c r="AA1250" s="11">
        <f>IF(A1250="","",IF(AND(J1250="P4",F1250="causal"),"P4-CAUSAL",""))</f>
        <v/>
      </c>
    </row>
    <row r="1251" ht="15" customHeight="1" s="1">
      <c r="P1251">
        <f>IF(OR(F1251="",H1251="",J1251=""),"",J1251&amp;"|"&amp;F1251&amp;"|"&amp;IF(H1251="W3","W3_"&amp;IF(I1251="","unknown",I1251),H1251))</f>
        <v/>
      </c>
      <c r="Q1251">
        <f>IF(P1251="","",IFERROR(IF(AND(H1251="W7",OR(F1251="causal",F1251="predictive")),IF(AND(OR(K1251=1,K1251="1"),OR(L1251=1,L1251="1"),OR(M1251=1,M1251="1")),"adequate","partial"),IF(AND(H1251="W4",F1251="predictive",OR(J1251="P2",J1251="P3",J1251="P4")),IF(OR(U1251=1,U1251="1"),"adequate","partial"),INDEX(Fit_Matrix!$B:$B,MATCH(P1251,Fit_Matrix!$A:$A,0)))),"CHECK KEY"))</f>
        <v/>
      </c>
      <c r="U1251" s="10" t="n"/>
      <c r="V1251" s="10" t="n"/>
      <c r="W1251" s="10" t="n"/>
      <c r="X1251" s="10" t="n"/>
      <c r="Y1251" s="10" t="n"/>
      <c r="Z1251" s="10" t="n"/>
      <c r="AA1251" s="11">
        <f>IF(A1251="","",IF(AND(J1251="P4",F1251="causal"),"P4-CAUSAL",""))</f>
        <v/>
      </c>
    </row>
    <row r="1252" ht="15" customHeight="1" s="1">
      <c r="P1252">
        <f>IF(OR(F1252="",H1252="",J1252=""),"",J1252&amp;"|"&amp;F1252&amp;"|"&amp;IF(H1252="W3","W3_"&amp;IF(I1252="","unknown",I1252),H1252))</f>
        <v/>
      </c>
      <c r="Q1252">
        <f>IF(P1252="","",IFERROR(IF(AND(H1252="W7",OR(F1252="causal",F1252="predictive")),IF(AND(OR(K1252=1,K1252="1"),OR(L1252=1,L1252="1"),OR(M1252=1,M1252="1")),"adequate","partial"),IF(AND(H1252="W4",F1252="predictive",OR(J1252="P2",J1252="P3",J1252="P4")),IF(OR(U1252=1,U1252="1"),"adequate","partial"),INDEX(Fit_Matrix!$B:$B,MATCH(P1252,Fit_Matrix!$A:$A,0)))),"CHECK KEY"))</f>
        <v/>
      </c>
      <c r="U1252" s="10" t="n"/>
      <c r="V1252" s="10" t="n"/>
      <c r="W1252" s="10" t="n"/>
      <c r="X1252" s="10" t="n"/>
      <c r="Y1252" s="10" t="n"/>
      <c r="Z1252" s="10" t="n"/>
      <c r="AA1252" s="11">
        <f>IF(A1252="","",IF(AND(J1252="P4",F1252="causal"),"P4-CAUSAL",""))</f>
        <v/>
      </c>
    </row>
    <row r="1253" ht="15" customHeight="1" s="1">
      <c r="P1253">
        <f>IF(OR(F1253="",H1253="",J1253=""),"",J1253&amp;"|"&amp;F1253&amp;"|"&amp;IF(H1253="W3","W3_"&amp;IF(I1253="","unknown",I1253),H1253))</f>
        <v/>
      </c>
      <c r="Q1253">
        <f>IF(P1253="","",IFERROR(IF(AND(H1253="W7",OR(F1253="causal",F1253="predictive")),IF(AND(OR(K1253=1,K1253="1"),OR(L1253=1,L1253="1"),OR(M1253=1,M1253="1")),"adequate","partial"),IF(AND(H1253="W4",F1253="predictive",OR(J1253="P2",J1253="P3",J1253="P4")),IF(OR(U1253=1,U1253="1"),"adequate","partial"),INDEX(Fit_Matrix!$B:$B,MATCH(P1253,Fit_Matrix!$A:$A,0)))),"CHECK KEY"))</f>
        <v/>
      </c>
      <c r="U1253" s="10" t="n"/>
      <c r="V1253" s="10" t="n"/>
      <c r="W1253" s="10" t="n"/>
      <c r="X1253" s="10" t="n"/>
      <c r="Y1253" s="10" t="n"/>
      <c r="Z1253" s="10" t="n"/>
      <c r="AA1253" s="11">
        <f>IF(A1253="","",IF(AND(J1253="P4",F1253="causal"),"P4-CAUSAL",""))</f>
        <v/>
      </c>
    </row>
    <row r="1254" ht="15" customHeight="1" s="1">
      <c r="P1254">
        <f>IF(OR(F1254="",H1254="",J1254=""),"",J1254&amp;"|"&amp;F1254&amp;"|"&amp;IF(H1254="W3","W3_"&amp;IF(I1254="","unknown",I1254),H1254))</f>
        <v/>
      </c>
      <c r="Q1254">
        <f>IF(P1254="","",IFERROR(IF(AND(H1254="W7",OR(F1254="causal",F1254="predictive")),IF(AND(OR(K1254=1,K1254="1"),OR(L1254=1,L1254="1"),OR(M1254=1,M1254="1")),"adequate","partial"),IF(AND(H1254="W4",F1254="predictive",OR(J1254="P2",J1254="P3",J1254="P4")),IF(OR(U1254=1,U1254="1"),"adequate","partial"),INDEX(Fit_Matrix!$B:$B,MATCH(P1254,Fit_Matrix!$A:$A,0)))),"CHECK KEY"))</f>
        <v/>
      </c>
      <c r="U1254" s="10" t="n"/>
      <c r="V1254" s="10" t="n"/>
      <c r="W1254" s="10" t="n"/>
      <c r="X1254" s="10" t="n"/>
      <c r="Y1254" s="10" t="n"/>
      <c r="Z1254" s="10" t="n"/>
      <c r="AA1254" s="11">
        <f>IF(A1254="","",IF(AND(J1254="P4",F1254="causal"),"P4-CAUSAL",""))</f>
        <v/>
      </c>
    </row>
    <row r="1255" ht="15" customHeight="1" s="1">
      <c r="P1255">
        <f>IF(OR(F1255="",H1255="",J1255=""),"",J1255&amp;"|"&amp;F1255&amp;"|"&amp;IF(H1255="W3","W3_"&amp;IF(I1255="","unknown",I1255),H1255))</f>
        <v/>
      </c>
      <c r="Q1255">
        <f>IF(P1255="","",IFERROR(IF(AND(H1255="W7",OR(F1255="causal",F1255="predictive")),IF(AND(OR(K1255=1,K1255="1"),OR(L1255=1,L1255="1"),OR(M1255=1,M1255="1")),"adequate","partial"),IF(AND(H1255="W4",F1255="predictive",OR(J1255="P2",J1255="P3",J1255="P4")),IF(OR(U1255=1,U1255="1"),"adequate","partial"),INDEX(Fit_Matrix!$B:$B,MATCH(P1255,Fit_Matrix!$A:$A,0)))),"CHECK KEY"))</f>
        <v/>
      </c>
      <c r="U1255" s="10" t="n"/>
      <c r="V1255" s="10" t="n"/>
      <c r="W1255" s="10" t="n"/>
      <c r="X1255" s="10" t="n"/>
      <c r="Y1255" s="10" t="n"/>
      <c r="Z1255" s="10" t="n"/>
      <c r="AA1255" s="11">
        <f>IF(A1255="","",IF(AND(J1255="P4",F1255="causal"),"P4-CAUSAL",""))</f>
        <v/>
      </c>
    </row>
    <row r="1256" ht="15" customHeight="1" s="1">
      <c r="P1256">
        <f>IF(OR(F1256="",H1256="",J1256=""),"",J1256&amp;"|"&amp;F1256&amp;"|"&amp;IF(H1256="W3","W3_"&amp;IF(I1256="","unknown",I1256),H1256))</f>
        <v/>
      </c>
      <c r="Q1256">
        <f>IF(P1256="","",IFERROR(IF(AND(H1256="W7",OR(F1256="causal",F1256="predictive")),IF(AND(OR(K1256=1,K1256="1"),OR(L1256=1,L1256="1"),OR(M1256=1,M1256="1")),"adequate","partial"),IF(AND(H1256="W4",F1256="predictive",OR(J1256="P2",J1256="P3",J1256="P4")),IF(OR(U1256=1,U1256="1"),"adequate","partial"),INDEX(Fit_Matrix!$B:$B,MATCH(P1256,Fit_Matrix!$A:$A,0)))),"CHECK KEY"))</f>
        <v/>
      </c>
      <c r="U1256" s="10" t="n"/>
      <c r="V1256" s="10" t="n"/>
      <c r="W1256" s="10" t="n"/>
      <c r="X1256" s="10" t="n"/>
      <c r="Y1256" s="10" t="n"/>
      <c r="Z1256" s="10" t="n"/>
      <c r="AA1256" s="11">
        <f>IF(A1256="","",IF(AND(J1256="P4",F1256="causal"),"P4-CAUSAL",""))</f>
        <v/>
      </c>
    </row>
    <row r="1257" ht="15" customHeight="1" s="1">
      <c r="P1257">
        <f>IF(OR(F1257="",H1257="",J1257=""),"",J1257&amp;"|"&amp;F1257&amp;"|"&amp;IF(H1257="W3","W3_"&amp;IF(I1257="","unknown",I1257),H1257))</f>
        <v/>
      </c>
      <c r="Q1257">
        <f>IF(P1257="","",IFERROR(IF(AND(H1257="W7",OR(F1257="causal",F1257="predictive")),IF(AND(OR(K1257=1,K1257="1"),OR(L1257=1,L1257="1"),OR(M1257=1,M1257="1")),"adequate","partial"),IF(AND(H1257="W4",F1257="predictive",OR(J1257="P2",J1257="P3",J1257="P4")),IF(OR(U1257=1,U1257="1"),"adequate","partial"),INDEX(Fit_Matrix!$B:$B,MATCH(P1257,Fit_Matrix!$A:$A,0)))),"CHECK KEY"))</f>
        <v/>
      </c>
      <c r="U1257" s="10" t="n"/>
      <c r="V1257" s="10" t="n"/>
      <c r="W1257" s="10" t="n"/>
      <c r="X1257" s="10" t="n"/>
      <c r="Y1257" s="10" t="n"/>
      <c r="Z1257" s="10" t="n"/>
      <c r="AA1257" s="11">
        <f>IF(A1257="","",IF(AND(J1257="P4",F1257="causal"),"P4-CAUSAL",""))</f>
        <v/>
      </c>
    </row>
    <row r="1258" ht="15" customHeight="1" s="1">
      <c r="P1258">
        <f>IF(OR(F1258="",H1258="",J1258=""),"",J1258&amp;"|"&amp;F1258&amp;"|"&amp;IF(H1258="W3","W3_"&amp;IF(I1258="","unknown",I1258),H1258))</f>
        <v/>
      </c>
      <c r="Q1258">
        <f>IF(P1258="","",IFERROR(IF(AND(H1258="W7",OR(F1258="causal",F1258="predictive")),IF(AND(OR(K1258=1,K1258="1"),OR(L1258=1,L1258="1"),OR(M1258=1,M1258="1")),"adequate","partial"),IF(AND(H1258="W4",F1258="predictive",OR(J1258="P2",J1258="P3",J1258="P4")),IF(OR(U1258=1,U1258="1"),"adequate","partial"),INDEX(Fit_Matrix!$B:$B,MATCH(P1258,Fit_Matrix!$A:$A,0)))),"CHECK KEY"))</f>
        <v/>
      </c>
      <c r="U1258" s="10" t="n"/>
      <c r="V1258" s="10" t="n"/>
      <c r="W1258" s="10" t="n"/>
      <c r="X1258" s="10" t="n"/>
      <c r="Y1258" s="10" t="n"/>
      <c r="Z1258" s="10" t="n"/>
      <c r="AA1258" s="11">
        <f>IF(A1258="","",IF(AND(J1258="P4",F1258="causal"),"P4-CAUSAL",""))</f>
        <v/>
      </c>
    </row>
    <row r="1259" ht="15" customHeight="1" s="1">
      <c r="P1259">
        <f>IF(OR(F1259="",H1259="",J1259=""),"",J1259&amp;"|"&amp;F1259&amp;"|"&amp;IF(H1259="W3","W3_"&amp;IF(I1259="","unknown",I1259),H1259))</f>
        <v/>
      </c>
      <c r="Q1259">
        <f>IF(P1259="","",IFERROR(IF(AND(H1259="W7",OR(F1259="causal",F1259="predictive")),IF(AND(OR(K1259=1,K1259="1"),OR(L1259=1,L1259="1"),OR(M1259=1,M1259="1")),"adequate","partial"),IF(AND(H1259="W4",F1259="predictive",OR(J1259="P2",J1259="P3",J1259="P4")),IF(OR(U1259=1,U1259="1"),"adequate","partial"),INDEX(Fit_Matrix!$B:$B,MATCH(P1259,Fit_Matrix!$A:$A,0)))),"CHECK KEY"))</f>
        <v/>
      </c>
      <c r="U1259" s="10" t="n"/>
      <c r="V1259" s="10" t="n"/>
      <c r="W1259" s="10" t="n"/>
      <c r="X1259" s="10" t="n"/>
      <c r="Y1259" s="10" t="n"/>
      <c r="Z1259" s="10" t="n"/>
      <c r="AA1259" s="11">
        <f>IF(A1259="","",IF(AND(J1259="P4",F1259="causal"),"P4-CAUSAL",""))</f>
        <v/>
      </c>
    </row>
    <row r="1260" ht="15" customHeight="1" s="1">
      <c r="P1260">
        <f>IF(OR(F1260="",H1260="",J1260=""),"",J1260&amp;"|"&amp;F1260&amp;"|"&amp;IF(H1260="W3","W3_"&amp;IF(I1260="","unknown",I1260),H1260))</f>
        <v/>
      </c>
      <c r="Q1260">
        <f>IF(P1260="","",IFERROR(IF(AND(H1260="W7",OR(F1260="causal",F1260="predictive")),IF(AND(OR(K1260=1,K1260="1"),OR(L1260=1,L1260="1"),OR(M1260=1,M1260="1")),"adequate","partial"),IF(AND(H1260="W4",F1260="predictive",OR(J1260="P2",J1260="P3",J1260="P4")),IF(OR(U1260=1,U1260="1"),"adequate","partial"),INDEX(Fit_Matrix!$B:$B,MATCH(P1260,Fit_Matrix!$A:$A,0)))),"CHECK KEY"))</f>
        <v/>
      </c>
      <c r="U1260" s="10" t="n"/>
      <c r="V1260" s="10" t="n"/>
      <c r="W1260" s="10" t="n"/>
      <c r="X1260" s="10" t="n"/>
      <c r="Y1260" s="10" t="n"/>
      <c r="Z1260" s="10" t="n"/>
      <c r="AA1260" s="11">
        <f>IF(A1260="","",IF(AND(J1260="P4",F1260="causal"),"P4-CAUSAL",""))</f>
        <v/>
      </c>
    </row>
    <row r="1261" ht="15" customHeight="1" s="1">
      <c r="P1261">
        <f>IF(OR(F1261="",H1261="",J1261=""),"",J1261&amp;"|"&amp;F1261&amp;"|"&amp;IF(H1261="W3","W3_"&amp;IF(I1261="","unknown",I1261),H1261))</f>
        <v/>
      </c>
      <c r="Q1261">
        <f>IF(P1261="","",IFERROR(IF(AND(H1261="W7",OR(F1261="causal",F1261="predictive")),IF(AND(OR(K1261=1,K1261="1"),OR(L1261=1,L1261="1"),OR(M1261=1,M1261="1")),"adequate","partial"),IF(AND(H1261="W4",F1261="predictive",OR(J1261="P2",J1261="P3",J1261="P4")),IF(OR(U1261=1,U1261="1"),"adequate","partial"),INDEX(Fit_Matrix!$B:$B,MATCH(P1261,Fit_Matrix!$A:$A,0)))),"CHECK KEY"))</f>
        <v/>
      </c>
      <c r="U1261" s="10" t="n"/>
      <c r="V1261" s="10" t="n"/>
      <c r="W1261" s="10" t="n"/>
      <c r="X1261" s="10" t="n"/>
      <c r="Y1261" s="10" t="n"/>
      <c r="Z1261" s="10" t="n"/>
      <c r="AA1261" s="11">
        <f>IF(A1261="","",IF(AND(J1261="P4",F1261="causal"),"P4-CAUSAL",""))</f>
        <v/>
      </c>
    </row>
    <row r="1262" ht="15" customHeight="1" s="1">
      <c r="P1262">
        <f>IF(OR(F1262="",H1262="",J1262=""),"",J1262&amp;"|"&amp;F1262&amp;"|"&amp;IF(H1262="W3","W3_"&amp;IF(I1262="","unknown",I1262),H1262))</f>
        <v/>
      </c>
      <c r="Q1262">
        <f>IF(P1262="","",IFERROR(IF(AND(H1262="W7",OR(F1262="causal",F1262="predictive")),IF(AND(OR(K1262=1,K1262="1"),OR(L1262=1,L1262="1"),OR(M1262=1,M1262="1")),"adequate","partial"),IF(AND(H1262="W4",F1262="predictive",OR(J1262="P2",J1262="P3",J1262="P4")),IF(OR(U1262=1,U1262="1"),"adequate","partial"),INDEX(Fit_Matrix!$B:$B,MATCH(P1262,Fit_Matrix!$A:$A,0)))),"CHECK KEY"))</f>
        <v/>
      </c>
      <c r="U1262" s="10" t="n"/>
      <c r="V1262" s="10" t="n"/>
      <c r="W1262" s="10" t="n"/>
      <c r="X1262" s="10" t="n"/>
      <c r="Y1262" s="10" t="n"/>
      <c r="Z1262" s="10" t="n"/>
      <c r="AA1262" s="11">
        <f>IF(A1262="","",IF(AND(J1262="P4",F1262="causal"),"P4-CAUSAL",""))</f>
        <v/>
      </c>
    </row>
    <row r="1263" ht="15" customHeight="1" s="1">
      <c r="P1263">
        <f>IF(OR(F1263="",H1263="",J1263=""),"",J1263&amp;"|"&amp;F1263&amp;"|"&amp;IF(H1263="W3","W3_"&amp;IF(I1263="","unknown",I1263),H1263))</f>
        <v/>
      </c>
      <c r="Q1263">
        <f>IF(P1263="","",IFERROR(IF(AND(H1263="W7",OR(F1263="causal",F1263="predictive")),IF(AND(OR(K1263=1,K1263="1"),OR(L1263=1,L1263="1"),OR(M1263=1,M1263="1")),"adequate","partial"),IF(AND(H1263="W4",F1263="predictive",OR(J1263="P2",J1263="P3",J1263="P4")),IF(OR(U1263=1,U1263="1"),"adequate","partial"),INDEX(Fit_Matrix!$B:$B,MATCH(P1263,Fit_Matrix!$A:$A,0)))),"CHECK KEY"))</f>
        <v/>
      </c>
      <c r="U1263" s="10" t="n"/>
      <c r="V1263" s="10" t="n"/>
      <c r="W1263" s="10" t="n"/>
      <c r="X1263" s="10" t="n"/>
      <c r="Y1263" s="10" t="n"/>
      <c r="Z1263" s="10" t="n"/>
      <c r="AA1263" s="11">
        <f>IF(A1263="","",IF(AND(J1263="P4",F1263="causal"),"P4-CAUSAL",""))</f>
        <v/>
      </c>
    </row>
    <row r="1264" ht="15" customHeight="1" s="1">
      <c r="P1264">
        <f>IF(OR(F1264="",H1264="",J1264=""),"",J1264&amp;"|"&amp;F1264&amp;"|"&amp;IF(H1264="W3","W3_"&amp;IF(I1264="","unknown",I1264),H1264))</f>
        <v/>
      </c>
      <c r="Q1264">
        <f>IF(P1264="","",IFERROR(IF(AND(H1264="W7",OR(F1264="causal",F1264="predictive")),IF(AND(OR(K1264=1,K1264="1"),OR(L1264=1,L1264="1"),OR(M1264=1,M1264="1")),"adequate","partial"),IF(AND(H1264="W4",F1264="predictive",OR(J1264="P2",J1264="P3",J1264="P4")),IF(OR(U1264=1,U1264="1"),"adequate","partial"),INDEX(Fit_Matrix!$B:$B,MATCH(P1264,Fit_Matrix!$A:$A,0)))),"CHECK KEY"))</f>
        <v/>
      </c>
      <c r="U1264" s="10" t="n"/>
      <c r="V1264" s="10" t="n"/>
      <c r="W1264" s="10" t="n"/>
      <c r="X1264" s="10" t="n"/>
      <c r="Y1264" s="10" t="n"/>
      <c r="Z1264" s="10" t="n"/>
      <c r="AA1264" s="11">
        <f>IF(A1264="","",IF(AND(J1264="P4",F1264="causal"),"P4-CAUSAL",""))</f>
        <v/>
      </c>
    </row>
    <row r="1265" ht="15" customHeight="1" s="1">
      <c r="P1265">
        <f>IF(OR(F1265="",H1265="",J1265=""),"",J1265&amp;"|"&amp;F1265&amp;"|"&amp;IF(H1265="W3","W3_"&amp;IF(I1265="","unknown",I1265),H1265))</f>
        <v/>
      </c>
      <c r="Q1265">
        <f>IF(P1265="","",IFERROR(IF(AND(H1265="W7",OR(F1265="causal",F1265="predictive")),IF(AND(OR(K1265=1,K1265="1"),OR(L1265=1,L1265="1"),OR(M1265=1,M1265="1")),"adequate","partial"),IF(AND(H1265="W4",F1265="predictive",OR(J1265="P2",J1265="P3",J1265="P4")),IF(OR(U1265=1,U1265="1"),"adequate","partial"),INDEX(Fit_Matrix!$B:$B,MATCH(P1265,Fit_Matrix!$A:$A,0)))),"CHECK KEY"))</f>
        <v/>
      </c>
      <c r="U1265" s="10" t="n"/>
      <c r="V1265" s="10" t="n"/>
      <c r="W1265" s="10" t="n"/>
      <c r="X1265" s="10" t="n"/>
      <c r="Y1265" s="10" t="n"/>
      <c r="Z1265" s="10" t="n"/>
      <c r="AA1265" s="11">
        <f>IF(A1265="","",IF(AND(J1265="P4",F1265="causal"),"P4-CAUSAL",""))</f>
        <v/>
      </c>
    </row>
    <row r="1266" ht="15" customHeight="1" s="1">
      <c r="P1266">
        <f>IF(OR(F1266="",H1266="",J1266=""),"",J1266&amp;"|"&amp;F1266&amp;"|"&amp;IF(H1266="W3","W3_"&amp;IF(I1266="","unknown",I1266),H1266))</f>
        <v/>
      </c>
      <c r="Q1266">
        <f>IF(P1266="","",IFERROR(IF(AND(H1266="W7",OR(F1266="causal",F1266="predictive")),IF(AND(OR(K1266=1,K1266="1"),OR(L1266=1,L1266="1"),OR(M1266=1,M1266="1")),"adequate","partial"),IF(AND(H1266="W4",F1266="predictive",OR(J1266="P2",J1266="P3",J1266="P4")),IF(OR(U1266=1,U1266="1"),"adequate","partial"),INDEX(Fit_Matrix!$B:$B,MATCH(P1266,Fit_Matrix!$A:$A,0)))),"CHECK KEY"))</f>
        <v/>
      </c>
      <c r="U1266" s="10" t="n"/>
      <c r="V1266" s="10" t="n"/>
      <c r="W1266" s="10" t="n"/>
      <c r="X1266" s="10" t="n"/>
      <c r="Y1266" s="10" t="n"/>
      <c r="Z1266" s="10" t="n"/>
      <c r="AA1266" s="11">
        <f>IF(A1266="","",IF(AND(J1266="P4",F1266="causal"),"P4-CAUSAL",""))</f>
        <v/>
      </c>
    </row>
    <row r="1267" ht="15" customHeight="1" s="1">
      <c r="P1267">
        <f>IF(OR(F1267="",H1267="",J1267=""),"",J1267&amp;"|"&amp;F1267&amp;"|"&amp;IF(H1267="W3","W3_"&amp;IF(I1267="","unknown",I1267),H1267))</f>
        <v/>
      </c>
      <c r="Q1267">
        <f>IF(P1267="","",IFERROR(IF(AND(H1267="W7",OR(F1267="causal",F1267="predictive")),IF(AND(OR(K1267=1,K1267="1"),OR(L1267=1,L1267="1"),OR(M1267=1,M1267="1")),"adequate","partial"),IF(AND(H1267="W4",F1267="predictive",OR(J1267="P2",J1267="P3",J1267="P4")),IF(OR(U1267=1,U1267="1"),"adequate","partial"),INDEX(Fit_Matrix!$B:$B,MATCH(P1267,Fit_Matrix!$A:$A,0)))),"CHECK KEY"))</f>
        <v/>
      </c>
      <c r="U1267" s="10" t="n"/>
      <c r="V1267" s="10" t="n"/>
      <c r="W1267" s="10" t="n"/>
      <c r="X1267" s="10" t="n"/>
      <c r="Y1267" s="10" t="n"/>
      <c r="Z1267" s="10" t="n"/>
      <c r="AA1267" s="11">
        <f>IF(A1267="","",IF(AND(J1267="P4",F1267="causal"),"P4-CAUSAL",""))</f>
        <v/>
      </c>
    </row>
    <row r="1268" ht="15" customHeight="1" s="1">
      <c r="P1268">
        <f>IF(OR(F1268="",H1268="",J1268=""),"",J1268&amp;"|"&amp;F1268&amp;"|"&amp;IF(H1268="W3","W3_"&amp;IF(I1268="","unknown",I1268),H1268))</f>
        <v/>
      </c>
      <c r="Q1268">
        <f>IF(P1268="","",IFERROR(IF(AND(H1268="W7",OR(F1268="causal",F1268="predictive")),IF(AND(OR(K1268=1,K1268="1"),OR(L1268=1,L1268="1"),OR(M1268=1,M1268="1")),"adequate","partial"),IF(AND(H1268="W4",F1268="predictive",OR(J1268="P2",J1268="P3",J1268="P4")),IF(OR(U1268=1,U1268="1"),"adequate","partial"),INDEX(Fit_Matrix!$B:$B,MATCH(P1268,Fit_Matrix!$A:$A,0)))),"CHECK KEY"))</f>
        <v/>
      </c>
      <c r="U1268" s="10" t="n"/>
      <c r="V1268" s="10" t="n"/>
      <c r="W1268" s="10" t="n"/>
      <c r="X1268" s="10" t="n"/>
      <c r="Y1268" s="10" t="n"/>
      <c r="Z1268" s="10" t="n"/>
      <c r="AA1268" s="11">
        <f>IF(A1268="","",IF(AND(J1268="P4",F1268="causal"),"P4-CAUSAL",""))</f>
        <v/>
      </c>
    </row>
    <row r="1269" ht="15" customHeight="1" s="1">
      <c r="P1269">
        <f>IF(OR(F1269="",H1269="",J1269=""),"",J1269&amp;"|"&amp;F1269&amp;"|"&amp;IF(H1269="W3","W3_"&amp;IF(I1269="","unknown",I1269),H1269))</f>
        <v/>
      </c>
      <c r="Q1269">
        <f>IF(P1269="","",IFERROR(IF(AND(H1269="W7",OR(F1269="causal",F1269="predictive")),IF(AND(OR(K1269=1,K1269="1"),OR(L1269=1,L1269="1"),OR(M1269=1,M1269="1")),"adequate","partial"),IF(AND(H1269="W4",F1269="predictive",OR(J1269="P2",J1269="P3",J1269="P4")),IF(OR(U1269=1,U1269="1"),"adequate","partial"),INDEX(Fit_Matrix!$B:$B,MATCH(P1269,Fit_Matrix!$A:$A,0)))),"CHECK KEY"))</f>
        <v/>
      </c>
      <c r="U1269" s="10" t="n"/>
      <c r="V1269" s="10" t="n"/>
      <c r="W1269" s="10" t="n"/>
      <c r="X1269" s="10" t="n"/>
      <c r="Y1269" s="10" t="n"/>
      <c r="Z1269" s="10" t="n"/>
      <c r="AA1269" s="11">
        <f>IF(A1269="","",IF(AND(J1269="P4",F1269="causal"),"P4-CAUSAL",""))</f>
        <v/>
      </c>
    </row>
    <row r="1270" ht="15" customHeight="1" s="1">
      <c r="P1270">
        <f>IF(OR(F1270="",H1270="",J1270=""),"",J1270&amp;"|"&amp;F1270&amp;"|"&amp;IF(H1270="W3","W3_"&amp;IF(I1270="","unknown",I1270),H1270))</f>
        <v/>
      </c>
      <c r="Q1270">
        <f>IF(P1270="","",IFERROR(IF(AND(H1270="W7",OR(F1270="causal",F1270="predictive")),IF(AND(OR(K1270=1,K1270="1"),OR(L1270=1,L1270="1"),OR(M1270=1,M1270="1")),"adequate","partial"),IF(AND(H1270="W4",F1270="predictive",OR(J1270="P2",J1270="P3",J1270="P4")),IF(OR(U1270=1,U1270="1"),"adequate","partial"),INDEX(Fit_Matrix!$B:$B,MATCH(P1270,Fit_Matrix!$A:$A,0)))),"CHECK KEY"))</f>
        <v/>
      </c>
      <c r="U1270" s="10" t="n"/>
      <c r="V1270" s="10" t="n"/>
      <c r="W1270" s="10" t="n"/>
      <c r="X1270" s="10" t="n"/>
      <c r="Y1270" s="10" t="n"/>
      <c r="Z1270" s="10" t="n"/>
      <c r="AA1270" s="11">
        <f>IF(A1270="","",IF(AND(J1270="P4",F1270="causal"),"P4-CAUSAL",""))</f>
        <v/>
      </c>
    </row>
    <row r="1271" ht="15" customHeight="1" s="1">
      <c r="P1271">
        <f>IF(OR(F1271="",H1271="",J1271=""),"",J1271&amp;"|"&amp;F1271&amp;"|"&amp;IF(H1271="W3","W3_"&amp;IF(I1271="","unknown",I1271),H1271))</f>
        <v/>
      </c>
      <c r="Q1271">
        <f>IF(P1271="","",IFERROR(IF(AND(H1271="W7",OR(F1271="causal",F1271="predictive")),IF(AND(OR(K1271=1,K1271="1"),OR(L1271=1,L1271="1"),OR(M1271=1,M1271="1")),"adequate","partial"),IF(AND(H1271="W4",F1271="predictive",OR(J1271="P2",J1271="P3",J1271="P4")),IF(OR(U1271=1,U1271="1"),"adequate","partial"),INDEX(Fit_Matrix!$B:$B,MATCH(P1271,Fit_Matrix!$A:$A,0)))),"CHECK KEY"))</f>
        <v/>
      </c>
      <c r="U1271" s="10" t="n"/>
      <c r="V1271" s="10" t="n"/>
      <c r="W1271" s="10" t="n"/>
      <c r="X1271" s="10" t="n"/>
      <c r="Y1271" s="10" t="n"/>
      <c r="Z1271" s="10" t="n"/>
      <c r="AA1271" s="11">
        <f>IF(A1271="","",IF(AND(J1271="P4",F1271="causal"),"P4-CAUSAL",""))</f>
        <v/>
      </c>
    </row>
    <row r="1272" ht="15" customHeight="1" s="1">
      <c r="P1272">
        <f>IF(OR(F1272="",H1272="",J1272=""),"",J1272&amp;"|"&amp;F1272&amp;"|"&amp;IF(H1272="W3","W3_"&amp;IF(I1272="","unknown",I1272),H1272))</f>
        <v/>
      </c>
      <c r="Q1272">
        <f>IF(P1272="","",IFERROR(IF(AND(H1272="W7",OR(F1272="causal",F1272="predictive")),IF(AND(OR(K1272=1,K1272="1"),OR(L1272=1,L1272="1"),OR(M1272=1,M1272="1")),"adequate","partial"),IF(AND(H1272="W4",F1272="predictive",OR(J1272="P2",J1272="P3",J1272="P4")),IF(OR(U1272=1,U1272="1"),"adequate","partial"),INDEX(Fit_Matrix!$B:$B,MATCH(P1272,Fit_Matrix!$A:$A,0)))),"CHECK KEY"))</f>
        <v/>
      </c>
      <c r="U1272" s="10" t="n"/>
      <c r="V1272" s="10" t="n"/>
      <c r="W1272" s="10" t="n"/>
      <c r="X1272" s="10" t="n"/>
      <c r="Y1272" s="10" t="n"/>
      <c r="Z1272" s="10" t="n"/>
      <c r="AA1272" s="11">
        <f>IF(A1272="","",IF(AND(J1272="P4",F1272="causal"),"P4-CAUSAL",""))</f>
        <v/>
      </c>
    </row>
    <row r="1273" ht="15" customHeight="1" s="1">
      <c r="P1273">
        <f>IF(OR(F1273="",H1273="",J1273=""),"",J1273&amp;"|"&amp;F1273&amp;"|"&amp;IF(H1273="W3","W3_"&amp;IF(I1273="","unknown",I1273),H1273))</f>
        <v/>
      </c>
      <c r="Q1273">
        <f>IF(P1273="","",IFERROR(IF(AND(H1273="W7",OR(F1273="causal",F1273="predictive")),IF(AND(OR(K1273=1,K1273="1"),OR(L1273=1,L1273="1"),OR(M1273=1,M1273="1")),"adequate","partial"),IF(AND(H1273="W4",F1273="predictive",OR(J1273="P2",J1273="P3",J1273="P4")),IF(OR(U1273=1,U1273="1"),"adequate","partial"),INDEX(Fit_Matrix!$B:$B,MATCH(P1273,Fit_Matrix!$A:$A,0)))),"CHECK KEY"))</f>
        <v/>
      </c>
      <c r="U1273" s="10" t="n"/>
      <c r="V1273" s="10" t="n"/>
      <c r="W1273" s="10" t="n"/>
      <c r="X1273" s="10" t="n"/>
      <c r="Y1273" s="10" t="n"/>
      <c r="Z1273" s="10" t="n"/>
      <c r="AA1273" s="11">
        <f>IF(A1273="","",IF(AND(J1273="P4",F1273="causal"),"P4-CAUSAL",""))</f>
        <v/>
      </c>
    </row>
    <row r="1274" ht="15" customHeight="1" s="1">
      <c r="P1274">
        <f>IF(OR(F1274="",H1274="",J1274=""),"",J1274&amp;"|"&amp;F1274&amp;"|"&amp;IF(H1274="W3","W3_"&amp;IF(I1274="","unknown",I1274),H1274))</f>
        <v/>
      </c>
      <c r="Q1274">
        <f>IF(P1274="","",IFERROR(IF(AND(H1274="W7",OR(F1274="causal",F1274="predictive")),IF(AND(OR(K1274=1,K1274="1"),OR(L1274=1,L1274="1"),OR(M1274=1,M1274="1")),"adequate","partial"),IF(AND(H1274="W4",F1274="predictive",OR(J1274="P2",J1274="P3",J1274="P4")),IF(OR(U1274=1,U1274="1"),"adequate","partial"),INDEX(Fit_Matrix!$B:$B,MATCH(P1274,Fit_Matrix!$A:$A,0)))),"CHECK KEY"))</f>
        <v/>
      </c>
      <c r="U1274" s="10" t="n"/>
      <c r="V1274" s="10" t="n"/>
      <c r="W1274" s="10" t="n"/>
      <c r="X1274" s="10" t="n"/>
      <c r="Y1274" s="10" t="n"/>
      <c r="Z1274" s="10" t="n"/>
      <c r="AA1274" s="11">
        <f>IF(A1274="","",IF(AND(J1274="P4",F1274="causal"),"P4-CAUSAL",""))</f>
        <v/>
      </c>
    </row>
    <row r="1275" ht="15" customHeight="1" s="1">
      <c r="P1275">
        <f>IF(OR(F1275="",H1275="",J1275=""),"",J1275&amp;"|"&amp;F1275&amp;"|"&amp;IF(H1275="W3","W3_"&amp;IF(I1275="","unknown",I1275),H1275))</f>
        <v/>
      </c>
      <c r="Q1275">
        <f>IF(P1275="","",IFERROR(IF(AND(H1275="W7",OR(F1275="causal",F1275="predictive")),IF(AND(OR(K1275=1,K1275="1"),OR(L1275=1,L1275="1"),OR(M1275=1,M1275="1")),"adequate","partial"),IF(AND(H1275="W4",F1275="predictive",OR(J1275="P2",J1275="P3",J1275="P4")),IF(OR(U1275=1,U1275="1"),"adequate","partial"),INDEX(Fit_Matrix!$B:$B,MATCH(P1275,Fit_Matrix!$A:$A,0)))),"CHECK KEY"))</f>
        <v/>
      </c>
      <c r="U1275" s="10" t="n"/>
      <c r="V1275" s="10" t="n"/>
      <c r="W1275" s="10" t="n"/>
      <c r="X1275" s="10" t="n"/>
      <c r="Y1275" s="10" t="n"/>
      <c r="Z1275" s="10" t="n"/>
      <c r="AA1275" s="11">
        <f>IF(A1275="","",IF(AND(J1275="P4",F1275="causal"),"P4-CAUSAL",""))</f>
        <v/>
      </c>
    </row>
    <row r="1276" ht="15" customHeight="1" s="1">
      <c r="P1276">
        <f>IF(OR(F1276="",H1276="",J1276=""),"",J1276&amp;"|"&amp;F1276&amp;"|"&amp;IF(H1276="W3","W3_"&amp;IF(I1276="","unknown",I1276),H1276))</f>
        <v/>
      </c>
      <c r="Q1276">
        <f>IF(P1276="","",IFERROR(IF(AND(H1276="W7",OR(F1276="causal",F1276="predictive")),IF(AND(OR(K1276=1,K1276="1"),OR(L1276=1,L1276="1"),OR(M1276=1,M1276="1")),"adequate","partial"),IF(AND(H1276="W4",F1276="predictive",OR(J1276="P2",J1276="P3",J1276="P4")),IF(OR(U1276=1,U1276="1"),"adequate","partial"),INDEX(Fit_Matrix!$B:$B,MATCH(P1276,Fit_Matrix!$A:$A,0)))),"CHECK KEY"))</f>
        <v/>
      </c>
      <c r="U1276" s="10" t="n"/>
      <c r="V1276" s="10" t="n"/>
      <c r="W1276" s="10" t="n"/>
      <c r="X1276" s="10" t="n"/>
      <c r="Y1276" s="10" t="n"/>
      <c r="Z1276" s="10" t="n"/>
      <c r="AA1276" s="11">
        <f>IF(A1276="","",IF(AND(J1276="P4",F1276="causal"),"P4-CAUSAL",""))</f>
        <v/>
      </c>
    </row>
    <row r="1277" ht="15" customHeight="1" s="1">
      <c r="P1277">
        <f>IF(OR(F1277="",H1277="",J1277=""),"",J1277&amp;"|"&amp;F1277&amp;"|"&amp;IF(H1277="W3","W3_"&amp;IF(I1277="","unknown",I1277),H1277))</f>
        <v/>
      </c>
      <c r="Q1277">
        <f>IF(P1277="","",IFERROR(IF(AND(H1277="W7",OR(F1277="causal",F1277="predictive")),IF(AND(OR(K1277=1,K1277="1"),OR(L1277=1,L1277="1"),OR(M1277=1,M1277="1")),"adequate","partial"),IF(AND(H1277="W4",F1277="predictive",OR(J1277="P2",J1277="P3",J1277="P4")),IF(OR(U1277=1,U1277="1"),"adequate","partial"),INDEX(Fit_Matrix!$B:$B,MATCH(P1277,Fit_Matrix!$A:$A,0)))),"CHECK KEY"))</f>
        <v/>
      </c>
      <c r="U1277" s="10" t="n"/>
      <c r="V1277" s="10" t="n"/>
      <c r="W1277" s="10" t="n"/>
      <c r="X1277" s="10" t="n"/>
      <c r="Y1277" s="10" t="n"/>
      <c r="Z1277" s="10" t="n"/>
      <c r="AA1277" s="11">
        <f>IF(A1277="","",IF(AND(J1277="P4",F1277="causal"),"P4-CAUSAL",""))</f>
        <v/>
      </c>
    </row>
    <row r="1278" ht="15" customHeight="1" s="1">
      <c r="P1278">
        <f>IF(OR(F1278="",H1278="",J1278=""),"",J1278&amp;"|"&amp;F1278&amp;"|"&amp;IF(H1278="W3","W3_"&amp;IF(I1278="","unknown",I1278),H1278))</f>
        <v/>
      </c>
      <c r="Q1278">
        <f>IF(P1278="","",IFERROR(IF(AND(H1278="W7",OR(F1278="causal",F1278="predictive")),IF(AND(OR(K1278=1,K1278="1"),OR(L1278=1,L1278="1"),OR(M1278=1,M1278="1")),"adequate","partial"),IF(AND(H1278="W4",F1278="predictive",OR(J1278="P2",J1278="P3",J1278="P4")),IF(OR(U1278=1,U1278="1"),"adequate","partial"),INDEX(Fit_Matrix!$B:$B,MATCH(P1278,Fit_Matrix!$A:$A,0)))),"CHECK KEY"))</f>
        <v/>
      </c>
      <c r="U1278" s="10" t="n"/>
      <c r="V1278" s="10" t="n"/>
      <c r="W1278" s="10" t="n"/>
      <c r="X1278" s="10" t="n"/>
      <c r="Y1278" s="10" t="n"/>
      <c r="Z1278" s="10" t="n"/>
      <c r="AA1278" s="11">
        <f>IF(A1278="","",IF(AND(J1278="P4",F1278="causal"),"P4-CAUSAL",""))</f>
        <v/>
      </c>
    </row>
    <row r="1279" ht="15" customHeight="1" s="1">
      <c r="P1279">
        <f>IF(OR(F1279="",H1279="",J1279=""),"",J1279&amp;"|"&amp;F1279&amp;"|"&amp;IF(H1279="W3","W3_"&amp;IF(I1279="","unknown",I1279),H1279))</f>
        <v/>
      </c>
      <c r="Q1279">
        <f>IF(P1279="","",IFERROR(IF(AND(H1279="W7",OR(F1279="causal",F1279="predictive")),IF(AND(OR(K1279=1,K1279="1"),OR(L1279=1,L1279="1"),OR(M1279=1,M1279="1")),"adequate","partial"),IF(AND(H1279="W4",F1279="predictive",OR(J1279="P2",J1279="P3",J1279="P4")),IF(OR(U1279=1,U1279="1"),"adequate","partial"),INDEX(Fit_Matrix!$B:$B,MATCH(P1279,Fit_Matrix!$A:$A,0)))),"CHECK KEY"))</f>
        <v/>
      </c>
      <c r="U1279" s="10" t="n"/>
      <c r="V1279" s="10" t="n"/>
      <c r="W1279" s="10" t="n"/>
      <c r="X1279" s="10" t="n"/>
      <c r="Y1279" s="10" t="n"/>
      <c r="Z1279" s="10" t="n"/>
      <c r="AA1279" s="11">
        <f>IF(A1279="","",IF(AND(J1279="P4",F1279="causal"),"P4-CAUSAL",""))</f>
        <v/>
      </c>
    </row>
    <row r="1280" ht="15" customHeight="1" s="1">
      <c r="P1280">
        <f>IF(OR(F1280="",H1280="",J1280=""),"",J1280&amp;"|"&amp;F1280&amp;"|"&amp;IF(H1280="W3","W3_"&amp;IF(I1280="","unknown",I1280),H1280))</f>
        <v/>
      </c>
      <c r="Q1280">
        <f>IF(P1280="","",IFERROR(IF(AND(H1280="W7",OR(F1280="causal",F1280="predictive")),IF(AND(OR(K1280=1,K1280="1"),OR(L1280=1,L1280="1"),OR(M1280=1,M1280="1")),"adequate","partial"),IF(AND(H1280="W4",F1280="predictive",OR(J1280="P2",J1280="P3",J1280="P4")),IF(OR(U1280=1,U1280="1"),"adequate","partial"),INDEX(Fit_Matrix!$B:$B,MATCH(P1280,Fit_Matrix!$A:$A,0)))),"CHECK KEY"))</f>
        <v/>
      </c>
      <c r="U1280" s="10" t="n"/>
      <c r="V1280" s="10" t="n"/>
      <c r="W1280" s="10" t="n"/>
      <c r="X1280" s="10" t="n"/>
      <c r="Y1280" s="10" t="n"/>
      <c r="Z1280" s="10" t="n"/>
      <c r="AA1280" s="11">
        <f>IF(A1280="","",IF(AND(J1280="P4",F1280="causal"),"P4-CAUSAL",""))</f>
        <v/>
      </c>
    </row>
    <row r="1281" ht="15" customHeight="1" s="1">
      <c r="P1281">
        <f>IF(OR(F1281="",H1281="",J1281=""),"",J1281&amp;"|"&amp;F1281&amp;"|"&amp;IF(H1281="W3","W3_"&amp;IF(I1281="","unknown",I1281),H1281))</f>
        <v/>
      </c>
      <c r="Q1281">
        <f>IF(P1281="","",IFERROR(IF(AND(H1281="W7",OR(F1281="causal",F1281="predictive")),IF(AND(OR(K1281=1,K1281="1"),OR(L1281=1,L1281="1"),OR(M1281=1,M1281="1")),"adequate","partial"),IF(AND(H1281="W4",F1281="predictive",OR(J1281="P2",J1281="P3",J1281="P4")),IF(OR(U1281=1,U1281="1"),"adequate","partial"),INDEX(Fit_Matrix!$B:$B,MATCH(P1281,Fit_Matrix!$A:$A,0)))),"CHECK KEY"))</f>
        <v/>
      </c>
      <c r="U1281" s="10" t="n"/>
      <c r="V1281" s="10" t="n"/>
      <c r="W1281" s="10" t="n"/>
      <c r="X1281" s="10" t="n"/>
      <c r="Y1281" s="10" t="n"/>
      <c r="Z1281" s="10" t="n"/>
      <c r="AA1281" s="11">
        <f>IF(A1281="","",IF(AND(J1281="P4",F1281="causal"),"P4-CAUSAL",""))</f>
        <v/>
      </c>
    </row>
    <row r="1282" ht="15" customHeight="1" s="1">
      <c r="P1282">
        <f>IF(OR(F1282="",H1282="",J1282=""),"",J1282&amp;"|"&amp;F1282&amp;"|"&amp;IF(H1282="W3","W3_"&amp;IF(I1282="","unknown",I1282),H1282))</f>
        <v/>
      </c>
      <c r="Q1282">
        <f>IF(P1282="","",IFERROR(IF(AND(H1282="W7",OR(F1282="causal",F1282="predictive")),IF(AND(OR(K1282=1,K1282="1"),OR(L1282=1,L1282="1"),OR(M1282=1,M1282="1")),"adequate","partial"),IF(AND(H1282="W4",F1282="predictive",OR(J1282="P2",J1282="P3",J1282="P4")),IF(OR(U1282=1,U1282="1"),"adequate","partial"),INDEX(Fit_Matrix!$B:$B,MATCH(P1282,Fit_Matrix!$A:$A,0)))),"CHECK KEY"))</f>
        <v/>
      </c>
      <c r="U1282" s="10" t="n"/>
      <c r="V1282" s="10" t="n"/>
      <c r="W1282" s="10" t="n"/>
      <c r="X1282" s="10" t="n"/>
      <c r="Y1282" s="10" t="n"/>
      <c r="Z1282" s="10" t="n"/>
      <c r="AA1282" s="11">
        <f>IF(A1282="","",IF(AND(J1282="P4",F1282="causal"),"P4-CAUSAL",""))</f>
        <v/>
      </c>
    </row>
    <row r="1283" ht="15" customHeight="1" s="1">
      <c r="P1283">
        <f>IF(OR(F1283="",H1283="",J1283=""),"",J1283&amp;"|"&amp;F1283&amp;"|"&amp;IF(H1283="W3","W3_"&amp;IF(I1283="","unknown",I1283),H1283))</f>
        <v/>
      </c>
      <c r="Q1283">
        <f>IF(P1283="","",IFERROR(IF(AND(H1283="W7",OR(F1283="causal",F1283="predictive")),IF(AND(OR(K1283=1,K1283="1"),OR(L1283=1,L1283="1"),OR(M1283=1,M1283="1")),"adequate","partial"),IF(AND(H1283="W4",F1283="predictive",OR(J1283="P2",J1283="P3",J1283="P4")),IF(OR(U1283=1,U1283="1"),"adequate","partial"),INDEX(Fit_Matrix!$B:$B,MATCH(P1283,Fit_Matrix!$A:$A,0)))),"CHECK KEY"))</f>
        <v/>
      </c>
      <c r="U1283" s="10" t="n"/>
      <c r="V1283" s="10" t="n"/>
      <c r="W1283" s="10" t="n"/>
      <c r="X1283" s="10" t="n"/>
      <c r="Y1283" s="10" t="n"/>
      <c r="Z1283" s="10" t="n"/>
      <c r="AA1283" s="11">
        <f>IF(A1283="","",IF(AND(J1283="P4",F1283="causal"),"P4-CAUSAL",""))</f>
        <v/>
      </c>
    </row>
    <row r="1284" ht="15" customHeight="1" s="1">
      <c r="P1284">
        <f>IF(OR(F1284="",H1284="",J1284=""),"",J1284&amp;"|"&amp;F1284&amp;"|"&amp;IF(H1284="W3","W3_"&amp;IF(I1284="","unknown",I1284),H1284))</f>
        <v/>
      </c>
      <c r="Q1284">
        <f>IF(P1284="","",IFERROR(IF(AND(H1284="W7",OR(F1284="causal",F1284="predictive")),IF(AND(OR(K1284=1,K1284="1"),OR(L1284=1,L1284="1"),OR(M1284=1,M1284="1")),"adequate","partial"),IF(AND(H1284="W4",F1284="predictive",OR(J1284="P2",J1284="P3",J1284="P4")),IF(OR(U1284=1,U1284="1"),"adequate","partial"),INDEX(Fit_Matrix!$B:$B,MATCH(P1284,Fit_Matrix!$A:$A,0)))),"CHECK KEY"))</f>
        <v/>
      </c>
      <c r="U1284" s="10" t="n"/>
      <c r="V1284" s="10" t="n"/>
      <c r="W1284" s="10" t="n"/>
      <c r="X1284" s="10" t="n"/>
      <c r="Y1284" s="10" t="n"/>
      <c r="Z1284" s="10" t="n"/>
      <c r="AA1284" s="11">
        <f>IF(A1284="","",IF(AND(J1284="P4",F1284="causal"),"P4-CAUSAL",""))</f>
        <v/>
      </c>
    </row>
    <row r="1285" ht="15" customHeight="1" s="1">
      <c r="P1285">
        <f>IF(OR(F1285="",H1285="",J1285=""),"",J1285&amp;"|"&amp;F1285&amp;"|"&amp;IF(H1285="W3","W3_"&amp;IF(I1285="","unknown",I1285),H1285))</f>
        <v/>
      </c>
      <c r="Q1285">
        <f>IF(P1285="","",IFERROR(IF(AND(H1285="W7",OR(F1285="causal",F1285="predictive")),IF(AND(OR(K1285=1,K1285="1"),OR(L1285=1,L1285="1"),OR(M1285=1,M1285="1")),"adequate","partial"),IF(AND(H1285="W4",F1285="predictive",OR(J1285="P2",J1285="P3",J1285="P4")),IF(OR(U1285=1,U1285="1"),"adequate","partial"),INDEX(Fit_Matrix!$B:$B,MATCH(P1285,Fit_Matrix!$A:$A,0)))),"CHECK KEY"))</f>
        <v/>
      </c>
      <c r="U1285" s="10" t="n"/>
      <c r="V1285" s="10" t="n"/>
      <c r="W1285" s="10" t="n"/>
      <c r="X1285" s="10" t="n"/>
      <c r="Y1285" s="10" t="n"/>
      <c r="Z1285" s="10" t="n"/>
      <c r="AA1285" s="11">
        <f>IF(A1285="","",IF(AND(J1285="P4",F1285="causal"),"P4-CAUSAL",""))</f>
        <v/>
      </c>
    </row>
    <row r="1286" ht="15" customHeight="1" s="1">
      <c r="P1286">
        <f>IF(OR(F1286="",H1286="",J1286=""),"",J1286&amp;"|"&amp;F1286&amp;"|"&amp;IF(H1286="W3","W3_"&amp;IF(I1286="","unknown",I1286),H1286))</f>
        <v/>
      </c>
      <c r="Q1286">
        <f>IF(P1286="","",IFERROR(IF(AND(H1286="W7",OR(F1286="causal",F1286="predictive")),IF(AND(OR(K1286=1,K1286="1"),OR(L1286=1,L1286="1"),OR(M1286=1,M1286="1")),"adequate","partial"),IF(AND(H1286="W4",F1286="predictive",OR(J1286="P2",J1286="P3",J1286="P4")),IF(OR(U1286=1,U1286="1"),"adequate","partial"),INDEX(Fit_Matrix!$B:$B,MATCH(P1286,Fit_Matrix!$A:$A,0)))),"CHECK KEY"))</f>
        <v/>
      </c>
      <c r="U1286" s="10" t="n"/>
      <c r="V1286" s="10" t="n"/>
      <c r="W1286" s="10" t="n"/>
      <c r="X1286" s="10" t="n"/>
      <c r="Y1286" s="10" t="n"/>
      <c r="Z1286" s="10" t="n"/>
      <c r="AA1286" s="11">
        <f>IF(A1286="","",IF(AND(J1286="P4",F1286="causal"),"P4-CAUSAL",""))</f>
        <v/>
      </c>
    </row>
    <row r="1287" ht="15" customHeight="1" s="1">
      <c r="P1287">
        <f>IF(OR(F1287="",H1287="",J1287=""),"",J1287&amp;"|"&amp;F1287&amp;"|"&amp;IF(H1287="W3","W3_"&amp;IF(I1287="","unknown",I1287),H1287))</f>
        <v/>
      </c>
      <c r="Q1287">
        <f>IF(P1287="","",IFERROR(IF(AND(H1287="W7",OR(F1287="causal",F1287="predictive")),IF(AND(OR(K1287=1,K1287="1"),OR(L1287=1,L1287="1"),OR(M1287=1,M1287="1")),"adequate","partial"),IF(AND(H1287="W4",F1287="predictive",OR(J1287="P2",J1287="P3",J1287="P4")),IF(OR(U1287=1,U1287="1"),"adequate","partial"),INDEX(Fit_Matrix!$B:$B,MATCH(P1287,Fit_Matrix!$A:$A,0)))),"CHECK KEY"))</f>
        <v/>
      </c>
      <c r="U1287" s="10" t="n"/>
      <c r="V1287" s="10" t="n"/>
      <c r="W1287" s="10" t="n"/>
      <c r="X1287" s="10" t="n"/>
      <c r="Y1287" s="10" t="n"/>
      <c r="Z1287" s="10" t="n"/>
      <c r="AA1287" s="11">
        <f>IF(A1287="","",IF(AND(J1287="P4",F1287="causal"),"P4-CAUSAL",""))</f>
        <v/>
      </c>
    </row>
    <row r="1288" ht="15" customHeight="1" s="1">
      <c r="P1288">
        <f>IF(OR(F1288="",H1288="",J1288=""),"",J1288&amp;"|"&amp;F1288&amp;"|"&amp;IF(H1288="W3","W3_"&amp;IF(I1288="","unknown",I1288),H1288))</f>
        <v/>
      </c>
      <c r="Q1288">
        <f>IF(P1288="","",IFERROR(IF(AND(H1288="W7",OR(F1288="causal",F1288="predictive")),IF(AND(OR(K1288=1,K1288="1"),OR(L1288=1,L1288="1"),OR(M1288=1,M1288="1")),"adequate","partial"),IF(AND(H1288="W4",F1288="predictive",OR(J1288="P2",J1288="P3",J1288="P4")),IF(OR(U1288=1,U1288="1"),"adequate","partial"),INDEX(Fit_Matrix!$B:$B,MATCH(P1288,Fit_Matrix!$A:$A,0)))),"CHECK KEY"))</f>
        <v/>
      </c>
      <c r="U1288" s="10" t="n"/>
      <c r="V1288" s="10" t="n"/>
      <c r="W1288" s="10" t="n"/>
      <c r="X1288" s="10" t="n"/>
      <c r="Y1288" s="10" t="n"/>
      <c r="Z1288" s="10" t="n"/>
      <c r="AA1288" s="11">
        <f>IF(A1288="","",IF(AND(J1288="P4",F1288="causal"),"P4-CAUSAL",""))</f>
        <v/>
      </c>
    </row>
    <row r="1289" ht="15" customHeight="1" s="1">
      <c r="P1289">
        <f>IF(OR(F1289="",H1289="",J1289=""),"",J1289&amp;"|"&amp;F1289&amp;"|"&amp;IF(H1289="W3","W3_"&amp;IF(I1289="","unknown",I1289),H1289))</f>
        <v/>
      </c>
      <c r="Q1289">
        <f>IF(P1289="","",IFERROR(IF(AND(H1289="W7",OR(F1289="causal",F1289="predictive")),IF(AND(OR(K1289=1,K1289="1"),OR(L1289=1,L1289="1"),OR(M1289=1,M1289="1")),"adequate","partial"),IF(AND(H1289="W4",F1289="predictive",OR(J1289="P2",J1289="P3",J1289="P4")),IF(OR(U1289=1,U1289="1"),"adequate","partial"),INDEX(Fit_Matrix!$B:$B,MATCH(P1289,Fit_Matrix!$A:$A,0)))),"CHECK KEY"))</f>
        <v/>
      </c>
      <c r="U1289" s="10" t="n"/>
      <c r="V1289" s="10" t="n"/>
      <c r="W1289" s="10" t="n"/>
      <c r="X1289" s="10" t="n"/>
      <c r="Y1289" s="10" t="n"/>
      <c r="Z1289" s="10" t="n"/>
      <c r="AA1289" s="11">
        <f>IF(A1289="","",IF(AND(J1289="P4",F1289="causal"),"P4-CAUSAL",""))</f>
        <v/>
      </c>
    </row>
    <row r="1290" ht="15" customHeight="1" s="1">
      <c r="P1290">
        <f>IF(OR(F1290="",H1290="",J1290=""),"",J1290&amp;"|"&amp;F1290&amp;"|"&amp;IF(H1290="W3","W3_"&amp;IF(I1290="","unknown",I1290),H1290))</f>
        <v/>
      </c>
      <c r="Q1290">
        <f>IF(P1290="","",IFERROR(IF(AND(H1290="W7",OR(F1290="causal",F1290="predictive")),IF(AND(OR(K1290=1,K1290="1"),OR(L1290=1,L1290="1"),OR(M1290=1,M1290="1")),"adequate","partial"),IF(AND(H1290="W4",F1290="predictive",OR(J1290="P2",J1290="P3",J1290="P4")),IF(OR(U1290=1,U1290="1"),"adequate","partial"),INDEX(Fit_Matrix!$B:$B,MATCH(P1290,Fit_Matrix!$A:$A,0)))),"CHECK KEY"))</f>
        <v/>
      </c>
      <c r="U1290" s="10" t="n"/>
      <c r="V1290" s="10" t="n"/>
      <c r="W1290" s="10" t="n"/>
      <c r="X1290" s="10" t="n"/>
      <c r="Y1290" s="10" t="n"/>
      <c r="Z1290" s="10" t="n"/>
      <c r="AA1290" s="11">
        <f>IF(A1290="","",IF(AND(J1290="P4",F1290="causal"),"P4-CAUSAL",""))</f>
        <v/>
      </c>
    </row>
    <row r="1291" ht="15" customHeight="1" s="1">
      <c r="P1291">
        <f>IF(OR(F1291="",H1291="",J1291=""),"",J1291&amp;"|"&amp;F1291&amp;"|"&amp;IF(H1291="W3","W3_"&amp;IF(I1291="","unknown",I1291),H1291))</f>
        <v/>
      </c>
      <c r="Q1291">
        <f>IF(P1291="","",IFERROR(IF(AND(H1291="W7",OR(F1291="causal",F1291="predictive")),IF(AND(OR(K1291=1,K1291="1"),OR(L1291=1,L1291="1"),OR(M1291=1,M1291="1")),"adequate","partial"),IF(AND(H1291="W4",F1291="predictive",OR(J1291="P2",J1291="P3",J1291="P4")),IF(OR(U1291=1,U1291="1"),"adequate","partial"),INDEX(Fit_Matrix!$B:$B,MATCH(P1291,Fit_Matrix!$A:$A,0)))),"CHECK KEY"))</f>
        <v/>
      </c>
      <c r="U1291" s="10" t="n"/>
      <c r="V1291" s="10" t="n"/>
      <c r="W1291" s="10" t="n"/>
      <c r="X1291" s="10" t="n"/>
      <c r="Y1291" s="10" t="n"/>
      <c r="Z1291" s="10" t="n"/>
      <c r="AA1291" s="11">
        <f>IF(A1291="","",IF(AND(J1291="P4",F1291="causal"),"P4-CAUSAL",""))</f>
        <v/>
      </c>
    </row>
    <row r="1292" ht="15" customHeight="1" s="1">
      <c r="P1292">
        <f>IF(OR(F1292="",H1292="",J1292=""),"",J1292&amp;"|"&amp;F1292&amp;"|"&amp;IF(H1292="W3","W3_"&amp;IF(I1292="","unknown",I1292),H1292))</f>
        <v/>
      </c>
      <c r="Q1292">
        <f>IF(P1292="","",IFERROR(IF(AND(H1292="W7",OR(F1292="causal",F1292="predictive")),IF(AND(OR(K1292=1,K1292="1"),OR(L1292=1,L1292="1"),OR(M1292=1,M1292="1")),"adequate","partial"),IF(AND(H1292="W4",F1292="predictive",OR(J1292="P2",J1292="P3",J1292="P4")),IF(OR(U1292=1,U1292="1"),"adequate","partial"),INDEX(Fit_Matrix!$B:$B,MATCH(P1292,Fit_Matrix!$A:$A,0)))),"CHECK KEY"))</f>
        <v/>
      </c>
      <c r="U1292" s="10" t="n"/>
      <c r="V1292" s="10" t="n"/>
      <c r="W1292" s="10" t="n"/>
      <c r="X1292" s="10" t="n"/>
      <c r="Y1292" s="10" t="n"/>
      <c r="Z1292" s="10" t="n"/>
      <c r="AA1292" s="11">
        <f>IF(A1292="","",IF(AND(J1292="P4",F1292="causal"),"P4-CAUSAL",""))</f>
        <v/>
      </c>
    </row>
    <row r="1293" ht="15" customHeight="1" s="1">
      <c r="P1293">
        <f>IF(OR(F1293="",H1293="",J1293=""),"",J1293&amp;"|"&amp;F1293&amp;"|"&amp;IF(H1293="W3","W3_"&amp;IF(I1293="","unknown",I1293),H1293))</f>
        <v/>
      </c>
      <c r="Q1293">
        <f>IF(P1293="","",IFERROR(IF(AND(H1293="W7",OR(F1293="causal",F1293="predictive")),IF(AND(OR(K1293=1,K1293="1"),OR(L1293=1,L1293="1"),OR(M1293=1,M1293="1")),"adequate","partial"),IF(AND(H1293="W4",F1293="predictive",OR(J1293="P2",J1293="P3",J1293="P4")),IF(OR(U1293=1,U1293="1"),"adequate","partial"),INDEX(Fit_Matrix!$B:$B,MATCH(P1293,Fit_Matrix!$A:$A,0)))),"CHECK KEY"))</f>
        <v/>
      </c>
      <c r="U1293" s="10" t="n"/>
      <c r="V1293" s="10" t="n"/>
      <c r="W1293" s="10" t="n"/>
      <c r="X1293" s="10" t="n"/>
      <c r="Y1293" s="10" t="n"/>
      <c r="Z1293" s="10" t="n"/>
      <c r="AA1293" s="11">
        <f>IF(A1293="","",IF(AND(J1293="P4",F1293="causal"),"P4-CAUSAL",""))</f>
        <v/>
      </c>
    </row>
    <row r="1294" ht="15" customHeight="1" s="1">
      <c r="P1294">
        <f>IF(OR(F1294="",H1294="",J1294=""),"",J1294&amp;"|"&amp;F1294&amp;"|"&amp;IF(H1294="W3","W3_"&amp;IF(I1294="","unknown",I1294),H1294))</f>
        <v/>
      </c>
      <c r="Q1294">
        <f>IF(P1294="","",IFERROR(IF(AND(H1294="W7",OR(F1294="causal",F1294="predictive")),IF(AND(OR(K1294=1,K1294="1"),OR(L1294=1,L1294="1"),OR(M1294=1,M1294="1")),"adequate","partial"),IF(AND(H1294="W4",F1294="predictive",OR(J1294="P2",J1294="P3",J1294="P4")),IF(OR(U1294=1,U1294="1"),"adequate","partial"),INDEX(Fit_Matrix!$B:$B,MATCH(P1294,Fit_Matrix!$A:$A,0)))),"CHECK KEY"))</f>
        <v/>
      </c>
      <c r="U1294" s="10" t="n"/>
      <c r="V1294" s="10" t="n"/>
      <c r="W1294" s="10" t="n"/>
      <c r="X1294" s="10" t="n"/>
      <c r="Y1294" s="10" t="n"/>
      <c r="Z1294" s="10" t="n"/>
      <c r="AA1294" s="11">
        <f>IF(A1294="","",IF(AND(J1294="P4",F1294="causal"),"P4-CAUSAL",""))</f>
        <v/>
      </c>
    </row>
    <row r="1295" ht="15" customHeight="1" s="1">
      <c r="P1295">
        <f>IF(OR(F1295="",H1295="",J1295=""),"",J1295&amp;"|"&amp;F1295&amp;"|"&amp;IF(H1295="W3","W3_"&amp;IF(I1295="","unknown",I1295),H1295))</f>
        <v/>
      </c>
      <c r="Q1295">
        <f>IF(P1295="","",IFERROR(IF(AND(H1295="W7",OR(F1295="causal",F1295="predictive")),IF(AND(OR(K1295=1,K1295="1"),OR(L1295=1,L1295="1"),OR(M1295=1,M1295="1")),"adequate","partial"),IF(AND(H1295="W4",F1295="predictive",OR(J1295="P2",J1295="P3",J1295="P4")),IF(OR(U1295=1,U1295="1"),"adequate","partial"),INDEX(Fit_Matrix!$B:$B,MATCH(P1295,Fit_Matrix!$A:$A,0)))),"CHECK KEY"))</f>
        <v/>
      </c>
      <c r="U1295" s="10" t="n"/>
      <c r="V1295" s="10" t="n"/>
      <c r="W1295" s="10" t="n"/>
      <c r="X1295" s="10" t="n"/>
      <c r="Y1295" s="10" t="n"/>
      <c r="Z1295" s="10" t="n"/>
      <c r="AA1295" s="11">
        <f>IF(A1295="","",IF(AND(J1295="P4",F1295="causal"),"P4-CAUSAL",""))</f>
        <v/>
      </c>
    </row>
    <row r="1296" ht="15" customHeight="1" s="1">
      <c r="P1296">
        <f>IF(OR(F1296="",H1296="",J1296=""),"",J1296&amp;"|"&amp;F1296&amp;"|"&amp;IF(H1296="W3","W3_"&amp;IF(I1296="","unknown",I1296),H1296))</f>
        <v/>
      </c>
      <c r="Q1296">
        <f>IF(P1296="","",IFERROR(IF(AND(H1296="W7",OR(F1296="causal",F1296="predictive")),IF(AND(OR(K1296=1,K1296="1"),OR(L1296=1,L1296="1"),OR(M1296=1,M1296="1")),"adequate","partial"),IF(AND(H1296="W4",F1296="predictive",OR(J1296="P2",J1296="P3",J1296="P4")),IF(OR(U1296=1,U1296="1"),"adequate","partial"),INDEX(Fit_Matrix!$B:$B,MATCH(P1296,Fit_Matrix!$A:$A,0)))),"CHECK KEY"))</f>
        <v/>
      </c>
      <c r="U1296" s="10" t="n"/>
      <c r="V1296" s="10" t="n"/>
      <c r="W1296" s="10" t="n"/>
      <c r="X1296" s="10" t="n"/>
      <c r="Y1296" s="10" t="n"/>
      <c r="Z1296" s="10" t="n"/>
      <c r="AA1296" s="11">
        <f>IF(A1296="","",IF(AND(J1296="P4",F1296="causal"),"P4-CAUSAL",""))</f>
        <v/>
      </c>
    </row>
    <row r="1297" ht="15" customHeight="1" s="1">
      <c r="P1297">
        <f>IF(OR(F1297="",H1297="",J1297=""),"",J1297&amp;"|"&amp;F1297&amp;"|"&amp;IF(H1297="W3","W3_"&amp;IF(I1297="","unknown",I1297),H1297))</f>
        <v/>
      </c>
      <c r="Q1297">
        <f>IF(P1297="","",IFERROR(IF(AND(H1297="W7",OR(F1297="causal",F1297="predictive")),IF(AND(OR(K1297=1,K1297="1"),OR(L1297=1,L1297="1"),OR(M1297=1,M1297="1")),"adequate","partial"),IF(AND(H1297="W4",F1297="predictive",OR(J1297="P2",J1297="P3",J1297="P4")),IF(OR(U1297=1,U1297="1"),"adequate","partial"),INDEX(Fit_Matrix!$B:$B,MATCH(P1297,Fit_Matrix!$A:$A,0)))),"CHECK KEY"))</f>
        <v/>
      </c>
      <c r="U1297" s="10" t="n"/>
      <c r="V1297" s="10" t="n"/>
      <c r="W1297" s="10" t="n"/>
      <c r="X1297" s="10" t="n"/>
      <c r="Y1297" s="10" t="n"/>
      <c r="Z1297" s="10" t="n"/>
      <c r="AA1297" s="11">
        <f>IF(A1297="","",IF(AND(J1297="P4",F1297="causal"),"P4-CAUSAL",""))</f>
        <v/>
      </c>
    </row>
    <row r="1298" ht="15" customHeight="1" s="1">
      <c r="P1298">
        <f>IF(OR(F1298="",H1298="",J1298=""),"",J1298&amp;"|"&amp;F1298&amp;"|"&amp;IF(H1298="W3","W3_"&amp;IF(I1298="","unknown",I1298),H1298))</f>
        <v/>
      </c>
      <c r="Q1298">
        <f>IF(P1298="","",IFERROR(IF(AND(H1298="W7",OR(F1298="causal",F1298="predictive")),IF(AND(OR(K1298=1,K1298="1"),OR(L1298=1,L1298="1"),OR(M1298=1,M1298="1")),"adequate","partial"),IF(AND(H1298="W4",F1298="predictive",OR(J1298="P2",J1298="P3",J1298="P4")),IF(OR(U1298=1,U1298="1"),"adequate","partial"),INDEX(Fit_Matrix!$B:$B,MATCH(P1298,Fit_Matrix!$A:$A,0)))),"CHECK KEY"))</f>
        <v/>
      </c>
      <c r="U1298" s="10" t="n"/>
      <c r="V1298" s="10" t="n"/>
      <c r="W1298" s="10" t="n"/>
      <c r="X1298" s="10" t="n"/>
      <c r="Y1298" s="10" t="n"/>
      <c r="Z1298" s="10" t="n"/>
      <c r="AA1298" s="11">
        <f>IF(A1298="","",IF(AND(J1298="P4",F1298="causal"),"P4-CAUSAL",""))</f>
        <v/>
      </c>
    </row>
    <row r="1299" ht="15" customHeight="1" s="1">
      <c r="P1299">
        <f>IF(OR(F1299="",H1299="",J1299=""),"",J1299&amp;"|"&amp;F1299&amp;"|"&amp;IF(H1299="W3","W3_"&amp;IF(I1299="","unknown",I1299),H1299))</f>
        <v/>
      </c>
      <c r="Q1299">
        <f>IF(P1299="","",IFERROR(IF(AND(H1299="W7",OR(F1299="causal",F1299="predictive")),IF(AND(OR(K1299=1,K1299="1"),OR(L1299=1,L1299="1"),OR(M1299=1,M1299="1")),"adequate","partial"),IF(AND(H1299="W4",F1299="predictive",OR(J1299="P2",J1299="P3",J1299="P4")),IF(OR(U1299=1,U1299="1"),"adequate","partial"),INDEX(Fit_Matrix!$B:$B,MATCH(P1299,Fit_Matrix!$A:$A,0)))),"CHECK KEY"))</f>
        <v/>
      </c>
      <c r="U1299" s="10" t="n"/>
      <c r="V1299" s="10" t="n"/>
      <c r="W1299" s="10" t="n"/>
      <c r="X1299" s="10" t="n"/>
      <c r="Y1299" s="10" t="n"/>
      <c r="Z1299" s="10" t="n"/>
      <c r="AA1299" s="11">
        <f>IF(A1299="","",IF(AND(J1299="P4",F1299="causal"),"P4-CAUSAL",""))</f>
        <v/>
      </c>
    </row>
    <row r="1300" ht="15" customHeight="1" s="1">
      <c r="P1300">
        <f>IF(OR(F1300="",H1300="",J1300=""),"",J1300&amp;"|"&amp;F1300&amp;"|"&amp;IF(H1300="W3","W3_"&amp;IF(I1300="","unknown",I1300),H1300))</f>
        <v/>
      </c>
      <c r="Q1300">
        <f>IF(P1300="","",IFERROR(IF(AND(H1300="W7",OR(F1300="causal",F1300="predictive")),IF(AND(OR(K1300=1,K1300="1"),OR(L1300=1,L1300="1"),OR(M1300=1,M1300="1")),"adequate","partial"),IF(AND(H1300="W4",F1300="predictive",OR(J1300="P2",J1300="P3",J1300="P4")),IF(OR(U1300=1,U1300="1"),"adequate","partial"),INDEX(Fit_Matrix!$B:$B,MATCH(P1300,Fit_Matrix!$A:$A,0)))),"CHECK KEY"))</f>
        <v/>
      </c>
      <c r="U1300" s="10" t="n"/>
      <c r="V1300" s="10" t="n"/>
      <c r="W1300" s="10" t="n"/>
      <c r="X1300" s="10" t="n"/>
      <c r="Y1300" s="10" t="n"/>
      <c r="Z1300" s="10" t="n"/>
      <c r="AA1300" s="11">
        <f>IF(A1300="","",IF(AND(J1300="P4",F1300="causal"),"P4-CAUSAL",""))</f>
        <v/>
      </c>
    </row>
    <row r="1301" ht="15" customHeight="1" s="1">
      <c r="P1301">
        <f>IF(OR(F1301="",H1301="",J1301=""),"",J1301&amp;"|"&amp;F1301&amp;"|"&amp;IF(H1301="W3","W3_"&amp;IF(I1301="","unknown",I1301),H1301))</f>
        <v/>
      </c>
      <c r="Q1301">
        <f>IF(P1301="","",IFERROR(IF(AND(H1301="W7",OR(F1301="causal",F1301="predictive")),IF(AND(OR(K1301=1,K1301="1"),OR(L1301=1,L1301="1"),OR(M1301=1,M1301="1")),"adequate","partial"),IF(AND(H1301="W4",F1301="predictive",OR(J1301="P2",J1301="P3",J1301="P4")),IF(OR(U1301=1,U1301="1"),"adequate","partial"),INDEX(Fit_Matrix!$B:$B,MATCH(P1301,Fit_Matrix!$A:$A,0)))),"CHECK KEY"))</f>
        <v/>
      </c>
      <c r="U1301" s="10" t="n"/>
      <c r="V1301" s="10" t="n"/>
      <c r="W1301" s="10" t="n"/>
      <c r="X1301" s="10" t="n"/>
      <c r="Y1301" s="10" t="n"/>
      <c r="Z1301" s="10" t="n"/>
      <c r="AA1301" s="11">
        <f>IF(A1301="","",IF(AND(J1301="P4",F1301="causal"),"P4-CAUSAL",""))</f>
        <v/>
      </c>
    </row>
    <row r="1302" ht="15" customHeight="1" s="1">
      <c r="P1302">
        <f>IF(OR(F1302="",H1302="",J1302=""),"",J1302&amp;"|"&amp;F1302&amp;"|"&amp;IF(H1302="W3","W3_"&amp;IF(I1302="","unknown",I1302),H1302))</f>
        <v/>
      </c>
      <c r="Q1302">
        <f>IF(P1302="","",IFERROR(IF(AND(H1302="W7",OR(F1302="causal",F1302="predictive")),IF(AND(OR(K1302=1,K1302="1"),OR(L1302=1,L1302="1"),OR(M1302=1,M1302="1")),"adequate","partial"),IF(AND(H1302="W4",F1302="predictive",OR(J1302="P2",J1302="P3",J1302="P4")),IF(OR(U1302=1,U1302="1"),"adequate","partial"),INDEX(Fit_Matrix!$B:$B,MATCH(P1302,Fit_Matrix!$A:$A,0)))),"CHECK KEY"))</f>
        <v/>
      </c>
      <c r="U1302" s="10" t="n"/>
      <c r="V1302" s="10" t="n"/>
      <c r="W1302" s="10" t="n"/>
      <c r="X1302" s="10" t="n"/>
      <c r="Y1302" s="10" t="n"/>
      <c r="Z1302" s="10" t="n"/>
      <c r="AA1302" s="11">
        <f>IF(A1302="","",IF(AND(J1302="P4",F1302="causal"),"P4-CAUSAL",""))</f>
        <v/>
      </c>
    </row>
    <row r="1303" ht="15" customHeight="1" s="1">
      <c r="P1303">
        <f>IF(OR(F1303="",H1303="",J1303=""),"",J1303&amp;"|"&amp;F1303&amp;"|"&amp;IF(H1303="W3","W3_"&amp;IF(I1303="","unknown",I1303),H1303))</f>
        <v/>
      </c>
      <c r="Q1303">
        <f>IF(P1303="","",IFERROR(IF(AND(H1303="W7",OR(F1303="causal",F1303="predictive")),IF(AND(OR(K1303=1,K1303="1"),OR(L1303=1,L1303="1"),OR(M1303=1,M1303="1")),"adequate","partial"),IF(AND(H1303="W4",F1303="predictive",OR(J1303="P2",J1303="P3",J1303="P4")),IF(OR(U1303=1,U1303="1"),"adequate","partial"),INDEX(Fit_Matrix!$B:$B,MATCH(P1303,Fit_Matrix!$A:$A,0)))),"CHECK KEY"))</f>
        <v/>
      </c>
      <c r="U1303" s="10" t="n"/>
      <c r="V1303" s="10" t="n"/>
      <c r="W1303" s="10" t="n"/>
      <c r="X1303" s="10" t="n"/>
      <c r="Y1303" s="10" t="n"/>
      <c r="Z1303" s="10" t="n"/>
      <c r="AA1303" s="11">
        <f>IF(A1303="","",IF(AND(J1303="P4",F1303="causal"),"P4-CAUSAL",""))</f>
        <v/>
      </c>
    </row>
    <row r="1304" ht="15" customHeight="1" s="1">
      <c r="P1304">
        <f>IF(OR(F1304="",H1304="",J1304=""),"",J1304&amp;"|"&amp;F1304&amp;"|"&amp;IF(H1304="W3","W3_"&amp;IF(I1304="","unknown",I1304),H1304))</f>
        <v/>
      </c>
      <c r="Q1304">
        <f>IF(P1304="","",IFERROR(IF(AND(H1304="W7",OR(F1304="causal",F1304="predictive")),IF(AND(OR(K1304=1,K1304="1"),OR(L1304=1,L1304="1"),OR(M1304=1,M1304="1")),"adequate","partial"),IF(AND(H1304="W4",F1304="predictive",OR(J1304="P2",J1304="P3",J1304="P4")),IF(OR(U1304=1,U1304="1"),"adequate","partial"),INDEX(Fit_Matrix!$B:$B,MATCH(P1304,Fit_Matrix!$A:$A,0)))),"CHECK KEY"))</f>
        <v/>
      </c>
      <c r="U1304" s="10" t="n"/>
      <c r="V1304" s="10" t="n"/>
      <c r="W1304" s="10" t="n"/>
      <c r="X1304" s="10" t="n"/>
      <c r="Y1304" s="10" t="n"/>
      <c r="Z1304" s="10" t="n"/>
      <c r="AA1304" s="11">
        <f>IF(A1304="","",IF(AND(J1304="P4",F1304="causal"),"P4-CAUSAL",""))</f>
        <v/>
      </c>
    </row>
    <row r="1305" ht="15" customHeight="1" s="1">
      <c r="P1305">
        <f>IF(OR(F1305="",H1305="",J1305=""),"",J1305&amp;"|"&amp;F1305&amp;"|"&amp;IF(H1305="W3","W3_"&amp;IF(I1305="","unknown",I1305),H1305))</f>
        <v/>
      </c>
      <c r="Q1305">
        <f>IF(P1305="","",IFERROR(IF(AND(H1305="W7",OR(F1305="causal",F1305="predictive")),IF(AND(OR(K1305=1,K1305="1"),OR(L1305=1,L1305="1"),OR(M1305=1,M1305="1")),"adequate","partial"),IF(AND(H1305="W4",F1305="predictive",OR(J1305="P2",J1305="P3",J1305="P4")),IF(OR(U1305=1,U1305="1"),"adequate","partial"),INDEX(Fit_Matrix!$B:$B,MATCH(P1305,Fit_Matrix!$A:$A,0)))),"CHECK KEY"))</f>
        <v/>
      </c>
      <c r="U1305" s="10" t="n"/>
      <c r="V1305" s="10" t="n"/>
      <c r="W1305" s="10" t="n"/>
      <c r="X1305" s="10" t="n"/>
      <c r="Y1305" s="10" t="n"/>
      <c r="Z1305" s="10" t="n"/>
      <c r="AA1305" s="11">
        <f>IF(A1305="","",IF(AND(J1305="P4",F1305="causal"),"P4-CAUSAL",""))</f>
        <v/>
      </c>
    </row>
    <row r="1306" ht="15" customHeight="1" s="1">
      <c r="P1306">
        <f>IF(OR(F1306="",H1306="",J1306=""),"",J1306&amp;"|"&amp;F1306&amp;"|"&amp;IF(H1306="W3","W3_"&amp;IF(I1306="","unknown",I1306),H1306))</f>
        <v/>
      </c>
      <c r="Q1306">
        <f>IF(P1306="","",IFERROR(IF(AND(H1306="W7",OR(F1306="causal",F1306="predictive")),IF(AND(OR(K1306=1,K1306="1"),OR(L1306=1,L1306="1"),OR(M1306=1,M1306="1")),"adequate","partial"),IF(AND(H1306="W4",F1306="predictive",OR(J1306="P2",J1306="P3",J1306="P4")),IF(OR(U1306=1,U1306="1"),"adequate","partial"),INDEX(Fit_Matrix!$B:$B,MATCH(P1306,Fit_Matrix!$A:$A,0)))),"CHECK KEY"))</f>
        <v/>
      </c>
      <c r="U1306" s="10" t="n"/>
      <c r="V1306" s="10" t="n"/>
      <c r="W1306" s="10" t="n"/>
      <c r="X1306" s="10" t="n"/>
      <c r="Y1306" s="10" t="n"/>
      <c r="Z1306" s="10" t="n"/>
      <c r="AA1306" s="11">
        <f>IF(A1306="","",IF(AND(J1306="P4",F1306="causal"),"P4-CAUSAL",""))</f>
        <v/>
      </c>
    </row>
    <row r="1307" ht="15" customHeight="1" s="1">
      <c r="P1307">
        <f>IF(OR(F1307="",H1307="",J1307=""),"",J1307&amp;"|"&amp;F1307&amp;"|"&amp;IF(H1307="W3","W3_"&amp;IF(I1307="","unknown",I1307),H1307))</f>
        <v/>
      </c>
      <c r="Q1307">
        <f>IF(P1307="","",IFERROR(IF(AND(H1307="W7",OR(F1307="causal",F1307="predictive")),IF(AND(OR(K1307=1,K1307="1"),OR(L1307=1,L1307="1"),OR(M1307=1,M1307="1")),"adequate","partial"),IF(AND(H1307="W4",F1307="predictive",OR(J1307="P2",J1307="P3",J1307="P4")),IF(OR(U1307=1,U1307="1"),"adequate","partial"),INDEX(Fit_Matrix!$B:$B,MATCH(P1307,Fit_Matrix!$A:$A,0)))),"CHECK KEY"))</f>
        <v/>
      </c>
      <c r="U1307" s="10" t="n"/>
      <c r="V1307" s="10" t="n"/>
      <c r="W1307" s="10" t="n"/>
      <c r="X1307" s="10" t="n"/>
      <c r="Y1307" s="10" t="n"/>
      <c r="Z1307" s="10" t="n"/>
      <c r="AA1307" s="11">
        <f>IF(A1307="","",IF(AND(J1307="P4",F1307="causal"),"P4-CAUSAL",""))</f>
        <v/>
      </c>
    </row>
    <row r="1308" ht="15" customHeight="1" s="1">
      <c r="P1308">
        <f>IF(OR(F1308="",H1308="",J1308=""),"",J1308&amp;"|"&amp;F1308&amp;"|"&amp;IF(H1308="W3","W3_"&amp;IF(I1308="","unknown",I1308),H1308))</f>
        <v/>
      </c>
      <c r="Q1308">
        <f>IF(P1308="","",IFERROR(IF(AND(H1308="W7",OR(F1308="causal",F1308="predictive")),IF(AND(OR(K1308=1,K1308="1"),OR(L1308=1,L1308="1"),OR(M1308=1,M1308="1")),"adequate","partial"),IF(AND(H1308="W4",F1308="predictive",OR(J1308="P2",J1308="P3",J1308="P4")),IF(OR(U1308=1,U1308="1"),"adequate","partial"),INDEX(Fit_Matrix!$B:$B,MATCH(P1308,Fit_Matrix!$A:$A,0)))),"CHECK KEY"))</f>
        <v/>
      </c>
      <c r="U1308" s="10" t="n"/>
      <c r="V1308" s="10" t="n"/>
      <c r="W1308" s="10" t="n"/>
      <c r="X1308" s="10" t="n"/>
      <c r="Y1308" s="10" t="n"/>
      <c r="Z1308" s="10" t="n"/>
      <c r="AA1308" s="11">
        <f>IF(A1308="","",IF(AND(J1308="P4",F1308="causal"),"P4-CAUSAL",""))</f>
        <v/>
      </c>
    </row>
    <row r="1309" ht="15" customHeight="1" s="1">
      <c r="P1309">
        <f>IF(OR(F1309="",H1309="",J1309=""),"",J1309&amp;"|"&amp;F1309&amp;"|"&amp;IF(H1309="W3","W3_"&amp;IF(I1309="","unknown",I1309),H1309))</f>
        <v/>
      </c>
      <c r="Q1309">
        <f>IF(P1309="","",IFERROR(IF(AND(H1309="W7",OR(F1309="causal",F1309="predictive")),IF(AND(OR(K1309=1,K1309="1"),OR(L1309=1,L1309="1"),OR(M1309=1,M1309="1")),"adequate","partial"),IF(AND(H1309="W4",F1309="predictive",OR(J1309="P2",J1309="P3",J1309="P4")),IF(OR(U1309=1,U1309="1"),"adequate","partial"),INDEX(Fit_Matrix!$B:$B,MATCH(P1309,Fit_Matrix!$A:$A,0)))),"CHECK KEY"))</f>
        <v/>
      </c>
      <c r="U1309" s="10" t="n"/>
      <c r="V1309" s="10" t="n"/>
      <c r="W1309" s="10" t="n"/>
      <c r="X1309" s="10" t="n"/>
      <c r="Y1309" s="10" t="n"/>
      <c r="Z1309" s="10" t="n"/>
      <c r="AA1309" s="11">
        <f>IF(A1309="","",IF(AND(J1309="P4",F1309="causal"),"P4-CAUSAL",""))</f>
        <v/>
      </c>
    </row>
    <row r="1310" ht="15" customHeight="1" s="1">
      <c r="P1310">
        <f>IF(OR(F1310="",H1310="",J1310=""),"",J1310&amp;"|"&amp;F1310&amp;"|"&amp;IF(H1310="W3","W3_"&amp;IF(I1310="","unknown",I1310),H1310))</f>
        <v/>
      </c>
      <c r="Q1310">
        <f>IF(P1310="","",IFERROR(IF(AND(H1310="W7",OR(F1310="causal",F1310="predictive")),IF(AND(OR(K1310=1,K1310="1"),OR(L1310=1,L1310="1"),OR(M1310=1,M1310="1")),"adequate","partial"),IF(AND(H1310="W4",F1310="predictive",OR(J1310="P2",J1310="P3",J1310="P4")),IF(OR(U1310=1,U1310="1"),"adequate","partial"),INDEX(Fit_Matrix!$B:$B,MATCH(P1310,Fit_Matrix!$A:$A,0)))),"CHECK KEY"))</f>
        <v/>
      </c>
      <c r="U1310" s="10" t="n"/>
      <c r="V1310" s="10" t="n"/>
      <c r="W1310" s="10" t="n"/>
      <c r="X1310" s="10" t="n"/>
      <c r="Y1310" s="10" t="n"/>
      <c r="Z1310" s="10" t="n"/>
      <c r="AA1310" s="11">
        <f>IF(A1310="","",IF(AND(J1310="P4",F1310="causal"),"P4-CAUSAL",""))</f>
        <v/>
      </c>
    </row>
    <row r="1311" ht="15" customHeight="1" s="1">
      <c r="P1311">
        <f>IF(OR(F1311="",H1311="",J1311=""),"",J1311&amp;"|"&amp;F1311&amp;"|"&amp;IF(H1311="W3","W3_"&amp;IF(I1311="","unknown",I1311),H1311))</f>
        <v/>
      </c>
      <c r="Q1311">
        <f>IF(P1311="","",IFERROR(IF(AND(H1311="W7",OR(F1311="causal",F1311="predictive")),IF(AND(OR(K1311=1,K1311="1"),OR(L1311=1,L1311="1"),OR(M1311=1,M1311="1")),"adequate","partial"),IF(AND(H1311="W4",F1311="predictive",OR(J1311="P2",J1311="P3",J1311="P4")),IF(OR(U1311=1,U1311="1"),"adequate","partial"),INDEX(Fit_Matrix!$B:$B,MATCH(P1311,Fit_Matrix!$A:$A,0)))),"CHECK KEY"))</f>
        <v/>
      </c>
      <c r="U1311" s="10" t="n"/>
      <c r="V1311" s="10" t="n"/>
      <c r="W1311" s="10" t="n"/>
      <c r="X1311" s="10" t="n"/>
      <c r="Y1311" s="10" t="n"/>
      <c r="Z1311" s="10" t="n"/>
      <c r="AA1311" s="11">
        <f>IF(A1311="","",IF(AND(J1311="P4",F1311="causal"),"P4-CAUSAL",""))</f>
        <v/>
      </c>
    </row>
    <row r="1312" ht="15" customHeight="1" s="1">
      <c r="P1312">
        <f>IF(OR(F1312="",H1312="",J1312=""),"",J1312&amp;"|"&amp;F1312&amp;"|"&amp;IF(H1312="W3","W3_"&amp;IF(I1312="","unknown",I1312),H1312))</f>
        <v/>
      </c>
      <c r="Q1312">
        <f>IF(P1312="","",IFERROR(IF(AND(H1312="W7",OR(F1312="causal",F1312="predictive")),IF(AND(OR(K1312=1,K1312="1"),OR(L1312=1,L1312="1"),OR(M1312=1,M1312="1")),"adequate","partial"),IF(AND(H1312="W4",F1312="predictive",OR(J1312="P2",J1312="P3",J1312="P4")),IF(OR(U1312=1,U1312="1"),"adequate","partial"),INDEX(Fit_Matrix!$B:$B,MATCH(P1312,Fit_Matrix!$A:$A,0)))),"CHECK KEY"))</f>
        <v/>
      </c>
      <c r="U1312" s="10" t="n"/>
      <c r="V1312" s="10" t="n"/>
      <c r="W1312" s="10" t="n"/>
      <c r="X1312" s="10" t="n"/>
      <c r="Y1312" s="10" t="n"/>
      <c r="Z1312" s="10" t="n"/>
      <c r="AA1312" s="11">
        <f>IF(A1312="","",IF(AND(J1312="P4",F1312="causal"),"P4-CAUSAL",""))</f>
        <v/>
      </c>
    </row>
    <row r="1313" ht="15" customHeight="1" s="1">
      <c r="P1313">
        <f>IF(OR(F1313="",H1313="",J1313=""),"",J1313&amp;"|"&amp;F1313&amp;"|"&amp;IF(H1313="W3","W3_"&amp;IF(I1313="","unknown",I1313),H1313))</f>
        <v/>
      </c>
      <c r="Q1313">
        <f>IF(P1313="","",IFERROR(IF(AND(H1313="W7",OR(F1313="causal",F1313="predictive")),IF(AND(OR(K1313=1,K1313="1"),OR(L1313=1,L1313="1"),OR(M1313=1,M1313="1")),"adequate","partial"),IF(AND(H1313="W4",F1313="predictive",OR(J1313="P2",J1313="P3",J1313="P4")),IF(OR(U1313=1,U1313="1"),"adequate","partial"),INDEX(Fit_Matrix!$B:$B,MATCH(P1313,Fit_Matrix!$A:$A,0)))),"CHECK KEY"))</f>
        <v/>
      </c>
      <c r="U1313" s="10" t="n"/>
      <c r="V1313" s="10" t="n"/>
      <c r="W1313" s="10" t="n"/>
      <c r="X1313" s="10" t="n"/>
      <c r="Y1313" s="10" t="n"/>
      <c r="Z1313" s="10" t="n"/>
      <c r="AA1313" s="11">
        <f>IF(A1313="","",IF(AND(J1313="P4",F1313="causal"),"P4-CAUSAL",""))</f>
        <v/>
      </c>
    </row>
    <row r="1314" ht="15" customHeight="1" s="1">
      <c r="P1314">
        <f>IF(OR(F1314="",H1314="",J1314=""),"",J1314&amp;"|"&amp;F1314&amp;"|"&amp;IF(H1314="W3","W3_"&amp;IF(I1314="","unknown",I1314),H1314))</f>
        <v/>
      </c>
      <c r="Q1314">
        <f>IF(P1314="","",IFERROR(IF(AND(H1314="W7",OR(F1314="causal",F1314="predictive")),IF(AND(OR(K1314=1,K1314="1"),OR(L1314=1,L1314="1"),OR(M1314=1,M1314="1")),"adequate","partial"),IF(AND(H1314="W4",F1314="predictive",OR(J1314="P2",J1314="P3",J1314="P4")),IF(OR(U1314=1,U1314="1"),"adequate","partial"),INDEX(Fit_Matrix!$B:$B,MATCH(P1314,Fit_Matrix!$A:$A,0)))),"CHECK KEY"))</f>
        <v/>
      </c>
      <c r="U1314" s="10" t="n"/>
      <c r="V1314" s="10" t="n"/>
      <c r="W1314" s="10" t="n"/>
      <c r="X1314" s="10" t="n"/>
      <c r="Y1314" s="10" t="n"/>
      <c r="Z1314" s="10" t="n"/>
      <c r="AA1314" s="11">
        <f>IF(A1314="","",IF(AND(J1314="P4",F1314="causal"),"P4-CAUSAL",""))</f>
        <v/>
      </c>
    </row>
    <row r="1315" ht="15" customHeight="1" s="1">
      <c r="P1315">
        <f>IF(OR(F1315="",H1315="",J1315=""),"",J1315&amp;"|"&amp;F1315&amp;"|"&amp;IF(H1315="W3","W3_"&amp;IF(I1315="","unknown",I1315),H1315))</f>
        <v/>
      </c>
      <c r="Q1315">
        <f>IF(P1315="","",IFERROR(IF(AND(H1315="W7",OR(F1315="causal",F1315="predictive")),IF(AND(OR(K1315=1,K1315="1"),OR(L1315=1,L1315="1"),OR(M1315=1,M1315="1")),"adequate","partial"),IF(AND(H1315="W4",F1315="predictive",OR(J1315="P2",J1315="P3",J1315="P4")),IF(OR(U1315=1,U1315="1"),"adequate","partial"),INDEX(Fit_Matrix!$B:$B,MATCH(P1315,Fit_Matrix!$A:$A,0)))),"CHECK KEY"))</f>
        <v/>
      </c>
      <c r="U1315" s="10" t="n"/>
      <c r="V1315" s="10" t="n"/>
      <c r="W1315" s="10" t="n"/>
      <c r="X1315" s="10" t="n"/>
      <c r="Y1315" s="10" t="n"/>
      <c r="Z1315" s="10" t="n"/>
      <c r="AA1315" s="11">
        <f>IF(A1315="","",IF(AND(J1315="P4",F1315="causal"),"P4-CAUSAL",""))</f>
        <v/>
      </c>
    </row>
    <row r="1316" ht="15" customHeight="1" s="1">
      <c r="P1316">
        <f>IF(OR(F1316="",H1316="",J1316=""),"",J1316&amp;"|"&amp;F1316&amp;"|"&amp;IF(H1316="W3","W3_"&amp;IF(I1316="","unknown",I1316),H1316))</f>
        <v/>
      </c>
      <c r="Q1316">
        <f>IF(P1316="","",IFERROR(IF(AND(H1316="W7",OR(F1316="causal",F1316="predictive")),IF(AND(OR(K1316=1,K1316="1"),OR(L1316=1,L1316="1"),OR(M1316=1,M1316="1")),"adequate","partial"),IF(AND(H1316="W4",F1316="predictive",OR(J1316="P2",J1316="P3",J1316="P4")),IF(OR(U1316=1,U1316="1"),"adequate","partial"),INDEX(Fit_Matrix!$B:$B,MATCH(P1316,Fit_Matrix!$A:$A,0)))),"CHECK KEY"))</f>
        <v/>
      </c>
      <c r="U1316" s="10" t="n"/>
      <c r="V1316" s="10" t="n"/>
      <c r="W1316" s="10" t="n"/>
      <c r="X1316" s="10" t="n"/>
      <c r="Y1316" s="10" t="n"/>
      <c r="Z1316" s="10" t="n"/>
      <c r="AA1316" s="11">
        <f>IF(A1316="","",IF(AND(J1316="P4",F1316="causal"),"P4-CAUSAL",""))</f>
        <v/>
      </c>
    </row>
    <row r="1317" ht="15" customHeight="1" s="1">
      <c r="P1317">
        <f>IF(OR(F1317="",H1317="",J1317=""),"",J1317&amp;"|"&amp;F1317&amp;"|"&amp;IF(H1317="W3","W3_"&amp;IF(I1317="","unknown",I1317),H1317))</f>
        <v/>
      </c>
      <c r="Q1317">
        <f>IF(P1317="","",IFERROR(IF(AND(H1317="W7",OR(F1317="causal",F1317="predictive")),IF(AND(OR(K1317=1,K1317="1"),OR(L1317=1,L1317="1"),OR(M1317=1,M1317="1")),"adequate","partial"),IF(AND(H1317="W4",F1317="predictive",OR(J1317="P2",J1317="P3",J1317="P4")),IF(OR(U1317=1,U1317="1"),"adequate","partial"),INDEX(Fit_Matrix!$B:$B,MATCH(P1317,Fit_Matrix!$A:$A,0)))),"CHECK KEY"))</f>
        <v/>
      </c>
      <c r="U1317" s="10" t="n"/>
      <c r="V1317" s="10" t="n"/>
      <c r="W1317" s="10" t="n"/>
      <c r="X1317" s="10" t="n"/>
      <c r="Y1317" s="10" t="n"/>
      <c r="Z1317" s="10" t="n"/>
      <c r="AA1317" s="11">
        <f>IF(A1317="","",IF(AND(J1317="P4",F1317="causal"),"P4-CAUSAL",""))</f>
        <v/>
      </c>
    </row>
    <row r="1318" ht="15" customHeight="1" s="1">
      <c r="P1318">
        <f>IF(OR(F1318="",H1318="",J1318=""),"",J1318&amp;"|"&amp;F1318&amp;"|"&amp;IF(H1318="W3","W3_"&amp;IF(I1318="","unknown",I1318),H1318))</f>
        <v/>
      </c>
      <c r="Q1318">
        <f>IF(P1318="","",IFERROR(IF(AND(H1318="W7",OR(F1318="causal",F1318="predictive")),IF(AND(OR(K1318=1,K1318="1"),OR(L1318=1,L1318="1"),OR(M1318=1,M1318="1")),"adequate","partial"),IF(AND(H1318="W4",F1318="predictive",OR(J1318="P2",J1318="P3",J1318="P4")),IF(OR(U1318=1,U1318="1"),"adequate","partial"),INDEX(Fit_Matrix!$B:$B,MATCH(P1318,Fit_Matrix!$A:$A,0)))),"CHECK KEY"))</f>
        <v/>
      </c>
      <c r="U1318" s="10" t="n"/>
      <c r="V1318" s="10" t="n"/>
      <c r="W1318" s="10" t="n"/>
      <c r="X1318" s="10" t="n"/>
      <c r="Y1318" s="10" t="n"/>
      <c r="Z1318" s="10" t="n"/>
      <c r="AA1318" s="11">
        <f>IF(A1318="","",IF(AND(J1318="P4",F1318="causal"),"P4-CAUSAL",""))</f>
        <v/>
      </c>
    </row>
    <row r="1319" ht="15" customHeight="1" s="1">
      <c r="P1319">
        <f>IF(OR(F1319="",H1319="",J1319=""),"",J1319&amp;"|"&amp;F1319&amp;"|"&amp;IF(H1319="W3","W3_"&amp;IF(I1319="","unknown",I1319),H1319))</f>
        <v/>
      </c>
      <c r="Q1319">
        <f>IF(P1319="","",IFERROR(IF(AND(H1319="W7",OR(F1319="causal",F1319="predictive")),IF(AND(OR(K1319=1,K1319="1"),OR(L1319=1,L1319="1"),OR(M1319=1,M1319="1")),"adequate","partial"),IF(AND(H1319="W4",F1319="predictive",OR(J1319="P2",J1319="P3",J1319="P4")),IF(OR(U1319=1,U1319="1"),"adequate","partial"),INDEX(Fit_Matrix!$B:$B,MATCH(P1319,Fit_Matrix!$A:$A,0)))),"CHECK KEY"))</f>
        <v/>
      </c>
      <c r="U1319" s="10" t="n"/>
      <c r="V1319" s="10" t="n"/>
      <c r="W1319" s="10" t="n"/>
      <c r="X1319" s="10" t="n"/>
      <c r="Y1319" s="10" t="n"/>
      <c r="Z1319" s="10" t="n"/>
      <c r="AA1319" s="11">
        <f>IF(A1319="","",IF(AND(J1319="P4",F1319="causal"),"P4-CAUSAL",""))</f>
        <v/>
      </c>
    </row>
    <row r="1320" ht="15" customHeight="1" s="1">
      <c r="P1320">
        <f>IF(OR(F1320="",H1320="",J1320=""),"",J1320&amp;"|"&amp;F1320&amp;"|"&amp;IF(H1320="W3","W3_"&amp;IF(I1320="","unknown",I1320),H1320))</f>
        <v/>
      </c>
      <c r="Q1320">
        <f>IF(P1320="","",IFERROR(IF(AND(H1320="W7",OR(F1320="causal",F1320="predictive")),IF(AND(OR(K1320=1,K1320="1"),OR(L1320=1,L1320="1"),OR(M1320=1,M1320="1")),"adequate","partial"),IF(AND(H1320="W4",F1320="predictive",OR(J1320="P2",J1320="P3",J1320="P4")),IF(OR(U1320=1,U1320="1"),"adequate","partial"),INDEX(Fit_Matrix!$B:$B,MATCH(P1320,Fit_Matrix!$A:$A,0)))),"CHECK KEY"))</f>
        <v/>
      </c>
      <c r="U1320" s="10" t="n"/>
      <c r="V1320" s="10" t="n"/>
      <c r="W1320" s="10" t="n"/>
      <c r="X1320" s="10" t="n"/>
      <c r="Y1320" s="10" t="n"/>
      <c r="Z1320" s="10" t="n"/>
      <c r="AA1320" s="11">
        <f>IF(A1320="","",IF(AND(J1320="P4",F1320="causal"),"P4-CAUSAL",""))</f>
        <v/>
      </c>
    </row>
    <row r="1321" ht="15" customHeight="1" s="1">
      <c r="P1321">
        <f>IF(OR(F1321="",H1321="",J1321=""),"",J1321&amp;"|"&amp;F1321&amp;"|"&amp;IF(H1321="W3","W3_"&amp;IF(I1321="","unknown",I1321),H1321))</f>
        <v/>
      </c>
      <c r="Q1321">
        <f>IF(P1321="","",IFERROR(IF(AND(H1321="W7",OR(F1321="causal",F1321="predictive")),IF(AND(OR(K1321=1,K1321="1"),OR(L1321=1,L1321="1"),OR(M1321=1,M1321="1")),"adequate","partial"),IF(AND(H1321="W4",F1321="predictive",OR(J1321="P2",J1321="P3",J1321="P4")),IF(OR(U1321=1,U1321="1"),"adequate","partial"),INDEX(Fit_Matrix!$B:$B,MATCH(P1321,Fit_Matrix!$A:$A,0)))),"CHECK KEY"))</f>
        <v/>
      </c>
      <c r="U1321" s="10" t="n"/>
      <c r="V1321" s="10" t="n"/>
      <c r="W1321" s="10" t="n"/>
      <c r="X1321" s="10" t="n"/>
      <c r="Y1321" s="10" t="n"/>
      <c r="Z1321" s="10" t="n"/>
      <c r="AA1321" s="11">
        <f>IF(A1321="","",IF(AND(J1321="P4",F1321="causal"),"P4-CAUSAL",""))</f>
        <v/>
      </c>
    </row>
    <row r="1322" ht="15" customHeight="1" s="1">
      <c r="P1322">
        <f>IF(OR(F1322="",H1322="",J1322=""),"",J1322&amp;"|"&amp;F1322&amp;"|"&amp;IF(H1322="W3","W3_"&amp;IF(I1322="","unknown",I1322),H1322))</f>
        <v/>
      </c>
      <c r="Q1322">
        <f>IF(P1322="","",IFERROR(IF(AND(H1322="W7",OR(F1322="causal",F1322="predictive")),IF(AND(OR(K1322=1,K1322="1"),OR(L1322=1,L1322="1"),OR(M1322=1,M1322="1")),"adequate","partial"),IF(AND(H1322="W4",F1322="predictive",OR(J1322="P2",J1322="P3",J1322="P4")),IF(OR(U1322=1,U1322="1"),"adequate","partial"),INDEX(Fit_Matrix!$B:$B,MATCH(P1322,Fit_Matrix!$A:$A,0)))),"CHECK KEY"))</f>
        <v/>
      </c>
      <c r="U1322" s="10" t="n"/>
      <c r="V1322" s="10" t="n"/>
      <c r="W1322" s="10" t="n"/>
      <c r="X1322" s="10" t="n"/>
      <c r="Y1322" s="10" t="n"/>
      <c r="Z1322" s="10" t="n"/>
      <c r="AA1322" s="11">
        <f>IF(A1322="","",IF(AND(J1322="P4",F1322="causal"),"P4-CAUSAL",""))</f>
        <v/>
      </c>
    </row>
    <row r="1323" ht="15" customHeight="1" s="1">
      <c r="P1323">
        <f>IF(OR(F1323="",H1323="",J1323=""),"",J1323&amp;"|"&amp;F1323&amp;"|"&amp;IF(H1323="W3","W3_"&amp;IF(I1323="","unknown",I1323),H1323))</f>
        <v/>
      </c>
      <c r="Q1323">
        <f>IF(P1323="","",IFERROR(IF(AND(H1323="W7",OR(F1323="causal",F1323="predictive")),IF(AND(OR(K1323=1,K1323="1"),OR(L1323=1,L1323="1"),OR(M1323=1,M1323="1")),"adequate","partial"),IF(AND(H1323="W4",F1323="predictive",OR(J1323="P2",J1323="P3",J1323="P4")),IF(OR(U1323=1,U1323="1"),"adequate","partial"),INDEX(Fit_Matrix!$B:$B,MATCH(P1323,Fit_Matrix!$A:$A,0)))),"CHECK KEY"))</f>
        <v/>
      </c>
      <c r="U1323" s="10" t="n"/>
      <c r="V1323" s="10" t="n"/>
      <c r="W1323" s="10" t="n"/>
      <c r="X1323" s="10" t="n"/>
      <c r="Y1323" s="10" t="n"/>
      <c r="Z1323" s="10" t="n"/>
      <c r="AA1323" s="11">
        <f>IF(A1323="","",IF(AND(J1323="P4",F1323="causal"),"P4-CAUSAL",""))</f>
        <v/>
      </c>
    </row>
    <row r="1324" ht="15" customHeight="1" s="1">
      <c r="P1324">
        <f>IF(OR(F1324="",H1324="",J1324=""),"",J1324&amp;"|"&amp;F1324&amp;"|"&amp;IF(H1324="W3","W3_"&amp;IF(I1324="","unknown",I1324),H1324))</f>
        <v/>
      </c>
      <c r="Q1324">
        <f>IF(P1324="","",IFERROR(IF(AND(H1324="W7",OR(F1324="causal",F1324="predictive")),IF(AND(OR(K1324=1,K1324="1"),OR(L1324=1,L1324="1"),OR(M1324=1,M1324="1")),"adequate","partial"),IF(AND(H1324="W4",F1324="predictive",OR(J1324="P2",J1324="P3",J1324="P4")),IF(OR(U1324=1,U1324="1"),"adequate","partial"),INDEX(Fit_Matrix!$B:$B,MATCH(P1324,Fit_Matrix!$A:$A,0)))),"CHECK KEY"))</f>
        <v/>
      </c>
      <c r="U1324" s="10" t="n"/>
      <c r="V1324" s="10" t="n"/>
      <c r="W1324" s="10" t="n"/>
      <c r="X1324" s="10" t="n"/>
      <c r="Y1324" s="10" t="n"/>
      <c r="Z1324" s="10" t="n"/>
      <c r="AA1324" s="11">
        <f>IF(A1324="","",IF(AND(J1324="P4",F1324="causal"),"P4-CAUSAL",""))</f>
        <v/>
      </c>
    </row>
    <row r="1325" ht="15" customHeight="1" s="1">
      <c r="P1325">
        <f>IF(OR(F1325="",H1325="",J1325=""),"",J1325&amp;"|"&amp;F1325&amp;"|"&amp;IF(H1325="W3","W3_"&amp;IF(I1325="","unknown",I1325),H1325))</f>
        <v/>
      </c>
      <c r="Q1325">
        <f>IF(P1325="","",IFERROR(IF(AND(H1325="W7",OR(F1325="causal",F1325="predictive")),IF(AND(OR(K1325=1,K1325="1"),OR(L1325=1,L1325="1"),OR(M1325=1,M1325="1")),"adequate","partial"),IF(AND(H1325="W4",F1325="predictive",OR(J1325="P2",J1325="P3",J1325="P4")),IF(OR(U1325=1,U1325="1"),"adequate","partial"),INDEX(Fit_Matrix!$B:$B,MATCH(P1325,Fit_Matrix!$A:$A,0)))),"CHECK KEY"))</f>
        <v/>
      </c>
      <c r="U1325" s="10" t="n"/>
      <c r="V1325" s="10" t="n"/>
      <c r="W1325" s="10" t="n"/>
      <c r="X1325" s="10" t="n"/>
      <c r="Y1325" s="10" t="n"/>
      <c r="Z1325" s="10" t="n"/>
      <c r="AA1325" s="11">
        <f>IF(A1325="","",IF(AND(J1325="P4",F1325="causal"),"P4-CAUSAL",""))</f>
        <v/>
      </c>
    </row>
    <row r="1326" ht="15" customHeight="1" s="1">
      <c r="P1326">
        <f>IF(OR(F1326="",H1326="",J1326=""),"",J1326&amp;"|"&amp;F1326&amp;"|"&amp;IF(H1326="W3","W3_"&amp;IF(I1326="","unknown",I1326),H1326))</f>
        <v/>
      </c>
      <c r="Q1326">
        <f>IF(P1326="","",IFERROR(IF(AND(H1326="W7",OR(F1326="causal",F1326="predictive")),IF(AND(OR(K1326=1,K1326="1"),OR(L1326=1,L1326="1"),OR(M1326=1,M1326="1")),"adequate","partial"),IF(AND(H1326="W4",F1326="predictive",OR(J1326="P2",J1326="P3",J1326="P4")),IF(OR(U1326=1,U1326="1"),"adequate","partial"),INDEX(Fit_Matrix!$B:$B,MATCH(P1326,Fit_Matrix!$A:$A,0)))),"CHECK KEY"))</f>
        <v/>
      </c>
      <c r="U1326" s="10" t="n"/>
      <c r="V1326" s="10" t="n"/>
      <c r="W1326" s="10" t="n"/>
      <c r="X1326" s="10" t="n"/>
      <c r="Y1326" s="10" t="n"/>
      <c r="Z1326" s="10" t="n"/>
      <c r="AA1326" s="11">
        <f>IF(A1326="","",IF(AND(J1326="P4",F1326="causal"),"P4-CAUSAL",""))</f>
        <v/>
      </c>
    </row>
    <row r="1327" ht="15" customHeight="1" s="1">
      <c r="P1327">
        <f>IF(OR(F1327="",H1327="",J1327=""),"",J1327&amp;"|"&amp;F1327&amp;"|"&amp;IF(H1327="W3","W3_"&amp;IF(I1327="","unknown",I1327),H1327))</f>
        <v/>
      </c>
      <c r="Q1327">
        <f>IF(P1327="","",IFERROR(IF(AND(H1327="W7",OR(F1327="causal",F1327="predictive")),IF(AND(OR(K1327=1,K1327="1"),OR(L1327=1,L1327="1"),OR(M1327=1,M1327="1")),"adequate","partial"),IF(AND(H1327="W4",F1327="predictive",OR(J1327="P2",J1327="P3",J1327="P4")),IF(OR(U1327=1,U1327="1"),"adequate","partial"),INDEX(Fit_Matrix!$B:$B,MATCH(P1327,Fit_Matrix!$A:$A,0)))),"CHECK KEY"))</f>
        <v/>
      </c>
      <c r="U1327" s="10" t="n"/>
      <c r="V1327" s="10" t="n"/>
      <c r="W1327" s="10" t="n"/>
      <c r="X1327" s="10" t="n"/>
      <c r="Y1327" s="10" t="n"/>
      <c r="Z1327" s="10" t="n"/>
      <c r="AA1327" s="11">
        <f>IF(A1327="","",IF(AND(J1327="P4",F1327="causal"),"P4-CAUSAL",""))</f>
        <v/>
      </c>
    </row>
    <row r="1328" ht="15" customHeight="1" s="1">
      <c r="P1328">
        <f>IF(OR(F1328="",H1328="",J1328=""),"",J1328&amp;"|"&amp;F1328&amp;"|"&amp;IF(H1328="W3","W3_"&amp;IF(I1328="","unknown",I1328),H1328))</f>
        <v/>
      </c>
      <c r="Q1328">
        <f>IF(P1328="","",IFERROR(IF(AND(H1328="W7",OR(F1328="causal",F1328="predictive")),IF(AND(OR(K1328=1,K1328="1"),OR(L1328=1,L1328="1"),OR(M1328=1,M1328="1")),"adequate","partial"),IF(AND(H1328="W4",F1328="predictive",OR(J1328="P2",J1328="P3",J1328="P4")),IF(OR(U1328=1,U1328="1"),"adequate","partial"),INDEX(Fit_Matrix!$B:$B,MATCH(P1328,Fit_Matrix!$A:$A,0)))),"CHECK KEY"))</f>
        <v/>
      </c>
      <c r="U1328" s="10" t="n"/>
      <c r="V1328" s="10" t="n"/>
      <c r="W1328" s="10" t="n"/>
      <c r="X1328" s="10" t="n"/>
      <c r="Y1328" s="10" t="n"/>
      <c r="Z1328" s="10" t="n"/>
      <c r="AA1328" s="11">
        <f>IF(A1328="","",IF(AND(J1328="P4",F1328="causal"),"P4-CAUSAL",""))</f>
        <v/>
      </c>
    </row>
    <row r="1329" ht="15" customHeight="1" s="1">
      <c r="P1329">
        <f>IF(OR(F1329="",H1329="",J1329=""),"",J1329&amp;"|"&amp;F1329&amp;"|"&amp;IF(H1329="W3","W3_"&amp;IF(I1329="","unknown",I1329),H1329))</f>
        <v/>
      </c>
      <c r="Q1329">
        <f>IF(P1329="","",IFERROR(IF(AND(H1329="W7",OR(F1329="causal",F1329="predictive")),IF(AND(OR(K1329=1,K1329="1"),OR(L1329=1,L1329="1"),OR(M1329=1,M1329="1")),"adequate","partial"),IF(AND(H1329="W4",F1329="predictive",OR(J1329="P2",J1329="P3",J1329="P4")),IF(OR(U1329=1,U1329="1"),"adequate","partial"),INDEX(Fit_Matrix!$B:$B,MATCH(P1329,Fit_Matrix!$A:$A,0)))),"CHECK KEY"))</f>
        <v/>
      </c>
      <c r="U1329" s="10" t="n"/>
      <c r="V1329" s="10" t="n"/>
      <c r="W1329" s="10" t="n"/>
      <c r="X1329" s="10" t="n"/>
      <c r="Y1329" s="10" t="n"/>
      <c r="Z1329" s="10" t="n"/>
      <c r="AA1329" s="11">
        <f>IF(A1329="","",IF(AND(J1329="P4",F1329="causal"),"P4-CAUSAL",""))</f>
        <v/>
      </c>
    </row>
    <row r="1330" ht="15" customHeight="1" s="1">
      <c r="P1330">
        <f>IF(OR(F1330="",H1330="",J1330=""),"",J1330&amp;"|"&amp;F1330&amp;"|"&amp;IF(H1330="W3","W3_"&amp;IF(I1330="","unknown",I1330),H1330))</f>
        <v/>
      </c>
      <c r="Q1330">
        <f>IF(P1330="","",IFERROR(IF(AND(H1330="W7",OR(F1330="causal",F1330="predictive")),IF(AND(OR(K1330=1,K1330="1"),OR(L1330=1,L1330="1"),OR(M1330=1,M1330="1")),"adequate","partial"),IF(AND(H1330="W4",F1330="predictive",OR(J1330="P2",J1330="P3",J1330="P4")),IF(OR(U1330=1,U1330="1"),"adequate","partial"),INDEX(Fit_Matrix!$B:$B,MATCH(P1330,Fit_Matrix!$A:$A,0)))),"CHECK KEY"))</f>
        <v/>
      </c>
      <c r="U1330" s="10" t="n"/>
      <c r="V1330" s="10" t="n"/>
      <c r="W1330" s="10" t="n"/>
      <c r="X1330" s="10" t="n"/>
      <c r="Y1330" s="10" t="n"/>
      <c r="Z1330" s="10" t="n"/>
      <c r="AA1330" s="11">
        <f>IF(A1330="","",IF(AND(J1330="P4",F1330="causal"),"P4-CAUSAL",""))</f>
        <v/>
      </c>
    </row>
    <row r="1331" ht="15" customHeight="1" s="1">
      <c r="P1331">
        <f>IF(OR(F1331="",H1331="",J1331=""),"",J1331&amp;"|"&amp;F1331&amp;"|"&amp;IF(H1331="W3","W3_"&amp;IF(I1331="","unknown",I1331),H1331))</f>
        <v/>
      </c>
      <c r="Q1331">
        <f>IF(P1331="","",IFERROR(IF(AND(H1331="W7",OR(F1331="causal",F1331="predictive")),IF(AND(OR(K1331=1,K1331="1"),OR(L1331=1,L1331="1"),OR(M1331=1,M1331="1")),"adequate","partial"),IF(AND(H1331="W4",F1331="predictive",OR(J1331="P2",J1331="P3",J1331="P4")),IF(OR(U1331=1,U1331="1"),"adequate","partial"),INDEX(Fit_Matrix!$B:$B,MATCH(P1331,Fit_Matrix!$A:$A,0)))),"CHECK KEY"))</f>
        <v/>
      </c>
      <c r="U1331" s="10" t="n"/>
      <c r="V1331" s="10" t="n"/>
      <c r="W1331" s="10" t="n"/>
      <c r="X1331" s="10" t="n"/>
      <c r="Y1331" s="10" t="n"/>
      <c r="Z1331" s="10" t="n"/>
      <c r="AA1331" s="11">
        <f>IF(A1331="","",IF(AND(J1331="P4",F1331="causal"),"P4-CAUSAL",""))</f>
        <v/>
      </c>
    </row>
    <row r="1332" ht="15" customHeight="1" s="1">
      <c r="P1332">
        <f>IF(OR(F1332="",H1332="",J1332=""),"",J1332&amp;"|"&amp;F1332&amp;"|"&amp;IF(H1332="W3","W3_"&amp;IF(I1332="","unknown",I1332),H1332))</f>
        <v/>
      </c>
      <c r="Q1332">
        <f>IF(P1332="","",IFERROR(IF(AND(H1332="W7",OR(F1332="causal",F1332="predictive")),IF(AND(OR(K1332=1,K1332="1"),OR(L1332=1,L1332="1"),OR(M1332=1,M1332="1")),"adequate","partial"),IF(AND(H1332="W4",F1332="predictive",OR(J1332="P2",J1332="P3",J1332="P4")),IF(OR(U1332=1,U1332="1"),"adequate","partial"),INDEX(Fit_Matrix!$B:$B,MATCH(P1332,Fit_Matrix!$A:$A,0)))),"CHECK KEY"))</f>
        <v/>
      </c>
      <c r="U1332" s="10" t="n"/>
      <c r="V1332" s="10" t="n"/>
      <c r="W1332" s="10" t="n"/>
      <c r="X1332" s="10" t="n"/>
      <c r="Y1332" s="10" t="n"/>
      <c r="Z1332" s="10" t="n"/>
      <c r="AA1332" s="11">
        <f>IF(A1332="","",IF(AND(J1332="P4",F1332="causal"),"P4-CAUSAL",""))</f>
        <v/>
      </c>
    </row>
    <row r="1333" ht="15" customHeight="1" s="1">
      <c r="P1333">
        <f>IF(OR(F1333="",H1333="",J1333=""),"",J1333&amp;"|"&amp;F1333&amp;"|"&amp;IF(H1333="W3","W3_"&amp;IF(I1333="","unknown",I1333),H1333))</f>
        <v/>
      </c>
      <c r="Q1333">
        <f>IF(P1333="","",IFERROR(IF(AND(H1333="W7",OR(F1333="causal",F1333="predictive")),IF(AND(OR(K1333=1,K1333="1"),OR(L1333=1,L1333="1"),OR(M1333=1,M1333="1")),"adequate","partial"),IF(AND(H1333="W4",F1333="predictive",OR(J1333="P2",J1333="P3",J1333="P4")),IF(OR(U1333=1,U1333="1"),"adequate","partial"),INDEX(Fit_Matrix!$B:$B,MATCH(P1333,Fit_Matrix!$A:$A,0)))),"CHECK KEY"))</f>
        <v/>
      </c>
      <c r="U1333" s="10" t="n"/>
      <c r="V1333" s="10" t="n"/>
      <c r="W1333" s="10" t="n"/>
      <c r="X1333" s="10" t="n"/>
      <c r="Y1333" s="10" t="n"/>
      <c r="Z1333" s="10" t="n"/>
      <c r="AA1333" s="11">
        <f>IF(A1333="","",IF(AND(J1333="P4",F1333="causal"),"P4-CAUSAL",""))</f>
        <v/>
      </c>
    </row>
    <row r="1334" ht="15" customHeight="1" s="1">
      <c r="P1334">
        <f>IF(OR(F1334="",H1334="",J1334=""),"",J1334&amp;"|"&amp;F1334&amp;"|"&amp;IF(H1334="W3","W3_"&amp;IF(I1334="","unknown",I1334),H1334))</f>
        <v/>
      </c>
      <c r="Q1334">
        <f>IF(P1334="","",IFERROR(IF(AND(H1334="W7",OR(F1334="causal",F1334="predictive")),IF(AND(OR(K1334=1,K1334="1"),OR(L1334=1,L1334="1"),OR(M1334=1,M1334="1")),"adequate","partial"),IF(AND(H1334="W4",F1334="predictive",OR(J1334="P2",J1334="P3",J1334="P4")),IF(OR(U1334=1,U1334="1"),"adequate","partial"),INDEX(Fit_Matrix!$B:$B,MATCH(P1334,Fit_Matrix!$A:$A,0)))),"CHECK KEY"))</f>
        <v/>
      </c>
      <c r="U1334" s="10" t="n"/>
      <c r="V1334" s="10" t="n"/>
      <c r="W1334" s="10" t="n"/>
      <c r="X1334" s="10" t="n"/>
      <c r="Y1334" s="10" t="n"/>
      <c r="Z1334" s="10" t="n"/>
      <c r="AA1334" s="11">
        <f>IF(A1334="","",IF(AND(J1334="P4",F1334="causal"),"P4-CAUSAL",""))</f>
        <v/>
      </c>
    </row>
    <row r="1335" ht="15" customHeight="1" s="1">
      <c r="P1335">
        <f>IF(OR(F1335="",H1335="",J1335=""),"",J1335&amp;"|"&amp;F1335&amp;"|"&amp;IF(H1335="W3","W3_"&amp;IF(I1335="","unknown",I1335),H1335))</f>
        <v/>
      </c>
      <c r="Q1335">
        <f>IF(P1335="","",IFERROR(IF(AND(H1335="W7",OR(F1335="causal",F1335="predictive")),IF(AND(OR(K1335=1,K1335="1"),OR(L1335=1,L1335="1"),OR(M1335=1,M1335="1")),"adequate","partial"),IF(AND(H1335="W4",F1335="predictive",OR(J1335="P2",J1335="P3",J1335="P4")),IF(OR(U1335=1,U1335="1"),"adequate","partial"),INDEX(Fit_Matrix!$B:$B,MATCH(P1335,Fit_Matrix!$A:$A,0)))),"CHECK KEY"))</f>
        <v/>
      </c>
      <c r="U1335" s="10" t="n"/>
      <c r="V1335" s="10" t="n"/>
      <c r="W1335" s="10" t="n"/>
      <c r="X1335" s="10" t="n"/>
      <c r="Y1335" s="10" t="n"/>
      <c r="Z1335" s="10" t="n"/>
      <c r="AA1335" s="11">
        <f>IF(A1335="","",IF(AND(J1335="P4",F1335="causal"),"P4-CAUSAL",""))</f>
        <v/>
      </c>
    </row>
    <row r="1336" ht="15" customHeight="1" s="1">
      <c r="P1336">
        <f>IF(OR(F1336="",H1336="",J1336=""),"",J1336&amp;"|"&amp;F1336&amp;"|"&amp;IF(H1336="W3","W3_"&amp;IF(I1336="","unknown",I1336),H1336))</f>
        <v/>
      </c>
      <c r="Q1336">
        <f>IF(P1336="","",IFERROR(IF(AND(H1336="W7",OR(F1336="causal",F1336="predictive")),IF(AND(OR(K1336=1,K1336="1"),OR(L1336=1,L1336="1"),OR(M1336=1,M1336="1")),"adequate","partial"),IF(AND(H1336="W4",F1336="predictive",OR(J1336="P2",J1336="P3",J1336="P4")),IF(OR(U1336=1,U1336="1"),"adequate","partial"),INDEX(Fit_Matrix!$B:$B,MATCH(P1336,Fit_Matrix!$A:$A,0)))),"CHECK KEY"))</f>
        <v/>
      </c>
      <c r="U1336" s="10" t="n"/>
      <c r="V1336" s="10" t="n"/>
      <c r="W1336" s="10" t="n"/>
      <c r="X1336" s="10" t="n"/>
      <c r="Y1336" s="10" t="n"/>
      <c r="Z1336" s="10" t="n"/>
      <c r="AA1336" s="11">
        <f>IF(A1336="","",IF(AND(J1336="P4",F1336="causal"),"P4-CAUSAL",""))</f>
        <v/>
      </c>
    </row>
    <row r="1337" ht="15" customHeight="1" s="1">
      <c r="P1337">
        <f>IF(OR(F1337="",H1337="",J1337=""),"",J1337&amp;"|"&amp;F1337&amp;"|"&amp;IF(H1337="W3","W3_"&amp;IF(I1337="","unknown",I1337),H1337))</f>
        <v/>
      </c>
      <c r="Q1337">
        <f>IF(P1337="","",IFERROR(IF(AND(H1337="W7",OR(F1337="causal",F1337="predictive")),IF(AND(OR(K1337=1,K1337="1"),OR(L1337=1,L1337="1"),OR(M1337=1,M1337="1")),"adequate","partial"),IF(AND(H1337="W4",F1337="predictive",OR(J1337="P2",J1337="P3",J1337="P4")),IF(OR(U1337=1,U1337="1"),"adequate","partial"),INDEX(Fit_Matrix!$B:$B,MATCH(P1337,Fit_Matrix!$A:$A,0)))),"CHECK KEY"))</f>
        <v/>
      </c>
      <c r="U1337" s="10" t="n"/>
      <c r="V1337" s="10" t="n"/>
      <c r="W1337" s="10" t="n"/>
      <c r="X1337" s="10" t="n"/>
      <c r="Y1337" s="10" t="n"/>
      <c r="Z1337" s="10" t="n"/>
      <c r="AA1337" s="11">
        <f>IF(A1337="","",IF(AND(J1337="P4",F1337="causal"),"P4-CAUSAL",""))</f>
        <v/>
      </c>
    </row>
    <row r="1338" ht="15" customHeight="1" s="1">
      <c r="P1338">
        <f>IF(OR(F1338="",H1338="",J1338=""),"",J1338&amp;"|"&amp;F1338&amp;"|"&amp;IF(H1338="W3","W3_"&amp;IF(I1338="","unknown",I1338),H1338))</f>
        <v/>
      </c>
      <c r="Q1338">
        <f>IF(P1338="","",IFERROR(IF(AND(H1338="W7",OR(F1338="causal",F1338="predictive")),IF(AND(OR(K1338=1,K1338="1"),OR(L1338=1,L1338="1"),OR(M1338=1,M1338="1")),"adequate","partial"),IF(AND(H1338="W4",F1338="predictive",OR(J1338="P2",J1338="P3",J1338="P4")),IF(OR(U1338=1,U1338="1"),"adequate","partial"),INDEX(Fit_Matrix!$B:$B,MATCH(P1338,Fit_Matrix!$A:$A,0)))),"CHECK KEY"))</f>
        <v/>
      </c>
      <c r="U1338" s="10" t="n"/>
      <c r="V1338" s="10" t="n"/>
      <c r="W1338" s="10" t="n"/>
      <c r="X1338" s="10" t="n"/>
      <c r="Y1338" s="10" t="n"/>
      <c r="Z1338" s="10" t="n"/>
      <c r="AA1338" s="11">
        <f>IF(A1338="","",IF(AND(J1338="P4",F1338="causal"),"P4-CAUSAL",""))</f>
        <v/>
      </c>
    </row>
    <row r="1339" ht="15" customHeight="1" s="1">
      <c r="P1339">
        <f>IF(OR(F1339="",H1339="",J1339=""),"",J1339&amp;"|"&amp;F1339&amp;"|"&amp;IF(H1339="W3","W3_"&amp;IF(I1339="","unknown",I1339),H1339))</f>
        <v/>
      </c>
      <c r="Q1339">
        <f>IF(P1339="","",IFERROR(IF(AND(H1339="W7",OR(F1339="causal",F1339="predictive")),IF(AND(OR(K1339=1,K1339="1"),OR(L1339=1,L1339="1"),OR(M1339=1,M1339="1")),"adequate","partial"),IF(AND(H1339="W4",F1339="predictive",OR(J1339="P2",J1339="P3",J1339="P4")),IF(OR(U1339=1,U1339="1"),"adequate","partial"),INDEX(Fit_Matrix!$B:$B,MATCH(P1339,Fit_Matrix!$A:$A,0)))),"CHECK KEY"))</f>
        <v/>
      </c>
      <c r="U1339" s="10" t="n"/>
      <c r="V1339" s="10" t="n"/>
      <c r="W1339" s="10" t="n"/>
      <c r="X1339" s="10" t="n"/>
      <c r="Y1339" s="10" t="n"/>
      <c r="Z1339" s="10" t="n"/>
      <c r="AA1339" s="11">
        <f>IF(A1339="","",IF(AND(J1339="P4",F1339="causal"),"P4-CAUSAL",""))</f>
        <v/>
      </c>
    </row>
    <row r="1340" ht="15" customHeight="1" s="1">
      <c r="P1340">
        <f>IF(OR(F1340="",H1340="",J1340=""),"",J1340&amp;"|"&amp;F1340&amp;"|"&amp;IF(H1340="W3","W3_"&amp;IF(I1340="","unknown",I1340),H1340))</f>
        <v/>
      </c>
      <c r="Q1340">
        <f>IF(P1340="","",IFERROR(IF(AND(H1340="W7",OR(F1340="causal",F1340="predictive")),IF(AND(OR(K1340=1,K1340="1"),OR(L1340=1,L1340="1"),OR(M1340=1,M1340="1")),"adequate","partial"),IF(AND(H1340="W4",F1340="predictive",OR(J1340="P2",J1340="P3",J1340="P4")),IF(OR(U1340=1,U1340="1"),"adequate","partial"),INDEX(Fit_Matrix!$B:$B,MATCH(P1340,Fit_Matrix!$A:$A,0)))),"CHECK KEY"))</f>
        <v/>
      </c>
      <c r="U1340" s="10" t="n"/>
      <c r="V1340" s="10" t="n"/>
      <c r="W1340" s="10" t="n"/>
      <c r="X1340" s="10" t="n"/>
      <c r="Y1340" s="10" t="n"/>
      <c r="Z1340" s="10" t="n"/>
      <c r="AA1340" s="11">
        <f>IF(A1340="","",IF(AND(J1340="P4",F1340="causal"),"P4-CAUSAL",""))</f>
        <v/>
      </c>
    </row>
    <row r="1341" ht="15" customHeight="1" s="1">
      <c r="P1341">
        <f>IF(OR(F1341="",H1341="",J1341=""),"",J1341&amp;"|"&amp;F1341&amp;"|"&amp;IF(H1341="W3","W3_"&amp;IF(I1341="","unknown",I1341),H1341))</f>
        <v/>
      </c>
      <c r="Q1341">
        <f>IF(P1341="","",IFERROR(IF(AND(H1341="W7",OR(F1341="causal",F1341="predictive")),IF(AND(OR(K1341=1,K1341="1"),OR(L1341=1,L1341="1"),OR(M1341=1,M1341="1")),"adequate","partial"),IF(AND(H1341="W4",F1341="predictive",OR(J1341="P2",J1341="P3",J1341="P4")),IF(OR(U1341=1,U1341="1"),"adequate","partial"),INDEX(Fit_Matrix!$B:$B,MATCH(P1341,Fit_Matrix!$A:$A,0)))),"CHECK KEY"))</f>
        <v/>
      </c>
      <c r="U1341" s="10" t="n"/>
      <c r="V1341" s="10" t="n"/>
      <c r="W1341" s="10" t="n"/>
      <c r="X1341" s="10" t="n"/>
      <c r="Y1341" s="10" t="n"/>
      <c r="Z1341" s="10" t="n"/>
      <c r="AA1341" s="11">
        <f>IF(A1341="","",IF(AND(J1341="P4",F1341="causal"),"P4-CAUSAL",""))</f>
        <v/>
      </c>
    </row>
    <row r="1342" ht="15" customHeight="1" s="1">
      <c r="P1342">
        <f>IF(OR(F1342="",H1342="",J1342=""),"",J1342&amp;"|"&amp;F1342&amp;"|"&amp;IF(H1342="W3","W3_"&amp;IF(I1342="","unknown",I1342),H1342))</f>
        <v/>
      </c>
      <c r="Q1342">
        <f>IF(P1342="","",IFERROR(IF(AND(H1342="W7",OR(F1342="causal",F1342="predictive")),IF(AND(OR(K1342=1,K1342="1"),OR(L1342=1,L1342="1"),OR(M1342=1,M1342="1")),"adequate","partial"),IF(AND(H1342="W4",F1342="predictive",OR(J1342="P2",J1342="P3",J1342="P4")),IF(OR(U1342=1,U1342="1"),"adequate","partial"),INDEX(Fit_Matrix!$B:$B,MATCH(P1342,Fit_Matrix!$A:$A,0)))),"CHECK KEY"))</f>
        <v/>
      </c>
      <c r="U1342" s="10" t="n"/>
      <c r="V1342" s="10" t="n"/>
      <c r="W1342" s="10" t="n"/>
      <c r="X1342" s="10" t="n"/>
      <c r="Y1342" s="10" t="n"/>
      <c r="Z1342" s="10" t="n"/>
      <c r="AA1342" s="11">
        <f>IF(A1342="","",IF(AND(J1342="P4",F1342="causal"),"P4-CAUSAL",""))</f>
        <v/>
      </c>
    </row>
    <row r="1343" ht="15" customHeight="1" s="1">
      <c r="P1343">
        <f>IF(OR(F1343="",H1343="",J1343=""),"",J1343&amp;"|"&amp;F1343&amp;"|"&amp;IF(H1343="W3","W3_"&amp;IF(I1343="","unknown",I1343),H1343))</f>
        <v/>
      </c>
      <c r="Q1343">
        <f>IF(P1343="","",IFERROR(IF(AND(H1343="W7",OR(F1343="causal",F1343="predictive")),IF(AND(OR(K1343=1,K1343="1"),OR(L1343=1,L1343="1"),OR(M1343=1,M1343="1")),"adequate","partial"),IF(AND(H1343="W4",F1343="predictive",OR(J1343="P2",J1343="P3",J1343="P4")),IF(OR(U1343=1,U1343="1"),"adequate","partial"),INDEX(Fit_Matrix!$B:$B,MATCH(P1343,Fit_Matrix!$A:$A,0)))),"CHECK KEY"))</f>
        <v/>
      </c>
      <c r="U1343" s="10" t="n"/>
      <c r="V1343" s="10" t="n"/>
      <c r="W1343" s="10" t="n"/>
      <c r="X1343" s="10" t="n"/>
      <c r="Y1343" s="10" t="n"/>
      <c r="Z1343" s="10" t="n"/>
      <c r="AA1343" s="11">
        <f>IF(A1343="","",IF(AND(J1343="P4",F1343="causal"),"P4-CAUSAL",""))</f>
        <v/>
      </c>
    </row>
    <row r="1344" ht="15" customHeight="1" s="1">
      <c r="P1344">
        <f>IF(OR(F1344="",H1344="",J1344=""),"",J1344&amp;"|"&amp;F1344&amp;"|"&amp;IF(H1344="W3","W3_"&amp;IF(I1344="","unknown",I1344),H1344))</f>
        <v/>
      </c>
      <c r="Q1344">
        <f>IF(P1344="","",IFERROR(IF(AND(H1344="W7",OR(F1344="causal",F1344="predictive")),IF(AND(OR(K1344=1,K1344="1"),OR(L1344=1,L1344="1"),OR(M1344=1,M1344="1")),"adequate","partial"),IF(AND(H1344="W4",F1344="predictive",OR(J1344="P2",J1344="P3",J1344="P4")),IF(OR(U1344=1,U1344="1"),"adequate","partial"),INDEX(Fit_Matrix!$B:$B,MATCH(P1344,Fit_Matrix!$A:$A,0)))),"CHECK KEY"))</f>
        <v/>
      </c>
      <c r="U1344" s="10" t="n"/>
      <c r="V1344" s="10" t="n"/>
      <c r="W1344" s="10" t="n"/>
      <c r="X1344" s="10" t="n"/>
      <c r="Y1344" s="10" t="n"/>
      <c r="Z1344" s="10" t="n"/>
      <c r="AA1344" s="11">
        <f>IF(A1344="","",IF(AND(J1344="P4",F1344="causal"),"P4-CAUSAL",""))</f>
        <v/>
      </c>
    </row>
    <row r="1345" ht="15" customHeight="1" s="1">
      <c r="P1345">
        <f>IF(OR(F1345="",H1345="",J1345=""),"",J1345&amp;"|"&amp;F1345&amp;"|"&amp;IF(H1345="W3","W3_"&amp;IF(I1345="","unknown",I1345),H1345))</f>
        <v/>
      </c>
      <c r="Q1345">
        <f>IF(P1345="","",IFERROR(IF(AND(H1345="W7",OR(F1345="causal",F1345="predictive")),IF(AND(OR(K1345=1,K1345="1"),OR(L1345=1,L1345="1"),OR(M1345=1,M1345="1")),"adequate","partial"),IF(AND(H1345="W4",F1345="predictive",OR(J1345="P2",J1345="P3",J1345="P4")),IF(OR(U1345=1,U1345="1"),"adequate","partial"),INDEX(Fit_Matrix!$B:$B,MATCH(P1345,Fit_Matrix!$A:$A,0)))),"CHECK KEY"))</f>
        <v/>
      </c>
      <c r="U1345" s="10" t="n"/>
      <c r="V1345" s="10" t="n"/>
      <c r="W1345" s="10" t="n"/>
      <c r="X1345" s="10" t="n"/>
      <c r="Y1345" s="10" t="n"/>
      <c r="Z1345" s="10" t="n"/>
      <c r="AA1345" s="11">
        <f>IF(A1345="","",IF(AND(J1345="P4",F1345="causal"),"P4-CAUSAL",""))</f>
        <v/>
      </c>
    </row>
    <row r="1346" ht="15" customHeight="1" s="1">
      <c r="P1346">
        <f>IF(OR(F1346="",H1346="",J1346=""),"",J1346&amp;"|"&amp;F1346&amp;"|"&amp;IF(H1346="W3","W3_"&amp;IF(I1346="","unknown",I1346),H1346))</f>
        <v/>
      </c>
      <c r="Q1346">
        <f>IF(P1346="","",IFERROR(IF(AND(H1346="W7",OR(F1346="causal",F1346="predictive")),IF(AND(OR(K1346=1,K1346="1"),OR(L1346=1,L1346="1"),OR(M1346=1,M1346="1")),"adequate","partial"),IF(AND(H1346="W4",F1346="predictive",OR(J1346="P2",J1346="P3",J1346="P4")),IF(OR(U1346=1,U1346="1"),"adequate","partial"),INDEX(Fit_Matrix!$B:$B,MATCH(P1346,Fit_Matrix!$A:$A,0)))),"CHECK KEY"))</f>
        <v/>
      </c>
      <c r="U1346" s="10" t="n"/>
      <c r="V1346" s="10" t="n"/>
      <c r="W1346" s="10" t="n"/>
      <c r="X1346" s="10" t="n"/>
      <c r="Y1346" s="10" t="n"/>
      <c r="Z1346" s="10" t="n"/>
      <c r="AA1346" s="11">
        <f>IF(A1346="","",IF(AND(J1346="P4",F1346="causal"),"P4-CAUSAL",""))</f>
        <v/>
      </c>
    </row>
    <row r="1347" ht="15" customHeight="1" s="1">
      <c r="P1347">
        <f>IF(OR(F1347="",H1347="",J1347=""),"",J1347&amp;"|"&amp;F1347&amp;"|"&amp;IF(H1347="W3","W3_"&amp;IF(I1347="","unknown",I1347),H1347))</f>
        <v/>
      </c>
      <c r="Q1347">
        <f>IF(P1347="","",IFERROR(IF(AND(H1347="W7",OR(F1347="causal",F1347="predictive")),IF(AND(OR(K1347=1,K1347="1"),OR(L1347=1,L1347="1"),OR(M1347=1,M1347="1")),"adequate","partial"),IF(AND(H1347="W4",F1347="predictive",OR(J1347="P2",J1347="P3",J1347="P4")),IF(OR(U1347=1,U1347="1"),"adequate","partial"),INDEX(Fit_Matrix!$B:$B,MATCH(P1347,Fit_Matrix!$A:$A,0)))),"CHECK KEY"))</f>
        <v/>
      </c>
      <c r="U1347" s="10" t="n"/>
      <c r="V1347" s="10" t="n"/>
      <c r="W1347" s="10" t="n"/>
      <c r="X1347" s="10" t="n"/>
      <c r="Y1347" s="10" t="n"/>
      <c r="Z1347" s="10" t="n"/>
      <c r="AA1347" s="11">
        <f>IF(A1347="","",IF(AND(J1347="P4",F1347="causal"),"P4-CAUSAL",""))</f>
        <v/>
      </c>
    </row>
    <row r="1348" ht="15" customHeight="1" s="1">
      <c r="P1348">
        <f>IF(OR(F1348="",H1348="",J1348=""),"",J1348&amp;"|"&amp;F1348&amp;"|"&amp;IF(H1348="W3","W3_"&amp;IF(I1348="","unknown",I1348),H1348))</f>
        <v/>
      </c>
      <c r="Q1348">
        <f>IF(P1348="","",IFERROR(IF(AND(H1348="W7",OR(F1348="causal",F1348="predictive")),IF(AND(OR(K1348=1,K1348="1"),OR(L1348=1,L1348="1"),OR(M1348=1,M1348="1")),"adequate","partial"),IF(AND(H1348="W4",F1348="predictive",OR(J1348="P2",J1348="P3",J1348="P4")),IF(OR(U1348=1,U1348="1"),"adequate","partial"),INDEX(Fit_Matrix!$B:$B,MATCH(P1348,Fit_Matrix!$A:$A,0)))),"CHECK KEY"))</f>
        <v/>
      </c>
      <c r="U1348" s="10" t="n"/>
      <c r="V1348" s="10" t="n"/>
      <c r="W1348" s="10" t="n"/>
      <c r="X1348" s="10" t="n"/>
      <c r="Y1348" s="10" t="n"/>
      <c r="Z1348" s="10" t="n"/>
      <c r="AA1348" s="11">
        <f>IF(A1348="","",IF(AND(J1348="P4",F1348="causal"),"P4-CAUSAL",""))</f>
        <v/>
      </c>
    </row>
    <row r="1349" ht="15" customHeight="1" s="1">
      <c r="P1349">
        <f>IF(OR(F1349="",H1349="",J1349=""),"",J1349&amp;"|"&amp;F1349&amp;"|"&amp;IF(H1349="W3","W3_"&amp;IF(I1349="","unknown",I1349),H1349))</f>
        <v/>
      </c>
      <c r="Q1349">
        <f>IF(P1349="","",IFERROR(IF(AND(H1349="W7",OR(F1349="causal",F1349="predictive")),IF(AND(OR(K1349=1,K1349="1"),OR(L1349=1,L1349="1"),OR(M1349=1,M1349="1")),"adequate","partial"),IF(AND(H1349="W4",F1349="predictive",OR(J1349="P2",J1349="P3",J1349="P4")),IF(OR(U1349=1,U1349="1"),"adequate","partial"),INDEX(Fit_Matrix!$B:$B,MATCH(P1349,Fit_Matrix!$A:$A,0)))),"CHECK KEY"))</f>
        <v/>
      </c>
      <c r="U1349" s="10" t="n"/>
      <c r="V1349" s="10" t="n"/>
      <c r="W1349" s="10" t="n"/>
      <c r="X1349" s="10" t="n"/>
      <c r="Y1349" s="10" t="n"/>
      <c r="Z1349" s="10" t="n"/>
      <c r="AA1349" s="11">
        <f>IF(A1349="","",IF(AND(J1349="P4",F1349="causal"),"P4-CAUSAL",""))</f>
        <v/>
      </c>
    </row>
    <row r="1350" ht="15" customHeight="1" s="1">
      <c r="P1350">
        <f>IF(OR(F1350="",H1350="",J1350=""),"",J1350&amp;"|"&amp;F1350&amp;"|"&amp;IF(H1350="W3","W3_"&amp;IF(I1350="","unknown",I1350),H1350))</f>
        <v/>
      </c>
      <c r="Q1350">
        <f>IF(P1350="","",IFERROR(IF(AND(H1350="W7",OR(F1350="causal",F1350="predictive")),IF(AND(OR(K1350=1,K1350="1"),OR(L1350=1,L1350="1"),OR(M1350=1,M1350="1")),"adequate","partial"),IF(AND(H1350="W4",F1350="predictive",OR(J1350="P2",J1350="P3",J1350="P4")),IF(OR(U1350=1,U1350="1"),"adequate","partial"),INDEX(Fit_Matrix!$B:$B,MATCH(P1350,Fit_Matrix!$A:$A,0)))),"CHECK KEY"))</f>
        <v/>
      </c>
      <c r="U1350" s="10" t="n"/>
      <c r="V1350" s="10" t="n"/>
      <c r="W1350" s="10" t="n"/>
      <c r="X1350" s="10" t="n"/>
      <c r="Y1350" s="10" t="n"/>
      <c r="Z1350" s="10" t="n"/>
      <c r="AA1350" s="11">
        <f>IF(A1350="","",IF(AND(J1350="P4",F1350="causal"),"P4-CAUSAL",""))</f>
        <v/>
      </c>
    </row>
    <row r="1351" ht="15" customHeight="1" s="1">
      <c r="P1351">
        <f>IF(OR(F1351="",H1351="",J1351=""),"",J1351&amp;"|"&amp;F1351&amp;"|"&amp;IF(H1351="W3","W3_"&amp;IF(I1351="","unknown",I1351),H1351))</f>
        <v/>
      </c>
      <c r="Q1351">
        <f>IF(P1351="","",IFERROR(IF(AND(H1351="W7",OR(F1351="causal",F1351="predictive")),IF(AND(OR(K1351=1,K1351="1"),OR(L1351=1,L1351="1"),OR(M1351=1,M1351="1")),"adequate","partial"),IF(AND(H1351="W4",F1351="predictive",OR(J1351="P2",J1351="P3",J1351="P4")),IF(OR(U1351=1,U1351="1"),"adequate","partial"),INDEX(Fit_Matrix!$B:$B,MATCH(P1351,Fit_Matrix!$A:$A,0)))),"CHECK KEY"))</f>
        <v/>
      </c>
      <c r="U1351" s="10" t="n"/>
      <c r="V1351" s="10" t="n"/>
      <c r="W1351" s="10" t="n"/>
      <c r="X1351" s="10" t="n"/>
      <c r="Y1351" s="10" t="n"/>
      <c r="Z1351" s="10" t="n"/>
      <c r="AA1351" s="11">
        <f>IF(A1351="","",IF(AND(J1351="P4",F1351="causal"),"P4-CAUSAL",""))</f>
        <v/>
      </c>
    </row>
    <row r="1352" ht="15" customHeight="1" s="1">
      <c r="P1352">
        <f>IF(OR(F1352="",H1352="",J1352=""),"",J1352&amp;"|"&amp;F1352&amp;"|"&amp;IF(H1352="W3","W3_"&amp;IF(I1352="","unknown",I1352),H1352))</f>
        <v/>
      </c>
      <c r="Q1352">
        <f>IF(P1352="","",IFERROR(IF(AND(H1352="W7",OR(F1352="causal",F1352="predictive")),IF(AND(OR(K1352=1,K1352="1"),OR(L1352=1,L1352="1"),OR(M1352=1,M1352="1")),"adequate","partial"),IF(AND(H1352="W4",F1352="predictive",OR(J1352="P2",J1352="P3",J1352="P4")),IF(OR(U1352=1,U1352="1"),"adequate","partial"),INDEX(Fit_Matrix!$B:$B,MATCH(P1352,Fit_Matrix!$A:$A,0)))),"CHECK KEY"))</f>
        <v/>
      </c>
      <c r="U1352" s="10" t="n"/>
      <c r="V1352" s="10" t="n"/>
      <c r="W1352" s="10" t="n"/>
      <c r="X1352" s="10" t="n"/>
      <c r="Y1352" s="10" t="n"/>
      <c r="Z1352" s="10" t="n"/>
      <c r="AA1352" s="11">
        <f>IF(A1352="","",IF(AND(J1352="P4",F1352="causal"),"P4-CAUSAL",""))</f>
        <v/>
      </c>
    </row>
    <row r="1353" ht="15" customHeight="1" s="1">
      <c r="P1353">
        <f>IF(OR(F1353="",H1353="",J1353=""),"",J1353&amp;"|"&amp;F1353&amp;"|"&amp;IF(H1353="W3","W3_"&amp;IF(I1353="","unknown",I1353),H1353))</f>
        <v/>
      </c>
      <c r="Q1353">
        <f>IF(P1353="","",IFERROR(IF(AND(H1353="W7",OR(F1353="causal",F1353="predictive")),IF(AND(OR(K1353=1,K1353="1"),OR(L1353=1,L1353="1"),OR(M1353=1,M1353="1")),"adequate","partial"),IF(AND(H1353="W4",F1353="predictive",OR(J1353="P2",J1353="P3",J1353="P4")),IF(OR(U1353=1,U1353="1"),"adequate","partial"),INDEX(Fit_Matrix!$B:$B,MATCH(P1353,Fit_Matrix!$A:$A,0)))),"CHECK KEY"))</f>
        <v/>
      </c>
      <c r="U1353" s="10" t="n"/>
      <c r="V1353" s="10" t="n"/>
      <c r="W1353" s="10" t="n"/>
      <c r="X1353" s="10" t="n"/>
      <c r="Y1353" s="10" t="n"/>
      <c r="Z1353" s="10" t="n"/>
      <c r="AA1353" s="11">
        <f>IF(A1353="","",IF(AND(J1353="P4",F1353="causal"),"P4-CAUSAL",""))</f>
        <v/>
      </c>
    </row>
    <row r="1354" ht="15" customHeight="1" s="1">
      <c r="P1354">
        <f>IF(OR(F1354="",H1354="",J1354=""),"",J1354&amp;"|"&amp;F1354&amp;"|"&amp;IF(H1354="W3","W3_"&amp;IF(I1354="","unknown",I1354),H1354))</f>
        <v/>
      </c>
      <c r="Q1354">
        <f>IF(P1354="","",IFERROR(IF(AND(H1354="W7",OR(F1354="causal",F1354="predictive")),IF(AND(OR(K1354=1,K1354="1"),OR(L1354=1,L1354="1"),OR(M1354=1,M1354="1")),"adequate","partial"),IF(AND(H1354="W4",F1354="predictive",OR(J1354="P2",J1354="P3",J1354="P4")),IF(OR(U1354=1,U1354="1"),"adequate","partial"),INDEX(Fit_Matrix!$B:$B,MATCH(P1354,Fit_Matrix!$A:$A,0)))),"CHECK KEY"))</f>
        <v/>
      </c>
      <c r="U1354" s="10" t="n"/>
      <c r="V1354" s="10" t="n"/>
      <c r="W1354" s="10" t="n"/>
      <c r="X1354" s="10" t="n"/>
      <c r="Y1354" s="10" t="n"/>
      <c r="Z1354" s="10" t="n"/>
      <c r="AA1354" s="11">
        <f>IF(A1354="","",IF(AND(J1354="P4",F1354="causal"),"P4-CAUSAL",""))</f>
        <v/>
      </c>
    </row>
    <row r="1355" ht="15" customHeight="1" s="1">
      <c r="P1355">
        <f>IF(OR(F1355="",H1355="",J1355=""),"",J1355&amp;"|"&amp;F1355&amp;"|"&amp;IF(H1355="W3","W3_"&amp;IF(I1355="","unknown",I1355),H1355))</f>
        <v/>
      </c>
      <c r="Q1355">
        <f>IF(P1355="","",IFERROR(IF(AND(H1355="W7",OR(F1355="causal",F1355="predictive")),IF(AND(OR(K1355=1,K1355="1"),OR(L1355=1,L1355="1"),OR(M1355=1,M1355="1")),"adequate","partial"),IF(AND(H1355="W4",F1355="predictive",OR(J1355="P2",J1355="P3",J1355="P4")),IF(OR(U1355=1,U1355="1"),"adequate","partial"),INDEX(Fit_Matrix!$B:$B,MATCH(P1355,Fit_Matrix!$A:$A,0)))),"CHECK KEY"))</f>
        <v/>
      </c>
      <c r="U1355" s="10" t="n"/>
      <c r="V1355" s="10" t="n"/>
      <c r="W1355" s="10" t="n"/>
      <c r="X1355" s="10" t="n"/>
      <c r="Y1355" s="10" t="n"/>
      <c r="Z1355" s="10" t="n"/>
      <c r="AA1355" s="11">
        <f>IF(A1355="","",IF(AND(J1355="P4",F1355="causal"),"P4-CAUSAL",""))</f>
        <v/>
      </c>
    </row>
    <row r="1356" ht="15" customHeight="1" s="1">
      <c r="P1356">
        <f>IF(OR(F1356="",H1356="",J1356=""),"",J1356&amp;"|"&amp;F1356&amp;"|"&amp;IF(H1356="W3","W3_"&amp;IF(I1356="","unknown",I1356),H1356))</f>
        <v/>
      </c>
      <c r="Q1356">
        <f>IF(P1356="","",IFERROR(IF(AND(H1356="W7",OR(F1356="causal",F1356="predictive")),IF(AND(OR(K1356=1,K1356="1"),OR(L1356=1,L1356="1"),OR(M1356=1,M1356="1")),"adequate","partial"),IF(AND(H1356="W4",F1356="predictive",OR(J1356="P2",J1356="P3",J1356="P4")),IF(OR(U1356=1,U1356="1"),"adequate","partial"),INDEX(Fit_Matrix!$B:$B,MATCH(P1356,Fit_Matrix!$A:$A,0)))),"CHECK KEY"))</f>
        <v/>
      </c>
      <c r="U1356" s="10" t="n"/>
      <c r="V1356" s="10" t="n"/>
      <c r="W1356" s="10" t="n"/>
      <c r="X1356" s="10" t="n"/>
      <c r="Y1356" s="10" t="n"/>
      <c r="Z1356" s="10" t="n"/>
      <c r="AA1356" s="11">
        <f>IF(A1356="","",IF(AND(J1356="P4",F1356="causal"),"P4-CAUSAL",""))</f>
        <v/>
      </c>
    </row>
    <row r="1357" ht="15" customHeight="1" s="1">
      <c r="P1357">
        <f>IF(OR(F1357="",H1357="",J1357=""),"",J1357&amp;"|"&amp;F1357&amp;"|"&amp;IF(H1357="W3","W3_"&amp;IF(I1357="","unknown",I1357),H1357))</f>
        <v/>
      </c>
      <c r="Q1357">
        <f>IF(P1357="","",IFERROR(IF(AND(H1357="W7",OR(F1357="causal",F1357="predictive")),IF(AND(OR(K1357=1,K1357="1"),OR(L1357=1,L1357="1"),OR(M1357=1,M1357="1")),"adequate","partial"),IF(AND(H1357="W4",F1357="predictive",OR(J1357="P2",J1357="P3",J1357="P4")),IF(OR(U1357=1,U1357="1"),"adequate","partial"),INDEX(Fit_Matrix!$B:$B,MATCH(P1357,Fit_Matrix!$A:$A,0)))),"CHECK KEY"))</f>
        <v/>
      </c>
      <c r="U1357" s="10" t="n"/>
      <c r="V1357" s="10" t="n"/>
      <c r="W1357" s="10" t="n"/>
      <c r="X1357" s="10" t="n"/>
      <c r="Y1357" s="10" t="n"/>
      <c r="Z1357" s="10" t="n"/>
      <c r="AA1357" s="11">
        <f>IF(A1357="","",IF(AND(J1357="P4",F1357="causal"),"P4-CAUSAL",""))</f>
        <v/>
      </c>
    </row>
    <row r="1358" ht="15" customHeight="1" s="1">
      <c r="P1358">
        <f>IF(OR(F1358="",H1358="",J1358=""),"",J1358&amp;"|"&amp;F1358&amp;"|"&amp;IF(H1358="W3","W3_"&amp;IF(I1358="","unknown",I1358),H1358))</f>
        <v/>
      </c>
      <c r="Q1358">
        <f>IF(P1358="","",IFERROR(IF(AND(H1358="W7",OR(F1358="causal",F1358="predictive")),IF(AND(OR(K1358=1,K1358="1"),OR(L1358=1,L1358="1"),OR(M1358=1,M1358="1")),"adequate","partial"),IF(AND(H1358="W4",F1358="predictive",OR(J1358="P2",J1358="P3",J1358="P4")),IF(OR(U1358=1,U1358="1"),"adequate","partial"),INDEX(Fit_Matrix!$B:$B,MATCH(P1358,Fit_Matrix!$A:$A,0)))),"CHECK KEY"))</f>
        <v/>
      </c>
      <c r="U1358" s="10" t="n"/>
      <c r="V1358" s="10" t="n"/>
      <c r="W1358" s="10" t="n"/>
      <c r="X1358" s="10" t="n"/>
      <c r="Y1358" s="10" t="n"/>
      <c r="Z1358" s="10" t="n"/>
      <c r="AA1358" s="11">
        <f>IF(A1358="","",IF(AND(J1358="P4",F1358="causal"),"P4-CAUSAL",""))</f>
        <v/>
      </c>
    </row>
    <row r="1359" ht="15" customHeight="1" s="1">
      <c r="P1359">
        <f>IF(OR(F1359="",H1359="",J1359=""),"",J1359&amp;"|"&amp;F1359&amp;"|"&amp;IF(H1359="W3","W3_"&amp;IF(I1359="","unknown",I1359),H1359))</f>
        <v/>
      </c>
      <c r="Q1359">
        <f>IF(P1359="","",IFERROR(IF(AND(H1359="W7",OR(F1359="causal",F1359="predictive")),IF(AND(OR(K1359=1,K1359="1"),OR(L1359=1,L1359="1"),OR(M1359=1,M1359="1")),"adequate","partial"),IF(AND(H1359="W4",F1359="predictive",OR(J1359="P2",J1359="P3",J1359="P4")),IF(OR(U1359=1,U1359="1"),"adequate","partial"),INDEX(Fit_Matrix!$B:$B,MATCH(P1359,Fit_Matrix!$A:$A,0)))),"CHECK KEY"))</f>
        <v/>
      </c>
      <c r="U1359" s="10" t="n"/>
      <c r="V1359" s="10" t="n"/>
      <c r="W1359" s="10" t="n"/>
      <c r="X1359" s="10" t="n"/>
      <c r="Y1359" s="10" t="n"/>
      <c r="Z1359" s="10" t="n"/>
      <c r="AA1359" s="11">
        <f>IF(A1359="","",IF(AND(J1359="P4",F1359="causal"),"P4-CAUSAL",""))</f>
        <v/>
      </c>
    </row>
    <row r="1360" ht="15" customHeight="1" s="1">
      <c r="P1360">
        <f>IF(OR(F1360="",H1360="",J1360=""),"",J1360&amp;"|"&amp;F1360&amp;"|"&amp;IF(H1360="W3","W3_"&amp;IF(I1360="","unknown",I1360),H1360))</f>
        <v/>
      </c>
      <c r="Q1360">
        <f>IF(P1360="","",IFERROR(IF(AND(H1360="W7",OR(F1360="causal",F1360="predictive")),IF(AND(OR(K1360=1,K1360="1"),OR(L1360=1,L1360="1"),OR(M1360=1,M1360="1")),"adequate","partial"),IF(AND(H1360="W4",F1360="predictive",OR(J1360="P2",J1360="P3",J1360="P4")),IF(OR(U1360=1,U1360="1"),"adequate","partial"),INDEX(Fit_Matrix!$B:$B,MATCH(P1360,Fit_Matrix!$A:$A,0)))),"CHECK KEY"))</f>
        <v/>
      </c>
      <c r="U1360" s="10" t="n"/>
      <c r="V1360" s="10" t="n"/>
      <c r="W1360" s="10" t="n"/>
      <c r="X1360" s="10" t="n"/>
      <c r="Y1360" s="10" t="n"/>
      <c r="Z1360" s="10" t="n"/>
      <c r="AA1360" s="11">
        <f>IF(A1360="","",IF(AND(J1360="P4",F1360="causal"),"P4-CAUSAL",""))</f>
        <v/>
      </c>
    </row>
    <row r="1361" ht="15" customHeight="1" s="1">
      <c r="P1361">
        <f>IF(OR(F1361="",H1361="",J1361=""),"",J1361&amp;"|"&amp;F1361&amp;"|"&amp;IF(H1361="W3","W3_"&amp;IF(I1361="","unknown",I1361),H1361))</f>
        <v/>
      </c>
      <c r="Q1361">
        <f>IF(P1361="","",IFERROR(IF(AND(H1361="W7",OR(F1361="causal",F1361="predictive")),IF(AND(OR(K1361=1,K1361="1"),OR(L1361=1,L1361="1"),OR(M1361=1,M1361="1")),"adequate","partial"),IF(AND(H1361="W4",F1361="predictive",OR(J1361="P2",J1361="P3",J1361="P4")),IF(OR(U1361=1,U1361="1"),"adequate","partial"),INDEX(Fit_Matrix!$B:$B,MATCH(P1361,Fit_Matrix!$A:$A,0)))),"CHECK KEY"))</f>
        <v/>
      </c>
      <c r="U1361" s="10" t="n"/>
      <c r="V1361" s="10" t="n"/>
      <c r="W1361" s="10" t="n"/>
      <c r="X1361" s="10" t="n"/>
      <c r="Y1361" s="10" t="n"/>
      <c r="Z1361" s="10" t="n"/>
      <c r="AA1361" s="11">
        <f>IF(A1361="","",IF(AND(J1361="P4",F1361="causal"),"P4-CAUSAL",""))</f>
        <v/>
      </c>
    </row>
    <row r="1362" ht="15" customHeight="1" s="1">
      <c r="P1362">
        <f>IF(OR(F1362="",H1362="",J1362=""),"",J1362&amp;"|"&amp;F1362&amp;"|"&amp;IF(H1362="W3","W3_"&amp;IF(I1362="","unknown",I1362),H1362))</f>
        <v/>
      </c>
      <c r="Q1362">
        <f>IF(P1362="","",IFERROR(IF(AND(H1362="W7",OR(F1362="causal",F1362="predictive")),IF(AND(OR(K1362=1,K1362="1"),OR(L1362=1,L1362="1"),OR(M1362=1,M1362="1")),"adequate","partial"),IF(AND(H1362="W4",F1362="predictive",OR(J1362="P2",J1362="P3",J1362="P4")),IF(OR(U1362=1,U1362="1"),"adequate","partial"),INDEX(Fit_Matrix!$B:$B,MATCH(P1362,Fit_Matrix!$A:$A,0)))),"CHECK KEY"))</f>
        <v/>
      </c>
      <c r="U1362" s="10" t="n"/>
      <c r="V1362" s="10" t="n"/>
      <c r="W1362" s="10" t="n"/>
      <c r="X1362" s="10" t="n"/>
      <c r="Y1362" s="10" t="n"/>
      <c r="Z1362" s="10" t="n"/>
      <c r="AA1362" s="11">
        <f>IF(A1362="","",IF(AND(J1362="P4",F1362="causal"),"P4-CAUSAL",""))</f>
        <v/>
      </c>
    </row>
    <row r="1363" ht="15" customHeight="1" s="1">
      <c r="P1363">
        <f>IF(OR(F1363="",H1363="",J1363=""),"",J1363&amp;"|"&amp;F1363&amp;"|"&amp;IF(H1363="W3","W3_"&amp;IF(I1363="","unknown",I1363),H1363))</f>
        <v/>
      </c>
      <c r="Q1363">
        <f>IF(P1363="","",IFERROR(IF(AND(H1363="W7",OR(F1363="causal",F1363="predictive")),IF(AND(OR(K1363=1,K1363="1"),OR(L1363=1,L1363="1"),OR(M1363=1,M1363="1")),"adequate","partial"),IF(AND(H1363="W4",F1363="predictive",OR(J1363="P2",J1363="P3",J1363="P4")),IF(OR(U1363=1,U1363="1"),"adequate","partial"),INDEX(Fit_Matrix!$B:$B,MATCH(P1363,Fit_Matrix!$A:$A,0)))),"CHECK KEY"))</f>
        <v/>
      </c>
      <c r="U1363" s="10" t="n"/>
      <c r="V1363" s="10" t="n"/>
      <c r="W1363" s="10" t="n"/>
      <c r="X1363" s="10" t="n"/>
      <c r="Y1363" s="10" t="n"/>
      <c r="Z1363" s="10" t="n"/>
      <c r="AA1363" s="11">
        <f>IF(A1363="","",IF(AND(J1363="P4",F1363="causal"),"P4-CAUSAL",""))</f>
        <v/>
      </c>
    </row>
    <row r="1364" ht="15" customHeight="1" s="1">
      <c r="P1364">
        <f>IF(OR(F1364="",H1364="",J1364=""),"",J1364&amp;"|"&amp;F1364&amp;"|"&amp;IF(H1364="W3","W3_"&amp;IF(I1364="","unknown",I1364),H1364))</f>
        <v/>
      </c>
      <c r="Q1364">
        <f>IF(P1364="","",IFERROR(IF(AND(H1364="W7",OR(F1364="causal",F1364="predictive")),IF(AND(OR(K1364=1,K1364="1"),OR(L1364=1,L1364="1"),OR(M1364=1,M1364="1")),"adequate","partial"),IF(AND(H1364="W4",F1364="predictive",OR(J1364="P2",J1364="P3",J1364="P4")),IF(OR(U1364=1,U1364="1"),"adequate","partial"),INDEX(Fit_Matrix!$B:$B,MATCH(P1364,Fit_Matrix!$A:$A,0)))),"CHECK KEY"))</f>
        <v/>
      </c>
      <c r="U1364" s="10" t="n"/>
      <c r="V1364" s="10" t="n"/>
      <c r="W1364" s="10" t="n"/>
      <c r="X1364" s="10" t="n"/>
      <c r="Y1364" s="10" t="n"/>
      <c r="Z1364" s="10" t="n"/>
      <c r="AA1364" s="11">
        <f>IF(A1364="","",IF(AND(J1364="P4",F1364="causal"),"P4-CAUSAL",""))</f>
        <v/>
      </c>
    </row>
    <row r="1365" ht="15" customHeight="1" s="1">
      <c r="P1365">
        <f>IF(OR(F1365="",H1365="",J1365=""),"",J1365&amp;"|"&amp;F1365&amp;"|"&amp;IF(H1365="W3","W3_"&amp;IF(I1365="","unknown",I1365),H1365))</f>
        <v/>
      </c>
      <c r="Q1365">
        <f>IF(P1365="","",IFERROR(IF(AND(H1365="W7",OR(F1365="causal",F1365="predictive")),IF(AND(OR(K1365=1,K1365="1"),OR(L1365=1,L1365="1"),OR(M1365=1,M1365="1")),"adequate","partial"),IF(AND(H1365="W4",F1365="predictive",OR(J1365="P2",J1365="P3",J1365="P4")),IF(OR(U1365=1,U1365="1"),"adequate","partial"),INDEX(Fit_Matrix!$B:$B,MATCH(P1365,Fit_Matrix!$A:$A,0)))),"CHECK KEY"))</f>
        <v/>
      </c>
      <c r="U1365" s="10" t="n"/>
      <c r="V1365" s="10" t="n"/>
      <c r="W1365" s="10" t="n"/>
      <c r="X1365" s="10" t="n"/>
      <c r="Y1365" s="10" t="n"/>
      <c r="Z1365" s="10" t="n"/>
      <c r="AA1365" s="11">
        <f>IF(A1365="","",IF(AND(J1365="P4",F1365="causal"),"P4-CAUSAL",""))</f>
        <v/>
      </c>
    </row>
    <row r="1366" ht="15" customHeight="1" s="1">
      <c r="P1366">
        <f>IF(OR(F1366="",H1366="",J1366=""),"",J1366&amp;"|"&amp;F1366&amp;"|"&amp;IF(H1366="W3","W3_"&amp;IF(I1366="","unknown",I1366),H1366))</f>
        <v/>
      </c>
      <c r="Q1366">
        <f>IF(P1366="","",IFERROR(IF(AND(H1366="W7",OR(F1366="causal",F1366="predictive")),IF(AND(OR(K1366=1,K1366="1"),OR(L1366=1,L1366="1"),OR(M1366=1,M1366="1")),"adequate","partial"),IF(AND(H1366="W4",F1366="predictive",OR(J1366="P2",J1366="P3",J1366="P4")),IF(OR(U1366=1,U1366="1"),"adequate","partial"),INDEX(Fit_Matrix!$B:$B,MATCH(P1366,Fit_Matrix!$A:$A,0)))),"CHECK KEY"))</f>
        <v/>
      </c>
      <c r="U1366" s="10" t="n"/>
      <c r="V1366" s="10" t="n"/>
      <c r="W1366" s="10" t="n"/>
      <c r="X1366" s="10" t="n"/>
      <c r="Y1366" s="10" t="n"/>
      <c r="Z1366" s="10" t="n"/>
      <c r="AA1366" s="11">
        <f>IF(A1366="","",IF(AND(J1366="P4",F1366="causal"),"P4-CAUSAL",""))</f>
        <v/>
      </c>
    </row>
    <row r="1367" ht="15" customHeight="1" s="1">
      <c r="P1367">
        <f>IF(OR(F1367="",H1367="",J1367=""),"",J1367&amp;"|"&amp;F1367&amp;"|"&amp;IF(H1367="W3","W3_"&amp;IF(I1367="","unknown",I1367),H1367))</f>
        <v/>
      </c>
      <c r="Q1367">
        <f>IF(P1367="","",IFERROR(IF(AND(H1367="W7",OR(F1367="causal",F1367="predictive")),IF(AND(OR(K1367=1,K1367="1"),OR(L1367=1,L1367="1"),OR(M1367=1,M1367="1")),"adequate","partial"),IF(AND(H1367="W4",F1367="predictive",OR(J1367="P2",J1367="P3",J1367="P4")),IF(OR(U1367=1,U1367="1"),"adequate","partial"),INDEX(Fit_Matrix!$B:$B,MATCH(P1367,Fit_Matrix!$A:$A,0)))),"CHECK KEY"))</f>
        <v/>
      </c>
      <c r="U1367" s="10" t="n"/>
      <c r="V1367" s="10" t="n"/>
      <c r="W1367" s="10" t="n"/>
      <c r="X1367" s="10" t="n"/>
      <c r="Y1367" s="10" t="n"/>
      <c r="Z1367" s="10" t="n"/>
      <c r="AA1367" s="11">
        <f>IF(A1367="","",IF(AND(J1367="P4",F1367="causal"),"P4-CAUSAL",""))</f>
        <v/>
      </c>
    </row>
    <row r="1368" ht="15" customHeight="1" s="1">
      <c r="P1368">
        <f>IF(OR(F1368="",H1368="",J1368=""),"",J1368&amp;"|"&amp;F1368&amp;"|"&amp;IF(H1368="W3","W3_"&amp;IF(I1368="","unknown",I1368),H1368))</f>
        <v/>
      </c>
      <c r="Q1368">
        <f>IF(P1368="","",IFERROR(IF(AND(H1368="W7",OR(F1368="causal",F1368="predictive")),IF(AND(OR(K1368=1,K1368="1"),OR(L1368=1,L1368="1"),OR(M1368=1,M1368="1")),"adequate","partial"),IF(AND(H1368="W4",F1368="predictive",OR(J1368="P2",J1368="P3",J1368="P4")),IF(OR(U1368=1,U1368="1"),"adequate","partial"),INDEX(Fit_Matrix!$B:$B,MATCH(P1368,Fit_Matrix!$A:$A,0)))),"CHECK KEY"))</f>
        <v/>
      </c>
      <c r="U1368" s="10" t="n"/>
      <c r="V1368" s="10" t="n"/>
      <c r="W1368" s="10" t="n"/>
      <c r="X1368" s="10" t="n"/>
      <c r="Y1368" s="10" t="n"/>
      <c r="Z1368" s="10" t="n"/>
      <c r="AA1368" s="11">
        <f>IF(A1368="","",IF(AND(J1368="P4",F1368="causal"),"P4-CAUSAL",""))</f>
        <v/>
      </c>
    </row>
    <row r="1369" ht="15" customHeight="1" s="1">
      <c r="P1369">
        <f>IF(OR(F1369="",H1369="",J1369=""),"",J1369&amp;"|"&amp;F1369&amp;"|"&amp;IF(H1369="W3","W3_"&amp;IF(I1369="","unknown",I1369),H1369))</f>
        <v/>
      </c>
      <c r="Q1369">
        <f>IF(P1369="","",IFERROR(IF(AND(H1369="W7",OR(F1369="causal",F1369="predictive")),IF(AND(OR(K1369=1,K1369="1"),OR(L1369=1,L1369="1"),OR(M1369=1,M1369="1")),"adequate","partial"),IF(AND(H1369="W4",F1369="predictive",OR(J1369="P2",J1369="P3",J1369="P4")),IF(OR(U1369=1,U1369="1"),"adequate","partial"),INDEX(Fit_Matrix!$B:$B,MATCH(P1369,Fit_Matrix!$A:$A,0)))),"CHECK KEY"))</f>
        <v/>
      </c>
      <c r="U1369" s="10" t="n"/>
      <c r="V1369" s="10" t="n"/>
      <c r="W1369" s="10" t="n"/>
      <c r="X1369" s="10" t="n"/>
      <c r="Y1369" s="10" t="n"/>
      <c r="Z1369" s="10" t="n"/>
      <c r="AA1369" s="11">
        <f>IF(A1369="","",IF(AND(J1369="P4",F1369="causal"),"P4-CAUSAL",""))</f>
        <v/>
      </c>
    </row>
    <row r="1370" ht="15" customHeight="1" s="1">
      <c r="P1370">
        <f>IF(OR(F1370="",H1370="",J1370=""),"",J1370&amp;"|"&amp;F1370&amp;"|"&amp;IF(H1370="W3","W3_"&amp;IF(I1370="","unknown",I1370),H1370))</f>
        <v/>
      </c>
      <c r="Q1370">
        <f>IF(P1370="","",IFERROR(IF(AND(H1370="W7",OR(F1370="causal",F1370="predictive")),IF(AND(OR(K1370=1,K1370="1"),OR(L1370=1,L1370="1"),OR(M1370=1,M1370="1")),"adequate","partial"),IF(AND(H1370="W4",F1370="predictive",OR(J1370="P2",J1370="P3",J1370="P4")),IF(OR(U1370=1,U1370="1"),"adequate","partial"),INDEX(Fit_Matrix!$B:$B,MATCH(P1370,Fit_Matrix!$A:$A,0)))),"CHECK KEY"))</f>
        <v/>
      </c>
      <c r="U1370" s="10" t="n"/>
      <c r="V1370" s="10" t="n"/>
      <c r="W1370" s="10" t="n"/>
      <c r="X1370" s="10" t="n"/>
      <c r="Y1370" s="10" t="n"/>
      <c r="Z1370" s="10" t="n"/>
      <c r="AA1370" s="11">
        <f>IF(A1370="","",IF(AND(J1370="P4",F1370="causal"),"P4-CAUSAL",""))</f>
        <v/>
      </c>
    </row>
    <row r="1371" ht="15" customHeight="1" s="1">
      <c r="P1371">
        <f>IF(OR(F1371="",H1371="",J1371=""),"",J1371&amp;"|"&amp;F1371&amp;"|"&amp;IF(H1371="W3","W3_"&amp;IF(I1371="","unknown",I1371),H1371))</f>
        <v/>
      </c>
      <c r="Q1371">
        <f>IF(P1371="","",IFERROR(IF(AND(H1371="W7",OR(F1371="causal",F1371="predictive")),IF(AND(OR(K1371=1,K1371="1"),OR(L1371=1,L1371="1"),OR(M1371=1,M1371="1")),"adequate","partial"),IF(AND(H1371="W4",F1371="predictive",OR(J1371="P2",J1371="P3",J1371="P4")),IF(OR(U1371=1,U1371="1"),"adequate","partial"),INDEX(Fit_Matrix!$B:$B,MATCH(P1371,Fit_Matrix!$A:$A,0)))),"CHECK KEY"))</f>
        <v/>
      </c>
      <c r="U1371" s="10" t="n"/>
      <c r="V1371" s="10" t="n"/>
      <c r="W1371" s="10" t="n"/>
      <c r="X1371" s="10" t="n"/>
      <c r="Y1371" s="10" t="n"/>
      <c r="Z1371" s="10" t="n"/>
      <c r="AA1371" s="11">
        <f>IF(A1371="","",IF(AND(J1371="P4",F1371="causal"),"P4-CAUSAL",""))</f>
        <v/>
      </c>
    </row>
    <row r="1372" ht="15" customHeight="1" s="1">
      <c r="P1372">
        <f>IF(OR(F1372="",H1372="",J1372=""),"",J1372&amp;"|"&amp;F1372&amp;"|"&amp;IF(H1372="W3","W3_"&amp;IF(I1372="","unknown",I1372),H1372))</f>
        <v/>
      </c>
      <c r="Q1372">
        <f>IF(P1372="","",IFERROR(IF(AND(H1372="W7",OR(F1372="causal",F1372="predictive")),IF(AND(OR(K1372=1,K1372="1"),OR(L1372=1,L1372="1"),OR(M1372=1,M1372="1")),"adequate","partial"),IF(AND(H1372="W4",F1372="predictive",OR(J1372="P2",J1372="P3",J1372="P4")),IF(OR(U1372=1,U1372="1"),"adequate","partial"),INDEX(Fit_Matrix!$B:$B,MATCH(P1372,Fit_Matrix!$A:$A,0)))),"CHECK KEY"))</f>
        <v/>
      </c>
      <c r="U1372" s="10" t="n"/>
      <c r="V1372" s="10" t="n"/>
      <c r="W1372" s="10" t="n"/>
      <c r="X1372" s="10" t="n"/>
      <c r="Y1372" s="10" t="n"/>
      <c r="Z1372" s="10" t="n"/>
      <c r="AA1372" s="11">
        <f>IF(A1372="","",IF(AND(J1372="P4",F1372="causal"),"P4-CAUSAL",""))</f>
        <v/>
      </c>
    </row>
    <row r="1373" ht="15" customHeight="1" s="1">
      <c r="P1373">
        <f>IF(OR(F1373="",H1373="",J1373=""),"",J1373&amp;"|"&amp;F1373&amp;"|"&amp;IF(H1373="W3","W3_"&amp;IF(I1373="","unknown",I1373),H1373))</f>
        <v/>
      </c>
      <c r="Q1373">
        <f>IF(P1373="","",IFERROR(IF(AND(H1373="W7",OR(F1373="causal",F1373="predictive")),IF(AND(OR(K1373=1,K1373="1"),OR(L1373=1,L1373="1"),OR(M1373=1,M1373="1")),"adequate","partial"),IF(AND(H1373="W4",F1373="predictive",OR(J1373="P2",J1373="P3",J1373="P4")),IF(OR(U1373=1,U1373="1"),"adequate","partial"),INDEX(Fit_Matrix!$B:$B,MATCH(P1373,Fit_Matrix!$A:$A,0)))),"CHECK KEY"))</f>
        <v/>
      </c>
      <c r="U1373" s="10" t="n"/>
      <c r="V1373" s="10" t="n"/>
      <c r="W1373" s="10" t="n"/>
      <c r="X1373" s="10" t="n"/>
      <c r="Y1373" s="10" t="n"/>
      <c r="Z1373" s="10" t="n"/>
      <c r="AA1373" s="11">
        <f>IF(A1373="","",IF(AND(J1373="P4",F1373="causal"),"P4-CAUSAL",""))</f>
        <v/>
      </c>
    </row>
    <row r="1374" ht="15" customHeight="1" s="1">
      <c r="P1374">
        <f>IF(OR(F1374="",H1374="",J1374=""),"",J1374&amp;"|"&amp;F1374&amp;"|"&amp;IF(H1374="W3","W3_"&amp;IF(I1374="","unknown",I1374),H1374))</f>
        <v/>
      </c>
      <c r="Q1374">
        <f>IF(P1374="","",IFERROR(IF(AND(H1374="W7",OR(F1374="causal",F1374="predictive")),IF(AND(OR(K1374=1,K1374="1"),OR(L1374=1,L1374="1"),OR(M1374=1,M1374="1")),"adequate","partial"),IF(AND(H1374="W4",F1374="predictive",OR(J1374="P2",J1374="P3",J1374="P4")),IF(OR(U1374=1,U1374="1"),"adequate","partial"),INDEX(Fit_Matrix!$B:$B,MATCH(P1374,Fit_Matrix!$A:$A,0)))),"CHECK KEY"))</f>
        <v/>
      </c>
      <c r="U1374" s="10" t="n"/>
      <c r="V1374" s="10" t="n"/>
      <c r="W1374" s="10" t="n"/>
      <c r="X1374" s="10" t="n"/>
      <c r="Y1374" s="10" t="n"/>
      <c r="Z1374" s="10" t="n"/>
      <c r="AA1374" s="11">
        <f>IF(A1374="","",IF(AND(J1374="P4",F1374="causal"),"P4-CAUSAL",""))</f>
        <v/>
      </c>
    </row>
    <row r="1375" ht="15" customHeight="1" s="1">
      <c r="P1375">
        <f>IF(OR(F1375="",H1375="",J1375=""),"",J1375&amp;"|"&amp;F1375&amp;"|"&amp;IF(H1375="W3","W3_"&amp;IF(I1375="","unknown",I1375),H1375))</f>
        <v/>
      </c>
      <c r="Q1375">
        <f>IF(P1375="","",IFERROR(IF(AND(H1375="W7",OR(F1375="causal",F1375="predictive")),IF(AND(OR(K1375=1,K1375="1"),OR(L1375=1,L1375="1"),OR(M1375=1,M1375="1")),"adequate","partial"),IF(AND(H1375="W4",F1375="predictive",OR(J1375="P2",J1375="P3",J1375="P4")),IF(OR(U1375=1,U1375="1"),"adequate","partial"),INDEX(Fit_Matrix!$B:$B,MATCH(P1375,Fit_Matrix!$A:$A,0)))),"CHECK KEY"))</f>
        <v/>
      </c>
      <c r="U1375" s="10" t="n"/>
      <c r="V1375" s="10" t="n"/>
      <c r="W1375" s="10" t="n"/>
      <c r="X1375" s="10" t="n"/>
      <c r="Y1375" s="10" t="n"/>
      <c r="Z1375" s="10" t="n"/>
      <c r="AA1375" s="11">
        <f>IF(A1375="","",IF(AND(J1375="P4",F1375="causal"),"P4-CAUSAL",""))</f>
        <v/>
      </c>
    </row>
    <row r="1376" ht="15" customHeight="1" s="1">
      <c r="P1376">
        <f>IF(OR(F1376="",H1376="",J1376=""),"",J1376&amp;"|"&amp;F1376&amp;"|"&amp;IF(H1376="W3","W3_"&amp;IF(I1376="","unknown",I1376),H1376))</f>
        <v/>
      </c>
      <c r="Q1376">
        <f>IF(P1376="","",IFERROR(IF(AND(H1376="W7",OR(F1376="causal",F1376="predictive")),IF(AND(OR(K1376=1,K1376="1"),OR(L1376=1,L1376="1"),OR(M1376=1,M1376="1")),"adequate","partial"),IF(AND(H1376="W4",F1376="predictive",OR(J1376="P2",J1376="P3",J1376="P4")),IF(OR(U1376=1,U1376="1"),"adequate","partial"),INDEX(Fit_Matrix!$B:$B,MATCH(P1376,Fit_Matrix!$A:$A,0)))),"CHECK KEY"))</f>
        <v/>
      </c>
      <c r="U1376" s="10" t="n"/>
      <c r="V1376" s="10" t="n"/>
      <c r="W1376" s="10" t="n"/>
      <c r="X1376" s="10" t="n"/>
      <c r="Y1376" s="10" t="n"/>
      <c r="Z1376" s="10" t="n"/>
      <c r="AA1376" s="11">
        <f>IF(A1376="","",IF(AND(J1376="P4",F1376="causal"),"P4-CAUSAL",""))</f>
        <v/>
      </c>
    </row>
    <row r="1377" ht="15" customHeight="1" s="1">
      <c r="P1377">
        <f>IF(OR(F1377="",H1377="",J1377=""),"",J1377&amp;"|"&amp;F1377&amp;"|"&amp;IF(H1377="W3","W3_"&amp;IF(I1377="","unknown",I1377),H1377))</f>
        <v/>
      </c>
      <c r="Q1377">
        <f>IF(P1377="","",IFERROR(IF(AND(H1377="W7",OR(F1377="causal",F1377="predictive")),IF(AND(OR(K1377=1,K1377="1"),OR(L1377=1,L1377="1"),OR(M1377=1,M1377="1")),"adequate","partial"),IF(AND(H1377="W4",F1377="predictive",OR(J1377="P2",J1377="P3",J1377="P4")),IF(OR(U1377=1,U1377="1"),"adequate","partial"),INDEX(Fit_Matrix!$B:$B,MATCH(P1377,Fit_Matrix!$A:$A,0)))),"CHECK KEY"))</f>
        <v/>
      </c>
      <c r="U1377" s="10" t="n"/>
      <c r="V1377" s="10" t="n"/>
      <c r="W1377" s="10" t="n"/>
      <c r="X1377" s="10" t="n"/>
      <c r="Y1377" s="10" t="n"/>
      <c r="Z1377" s="10" t="n"/>
      <c r="AA1377" s="11">
        <f>IF(A1377="","",IF(AND(J1377="P4",F1377="causal"),"P4-CAUSAL",""))</f>
        <v/>
      </c>
    </row>
    <row r="1378" ht="15" customHeight="1" s="1">
      <c r="P1378">
        <f>IF(OR(F1378="",H1378="",J1378=""),"",J1378&amp;"|"&amp;F1378&amp;"|"&amp;IF(H1378="W3","W3_"&amp;IF(I1378="","unknown",I1378),H1378))</f>
        <v/>
      </c>
      <c r="Q1378">
        <f>IF(P1378="","",IFERROR(IF(AND(H1378="W7",OR(F1378="causal",F1378="predictive")),IF(AND(OR(K1378=1,K1378="1"),OR(L1378=1,L1378="1"),OR(M1378=1,M1378="1")),"adequate","partial"),IF(AND(H1378="W4",F1378="predictive",OR(J1378="P2",J1378="P3",J1378="P4")),IF(OR(U1378=1,U1378="1"),"adequate","partial"),INDEX(Fit_Matrix!$B:$B,MATCH(P1378,Fit_Matrix!$A:$A,0)))),"CHECK KEY"))</f>
        <v/>
      </c>
      <c r="U1378" s="10" t="n"/>
      <c r="V1378" s="10" t="n"/>
      <c r="W1378" s="10" t="n"/>
      <c r="X1378" s="10" t="n"/>
      <c r="Y1378" s="10" t="n"/>
      <c r="Z1378" s="10" t="n"/>
      <c r="AA1378" s="11">
        <f>IF(A1378="","",IF(AND(J1378="P4",F1378="causal"),"P4-CAUSAL",""))</f>
        <v/>
      </c>
    </row>
    <row r="1379" ht="15" customHeight="1" s="1">
      <c r="P1379">
        <f>IF(OR(F1379="",H1379="",J1379=""),"",J1379&amp;"|"&amp;F1379&amp;"|"&amp;IF(H1379="W3","W3_"&amp;IF(I1379="","unknown",I1379),H1379))</f>
        <v/>
      </c>
      <c r="Q1379">
        <f>IF(P1379="","",IFERROR(IF(AND(H1379="W7",OR(F1379="causal",F1379="predictive")),IF(AND(OR(K1379=1,K1379="1"),OR(L1379=1,L1379="1"),OR(M1379=1,M1379="1")),"adequate","partial"),IF(AND(H1379="W4",F1379="predictive",OR(J1379="P2",J1379="P3",J1379="P4")),IF(OR(U1379=1,U1379="1"),"adequate","partial"),INDEX(Fit_Matrix!$B:$B,MATCH(P1379,Fit_Matrix!$A:$A,0)))),"CHECK KEY"))</f>
        <v/>
      </c>
      <c r="U1379" s="10" t="n"/>
      <c r="V1379" s="10" t="n"/>
      <c r="W1379" s="10" t="n"/>
      <c r="X1379" s="10" t="n"/>
      <c r="Y1379" s="10" t="n"/>
      <c r="Z1379" s="10" t="n"/>
      <c r="AA1379" s="11">
        <f>IF(A1379="","",IF(AND(J1379="P4",F1379="causal"),"P4-CAUSAL",""))</f>
        <v/>
      </c>
    </row>
    <row r="1380" ht="15" customHeight="1" s="1">
      <c r="P1380">
        <f>IF(OR(F1380="",H1380="",J1380=""),"",J1380&amp;"|"&amp;F1380&amp;"|"&amp;IF(H1380="W3","W3_"&amp;IF(I1380="","unknown",I1380),H1380))</f>
        <v/>
      </c>
      <c r="Q1380">
        <f>IF(P1380="","",IFERROR(IF(AND(H1380="W7",OR(F1380="causal",F1380="predictive")),IF(AND(OR(K1380=1,K1380="1"),OR(L1380=1,L1380="1"),OR(M1380=1,M1380="1")),"adequate","partial"),IF(AND(H1380="W4",F1380="predictive",OR(J1380="P2",J1380="P3",J1380="P4")),IF(OR(U1380=1,U1380="1"),"adequate","partial"),INDEX(Fit_Matrix!$B:$B,MATCH(P1380,Fit_Matrix!$A:$A,0)))),"CHECK KEY"))</f>
        <v/>
      </c>
      <c r="U1380" s="10" t="n"/>
      <c r="V1380" s="10" t="n"/>
      <c r="W1380" s="10" t="n"/>
      <c r="X1380" s="10" t="n"/>
      <c r="Y1380" s="10" t="n"/>
      <c r="Z1380" s="10" t="n"/>
      <c r="AA1380" s="11">
        <f>IF(A1380="","",IF(AND(J1380="P4",F1380="causal"),"P4-CAUSAL",""))</f>
        <v/>
      </c>
    </row>
    <row r="1381" ht="15" customHeight="1" s="1">
      <c r="P1381">
        <f>IF(OR(F1381="",H1381="",J1381=""),"",J1381&amp;"|"&amp;F1381&amp;"|"&amp;IF(H1381="W3","W3_"&amp;IF(I1381="","unknown",I1381),H1381))</f>
        <v/>
      </c>
      <c r="Q1381">
        <f>IF(P1381="","",IFERROR(IF(AND(H1381="W7",OR(F1381="causal",F1381="predictive")),IF(AND(OR(K1381=1,K1381="1"),OR(L1381=1,L1381="1"),OR(M1381=1,M1381="1")),"adequate","partial"),IF(AND(H1381="W4",F1381="predictive",OR(J1381="P2",J1381="P3",J1381="P4")),IF(OR(U1381=1,U1381="1"),"adequate","partial"),INDEX(Fit_Matrix!$B:$B,MATCH(P1381,Fit_Matrix!$A:$A,0)))),"CHECK KEY"))</f>
        <v/>
      </c>
      <c r="U1381" s="10" t="n"/>
      <c r="V1381" s="10" t="n"/>
      <c r="W1381" s="10" t="n"/>
      <c r="X1381" s="10" t="n"/>
      <c r="Y1381" s="10" t="n"/>
      <c r="Z1381" s="10" t="n"/>
      <c r="AA1381" s="11">
        <f>IF(A1381="","",IF(AND(J1381="P4",F1381="causal"),"P4-CAUSAL",""))</f>
        <v/>
      </c>
    </row>
    <row r="1382" ht="15" customHeight="1" s="1">
      <c r="P1382">
        <f>IF(OR(F1382="",H1382="",J1382=""),"",J1382&amp;"|"&amp;F1382&amp;"|"&amp;IF(H1382="W3","W3_"&amp;IF(I1382="","unknown",I1382),H1382))</f>
        <v/>
      </c>
      <c r="Q1382">
        <f>IF(P1382="","",IFERROR(IF(AND(H1382="W7",OR(F1382="causal",F1382="predictive")),IF(AND(OR(K1382=1,K1382="1"),OR(L1382=1,L1382="1"),OR(M1382=1,M1382="1")),"adequate","partial"),IF(AND(H1382="W4",F1382="predictive",OR(J1382="P2",J1382="P3",J1382="P4")),IF(OR(U1382=1,U1382="1"),"adequate","partial"),INDEX(Fit_Matrix!$B:$B,MATCH(P1382,Fit_Matrix!$A:$A,0)))),"CHECK KEY"))</f>
        <v/>
      </c>
      <c r="U1382" s="10" t="n"/>
      <c r="V1382" s="10" t="n"/>
      <c r="W1382" s="10" t="n"/>
      <c r="X1382" s="10" t="n"/>
      <c r="Y1382" s="10" t="n"/>
      <c r="Z1382" s="10" t="n"/>
      <c r="AA1382" s="11">
        <f>IF(A1382="","",IF(AND(J1382="P4",F1382="causal"),"P4-CAUSAL",""))</f>
        <v/>
      </c>
    </row>
    <row r="1383" ht="15" customHeight="1" s="1">
      <c r="P1383">
        <f>IF(OR(F1383="",H1383="",J1383=""),"",J1383&amp;"|"&amp;F1383&amp;"|"&amp;IF(H1383="W3","W3_"&amp;IF(I1383="","unknown",I1383),H1383))</f>
        <v/>
      </c>
      <c r="Q1383">
        <f>IF(P1383="","",IFERROR(IF(AND(H1383="W7",OR(F1383="causal",F1383="predictive")),IF(AND(OR(K1383=1,K1383="1"),OR(L1383=1,L1383="1"),OR(M1383=1,M1383="1")),"adequate","partial"),IF(AND(H1383="W4",F1383="predictive",OR(J1383="P2",J1383="P3",J1383="P4")),IF(OR(U1383=1,U1383="1"),"adequate","partial"),INDEX(Fit_Matrix!$B:$B,MATCH(P1383,Fit_Matrix!$A:$A,0)))),"CHECK KEY"))</f>
        <v/>
      </c>
      <c r="U1383" s="10" t="n"/>
      <c r="V1383" s="10" t="n"/>
      <c r="W1383" s="10" t="n"/>
      <c r="X1383" s="10" t="n"/>
      <c r="Y1383" s="10" t="n"/>
      <c r="Z1383" s="10" t="n"/>
      <c r="AA1383" s="11">
        <f>IF(A1383="","",IF(AND(J1383="P4",F1383="causal"),"P4-CAUSAL",""))</f>
        <v/>
      </c>
    </row>
    <row r="1384" ht="15" customHeight="1" s="1">
      <c r="P1384">
        <f>IF(OR(F1384="",H1384="",J1384=""),"",J1384&amp;"|"&amp;F1384&amp;"|"&amp;IF(H1384="W3","W3_"&amp;IF(I1384="","unknown",I1384),H1384))</f>
        <v/>
      </c>
      <c r="Q1384">
        <f>IF(P1384="","",IFERROR(IF(AND(H1384="W7",OR(F1384="causal",F1384="predictive")),IF(AND(OR(K1384=1,K1384="1"),OR(L1384=1,L1384="1"),OR(M1384=1,M1384="1")),"adequate","partial"),IF(AND(H1384="W4",F1384="predictive",OR(J1384="P2",J1384="P3",J1384="P4")),IF(OR(U1384=1,U1384="1"),"adequate","partial"),INDEX(Fit_Matrix!$B:$B,MATCH(P1384,Fit_Matrix!$A:$A,0)))),"CHECK KEY"))</f>
        <v/>
      </c>
      <c r="U1384" s="10" t="n"/>
      <c r="V1384" s="10" t="n"/>
      <c r="W1384" s="10" t="n"/>
      <c r="X1384" s="10" t="n"/>
      <c r="Y1384" s="10" t="n"/>
      <c r="Z1384" s="10" t="n"/>
      <c r="AA1384" s="11">
        <f>IF(A1384="","",IF(AND(J1384="P4",F1384="causal"),"P4-CAUSAL",""))</f>
        <v/>
      </c>
    </row>
    <row r="1385" ht="15" customHeight="1" s="1">
      <c r="P1385">
        <f>IF(OR(F1385="",H1385="",J1385=""),"",J1385&amp;"|"&amp;F1385&amp;"|"&amp;IF(H1385="W3","W3_"&amp;IF(I1385="","unknown",I1385),H1385))</f>
        <v/>
      </c>
      <c r="Q1385">
        <f>IF(P1385="","",IFERROR(IF(AND(H1385="W7",OR(F1385="causal",F1385="predictive")),IF(AND(OR(K1385=1,K1385="1"),OR(L1385=1,L1385="1"),OR(M1385=1,M1385="1")),"adequate","partial"),IF(AND(H1385="W4",F1385="predictive",OR(J1385="P2",J1385="P3",J1385="P4")),IF(OR(U1385=1,U1385="1"),"adequate","partial"),INDEX(Fit_Matrix!$B:$B,MATCH(P1385,Fit_Matrix!$A:$A,0)))),"CHECK KEY"))</f>
        <v/>
      </c>
      <c r="U1385" s="10" t="n"/>
      <c r="V1385" s="10" t="n"/>
      <c r="W1385" s="10" t="n"/>
      <c r="X1385" s="10" t="n"/>
      <c r="Y1385" s="10" t="n"/>
      <c r="Z1385" s="10" t="n"/>
      <c r="AA1385" s="11">
        <f>IF(A1385="","",IF(AND(J1385="P4",F1385="causal"),"P4-CAUSAL",""))</f>
        <v/>
      </c>
    </row>
    <row r="1386" ht="15" customHeight="1" s="1">
      <c r="P1386">
        <f>IF(OR(F1386="",H1386="",J1386=""),"",J1386&amp;"|"&amp;F1386&amp;"|"&amp;IF(H1386="W3","W3_"&amp;IF(I1386="","unknown",I1386),H1386))</f>
        <v/>
      </c>
      <c r="Q1386">
        <f>IF(P1386="","",IFERROR(IF(AND(H1386="W7",OR(F1386="causal",F1386="predictive")),IF(AND(OR(K1386=1,K1386="1"),OR(L1386=1,L1386="1"),OR(M1386=1,M1386="1")),"adequate","partial"),IF(AND(H1386="W4",F1386="predictive",OR(J1386="P2",J1386="P3",J1386="P4")),IF(OR(U1386=1,U1386="1"),"adequate","partial"),INDEX(Fit_Matrix!$B:$B,MATCH(P1386,Fit_Matrix!$A:$A,0)))),"CHECK KEY"))</f>
        <v/>
      </c>
      <c r="U1386" s="10" t="n"/>
      <c r="V1386" s="10" t="n"/>
      <c r="W1386" s="10" t="n"/>
      <c r="X1386" s="10" t="n"/>
      <c r="Y1386" s="10" t="n"/>
      <c r="Z1386" s="10" t="n"/>
      <c r="AA1386" s="11">
        <f>IF(A1386="","",IF(AND(J1386="P4",F1386="causal"),"P4-CAUSAL",""))</f>
        <v/>
      </c>
    </row>
    <row r="1387" ht="15" customHeight="1" s="1">
      <c r="P1387">
        <f>IF(OR(F1387="",H1387="",J1387=""),"",J1387&amp;"|"&amp;F1387&amp;"|"&amp;IF(H1387="W3","W3_"&amp;IF(I1387="","unknown",I1387),H1387))</f>
        <v/>
      </c>
      <c r="Q1387">
        <f>IF(P1387="","",IFERROR(IF(AND(H1387="W7",OR(F1387="causal",F1387="predictive")),IF(AND(OR(K1387=1,K1387="1"),OR(L1387=1,L1387="1"),OR(M1387=1,M1387="1")),"adequate","partial"),IF(AND(H1387="W4",F1387="predictive",OR(J1387="P2",J1387="P3",J1387="P4")),IF(OR(U1387=1,U1387="1"),"adequate","partial"),INDEX(Fit_Matrix!$B:$B,MATCH(P1387,Fit_Matrix!$A:$A,0)))),"CHECK KEY"))</f>
        <v/>
      </c>
      <c r="U1387" s="10" t="n"/>
      <c r="V1387" s="10" t="n"/>
      <c r="W1387" s="10" t="n"/>
      <c r="X1387" s="10" t="n"/>
      <c r="Y1387" s="10" t="n"/>
      <c r="Z1387" s="10" t="n"/>
      <c r="AA1387" s="11">
        <f>IF(A1387="","",IF(AND(J1387="P4",F1387="causal"),"P4-CAUSAL",""))</f>
        <v/>
      </c>
    </row>
    <row r="1388" ht="15" customHeight="1" s="1">
      <c r="P1388">
        <f>IF(OR(F1388="",H1388="",J1388=""),"",J1388&amp;"|"&amp;F1388&amp;"|"&amp;IF(H1388="W3","W3_"&amp;IF(I1388="","unknown",I1388),H1388))</f>
        <v/>
      </c>
      <c r="Q1388">
        <f>IF(P1388="","",IFERROR(IF(AND(H1388="W7",OR(F1388="causal",F1388="predictive")),IF(AND(OR(K1388=1,K1388="1"),OR(L1388=1,L1388="1"),OR(M1388=1,M1388="1")),"adequate","partial"),IF(AND(H1388="W4",F1388="predictive",OR(J1388="P2",J1388="P3",J1388="P4")),IF(OR(U1388=1,U1388="1"),"adequate","partial"),INDEX(Fit_Matrix!$B:$B,MATCH(P1388,Fit_Matrix!$A:$A,0)))),"CHECK KEY"))</f>
        <v/>
      </c>
      <c r="U1388" s="10" t="n"/>
      <c r="V1388" s="10" t="n"/>
      <c r="W1388" s="10" t="n"/>
      <c r="X1388" s="10" t="n"/>
      <c r="Y1388" s="10" t="n"/>
      <c r="Z1388" s="10" t="n"/>
      <c r="AA1388" s="11">
        <f>IF(A1388="","",IF(AND(J1388="P4",F1388="causal"),"P4-CAUSAL",""))</f>
        <v/>
      </c>
    </row>
    <row r="1389" ht="15" customHeight="1" s="1">
      <c r="P1389">
        <f>IF(OR(F1389="",H1389="",J1389=""),"",J1389&amp;"|"&amp;F1389&amp;"|"&amp;IF(H1389="W3","W3_"&amp;IF(I1389="","unknown",I1389),H1389))</f>
        <v/>
      </c>
      <c r="Q1389">
        <f>IF(P1389="","",IFERROR(IF(AND(H1389="W7",OR(F1389="causal",F1389="predictive")),IF(AND(OR(K1389=1,K1389="1"),OR(L1389=1,L1389="1"),OR(M1389=1,M1389="1")),"adequate","partial"),IF(AND(H1389="W4",F1389="predictive",OR(J1389="P2",J1389="P3",J1389="P4")),IF(OR(U1389=1,U1389="1"),"adequate","partial"),INDEX(Fit_Matrix!$B:$B,MATCH(P1389,Fit_Matrix!$A:$A,0)))),"CHECK KEY"))</f>
        <v/>
      </c>
      <c r="U1389" s="10" t="n"/>
      <c r="V1389" s="10" t="n"/>
      <c r="W1389" s="10" t="n"/>
      <c r="X1389" s="10" t="n"/>
      <c r="Y1389" s="10" t="n"/>
      <c r="Z1389" s="10" t="n"/>
      <c r="AA1389" s="11">
        <f>IF(A1389="","",IF(AND(J1389="P4",F1389="causal"),"P4-CAUSAL",""))</f>
        <v/>
      </c>
    </row>
    <row r="1390" ht="15" customHeight="1" s="1">
      <c r="P1390">
        <f>IF(OR(F1390="",H1390="",J1390=""),"",J1390&amp;"|"&amp;F1390&amp;"|"&amp;IF(H1390="W3","W3_"&amp;IF(I1390="","unknown",I1390),H1390))</f>
        <v/>
      </c>
      <c r="Q1390">
        <f>IF(P1390="","",IFERROR(IF(AND(H1390="W7",OR(F1390="causal",F1390="predictive")),IF(AND(OR(K1390=1,K1390="1"),OR(L1390=1,L1390="1"),OR(M1390=1,M1390="1")),"adequate","partial"),IF(AND(H1390="W4",F1390="predictive",OR(J1390="P2",J1390="P3",J1390="P4")),IF(OR(U1390=1,U1390="1"),"adequate","partial"),INDEX(Fit_Matrix!$B:$B,MATCH(P1390,Fit_Matrix!$A:$A,0)))),"CHECK KEY"))</f>
        <v/>
      </c>
      <c r="U1390" s="10" t="n"/>
      <c r="V1390" s="10" t="n"/>
      <c r="W1390" s="10" t="n"/>
      <c r="X1390" s="10" t="n"/>
      <c r="Y1390" s="10" t="n"/>
      <c r="Z1390" s="10" t="n"/>
      <c r="AA1390" s="11">
        <f>IF(A1390="","",IF(AND(J1390="P4",F1390="causal"),"P4-CAUSAL",""))</f>
        <v/>
      </c>
    </row>
    <row r="1391" ht="15" customHeight="1" s="1">
      <c r="P1391">
        <f>IF(OR(F1391="",H1391="",J1391=""),"",J1391&amp;"|"&amp;F1391&amp;"|"&amp;IF(H1391="W3","W3_"&amp;IF(I1391="","unknown",I1391),H1391))</f>
        <v/>
      </c>
      <c r="Q1391">
        <f>IF(P1391="","",IFERROR(IF(AND(H1391="W7",OR(F1391="causal",F1391="predictive")),IF(AND(OR(K1391=1,K1391="1"),OR(L1391=1,L1391="1"),OR(M1391=1,M1391="1")),"adequate","partial"),IF(AND(H1391="W4",F1391="predictive",OR(J1391="P2",J1391="P3",J1391="P4")),IF(OR(U1391=1,U1391="1"),"adequate","partial"),INDEX(Fit_Matrix!$B:$B,MATCH(P1391,Fit_Matrix!$A:$A,0)))),"CHECK KEY"))</f>
        <v/>
      </c>
      <c r="U1391" s="10" t="n"/>
      <c r="V1391" s="10" t="n"/>
      <c r="W1391" s="10" t="n"/>
      <c r="X1391" s="10" t="n"/>
      <c r="Y1391" s="10" t="n"/>
      <c r="Z1391" s="10" t="n"/>
      <c r="AA1391" s="11">
        <f>IF(A1391="","",IF(AND(J1391="P4",F1391="causal"),"P4-CAUSAL",""))</f>
        <v/>
      </c>
    </row>
    <row r="1392" ht="15" customHeight="1" s="1">
      <c r="P1392">
        <f>IF(OR(F1392="",H1392="",J1392=""),"",J1392&amp;"|"&amp;F1392&amp;"|"&amp;IF(H1392="W3","W3_"&amp;IF(I1392="","unknown",I1392),H1392))</f>
        <v/>
      </c>
      <c r="Q1392">
        <f>IF(P1392="","",IFERROR(IF(AND(H1392="W7",OR(F1392="causal",F1392="predictive")),IF(AND(OR(K1392=1,K1392="1"),OR(L1392=1,L1392="1"),OR(M1392=1,M1392="1")),"adequate","partial"),IF(AND(H1392="W4",F1392="predictive",OR(J1392="P2",J1392="P3",J1392="P4")),IF(OR(U1392=1,U1392="1"),"adequate","partial"),INDEX(Fit_Matrix!$B:$B,MATCH(P1392,Fit_Matrix!$A:$A,0)))),"CHECK KEY"))</f>
        <v/>
      </c>
      <c r="U1392" s="10" t="n"/>
      <c r="V1392" s="10" t="n"/>
      <c r="W1392" s="10" t="n"/>
      <c r="X1392" s="10" t="n"/>
      <c r="Y1392" s="10" t="n"/>
      <c r="Z1392" s="10" t="n"/>
      <c r="AA1392" s="11">
        <f>IF(A1392="","",IF(AND(J1392="P4",F1392="causal"),"P4-CAUSAL",""))</f>
        <v/>
      </c>
    </row>
    <row r="1393" ht="15" customHeight="1" s="1">
      <c r="P1393">
        <f>IF(OR(F1393="",H1393="",J1393=""),"",J1393&amp;"|"&amp;F1393&amp;"|"&amp;IF(H1393="W3","W3_"&amp;IF(I1393="","unknown",I1393),H1393))</f>
        <v/>
      </c>
      <c r="Q1393">
        <f>IF(P1393="","",IFERROR(IF(AND(H1393="W7",OR(F1393="causal",F1393="predictive")),IF(AND(OR(K1393=1,K1393="1"),OR(L1393=1,L1393="1"),OR(M1393=1,M1393="1")),"adequate","partial"),IF(AND(H1393="W4",F1393="predictive",OR(J1393="P2",J1393="P3",J1393="P4")),IF(OR(U1393=1,U1393="1"),"adequate","partial"),INDEX(Fit_Matrix!$B:$B,MATCH(P1393,Fit_Matrix!$A:$A,0)))),"CHECK KEY"))</f>
        <v/>
      </c>
      <c r="U1393" s="10" t="n"/>
      <c r="V1393" s="10" t="n"/>
      <c r="W1393" s="10" t="n"/>
      <c r="X1393" s="10" t="n"/>
      <c r="Y1393" s="10" t="n"/>
      <c r="Z1393" s="10" t="n"/>
      <c r="AA1393" s="11">
        <f>IF(A1393="","",IF(AND(J1393="P4",F1393="causal"),"P4-CAUSAL",""))</f>
        <v/>
      </c>
    </row>
    <row r="1394" ht="15" customHeight="1" s="1">
      <c r="P1394">
        <f>IF(OR(F1394="",H1394="",J1394=""),"",J1394&amp;"|"&amp;F1394&amp;"|"&amp;IF(H1394="W3","W3_"&amp;IF(I1394="","unknown",I1394),H1394))</f>
        <v/>
      </c>
      <c r="Q1394">
        <f>IF(P1394="","",IFERROR(IF(AND(H1394="W7",OR(F1394="causal",F1394="predictive")),IF(AND(OR(K1394=1,K1394="1"),OR(L1394=1,L1394="1"),OR(M1394=1,M1394="1")),"adequate","partial"),IF(AND(H1394="W4",F1394="predictive",OR(J1394="P2",J1394="P3",J1394="P4")),IF(OR(U1394=1,U1394="1"),"adequate","partial"),INDEX(Fit_Matrix!$B:$B,MATCH(P1394,Fit_Matrix!$A:$A,0)))),"CHECK KEY"))</f>
        <v/>
      </c>
      <c r="U1394" s="10" t="n"/>
      <c r="V1394" s="10" t="n"/>
      <c r="W1394" s="10" t="n"/>
      <c r="X1394" s="10" t="n"/>
      <c r="Y1394" s="10" t="n"/>
      <c r="Z1394" s="10" t="n"/>
      <c r="AA1394" s="11">
        <f>IF(A1394="","",IF(AND(J1394="P4",F1394="causal"),"P4-CAUSAL",""))</f>
        <v/>
      </c>
    </row>
    <row r="1395" ht="15" customHeight="1" s="1">
      <c r="P1395">
        <f>IF(OR(F1395="",H1395="",J1395=""),"",J1395&amp;"|"&amp;F1395&amp;"|"&amp;IF(H1395="W3","W3_"&amp;IF(I1395="","unknown",I1395),H1395))</f>
        <v/>
      </c>
      <c r="Q1395">
        <f>IF(P1395="","",IFERROR(IF(AND(H1395="W7",OR(F1395="causal",F1395="predictive")),IF(AND(OR(K1395=1,K1395="1"),OR(L1395=1,L1395="1"),OR(M1395=1,M1395="1")),"adequate","partial"),IF(AND(H1395="W4",F1395="predictive",OR(J1395="P2",J1395="P3",J1395="P4")),IF(OR(U1395=1,U1395="1"),"adequate","partial"),INDEX(Fit_Matrix!$B:$B,MATCH(P1395,Fit_Matrix!$A:$A,0)))),"CHECK KEY"))</f>
        <v/>
      </c>
      <c r="U1395" s="10" t="n"/>
      <c r="V1395" s="10" t="n"/>
      <c r="W1395" s="10" t="n"/>
      <c r="X1395" s="10" t="n"/>
      <c r="Y1395" s="10" t="n"/>
      <c r="Z1395" s="10" t="n"/>
      <c r="AA1395" s="11">
        <f>IF(A1395="","",IF(AND(J1395="P4",F1395="causal"),"P4-CAUSAL",""))</f>
        <v/>
      </c>
    </row>
    <row r="1396" ht="15" customHeight="1" s="1">
      <c r="P1396">
        <f>IF(OR(F1396="",H1396="",J1396=""),"",J1396&amp;"|"&amp;F1396&amp;"|"&amp;IF(H1396="W3","W3_"&amp;IF(I1396="","unknown",I1396),H1396))</f>
        <v/>
      </c>
      <c r="Q1396">
        <f>IF(P1396="","",IFERROR(IF(AND(H1396="W7",OR(F1396="causal",F1396="predictive")),IF(AND(OR(K1396=1,K1396="1"),OR(L1396=1,L1396="1"),OR(M1396=1,M1396="1")),"adequate","partial"),IF(AND(H1396="W4",F1396="predictive",OR(J1396="P2",J1396="P3",J1396="P4")),IF(OR(U1396=1,U1396="1"),"adequate","partial"),INDEX(Fit_Matrix!$B:$B,MATCH(P1396,Fit_Matrix!$A:$A,0)))),"CHECK KEY"))</f>
        <v/>
      </c>
      <c r="U1396" s="10" t="n"/>
      <c r="V1396" s="10" t="n"/>
      <c r="W1396" s="10" t="n"/>
      <c r="X1396" s="10" t="n"/>
      <c r="Y1396" s="10" t="n"/>
      <c r="Z1396" s="10" t="n"/>
      <c r="AA1396" s="11">
        <f>IF(A1396="","",IF(AND(J1396="P4",F1396="causal"),"P4-CAUSAL",""))</f>
        <v/>
      </c>
    </row>
    <row r="1397" ht="15" customHeight="1" s="1">
      <c r="P1397">
        <f>IF(OR(F1397="",H1397="",J1397=""),"",J1397&amp;"|"&amp;F1397&amp;"|"&amp;IF(H1397="W3","W3_"&amp;IF(I1397="","unknown",I1397),H1397))</f>
        <v/>
      </c>
      <c r="Q1397">
        <f>IF(P1397="","",IFERROR(IF(AND(H1397="W7",OR(F1397="causal",F1397="predictive")),IF(AND(OR(K1397=1,K1397="1"),OR(L1397=1,L1397="1"),OR(M1397=1,M1397="1")),"adequate","partial"),IF(AND(H1397="W4",F1397="predictive",OR(J1397="P2",J1397="P3",J1397="P4")),IF(OR(U1397=1,U1397="1"),"adequate","partial"),INDEX(Fit_Matrix!$B:$B,MATCH(P1397,Fit_Matrix!$A:$A,0)))),"CHECK KEY"))</f>
        <v/>
      </c>
      <c r="U1397" s="10" t="n"/>
      <c r="V1397" s="10" t="n"/>
      <c r="W1397" s="10" t="n"/>
      <c r="X1397" s="10" t="n"/>
      <c r="Y1397" s="10" t="n"/>
      <c r="Z1397" s="10" t="n"/>
      <c r="AA1397" s="11">
        <f>IF(A1397="","",IF(AND(J1397="P4",F1397="causal"),"P4-CAUSAL",""))</f>
        <v/>
      </c>
    </row>
    <row r="1398" ht="15" customHeight="1" s="1">
      <c r="P1398">
        <f>IF(OR(F1398="",H1398="",J1398=""),"",J1398&amp;"|"&amp;F1398&amp;"|"&amp;IF(H1398="W3","W3_"&amp;IF(I1398="","unknown",I1398),H1398))</f>
        <v/>
      </c>
      <c r="Q1398">
        <f>IF(P1398="","",IFERROR(IF(AND(H1398="W7",OR(F1398="causal",F1398="predictive")),IF(AND(OR(K1398=1,K1398="1"),OR(L1398=1,L1398="1"),OR(M1398=1,M1398="1")),"adequate","partial"),IF(AND(H1398="W4",F1398="predictive",OR(J1398="P2",J1398="P3",J1398="P4")),IF(OR(U1398=1,U1398="1"),"adequate","partial"),INDEX(Fit_Matrix!$B:$B,MATCH(P1398,Fit_Matrix!$A:$A,0)))),"CHECK KEY"))</f>
        <v/>
      </c>
      <c r="U1398" s="10" t="n"/>
      <c r="V1398" s="10" t="n"/>
      <c r="W1398" s="10" t="n"/>
      <c r="X1398" s="10" t="n"/>
      <c r="Y1398" s="10" t="n"/>
      <c r="Z1398" s="10" t="n"/>
      <c r="AA1398" s="11">
        <f>IF(A1398="","",IF(AND(J1398="P4",F1398="causal"),"P4-CAUSAL",""))</f>
        <v/>
      </c>
    </row>
    <row r="1399" ht="15" customHeight="1" s="1">
      <c r="P1399">
        <f>IF(OR(F1399="",H1399="",J1399=""),"",J1399&amp;"|"&amp;F1399&amp;"|"&amp;IF(H1399="W3","W3_"&amp;IF(I1399="","unknown",I1399),H1399))</f>
        <v/>
      </c>
      <c r="Q1399">
        <f>IF(P1399="","",IFERROR(IF(AND(H1399="W7",OR(F1399="causal",F1399="predictive")),IF(AND(OR(K1399=1,K1399="1"),OR(L1399=1,L1399="1"),OR(M1399=1,M1399="1")),"adequate","partial"),IF(AND(H1399="W4",F1399="predictive",OR(J1399="P2",J1399="P3",J1399="P4")),IF(OR(U1399=1,U1399="1"),"adequate","partial"),INDEX(Fit_Matrix!$B:$B,MATCH(P1399,Fit_Matrix!$A:$A,0)))),"CHECK KEY"))</f>
        <v/>
      </c>
      <c r="U1399" s="10" t="n"/>
      <c r="V1399" s="10" t="n"/>
      <c r="W1399" s="10" t="n"/>
      <c r="X1399" s="10" t="n"/>
      <c r="Y1399" s="10" t="n"/>
      <c r="Z1399" s="10" t="n"/>
      <c r="AA1399" s="11">
        <f>IF(A1399="","",IF(AND(J1399="P4",F1399="causal"),"P4-CAUSAL",""))</f>
        <v/>
      </c>
    </row>
    <row r="1400" ht="15" customHeight="1" s="1">
      <c r="P1400">
        <f>IF(OR(F1400="",H1400="",J1400=""),"",J1400&amp;"|"&amp;F1400&amp;"|"&amp;IF(H1400="W3","W3_"&amp;IF(I1400="","unknown",I1400),H1400))</f>
        <v/>
      </c>
      <c r="Q1400">
        <f>IF(P1400="","",IFERROR(IF(AND(H1400="W7",OR(F1400="causal",F1400="predictive")),IF(AND(OR(K1400=1,K1400="1"),OR(L1400=1,L1400="1"),OR(M1400=1,M1400="1")),"adequate","partial"),IF(AND(H1400="W4",F1400="predictive",OR(J1400="P2",J1400="P3",J1400="P4")),IF(OR(U1400=1,U1400="1"),"adequate","partial"),INDEX(Fit_Matrix!$B:$B,MATCH(P1400,Fit_Matrix!$A:$A,0)))),"CHECK KEY"))</f>
        <v/>
      </c>
      <c r="U1400" s="10" t="n"/>
      <c r="V1400" s="10" t="n"/>
      <c r="W1400" s="10" t="n"/>
      <c r="X1400" s="10" t="n"/>
      <c r="Y1400" s="10" t="n"/>
      <c r="Z1400" s="10" t="n"/>
      <c r="AA1400" s="11">
        <f>IF(A1400="","",IF(AND(J1400="P4",F1400="causal"),"P4-CAUSAL",""))</f>
        <v/>
      </c>
    </row>
    <row r="1401" ht="15" customHeight="1" s="1">
      <c r="P1401">
        <f>IF(OR(F1401="",H1401="",J1401=""),"",J1401&amp;"|"&amp;F1401&amp;"|"&amp;IF(H1401="W3","W3_"&amp;IF(I1401="","unknown",I1401),H1401))</f>
        <v/>
      </c>
      <c r="Q1401">
        <f>IF(P1401="","",IFERROR(IF(AND(H1401="W7",OR(F1401="causal",F1401="predictive")),IF(AND(OR(K1401=1,K1401="1"),OR(L1401=1,L1401="1"),OR(M1401=1,M1401="1")),"adequate","partial"),IF(AND(H1401="W4",F1401="predictive",OR(J1401="P2",J1401="P3",J1401="P4")),IF(OR(U1401=1,U1401="1"),"adequate","partial"),INDEX(Fit_Matrix!$B:$B,MATCH(P1401,Fit_Matrix!$A:$A,0)))),"CHECK KEY"))</f>
        <v/>
      </c>
      <c r="U1401" s="10" t="n"/>
      <c r="V1401" s="10" t="n"/>
      <c r="W1401" s="10" t="n"/>
      <c r="X1401" s="10" t="n"/>
      <c r="Y1401" s="10" t="n"/>
      <c r="Z1401" s="10" t="n"/>
      <c r="AA1401" s="11">
        <f>IF(A1401="","",IF(AND(J1401="P4",F1401="causal"),"P4-CAUSAL",""))</f>
        <v/>
      </c>
    </row>
    <row r="1402" ht="15" customHeight="1" s="1">
      <c r="P1402">
        <f>IF(OR(F1402="",H1402="",J1402=""),"",J1402&amp;"|"&amp;F1402&amp;"|"&amp;IF(H1402="W3","W3_"&amp;IF(I1402="","unknown",I1402),H1402))</f>
        <v/>
      </c>
      <c r="Q1402">
        <f>IF(P1402="","",IFERROR(IF(AND(H1402="W7",OR(F1402="causal",F1402="predictive")),IF(AND(OR(K1402=1,K1402="1"),OR(L1402=1,L1402="1"),OR(M1402=1,M1402="1")),"adequate","partial"),IF(AND(H1402="W4",F1402="predictive",OR(J1402="P2",J1402="P3",J1402="P4")),IF(OR(U1402=1,U1402="1"),"adequate","partial"),INDEX(Fit_Matrix!$B:$B,MATCH(P1402,Fit_Matrix!$A:$A,0)))),"CHECK KEY"))</f>
        <v/>
      </c>
      <c r="U1402" s="10" t="n"/>
      <c r="V1402" s="10" t="n"/>
      <c r="W1402" s="10" t="n"/>
      <c r="X1402" s="10" t="n"/>
      <c r="Y1402" s="10" t="n"/>
      <c r="Z1402" s="10" t="n"/>
      <c r="AA1402" s="11">
        <f>IF(A1402="","",IF(AND(J1402="P4",F1402="causal"),"P4-CAUSAL",""))</f>
        <v/>
      </c>
    </row>
    <row r="1403" ht="15" customHeight="1" s="1">
      <c r="P1403">
        <f>IF(OR(F1403="",H1403="",J1403=""),"",J1403&amp;"|"&amp;F1403&amp;"|"&amp;IF(H1403="W3","W3_"&amp;IF(I1403="","unknown",I1403),H1403))</f>
        <v/>
      </c>
      <c r="Q1403">
        <f>IF(P1403="","",IFERROR(IF(AND(H1403="W7",OR(F1403="causal",F1403="predictive")),IF(AND(OR(K1403=1,K1403="1"),OR(L1403=1,L1403="1"),OR(M1403=1,M1403="1")),"adequate","partial"),IF(AND(H1403="W4",F1403="predictive",OR(J1403="P2",J1403="P3",J1403="P4")),IF(OR(U1403=1,U1403="1"),"adequate","partial"),INDEX(Fit_Matrix!$B:$B,MATCH(P1403,Fit_Matrix!$A:$A,0)))),"CHECK KEY"))</f>
        <v/>
      </c>
      <c r="U1403" s="10" t="n"/>
      <c r="V1403" s="10" t="n"/>
      <c r="W1403" s="10" t="n"/>
      <c r="X1403" s="10" t="n"/>
      <c r="Y1403" s="10" t="n"/>
      <c r="Z1403" s="10" t="n"/>
      <c r="AA1403" s="11">
        <f>IF(A1403="","",IF(AND(J1403="P4",F1403="causal"),"P4-CAUSAL",""))</f>
        <v/>
      </c>
    </row>
    <row r="1404" ht="15" customHeight="1" s="1">
      <c r="P1404">
        <f>IF(OR(F1404="",H1404="",J1404=""),"",J1404&amp;"|"&amp;F1404&amp;"|"&amp;IF(H1404="W3","W3_"&amp;IF(I1404="","unknown",I1404),H1404))</f>
        <v/>
      </c>
      <c r="Q1404">
        <f>IF(P1404="","",IFERROR(IF(AND(H1404="W7",OR(F1404="causal",F1404="predictive")),IF(AND(OR(K1404=1,K1404="1"),OR(L1404=1,L1404="1"),OR(M1404=1,M1404="1")),"adequate","partial"),IF(AND(H1404="W4",F1404="predictive",OR(J1404="P2",J1404="P3",J1404="P4")),IF(OR(U1404=1,U1404="1"),"adequate","partial"),INDEX(Fit_Matrix!$B:$B,MATCH(P1404,Fit_Matrix!$A:$A,0)))),"CHECK KEY"))</f>
        <v/>
      </c>
      <c r="U1404" s="10" t="n"/>
      <c r="V1404" s="10" t="n"/>
      <c r="W1404" s="10" t="n"/>
      <c r="X1404" s="10" t="n"/>
      <c r="Y1404" s="10" t="n"/>
      <c r="Z1404" s="10" t="n"/>
      <c r="AA1404" s="11">
        <f>IF(A1404="","",IF(AND(J1404="P4",F1404="causal"),"P4-CAUSAL",""))</f>
        <v/>
      </c>
    </row>
    <row r="1405" ht="15" customHeight="1" s="1">
      <c r="P1405">
        <f>IF(OR(F1405="",H1405="",J1405=""),"",J1405&amp;"|"&amp;F1405&amp;"|"&amp;IF(H1405="W3","W3_"&amp;IF(I1405="","unknown",I1405),H1405))</f>
        <v/>
      </c>
      <c r="Q1405">
        <f>IF(P1405="","",IFERROR(IF(AND(H1405="W7",OR(F1405="causal",F1405="predictive")),IF(AND(OR(K1405=1,K1405="1"),OR(L1405=1,L1405="1"),OR(M1405=1,M1405="1")),"adequate","partial"),IF(AND(H1405="W4",F1405="predictive",OR(J1405="P2",J1405="P3",J1405="P4")),IF(OR(U1405=1,U1405="1"),"adequate","partial"),INDEX(Fit_Matrix!$B:$B,MATCH(P1405,Fit_Matrix!$A:$A,0)))),"CHECK KEY"))</f>
        <v/>
      </c>
      <c r="U1405" s="10" t="n"/>
      <c r="V1405" s="10" t="n"/>
      <c r="W1405" s="10" t="n"/>
      <c r="X1405" s="10" t="n"/>
      <c r="Y1405" s="10" t="n"/>
      <c r="Z1405" s="10" t="n"/>
      <c r="AA1405" s="11">
        <f>IF(A1405="","",IF(AND(J1405="P4",F1405="causal"),"P4-CAUSAL",""))</f>
        <v/>
      </c>
    </row>
    <row r="1406" ht="15" customHeight="1" s="1">
      <c r="P1406">
        <f>IF(OR(F1406="",H1406="",J1406=""),"",J1406&amp;"|"&amp;F1406&amp;"|"&amp;IF(H1406="W3","W3_"&amp;IF(I1406="","unknown",I1406),H1406))</f>
        <v/>
      </c>
      <c r="Q1406">
        <f>IF(P1406="","",IFERROR(IF(AND(H1406="W7",OR(F1406="causal",F1406="predictive")),IF(AND(OR(K1406=1,K1406="1"),OR(L1406=1,L1406="1"),OR(M1406=1,M1406="1")),"adequate","partial"),IF(AND(H1406="W4",F1406="predictive",OR(J1406="P2",J1406="P3",J1406="P4")),IF(OR(U1406=1,U1406="1"),"adequate","partial"),INDEX(Fit_Matrix!$B:$B,MATCH(P1406,Fit_Matrix!$A:$A,0)))),"CHECK KEY"))</f>
        <v/>
      </c>
      <c r="U1406" s="10" t="n"/>
      <c r="V1406" s="10" t="n"/>
      <c r="W1406" s="10" t="n"/>
      <c r="X1406" s="10" t="n"/>
      <c r="Y1406" s="10" t="n"/>
      <c r="Z1406" s="10" t="n"/>
      <c r="AA1406" s="11">
        <f>IF(A1406="","",IF(AND(J1406="P4",F1406="causal"),"P4-CAUSAL",""))</f>
        <v/>
      </c>
    </row>
    <row r="1407" ht="15" customHeight="1" s="1">
      <c r="P1407">
        <f>IF(OR(F1407="",H1407="",J1407=""),"",J1407&amp;"|"&amp;F1407&amp;"|"&amp;IF(H1407="W3","W3_"&amp;IF(I1407="","unknown",I1407),H1407))</f>
        <v/>
      </c>
      <c r="Q1407">
        <f>IF(P1407="","",IFERROR(IF(AND(H1407="W7",OR(F1407="causal",F1407="predictive")),IF(AND(OR(K1407=1,K1407="1"),OR(L1407=1,L1407="1"),OR(M1407=1,M1407="1")),"adequate","partial"),IF(AND(H1407="W4",F1407="predictive",OR(J1407="P2",J1407="P3",J1407="P4")),IF(OR(U1407=1,U1407="1"),"adequate","partial"),INDEX(Fit_Matrix!$B:$B,MATCH(P1407,Fit_Matrix!$A:$A,0)))),"CHECK KEY"))</f>
        <v/>
      </c>
      <c r="U1407" s="10" t="n"/>
      <c r="V1407" s="10" t="n"/>
      <c r="W1407" s="10" t="n"/>
      <c r="X1407" s="10" t="n"/>
      <c r="Y1407" s="10" t="n"/>
      <c r="Z1407" s="10" t="n"/>
      <c r="AA1407" s="11">
        <f>IF(A1407="","",IF(AND(J1407="P4",F1407="causal"),"P4-CAUSAL",""))</f>
        <v/>
      </c>
    </row>
    <row r="1408" ht="15" customHeight="1" s="1">
      <c r="P1408">
        <f>IF(OR(F1408="",H1408="",J1408=""),"",J1408&amp;"|"&amp;F1408&amp;"|"&amp;IF(H1408="W3","W3_"&amp;IF(I1408="","unknown",I1408),H1408))</f>
        <v/>
      </c>
      <c r="Q1408">
        <f>IF(P1408="","",IFERROR(IF(AND(H1408="W7",OR(F1408="causal",F1408="predictive")),IF(AND(OR(K1408=1,K1408="1"),OR(L1408=1,L1408="1"),OR(M1408=1,M1408="1")),"adequate","partial"),IF(AND(H1408="W4",F1408="predictive",OR(J1408="P2",J1408="P3",J1408="P4")),IF(OR(U1408=1,U1408="1"),"adequate","partial"),INDEX(Fit_Matrix!$B:$B,MATCH(P1408,Fit_Matrix!$A:$A,0)))),"CHECK KEY"))</f>
        <v/>
      </c>
      <c r="U1408" s="10" t="n"/>
      <c r="V1408" s="10" t="n"/>
      <c r="W1408" s="10" t="n"/>
      <c r="X1408" s="10" t="n"/>
      <c r="Y1408" s="10" t="n"/>
      <c r="Z1408" s="10" t="n"/>
      <c r="AA1408" s="11">
        <f>IF(A1408="","",IF(AND(J1408="P4",F1408="causal"),"P4-CAUSAL",""))</f>
        <v/>
      </c>
    </row>
    <row r="1409" ht="15" customHeight="1" s="1">
      <c r="P1409">
        <f>IF(OR(F1409="",H1409="",J1409=""),"",J1409&amp;"|"&amp;F1409&amp;"|"&amp;IF(H1409="W3","W3_"&amp;IF(I1409="","unknown",I1409),H1409))</f>
        <v/>
      </c>
      <c r="Q1409">
        <f>IF(P1409="","",IFERROR(IF(AND(H1409="W7",OR(F1409="causal",F1409="predictive")),IF(AND(OR(K1409=1,K1409="1"),OR(L1409=1,L1409="1"),OR(M1409=1,M1409="1")),"adequate","partial"),IF(AND(H1409="W4",F1409="predictive",OR(J1409="P2",J1409="P3",J1409="P4")),IF(OR(U1409=1,U1409="1"),"adequate","partial"),INDEX(Fit_Matrix!$B:$B,MATCH(P1409,Fit_Matrix!$A:$A,0)))),"CHECK KEY"))</f>
        <v/>
      </c>
      <c r="U1409" s="10" t="n"/>
      <c r="V1409" s="10" t="n"/>
      <c r="W1409" s="10" t="n"/>
      <c r="X1409" s="10" t="n"/>
      <c r="Y1409" s="10" t="n"/>
      <c r="Z1409" s="10" t="n"/>
      <c r="AA1409" s="11">
        <f>IF(A1409="","",IF(AND(J1409="P4",F1409="causal"),"P4-CAUSAL",""))</f>
        <v/>
      </c>
    </row>
    <row r="1410" ht="15" customHeight="1" s="1">
      <c r="P1410">
        <f>IF(OR(F1410="",H1410="",J1410=""),"",J1410&amp;"|"&amp;F1410&amp;"|"&amp;IF(H1410="W3","W3_"&amp;IF(I1410="","unknown",I1410),H1410))</f>
        <v/>
      </c>
      <c r="Q1410">
        <f>IF(P1410="","",IFERROR(IF(AND(H1410="W7",OR(F1410="causal",F1410="predictive")),IF(AND(OR(K1410=1,K1410="1"),OR(L1410=1,L1410="1"),OR(M1410=1,M1410="1")),"adequate","partial"),IF(AND(H1410="W4",F1410="predictive",OR(J1410="P2",J1410="P3",J1410="P4")),IF(OR(U1410=1,U1410="1"),"adequate","partial"),INDEX(Fit_Matrix!$B:$B,MATCH(P1410,Fit_Matrix!$A:$A,0)))),"CHECK KEY"))</f>
        <v/>
      </c>
      <c r="U1410" s="10" t="n"/>
      <c r="V1410" s="10" t="n"/>
      <c r="W1410" s="10" t="n"/>
      <c r="X1410" s="10" t="n"/>
      <c r="Y1410" s="10" t="n"/>
      <c r="Z1410" s="10" t="n"/>
      <c r="AA1410" s="11">
        <f>IF(A1410="","",IF(AND(J1410="P4",F1410="causal"),"P4-CAUSAL",""))</f>
        <v/>
      </c>
    </row>
    <row r="1411" ht="15" customHeight="1" s="1">
      <c r="P1411">
        <f>IF(OR(F1411="",H1411="",J1411=""),"",J1411&amp;"|"&amp;F1411&amp;"|"&amp;IF(H1411="W3","W3_"&amp;IF(I1411="","unknown",I1411),H1411))</f>
        <v/>
      </c>
      <c r="Q1411">
        <f>IF(P1411="","",IFERROR(IF(AND(H1411="W7",OR(F1411="causal",F1411="predictive")),IF(AND(OR(K1411=1,K1411="1"),OR(L1411=1,L1411="1"),OR(M1411=1,M1411="1")),"adequate","partial"),IF(AND(H1411="W4",F1411="predictive",OR(J1411="P2",J1411="P3",J1411="P4")),IF(OR(U1411=1,U1411="1"),"adequate","partial"),INDEX(Fit_Matrix!$B:$B,MATCH(P1411,Fit_Matrix!$A:$A,0)))),"CHECK KEY"))</f>
        <v/>
      </c>
      <c r="U1411" s="10" t="n"/>
      <c r="V1411" s="10" t="n"/>
      <c r="W1411" s="10" t="n"/>
      <c r="X1411" s="10" t="n"/>
      <c r="Y1411" s="10" t="n"/>
      <c r="Z1411" s="10" t="n"/>
      <c r="AA1411" s="11">
        <f>IF(A1411="","",IF(AND(J1411="P4",F1411="causal"),"P4-CAUSAL",""))</f>
        <v/>
      </c>
    </row>
    <row r="1412" ht="15" customHeight="1" s="1">
      <c r="P1412">
        <f>IF(OR(F1412="",H1412="",J1412=""),"",J1412&amp;"|"&amp;F1412&amp;"|"&amp;IF(H1412="W3","W3_"&amp;IF(I1412="","unknown",I1412),H1412))</f>
        <v/>
      </c>
      <c r="Q1412">
        <f>IF(P1412="","",IFERROR(IF(AND(H1412="W7",OR(F1412="causal",F1412="predictive")),IF(AND(OR(K1412=1,K1412="1"),OR(L1412=1,L1412="1"),OR(M1412=1,M1412="1")),"adequate","partial"),IF(AND(H1412="W4",F1412="predictive",OR(J1412="P2",J1412="P3",J1412="P4")),IF(OR(U1412=1,U1412="1"),"adequate","partial"),INDEX(Fit_Matrix!$B:$B,MATCH(P1412,Fit_Matrix!$A:$A,0)))),"CHECK KEY"))</f>
        <v/>
      </c>
      <c r="U1412" s="10" t="n"/>
      <c r="V1412" s="10" t="n"/>
      <c r="W1412" s="10" t="n"/>
      <c r="X1412" s="10" t="n"/>
      <c r="Y1412" s="10" t="n"/>
      <c r="Z1412" s="10" t="n"/>
      <c r="AA1412" s="11">
        <f>IF(A1412="","",IF(AND(J1412="P4",F1412="causal"),"P4-CAUSAL",""))</f>
        <v/>
      </c>
    </row>
    <row r="1413" ht="15" customHeight="1" s="1">
      <c r="P1413">
        <f>IF(OR(F1413="",H1413="",J1413=""),"",J1413&amp;"|"&amp;F1413&amp;"|"&amp;IF(H1413="W3","W3_"&amp;IF(I1413="","unknown",I1413),H1413))</f>
        <v/>
      </c>
      <c r="Q1413">
        <f>IF(P1413="","",IFERROR(IF(AND(H1413="W7",OR(F1413="causal",F1413="predictive")),IF(AND(OR(K1413=1,K1413="1"),OR(L1413=1,L1413="1"),OR(M1413=1,M1413="1")),"adequate","partial"),IF(AND(H1413="W4",F1413="predictive",OR(J1413="P2",J1413="P3",J1413="P4")),IF(OR(U1413=1,U1413="1"),"adequate","partial"),INDEX(Fit_Matrix!$B:$B,MATCH(P1413,Fit_Matrix!$A:$A,0)))),"CHECK KEY"))</f>
        <v/>
      </c>
      <c r="U1413" s="10" t="n"/>
      <c r="V1413" s="10" t="n"/>
      <c r="W1413" s="10" t="n"/>
      <c r="X1413" s="10" t="n"/>
      <c r="Y1413" s="10" t="n"/>
      <c r="Z1413" s="10" t="n"/>
      <c r="AA1413" s="11">
        <f>IF(A1413="","",IF(AND(J1413="P4",F1413="causal"),"P4-CAUSAL",""))</f>
        <v/>
      </c>
    </row>
    <row r="1414" ht="15" customHeight="1" s="1">
      <c r="P1414">
        <f>IF(OR(F1414="",H1414="",J1414=""),"",J1414&amp;"|"&amp;F1414&amp;"|"&amp;IF(H1414="W3","W3_"&amp;IF(I1414="","unknown",I1414),H1414))</f>
        <v/>
      </c>
      <c r="Q1414">
        <f>IF(P1414="","",IFERROR(IF(AND(H1414="W7",OR(F1414="causal",F1414="predictive")),IF(AND(OR(K1414=1,K1414="1"),OR(L1414=1,L1414="1"),OR(M1414=1,M1414="1")),"adequate","partial"),IF(AND(H1414="W4",F1414="predictive",OR(J1414="P2",J1414="P3",J1414="P4")),IF(OR(U1414=1,U1414="1"),"adequate","partial"),INDEX(Fit_Matrix!$B:$B,MATCH(P1414,Fit_Matrix!$A:$A,0)))),"CHECK KEY"))</f>
        <v/>
      </c>
      <c r="U1414" s="10" t="n"/>
      <c r="V1414" s="10" t="n"/>
      <c r="W1414" s="10" t="n"/>
      <c r="X1414" s="10" t="n"/>
      <c r="Y1414" s="10" t="n"/>
      <c r="Z1414" s="10" t="n"/>
      <c r="AA1414" s="11">
        <f>IF(A1414="","",IF(AND(J1414="P4",F1414="causal"),"P4-CAUSAL",""))</f>
        <v/>
      </c>
    </row>
    <row r="1415" ht="15" customHeight="1" s="1">
      <c r="P1415">
        <f>IF(OR(F1415="",H1415="",J1415=""),"",J1415&amp;"|"&amp;F1415&amp;"|"&amp;IF(H1415="W3","W3_"&amp;IF(I1415="","unknown",I1415),H1415))</f>
        <v/>
      </c>
      <c r="Q1415">
        <f>IF(P1415="","",IFERROR(IF(AND(H1415="W7",OR(F1415="causal",F1415="predictive")),IF(AND(OR(K1415=1,K1415="1"),OR(L1415=1,L1415="1"),OR(M1415=1,M1415="1")),"adequate","partial"),IF(AND(H1415="W4",F1415="predictive",OR(J1415="P2",J1415="P3",J1415="P4")),IF(OR(U1415=1,U1415="1"),"adequate","partial"),INDEX(Fit_Matrix!$B:$B,MATCH(P1415,Fit_Matrix!$A:$A,0)))),"CHECK KEY"))</f>
        <v/>
      </c>
      <c r="U1415" s="10" t="n"/>
      <c r="V1415" s="10" t="n"/>
      <c r="W1415" s="10" t="n"/>
      <c r="X1415" s="10" t="n"/>
      <c r="Y1415" s="10" t="n"/>
      <c r="Z1415" s="10" t="n"/>
      <c r="AA1415" s="11">
        <f>IF(A1415="","",IF(AND(J1415="P4",F1415="causal"),"P4-CAUSAL",""))</f>
        <v/>
      </c>
    </row>
    <row r="1416" ht="15" customHeight="1" s="1">
      <c r="P1416">
        <f>IF(OR(F1416="",H1416="",J1416=""),"",J1416&amp;"|"&amp;F1416&amp;"|"&amp;IF(H1416="W3","W3_"&amp;IF(I1416="","unknown",I1416),H1416))</f>
        <v/>
      </c>
      <c r="Q1416">
        <f>IF(P1416="","",IFERROR(IF(AND(H1416="W7",OR(F1416="causal",F1416="predictive")),IF(AND(OR(K1416=1,K1416="1"),OR(L1416=1,L1416="1"),OR(M1416=1,M1416="1")),"adequate","partial"),IF(AND(H1416="W4",F1416="predictive",OR(J1416="P2",J1416="P3",J1416="P4")),IF(OR(U1416=1,U1416="1"),"adequate","partial"),INDEX(Fit_Matrix!$B:$B,MATCH(P1416,Fit_Matrix!$A:$A,0)))),"CHECK KEY"))</f>
        <v/>
      </c>
      <c r="U1416" s="10" t="n"/>
      <c r="V1416" s="10" t="n"/>
      <c r="W1416" s="10" t="n"/>
      <c r="X1416" s="10" t="n"/>
      <c r="Y1416" s="10" t="n"/>
      <c r="Z1416" s="10" t="n"/>
      <c r="AA1416" s="11">
        <f>IF(A1416="","",IF(AND(J1416="P4",F1416="causal"),"P4-CAUSAL",""))</f>
        <v/>
      </c>
    </row>
    <row r="1417" ht="15" customHeight="1" s="1">
      <c r="P1417">
        <f>IF(OR(F1417="",H1417="",J1417=""),"",J1417&amp;"|"&amp;F1417&amp;"|"&amp;IF(H1417="W3","W3_"&amp;IF(I1417="","unknown",I1417),H1417))</f>
        <v/>
      </c>
      <c r="Q1417">
        <f>IF(P1417="","",IFERROR(IF(AND(H1417="W7",OR(F1417="causal",F1417="predictive")),IF(AND(OR(K1417=1,K1417="1"),OR(L1417=1,L1417="1"),OR(M1417=1,M1417="1")),"adequate","partial"),IF(AND(H1417="W4",F1417="predictive",OR(J1417="P2",J1417="P3",J1417="P4")),IF(OR(U1417=1,U1417="1"),"adequate","partial"),INDEX(Fit_Matrix!$B:$B,MATCH(P1417,Fit_Matrix!$A:$A,0)))),"CHECK KEY"))</f>
        <v/>
      </c>
      <c r="U1417" s="10" t="n"/>
      <c r="V1417" s="10" t="n"/>
      <c r="W1417" s="10" t="n"/>
      <c r="X1417" s="10" t="n"/>
      <c r="Y1417" s="10" t="n"/>
      <c r="Z1417" s="10" t="n"/>
      <c r="AA1417" s="11">
        <f>IF(A1417="","",IF(AND(J1417="P4",F1417="causal"),"P4-CAUSAL",""))</f>
        <v/>
      </c>
    </row>
    <row r="1418" ht="15" customHeight="1" s="1">
      <c r="P1418">
        <f>IF(OR(F1418="",H1418="",J1418=""),"",J1418&amp;"|"&amp;F1418&amp;"|"&amp;IF(H1418="W3","W3_"&amp;IF(I1418="","unknown",I1418),H1418))</f>
        <v/>
      </c>
      <c r="Q1418">
        <f>IF(P1418="","",IFERROR(IF(AND(H1418="W7",OR(F1418="causal",F1418="predictive")),IF(AND(OR(K1418=1,K1418="1"),OR(L1418=1,L1418="1"),OR(M1418=1,M1418="1")),"adequate","partial"),IF(AND(H1418="W4",F1418="predictive",OR(J1418="P2",J1418="P3",J1418="P4")),IF(OR(U1418=1,U1418="1"),"adequate","partial"),INDEX(Fit_Matrix!$B:$B,MATCH(P1418,Fit_Matrix!$A:$A,0)))),"CHECK KEY"))</f>
        <v/>
      </c>
      <c r="U1418" s="10" t="n"/>
      <c r="V1418" s="10" t="n"/>
      <c r="W1418" s="10" t="n"/>
      <c r="X1418" s="10" t="n"/>
      <c r="Y1418" s="10" t="n"/>
      <c r="Z1418" s="10" t="n"/>
      <c r="AA1418" s="11">
        <f>IF(A1418="","",IF(AND(J1418="P4",F1418="causal"),"P4-CAUSAL",""))</f>
        <v/>
      </c>
    </row>
    <row r="1419" ht="15" customHeight="1" s="1">
      <c r="P1419">
        <f>IF(OR(F1419="",H1419="",J1419=""),"",J1419&amp;"|"&amp;F1419&amp;"|"&amp;IF(H1419="W3","W3_"&amp;IF(I1419="","unknown",I1419),H1419))</f>
        <v/>
      </c>
      <c r="Q1419">
        <f>IF(P1419="","",IFERROR(IF(AND(H1419="W7",OR(F1419="causal",F1419="predictive")),IF(AND(OR(K1419=1,K1419="1"),OR(L1419=1,L1419="1"),OR(M1419=1,M1419="1")),"adequate","partial"),IF(AND(H1419="W4",F1419="predictive",OR(J1419="P2",J1419="P3",J1419="P4")),IF(OR(U1419=1,U1419="1"),"adequate","partial"),INDEX(Fit_Matrix!$B:$B,MATCH(P1419,Fit_Matrix!$A:$A,0)))),"CHECK KEY"))</f>
        <v/>
      </c>
      <c r="U1419" s="10" t="n"/>
      <c r="V1419" s="10" t="n"/>
      <c r="W1419" s="10" t="n"/>
      <c r="X1419" s="10" t="n"/>
      <c r="Y1419" s="10" t="n"/>
      <c r="Z1419" s="10" t="n"/>
      <c r="AA1419" s="11">
        <f>IF(A1419="","",IF(AND(J1419="P4",F1419="causal"),"P4-CAUSAL",""))</f>
        <v/>
      </c>
    </row>
    <row r="1420" ht="15" customHeight="1" s="1">
      <c r="P1420">
        <f>IF(OR(F1420="",H1420="",J1420=""),"",J1420&amp;"|"&amp;F1420&amp;"|"&amp;IF(H1420="W3","W3_"&amp;IF(I1420="","unknown",I1420),H1420))</f>
        <v/>
      </c>
      <c r="Q1420">
        <f>IF(P1420="","",IFERROR(IF(AND(H1420="W7",OR(F1420="causal",F1420="predictive")),IF(AND(OR(K1420=1,K1420="1"),OR(L1420=1,L1420="1"),OR(M1420=1,M1420="1")),"adequate","partial"),IF(AND(H1420="W4",F1420="predictive",OR(J1420="P2",J1420="P3",J1420="P4")),IF(OR(U1420=1,U1420="1"),"adequate","partial"),INDEX(Fit_Matrix!$B:$B,MATCH(P1420,Fit_Matrix!$A:$A,0)))),"CHECK KEY"))</f>
        <v/>
      </c>
      <c r="U1420" s="10" t="n"/>
      <c r="V1420" s="10" t="n"/>
      <c r="W1420" s="10" t="n"/>
      <c r="X1420" s="10" t="n"/>
      <c r="Y1420" s="10" t="n"/>
      <c r="Z1420" s="10" t="n"/>
      <c r="AA1420" s="11">
        <f>IF(A1420="","",IF(AND(J1420="P4",F1420="causal"),"P4-CAUSAL",""))</f>
        <v/>
      </c>
    </row>
    <row r="1421" ht="15" customHeight="1" s="1">
      <c r="P1421">
        <f>IF(OR(F1421="",H1421="",J1421=""),"",J1421&amp;"|"&amp;F1421&amp;"|"&amp;IF(H1421="W3","W3_"&amp;IF(I1421="","unknown",I1421),H1421))</f>
        <v/>
      </c>
      <c r="Q1421">
        <f>IF(P1421="","",IFERROR(IF(AND(H1421="W7",OR(F1421="causal",F1421="predictive")),IF(AND(OR(K1421=1,K1421="1"),OR(L1421=1,L1421="1"),OR(M1421=1,M1421="1")),"adequate","partial"),IF(AND(H1421="W4",F1421="predictive",OR(J1421="P2",J1421="P3",J1421="P4")),IF(OR(U1421=1,U1421="1"),"adequate","partial"),INDEX(Fit_Matrix!$B:$B,MATCH(P1421,Fit_Matrix!$A:$A,0)))),"CHECK KEY"))</f>
        <v/>
      </c>
      <c r="U1421" s="10" t="n"/>
      <c r="V1421" s="10" t="n"/>
      <c r="W1421" s="10" t="n"/>
      <c r="X1421" s="10" t="n"/>
      <c r="Y1421" s="10" t="n"/>
      <c r="Z1421" s="10" t="n"/>
      <c r="AA1421" s="11">
        <f>IF(A1421="","",IF(AND(J1421="P4",F1421="causal"),"P4-CAUSAL",""))</f>
        <v/>
      </c>
    </row>
    <row r="1422" ht="15" customHeight="1" s="1">
      <c r="P1422">
        <f>IF(OR(F1422="",H1422="",J1422=""),"",J1422&amp;"|"&amp;F1422&amp;"|"&amp;IF(H1422="W3","W3_"&amp;IF(I1422="","unknown",I1422),H1422))</f>
        <v/>
      </c>
      <c r="Q1422">
        <f>IF(P1422="","",IFERROR(IF(AND(H1422="W7",OR(F1422="causal",F1422="predictive")),IF(AND(OR(K1422=1,K1422="1"),OR(L1422=1,L1422="1"),OR(M1422=1,M1422="1")),"adequate","partial"),IF(AND(H1422="W4",F1422="predictive",OR(J1422="P2",J1422="P3",J1422="P4")),IF(OR(U1422=1,U1422="1"),"adequate","partial"),INDEX(Fit_Matrix!$B:$B,MATCH(P1422,Fit_Matrix!$A:$A,0)))),"CHECK KEY"))</f>
        <v/>
      </c>
      <c r="U1422" s="10" t="n"/>
      <c r="V1422" s="10" t="n"/>
      <c r="W1422" s="10" t="n"/>
      <c r="X1422" s="10" t="n"/>
      <c r="Y1422" s="10" t="n"/>
      <c r="Z1422" s="10" t="n"/>
      <c r="AA1422" s="11">
        <f>IF(A1422="","",IF(AND(J1422="P4",F1422="causal"),"P4-CAUSAL",""))</f>
        <v/>
      </c>
    </row>
    <row r="1423" ht="15" customHeight="1" s="1">
      <c r="P1423">
        <f>IF(OR(F1423="",H1423="",J1423=""),"",J1423&amp;"|"&amp;F1423&amp;"|"&amp;IF(H1423="W3","W3_"&amp;IF(I1423="","unknown",I1423),H1423))</f>
        <v/>
      </c>
      <c r="Q1423">
        <f>IF(P1423="","",IFERROR(IF(AND(H1423="W7",OR(F1423="causal",F1423="predictive")),IF(AND(OR(K1423=1,K1423="1"),OR(L1423=1,L1423="1"),OR(M1423=1,M1423="1")),"adequate","partial"),IF(AND(H1423="W4",F1423="predictive",OR(J1423="P2",J1423="P3",J1423="P4")),IF(OR(U1423=1,U1423="1"),"adequate","partial"),INDEX(Fit_Matrix!$B:$B,MATCH(P1423,Fit_Matrix!$A:$A,0)))),"CHECK KEY"))</f>
        <v/>
      </c>
      <c r="U1423" s="10" t="n"/>
      <c r="V1423" s="10" t="n"/>
      <c r="W1423" s="10" t="n"/>
      <c r="X1423" s="10" t="n"/>
      <c r="Y1423" s="10" t="n"/>
      <c r="Z1423" s="10" t="n"/>
      <c r="AA1423" s="11">
        <f>IF(A1423="","",IF(AND(J1423="P4",F1423="causal"),"P4-CAUSAL",""))</f>
        <v/>
      </c>
    </row>
    <row r="1424" ht="15" customHeight="1" s="1">
      <c r="P1424">
        <f>IF(OR(F1424="",H1424="",J1424=""),"",J1424&amp;"|"&amp;F1424&amp;"|"&amp;IF(H1424="W3","W3_"&amp;IF(I1424="","unknown",I1424),H1424))</f>
        <v/>
      </c>
      <c r="Q1424">
        <f>IF(P1424="","",IFERROR(IF(AND(H1424="W7",OR(F1424="causal",F1424="predictive")),IF(AND(OR(K1424=1,K1424="1"),OR(L1424=1,L1424="1"),OR(M1424=1,M1424="1")),"adequate","partial"),IF(AND(H1424="W4",F1424="predictive",OR(J1424="P2",J1424="P3",J1424="P4")),IF(OR(U1424=1,U1424="1"),"adequate","partial"),INDEX(Fit_Matrix!$B:$B,MATCH(P1424,Fit_Matrix!$A:$A,0)))),"CHECK KEY"))</f>
        <v/>
      </c>
      <c r="U1424" s="10" t="n"/>
      <c r="V1424" s="10" t="n"/>
      <c r="W1424" s="10" t="n"/>
      <c r="X1424" s="10" t="n"/>
      <c r="Y1424" s="10" t="n"/>
      <c r="Z1424" s="10" t="n"/>
      <c r="AA1424" s="11">
        <f>IF(A1424="","",IF(AND(J1424="P4",F1424="causal"),"P4-CAUSAL",""))</f>
        <v/>
      </c>
    </row>
    <row r="1425" ht="15" customHeight="1" s="1">
      <c r="P1425">
        <f>IF(OR(F1425="",H1425="",J1425=""),"",J1425&amp;"|"&amp;F1425&amp;"|"&amp;IF(H1425="W3","W3_"&amp;IF(I1425="","unknown",I1425),H1425))</f>
        <v/>
      </c>
      <c r="Q1425">
        <f>IF(P1425="","",IFERROR(IF(AND(H1425="W7",OR(F1425="causal",F1425="predictive")),IF(AND(OR(K1425=1,K1425="1"),OR(L1425=1,L1425="1"),OR(M1425=1,M1425="1")),"adequate","partial"),IF(AND(H1425="W4",F1425="predictive",OR(J1425="P2",J1425="P3",J1425="P4")),IF(OR(U1425=1,U1425="1"),"adequate","partial"),INDEX(Fit_Matrix!$B:$B,MATCH(P1425,Fit_Matrix!$A:$A,0)))),"CHECK KEY"))</f>
        <v/>
      </c>
      <c r="U1425" s="10" t="n"/>
      <c r="V1425" s="10" t="n"/>
      <c r="W1425" s="10" t="n"/>
      <c r="X1425" s="10" t="n"/>
      <c r="Y1425" s="10" t="n"/>
      <c r="Z1425" s="10" t="n"/>
      <c r="AA1425" s="11">
        <f>IF(A1425="","",IF(AND(J1425="P4",F1425="causal"),"P4-CAUSAL",""))</f>
        <v/>
      </c>
    </row>
    <row r="1426" ht="15" customHeight="1" s="1">
      <c r="P1426">
        <f>IF(OR(F1426="",H1426="",J1426=""),"",J1426&amp;"|"&amp;F1426&amp;"|"&amp;IF(H1426="W3","W3_"&amp;IF(I1426="","unknown",I1426),H1426))</f>
        <v/>
      </c>
      <c r="Q1426">
        <f>IF(P1426="","",IFERROR(IF(AND(H1426="W7",OR(F1426="causal",F1426="predictive")),IF(AND(OR(K1426=1,K1426="1"),OR(L1426=1,L1426="1"),OR(M1426=1,M1426="1")),"adequate","partial"),IF(AND(H1426="W4",F1426="predictive",OR(J1426="P2",J1426="P3",J1426="P4")),IF(OR(U1426=1,U1426="1"),"adequate","partial"),INDEX(Fit_Matrix!$B:$B,MATCH(P1426,Fit_Matrix!$A:$A,0)))),"CHECK KEY"))</f>
        <v/>
      </c>
      <c r="U1426" s="10" t="n"/>
      <c r="V1426" s="10" t="n"/>
      <c r="W1426" s="10" t="n"/>
      <c r="X1426" s="10" t="n"/>
      <c r="Y1426" s="10" t="n"/>
      <c r="Z1426" s="10" t="n"/>
      <c r="AA1426" s="11">
        <f>IF(A1426="","",IF(AND(J1426="P4",F1426="causal"),"P4-CAUSAL",""))</f>
        <v/>
      </c>
    </row>
    <row r="1427" ht="15" customHeight="1" s="1">
      <c r="P1427">
        <f>IF(OR(F1427="",H1427="",J1427=""),"",J1427&amp;"|"&amp;F1427&amp;"|"&amp;IF(H1427="W3","W3_"&amp;IF(I1427="","unknown",I1427),H1427))</f>
        <v/>
      </c>
      <c r="Q1427">
        <f>IF(P1427="","",IFERROR(IF(AND(H1427="W7",OR(F1427="causal",F1427="predictive")),IF(AND(OR(K1427=1,K1427="1"),OR(L1427=1,L1427="1"),OR(M1427=1,M1427="1")),"adequate","partial"),IF(AND(H1427="W4",F1427="predictive",OR(J1427="P2",J1427="P3",J1427="P4")),IF(OR(U1427=1,U1427="1"),"adequate","partial"),INDEX(Fit_Matrix!$B:$B,MATCH(P1427,Fit_Matrix!$A:$A,0)))),"CHECK KEY"))</f>
        <v/>
      </c>
      <c r="U1427" s="10" t="n"/>
      <c r="V1427" s="10" t="n"/>
      <c r="W1427" s="10" t="n"/>
      <c r="X1427" s="10" t="n"/>
      <c r="Y1427" s="10" t="n"/>
      <c r="Z1427" s="10" t="n"/>
      <c r="AA1427" s="11">
        <f>IF(A1427="","",IF(AND(J1427="P4",F1427="causal"),"P4-CAUSAL",""))</f>
        <v/>
      </c>
    </row>
    <row r="1428" ht="15" customHeight="1" s="1">
      <c r="P1428">
        <f>IF(OR(F1428="",H1428="",J1428=""),"",J1428&amp;"|"&amp;F1428&amp;"|"&amp;IF(H1428="W3","W3_"&amp;IF(I1428="","unknown",I1428),H1428))</f>
        <v/>
      </c>
      <c r="Q1428">
        <f>IF(P1428="","",IFERROR(IF(AND(H1428="W7",OR(F1428="causal",F1428="predictive")),IF(AND(OR(K1428=1,K1428="1"),OR(L1428=1,L1428="1"),OR(M1428=1,M1428="1")),"adequate","partial"),IF(AND(H1428="W4",F1428="predictive",OR(J1428="P2",J1428="P3",J1428="P4")),IF(OR(U1428=1,U1428="1"),"adequate","partial"),INDEX(Fit_Matrix!$B:$B,MATCH(P1428,Fit_Matrix!$A:$A,0)))),"CHECK KEY"))</f>
        <v/>
      </c>
      <c r="U1428" s="10" t="n"/>
      <c r="V1428" s="10" t="n"/>
      <c r="W1428" s="10" t="n"/>
      <c r="X1428" s="10" t="n"/>
      <c r="Y1428" s="10" t="n"/>
      <c r="Z1428" s="10" t="n"/>
      <c r="AA1428" s="11">
        <f>IF(A1428="","",IF(AND(J1428="P4",F1428="causal"),"P4-CAUSAL",""))</f>
        <v/>
      </c>
    </row>
    <row r="1429" ht="15" customHeight="1" s="1">
      <c r="P1429">
        <f>IF(OR(F1429="",H1429="",J1429=""),"",J1429&amp;"|"&amp;F1429&amp;"|"&amp;IF(H1429="W3","W3_"&amp;IF(I1429="","unknown",I1429),H1429))</f>
        <v/>
      </c>
      <c r="Q1429">
        <f>IF(P1429="","",IFERROR(IF(AND(H1429="W7",OR(F1429="causal",F1429="predictive")),IF(AND(OR(K1429=1,K1429="1"),OR(L1429=1,L1429="1"),OR(M1429=1,M1429="1")),"adequate","partial"),IF(AND(H1429="W4",F1429="predictive",OR(J1429="P2",J1429="P3",J1429="P4")),IF(OR(U1429=1,U1429="1"),"adequate","partial"),INDEX(Fit_Matrix!$B:$B,MATCH(P1429,Fit_Matrix!$A:$A,0)))),"CHECK KEY"))</f>
        <v/>
      </c>
      <c r="U1429" s="10" t="n"/>
      <c r="V1429" s="10" t="n"/>
      <c r="W1429" s="10" t="n"/>
      <c r="X1429" s="10" t="n"/>
      <c r="Y1429" s="10" t="n"/>
      <c r="Z1429" s="10" t="n"/>
      <c r="AA1429" s="11">
        <f>IF(A1429="","",IF(AND(J1429="P4",F1429="causal"),"P4-CAUSAL",""))</f>
        <v/>
      </c>
    </row>
    <row r="1430" ht="15" customHeight="1" s="1">
      <c r="P1430">
        <f>IF(OR(F1430="",H1430="",J1430=""),"",J1430&amp;"|"&amp;F1430&amp;"|"&amp;IF(H1430="W3","W3_"&amp;IF(I1430="","unknown",I1430),H1430))</f>
        <v/>
      </c>
      <c r="Q1430">
        <f>IF(P1430="","",IFERROR(IF(AND(H1430="W7",OR(F1430="causal",F1430="predictive")),IF(AND(OR(K1430=1,K1430="1"),OR(L1430=1,L1430="1"),OR(M1430=1,M1430="1")),"adequate","partial"),IF(AND(H1430="W4",F1430="predictive",OR(J1430="P2",J1430="P3",J1430="P4")),IF(OR(U1430=1,U1430="1"),"adequate","partial"),INDEX(Fit_Matrix!$B:$B,MATCH(P1430,Fit_Matrix!$A:$A,0)))),"CHECK KEY"))</f>
        <v/>
      </c>
      <c r="U1430" s="10" t="n"/>
      <c r="V1430" s="10" t="n"/>
      <c r="W1430" s="10" t="n"/>
      <c r="X1430" s="10" t="n"/>
      <c r="Y1430" s="10" t="n"/>
      <c r="Z1430" s="10" t="n"/>
      <c r="AA1430" s="11">
        <f>IF(A1430="","",IF(AND(J1430="P4",F1430="causal"),"P4-CAUSAL",""))</f>
        <v/>
      </c>
    </row>
    <row r="1431" ht="15" customHeight="1" s="1">
      <c r="P1431">
        <f>IF(OR(F1431="",H1431="",J1431=""),"",J1431&amp;"|"&amp;F1431&amp;"|"&amp;IF(H1431="W3","W3_"&amp;IF(I1431="","unknown",I1431),H1431))</f>
        <v/>
      </c>
      <c r="Q1431">
        <f>IF(P1431="","",IFERROR(IF(AND(H1431="W7",OR(F1431="causal",F1431="predictive")),IF(AND(OR(K1431=1,K1431="1"),OR(L1431=1,L1431="1"),OR(M1431=1,M1431="1")),"adequate","partial"),IF(AND(H1431="W4",F1431="predictive",OR(J1431="P2",J1431="P3",J1431="P4")),IF(OR(U1431=1,U1431="1"),"adequate","partial"),INDEX(Fit_Matrix!$B:$B,MATCH(P1431,Fit_Matrix!$A:$A,0)))),"CHECK KEY"))</f>
        <v/>
      </c>
      <c r="U1431" s="10" t="n"/>
      <c r="V1431" s="10" t="n"/>
      <c r="W1431" s="10" t="n"/>
      <c r="X1431" s="10" t="n"/>
      <c r="Y1431" s="10" t="n"/>
      <c r="Z1431" s="10" t="n"/>
      <c r="AA1431" s="11">
        <f>IF(A1431="","",IF(AND(J1431="P4",F1431="causal"),"P4-CAUSAL",""))</f>
        <v/>
      </c>
    </row>
    <row r="1432" ht="15" customHeight="1" s="1">
      <c r="P1432">
        <f>IF(OR(F1432="",H1432="",J1432=""),"",J1432&amp;"|"&amp;F1432&amp;"|"&amp;IF(H1432="W3","W3_"&amp;IF(I1432="","unknown",I1432),H1432))</f>
        <v/>
      </c>
      <c r="Q1432">
        <f>IF(P1432="","",IFERROR(IF(AND(H1432="W7",OR(F1432="causal",F1432="predictive")),IF(AND(OR(K1432=1,K1432="1"),OR(L1432=1,L1432="1"),OR(M1432=1,M1432="1")),"adequate","partial"),IF(AND(H1432="W4",F1432="predictive",OR(J1432="P2",J1432="P3",J1432="P4")),IF(OR(U1432=1,U1432="1"),"adequate","partial"),INDEX(Fit_Matrix!$B:$B,MATCH(P1432,Fit_Matrix!$A:$A,0)))),"CHECK KEY"))</f>
        <v/>
      </c>
      <c r="U1432" s="10" t="n"/>
      <c r="V1432" s="10" t="n"/>
      <c r="W1432" s="10" t="n"/>
      <c r="X1432" s="10" t="n"/>
      <c r="Y1432" s="10" t="n"/>
      <c r="Z1432" s="10" t="n"/>
      <c r="AA1432" s="11">
        <f>IF(A1432="","",IF(AND(J1432="P4",F1432="causal"),"P4-CAUSAL",""))</f>
        <v/>
      </c>
    </row>
    <row r="1433" ht="15" customHeight="1" s="1">
      <c r="P1433">
        <f>IF(OR(F1433="",H1433="",J1433=""),"",J1433&amp;"|"&amp;F1433&amp;"|"&amp;IF(H1433="W3","W3_"&amp;IF(I1433="","unknown",I1433),H1433))</f>
        <v/>
      </c>
      <c r="Q1433">
        <f>IF(P1433="","",IFERROR(IF(AND(H1433="W7",OR(F1433="causal",F1433="predictive")),IF(AND(OR(K1433=1,K1433="1"),OR(L1433=1,L1433="1"),OR(M1433=1,M1433="1")),"adequate","partial"),IF(AND(H1433="W4",F1433="predictive",OR(J1433="P2",J1433="P3",J1433="P4")),IF(OR(U1433=1,U1433="1"),"adequate","partial"),INDEX(Fit_Matrix!$B:$B,MATCH(P1433,Fit_Matrix!$A:$A,0)))),"CHECK KEY"))</f>
        <v/>
      </c>
      <c r="U1433" s="10" t="n"/>
      <c r="V1433" s="10" t="n"/>
      <c r="W1433" s="10" t="n"/>
      <c r="X1433" s="10" t="n"/>
      <c r="Y1433" s="10" t="n"/>
      <c r="Z1433" s="10" t="n"/>
      <c r="AA1433" s="11">
        <f>IF(A1433="","",IF(AND(J1433="P4",F1433="causal"),"P4-CAUSAL",""))</f>
        <v/>
      </c>
    </row>
    <row r="1434" ht="15" customHeight="1" s="1">
      <c r="P1434">
        <f>IF(OR(F1434="",H1434="",J1434=""),"",J1434&amp;"|"&amp;F1434&amp;"|"&amp;IF(H1434="W3","W3_"&amp;IF(I1434="","unknown",I1434),H1434))</f>
        <v/>
      </c>
      <c r="Q1434">
        <f>IF(P1434="","",IFERROR(IF(AND(H1434="W7",OR(F1434="causal",F1434="predictive")),IF(AND(OR(K1434=1,K1434="1"),OR(L1434=1,L1434="1"),OR(M1434=1,M1434="1")),"adequate","partial"),IF(AND(H1434="W4",F1434="predictive",OR(J1434="P2",J1434="P3",J1434="P4")),IF(OR(U1434=1,U1434="1"),"adequate","partial"),INDEX(Fit_Matrix!$B:$B,MATCH(P1434,Fit_Matrix!$A:$A,0)))),"CHECK KEY"))</f>
        <v/>
      </c>
      <c r="U1434" s="10" t="n"/>
      <c r="V1434" s="10" t="n"/>
      <c r="W1434" s="10" t="n"/>
      <c r="X1434" s="10" t="n"/>
      <c r="Y1434" s="10" t="n"/>
      <c r="Z1434" s="10" t="n"/>
      <c r="AA1434" s="11">
        <f>IF(A1434="","",IF(AND(J1434="P4",F1434="causal"),"P4-CAUSAL",""))</f>
        <v/>
      </c>
    </row>
    <row r="1435" ht="15" customHeight="1" s="1">
      <c r="P1435">
        <f>IF(OR(F1435="",H1435="",J1435=""),"",J1435&amp;"|"&amp;F1435&amp;"|"&amp;IF(H1435="W3","W3_"&amp;IF(I1435="","unknown",I1435),H1435))</f>
        <v/>
      </c>
      <c r="Q1435">
        <f>IF(P1435="","",IFERROR(IF(AND(H1435="W7",OR(F1435="causal",F1435="predictive")),IF(AND(OR(K1435=1,K1435="1"),OR(L1435=1,L1435="1"),OR(M1435=1,M1435="1")),"adequate","partial"),IF(AND(H1435="W4",F1435="predictive",OR(J1435="P2",J1435="P3",J1435="P4")),IF(OR(U1435=1,U1435="1"),"adequate","partial"),INDEX(Fit_Matrix!$B:$B,MATCH(P1435,Fit_Matrix!$A:$A,0)))),"CHECK KEY"))</f>
        <v/>
      </c>
      <c r="U1435" s="10" t="n"/>
      <c r="V1435" s="10" t="n"/>
      <c r="W1435" s="10" t="n"/>
      <c r="X1435" s="10" t="n"/>
      <c r="Y1435" s="10" t="n"/>
      <c r="Z1435" s="10" t="n"/>
      <c r="AA1435" s="11">
        <f>IF(A1435="","",IF(AND(J1435="P4",F1435="causal"),"P4-CAUSAL",""))</f>
        <v/>
      </c>
    </row>
    <row r="1436" ht="15" customHeight="1" s="1">
      <c r="P1436">
        <f>IF(OR(F1436="",H1436="",J1436=""),"",J1436&amp;"|"&amp;F1436&amp;"|"&amp;IF(H1436="W3","W3_"&amp;IF(I1436="","unknown",I1436),H1436))</f>
        <v/>
      </c>
      <c r="Q1436">
        <f>IF(P1436="","",IFERROR(IF(AND(H1436="W7",OR(F1436="causal",F1436="predictive")),IF(AND(OR(K1436=1,K1436="1"),OR(L1436=1,L1436="1"),OR(M1436=1,M1436="1")),"adequate","partial"),IF(AND(H1436="W4",F1436="predictive",OR(J1436="P2",J1436="P3",J1436="P4")),IF(OR(U1436=1,U1436="1"),"adequate","partial"),INDEX(Fit_Matrix!$B:$B,MATCH(P1436,Fit_Matrix!$A:$A,0)))),"CHECK KEY"))</f>
        <v/>
      </c>
      <c r="U1436" s="10" t="n"/>
      <c r="V1436" s="10" t="n"/>
      <c r="W1436" s="10" t="n"/>
      <c r="X1436" s="10" t="n"/>
      <c r="Y1436" s="10" t="n"/>
      <c r="Z1436" s="10" t="n"/>
      <c r="AA1436" s="11">
        <f>IF(A1436="","",IF(AND(J1436="P4",F1436="causal"),"P4-CAUSAL",""))</f>
        <v/>
      </c>
    </row>
    <row r="1437" ht="15" customHeight="1" s="1">
      <c r="P1437">
        <f>IF(OR(F1437="",H1437="",J1437=""),"",J1437&amp;"|"&amp;F1437&amp;"|"&amp;IF(H1437="W3","W3_"&amp;IF(I1437="","unknown",I1437),H1437))</f>
        <v/>
      </c>
      <c r="Q1437">
        <f>IF(P1437="","",IFERROR(IF(AND(H1437="W7",OR(F1437="causal",F1437="predictive")),IF(AND(OR(K1437=1,K1437="1"),OR(L1437=1,L1437="1"),OR(M1437=1,M1437="1")),"adequate","partial"),IF(AND(H1437="W4",F1437="predictive",OR(J1437="P2",J1437="P3",J1437="P4")),IF(OR(U1437=1,U1437="1"),"adequate","partial"),INDEX(Fit_Matrix!$B:$B,MATCH(P1437,Fit_Matrix!$A:$A,0)))),"CHECK KEY"))</f>
        <v/>
      </c>
      <c r="U1437" s="10" t="n"/>
      <c r="V1437" s="10" t="n"/>
      <c r="W1437" s="10" t="n"/>
      <c r="X1437" s="10" t="n"/>
      <c r="Y1437" s="10" t="n"/>
      <c r="Z1437" s="10" t="n"/>
      <c r="AA1437" s="11">
        <f>IF(A1437="","",IF(AND(J1437="P4",F1437="causal"),"P4-CAUSAL",""))</f>
        <v/>
      </c>
    </row>
    <row r="1438" ht="15" customHeight="1" s="1">
      <c r="P1438">
        <f>IF(OR(F1438="",H1438="",J1438=""),"",J1438&amp;"|"&amp;F1438&amp;"|"&amp;IF(H1438="W3","W3_"&amp;IF(I1438="","unknown",I1438),H1438))</f>
        <v/>
      </c>
      <c r="Q1438">
        <f>IF(P1438="","",IFERROR(IF(AND(H1438="W7",OR(F1438="causal",F1438="predictive")),IF(AND(OR(K1438=1,K1438="1"),OR(L1438=1,L1438="1"),OR(M1438=1,M1438="1")),"adequate","partial"),IF(AND(H1438="W4",F1438="predictive",OR(J1438="P2",J1438="P3",J1438="P4")),IF(OR(U1438=1,U1438="1"),"adequate","partial"),INDEX(Fit_Matrix!$B:$B,MATCH(P1438,Fit_Matrix!$A:$A,0)))),"CHECK KEY"))</f>
        <v/>
      </c>
      <c r="U1438" s="10" t="n"/>
      <c r="V1438" s="10" t="n"/>
      <c r="W1438" s="10" t="n"/>
      <c r="X1438" s="10" t="n"/>
      <c r="Y1438" s="10" t="n"/>
      <c r="Z1438" s="10" t="n"/>
      <c r="AA1438" s="11">
        <f>IF(A1438="","",IF(AND(J1438="P4",F1438="causal"),"P4-CAUSAL",""))</f>
        <v/>
      </c>
    </row>
    <row r="1439" ht="15" customHeight="1" s="1">
      <c r="P1439">
        <f>IF(OR(F1439="",H1439="",J1439=""),"",J1439&amp;"|"&amp;F1439&amp;"|"&amp;IF(H1439="W3","W3_"&amp;IF(I1439="","unknown",I1439),H1439))</f>
        <v/>
      </c>
      <c r="Q1439">
        <f>IF(P1439="","",IFERROR(IF(AND(H1439="W7",OR(F1439="causal",F1439="predictive")),IF(AND(OR(K1439=1,K1439="1"),OR(L1439=1,L1439="1"),OR(M1439=1,M1439="1")),"adequate","partial"),IF(AND(H1439="W4",F1439="predictive",OR(J1439="P2",J1439="P3",J1439="P4")),IF(OR(U1439=1,U1439="1"),"adequate","partial"),INDEX(Fit_Matrix!$B:$B,MATCH(P1439,Fit_Matrix!$A:$A,0)))),"CHECK KEY"))</f>
        <v/>
      </c>
      <c r="U1439" s="10" t="n"/>
      <c r="V1439" s="10" t="n"/>
      <c r="W1439" s="10" t="n"/>
      <c r="X1439" s="10" t="n"/>
      <c r="Y1439" s="10" t="n"/>
      <c r="Z1439" s="10" t="n"/>
      <c r="AA1439" s="11">
        <f>IF(A1439="","",IF(AND(J1439="P4",F1439="causal"),"P4-CAUSAL",""))</f>
        <v/>
      </c>
    </row>
    <row r="1440" ht="15" customHeight="1" s="1">
      <c r="P1440">
        <f>IF(OR(F1440="",H1440="",J1440=""),"",J1440&amp;"|"&amp;F1440&amp;"|"&amp;IF(H1440="W3","W3_"&amp;IF(I1440="","unknown",I1440),H1440))</f>
        <v/>
      </c>
      <c r="Q1440">
        <f>IF(P1440="","",IFERROR(IF(AND(H1440="W7",OR(F1440="causal",F1440="predictive")),IF(AND(OR(K1440=1,K1440="1"),OR(L1440=1,L1440="1"),OR(M1440=1,M1440="1")),"adequate","partial"),IF(AND(H1440="W4",F1440="predictive",OR(J1440="P2",J1440="P3",J1440="P4")),IF(OR(U1440=1,U1440="1"),"adequate","partial"),INDEX(Fit_Matrix!$B:$B,MATCH(P1440,Fit_Matrix!$A:$A,0)))),"CHECK KEY"))</f>
        <v/>
      </c>
      <c r="U1440" s="10" t="n"/>
      <c r="V1440" s="10" t="n"/>
      <c r="W1440" s="10" t="n"/>
      <c r="X1440" s="10" t="n"/>
      <c r="Y1440" s="10" t="n"/>
      <c r="Z1440" s="10" t="n"/>
      <c r="AA1440" s="11">
        <f>IF(A1440="","",IF(AND(J1440="P4",F1440="causal"),"P4-CAUSAL",""))</f>
        <v/>
      </c>
    </row>
    <row r="1441" ht="15" customHeight="1" s="1">
      <c r="P1441">
        <f>IF(OR(F1441="",H1441="",J1441=""),"",J1441&amp;"|"&amp;F1441&amp;"|"&amp;IF(H1441="W3","W3_"&amp;IF(I1441="","unknown",I1441),H1441))</f>
        <v/>
      </c>
      <c r="Q1441">
        <f>IF(P1441="","",IFERROR(IF(AND(H1441="W7",OR(F1441="causal",F1441="predictive")),IF(AND(OR(K1441=1,K1441="1"),OR(L1441=1,L1441="1"),OR(M1441=1,M1441="1")),"adequate","partial"),IF(AND(H1441="W4",F1441="predictive",OR(J1441="P2",J1441="P3",J1441="P4")),IF(OR(U1441=1,U1441="1"),"adequate","partial"),INDEX(Fit_Matrix!$B:$B,MATCH(P1441,Fit_Matrix!$A:$A,0)))),"CHECK KEY"))</f>
        <v/>
      </c>
      <c r="U1441" s="10" t="n"/>
      <c r="V1441" s="10" t="n"/>
      <c r="W1441" s="10" t="n"/>
      <c r="X1441" s="10" t="n"/>
      <c r="Y1441" s="10" t="n"/>
      <c r="Z1441" s="10" t="n"/>
      <c r="AA1441" s="11">
        <f>IF(A1441="","",IF(AND(J1441="P4",F1441="causal"),"P4-CAUSAL",""))</f>
        <v/>
      </c>
    </row>
    <row r="1442" ht="15" customHeight="1" s="1">
      <c r="P1442">
        <f>IF(OR(F1442="",H1442="",J1442=""),"",J1442&amp;"|"&amp;F1442&amp;"|"&amp;IF(H1442="W3","W3_"&amp;IF(I1442="","unknown",I1442),H1442))</f>
        <v/>
      </c>
      <c r="Q1442">
        <f>IF(P1442="","",IFERROR(IF(AND(H1442="W7",OR(F1442="causal",F1442="predictive")),IF(AND(OR(K1442=1,K1442="1"),OR(L1442=1,L1442="1"),OR(M1442=1,M1442="1")),"adequate","partial"),IF(AND(H1442="W4",F1442="predictive",OR(J1442="P2",J1442="P3",J1442="P4")),IF(OR(U1442=1,U1442="1"),"adequate","partial"),INDEX(Fit_Matrix!$B:$B,MATCH(P1442,Fit_Matrix!$A:$A,0)))),"CHECK KEY"))</f>
        <v/>
      </c>
      <c r="U1442" s="10" t="n"/>
      <c r="V1442" s="10" t="n"/>
      <c r="W1442" s="10" t="n"/>
      <c r="X1442" s="10" t="n"/>
      <c r="Y1442" s="10" t="n"/>
      <c r="Z1442" s="10" t="n"/>
      <c r="AA1442" s="11">
        <f>IF(A1442="","",IF(AND(J1442="P4",F1442="causal"),"P4-CAUSAL",""))</f>
        <v/>
      </c>
    </row>
    <row r="1443" ht="15" customHeight="1" s="1">
      <c r="P1443">
        <f>IF(OR(F1443="",H1443="",J1443=""),"",J1443&amp;"|"&amp;F1443&amp;"|"&amp;IF(H1443="W3","W3_"&amp;IF(I1443="","unknown",I1443),H1443))</f>
        <v/>
      </c>
      <c r="Q1443">
        <f>IF(P1443="","",IFERROR(IF(AND(H1443="W7",OR(F1443="causal",F1443="predictive")),IF(AND(OR(K1443=1,K1443="1"),OR(L1443=1,L1443="1"),OR(M1443=1,M1443="1")),"adequate","partial"),IF(AND(H1443="W4",F1443="predictive",OR(J1443="P2",J1443="P3",J1443="P4")),IF(OR(U1443=1,U1443="1"),"adequate","partial"),INDEX(Fit_Matrix!$B:$B,MATCH(P1443,Fit_Matrix!$A:$A,0)))),"CHECK KEY"))</f>
        <v/>
      </c>
      <c r="U1443" s="10" t="n"/>
      <c r="V1443" s="10" t="n"/>
      <c r="W1443" s="10" t="n"/>
      <c r="X1443" s="10" t="n"/>
      <c r="Y1443" s="10" t="n"/>
      <c r="Z1443" s="10" t="n"/>
      <c r="AA1443" s="11">
        <f>IF(A1443="","",IF(AND(J1443="P4",F1443="causal"),"P4-CAUSAL",""))</f>
        <v/>
      </c>
    </row>
    <row r="1444" ht="15" customHeight="1" s="1">
      <c r="P1444">
        <f>IF(OR(F1444="",H1444="",J1444=""),"",J1444&amp;"|"&amp;F1444&amp;"|"&amp;IF(H1444="W3","W3_"&amp;IF(I1444="","unknown",I1444),H1444))</f>
        <v/>
      </c>
      <c r="Q1444">
        <f>IF(P1444="","",IFERROR(IF(AND(H1444="W7",OR(F1444="causal",F1444="predictive")),IF(AND(OR(K1444=1,K1444="1"),OR(L1444=1,L1444="1"),OR(M1444=1,M1444="1")),"adequate","partial"),IF(AND(H1444="W4",F1444="predictive",OR(J1444="P2",J1444="P3",J1444="P4")),IF(OR(U1444=1,U1444="1"),"adequate","partial"),INDEX(Fit_Matrix!$B:$B,MATCH(P1444,Fit_Matrix!$A:$A,0)))),"CHECK KEY"))</f>
        <v/>
      </c>
      <c r="U1444" s="10" t="n"/>
      <c r="V1444" s="10" t="n"/>
      <c r="W1444" s="10" t="n"/>
      <c r="X1444" s="10" t="n"/>
      <c r="Y1444" s="10" t="n"/>
      <c r="Z1444" s="10" t="n"/>
      <c r="AA1444" s="11">
        <f>IF(A1444="","",IF(AND(J1444="P4",F1444="causal"),"P4-CAUSAL",""))</f>
        <v/>
      </c>
    </row>
    <row r="1445" ht="15" customHeight="1" s="1">
      <c r="P1445">
        <f>IF(OR(F1445="",H1445="",J1445=""),"",J1445&amp;"|"&amp;F1445&amp;"|"&amp;IF(H1445="W3","W3_"&amp;IF(I1445="","unknown",I1445),H1445))</f>
        <v/>
      </c>
      <c r="Q1445">
        <f>IF(P1445="","",IFERROR(IF(AND(H1445="W7",OR(F1445="causal",F1445="predictive")),IF(AND(OR(K1445=1,K1445="1"),OR(L1445=1,L1445="1"),OR(M1445=1,M1445="1")),"adequate","partial"),IF(AND(H1445="W4",F1445="predictive",OR(J1445="P2",J1445="P3",J1445="P4")),IF(OR(U1445=1,U1445="1"),"adequate","partial"),INDEX(Fit_Matrix!$B:$B,MATCH(P1445,Fit_Matrix!$A:$A,0)))),"CHECK KEY"))</f>
        <v/>
      </c>
      <c r="U1445" s="10" t="n"/>
      <c r="V1445" s="10" t="n"/>
      <c r="W1445" s="10" t="n"/>
      <c r="X1445" s="10" t="n"/>
      <c r="Y1445" s="10" t="n"/>
      <c r="Z1445" s="10" t="n"/>
      <c r="AA1445" s="11">
        <f>IF(A1445="","",IF(AND(J1445="P4",F1445="causal"),"P4-CAUSAL",""))</f>
        <v/>
      </c>
    </row>
    <row r="1446" ht="15" customHeight="1" s="1">
      <c r="P1446">
        <f>IF(OR(F1446="",H1446="",J1446=""),"",J1446&amp;"|"&amp;F1446&amp;"|"&amp;IF(H1446="W3","W3_"&amp;IF(I1446="","unknown",I1446),H1446))</f>
        <v/>
      </c>
      <c r="Q1446">
        <f>IF(P1446="","",IFERROR(IF(AND(H1446="W7",OR(F1446="causal",F1446="predictive")),IF(AND(OR(K1446=1,K1446="1"),OR(L1446=1,L1446="1"),OR(M1446=1,M1446="1")),"adequate","partial"),IF(AND(H1446="W4",F1446="predictive",OR(J1446="P2",J1446="P3",J1446="P4")),IF(OR(U1446=1,U1446="1"),"adequate","partial"),INDEX(Fit_Matrix!$B:$B,MATCH(P1446,Fit_Matrix!$A:$A,0)))),"CHECK KEY"))</f>
        <v/>
      </c>
      <c r="U1446" s="10" t="n"/>
      <c r="V1446" s="10" t="n"/>
      <c r="W1446" s="10" t="n"/>
      <c r="X1446" s="10" t="n"/>
      <c r="Y1446" s="10" t="n"/>
      <c r="Z1446" s="10" t="n"/>
      <c r="AA1446" s="11">
        <f>IF(A1446="","",IF(AND(J1446="P4",F1446="causal"),"P4-CAUSAL",""))</f>
        <v/>
      </c>
    </row>
    <row r="1447" ht="15" customHeight="1" s="1">
      <c r="P1447">
        <f>IF(OR(F1447="",H1447="",J1447=""),"",J1447&amp;"|"&amp;F1447&amp;"|"&amp;IF(H1447="W3","W3_"&amp;IF(I1447="","unknown",I1447),H1447))</f>
        <v/>
      </c>
      <c r="Q1447">
        <f>IF(P1447="","",IFERROR(IF(AND(H1447="W7",OR(F1447="causal",F1447="predictive")),IF(AND(OR(K1447=1,K1447="1"),OR(L1447=1,L1447="1"),OR(M1447=1,M1447="1")),"adequate","partial"),IF(AND(H1447="W4",F1447="predictive",OR(J1447="P2",J1447="P3",J1447="P4")),IF(OR(U1447=1,U1447="1"),"adequate","partial"),INDEX(Fit_Matrix!$B:$B,MATCH(P1447,Fit_Matrix!$A:$A,0)))),"CHECK KEY"))</f>
        <v/>
      </c>
      <c r="U1447" s="10" t="n"/>
      <c r="V1447" s="10" t="n"/>
      <c r="W1447" s="10" t="n"/>
      <c r="X1447" s="10" t="n"/>
      <c r="Y1447" s="10" t="n"/>
      <c r="Z1447" s="10" t="n"/>
      <c r="AA1447" s="11">
        <f>IF(A1447="","",IF(AND(J1447="P4",F1447="causal"),"P4-CAUSAL",""))</f>
        <v/>
      </c>
    </row>
    <row r="1448" ht="15" customHeight="1" s="1">
      <c r="P1448">
        <f>IF(OR(F1448="",H1448="",J1448=""),"",J1448&amp;"|"&amp;F1448&amp;"|"&amp;IF(H1448="W3","W3_"&amp;IF(I1448="","unknown",I1448),H1448))</f>
        <v/>
      </c>
      <c r="Q1448">
        <f>IF(P1448="","",IFERROR(IF(AND(H1448="W7",OR(F1448="causal",F1448="predictive")),IF(AND(OR(K1448=1,K1448="1"),OR(L1448=1,L1448="1"),OR(M1448=1,M1448="1")),"adequate","partial"),IF(AND(H1448="W4",F1448="predictive",OR(J1448="P2",J1448="P3",J1448="P4")),IF(OR(U1448=1,U1448="1"),"adequate","partial"),INDEX(Fit_Matrix!$B:$B,MATCH(P1448,Fit_Matrix!$A:$A,0)))),"CHECK KEY"))</f>
        <v/>
      </c>
      <c r="U1448" s="10" t="n"/>
      <c r="V1448" s="10" t="n"/>
      <c r="W1448" s="10" t="n"/>
      <c r="X1448" s="10" t="n"/>
      <c r="Y1448" s="10" t="n"/>
      <c r="Z1448" s="10" t="n"/>
      <c r="AA1448" s="11">
        <f>IF(A1448="","",IF(AND(J1448="P4",F1448="causal"),"P4-CAUSAL",""))</f>
        <v/>
      </c>
    </row>
    <row r="1449" ht="15" customHeight="1" s="1">
      <c r="P1449">
        <f>IF(OR(F1449="",H1449="",J1449=""),"",J1449&amp;"|"&amp;F1449&amp;"|"&amp;IF(H1449="W3","W3_"&amp;IF(I1449="","unknown",I1449),H1449))</f>
        <v/>
      </c>
      <c r="Q1449">
        <f>IF(P1449="","",IFERROR(IF(AND(H1449="W7",OR(F1449="causal",F1449="predictive")),IF(AND(OR(K1449=1,K1449="1"),OR(L1449=1,L1449="1"),OR(M1449=1,M1449="1")),"adequate","partial"),IF(AND(H1449="W4",F1449="predictive",OR(J1449="P2",J1449="P3",J1449="P4")),IF(OR(U1449=1,U1449="1"),"adequate","partial"),INDEX(Fit_Matrix!$B:$B,MATCH(P1449,Fit_Matrix!$A:$A,0)))),"CHECK KEY"))</f>
        <v/>
      </c>
      <c r="U1449" s="10" t="n"/>
      <c r="V1449" s="10" t="n"/>
      <c r="W1449" s="10" t="n"/>
      <c r="X1449" s="10" t="n"/>
      <c r="Y1449" s="10" t="n"/>
      <c r="Z1449" s="10" t="n"/>
      <c r="AA1449" s="11">
        <f>IF(A1449="","",IF(AND(J1449="P4",F1449="causal"),"P4-CAUSAL",""))</f>
        <v/>
      </c>
    </row>
    <row r="1450" ht="15" customHeight="1" s="1">
      <c r="P1450">
        <f>IF(OR(F1450="",H1450="",J1450=""),"",J1450&amp;"|"&amp;F1450&amp;"|"&amp;IF(H1450="W3","W3_"&amp;IF(I1450="","unknown",I1450),H1450))</f>
        <v/>
      </c>
      <c r="Q1450">
        <f>IF(P1450="","",IFERROR(IF(AND(H1450="W7",OR(F1450="causal",F1450="predictive")),IF(AND(OR(K1450=1,K1450="1"),OR(L1450=1,L1450="1"),OR(M1450=1,M1450="1")),"adequate","partial"),IF(AND(H1450="W4",F1450="predictive",OR(J1450="P2",J1450="P3",J1450="P4")),IF(OR(U1450=1,U1450="1"),"adequate","partial"),INDEX(Fit_Matrix!$B:$B,MATCH(P1450,Fit_Matrix!$A:$A,0)))),"CHECK KEY"))</f>
        <v/>
      </c>
      <c r="U1450" s="10" t="n"/>
      <c r="V1450" s="10" t="n"/>
      <c r="W1450" s="10" t="n"/>
      <c r="X1450" s="10" t="n"/>
      <c r="Y1450" s="10" t="n"/>
      <c r="Z1450" s="10" t="n"/>
      <c r="AA1450" s="11">
        <f>IF(A1450="","",IF(AND(J1450="P4",F1450="causal"),"P4-CAUSAL",""))</f>
        <v/>
      </c>
    </row>
    <row r="1451" ht="15" customHeight="1" s="1">
      <c r="P1451">
        <f>IF(OR(F1451="",H1451="",J1451=""),"",J1451&amp;"|"&amp;F1451&amp;"|"&amp;IF(H1451="W3","W3_"&amp;IF(I1451="","unknown",I1451),H1451))</f>
        <v/>
      </c>
      <c r="Q1451">
        <f>IF(P1451="","",IFERROR(IF(AND(H1451="W7",OR(F1451="causal",F1451="predictive")),IF(AND(OR(K1451=1,K1451="1"),OR(L1451=1,L1451="1"),OR(M1451=1,M1451="1")),"adequate","partial"),IF(AND(H1451="W4",F1451="predictive",OR(J1451="P2",J1451="P3",J1451="P4")),IF(OR(U1451=1,U1451="1"),"adequate","partial"),INDEX(Fit_Matrix!$B:$B,MATCH(P1451,Fit_Matrix!$A:$A,0)))),"CHECK KEY"))</f>
        <v/>
      </c>
      <c r="U1451" s="10" t="n"/>
      <c r="V1451" s="10" t="n"/>
      <c r="W1451" s="10" t="n"/>
      <c r="X1451" s="10" t="n"/>
      <c r="Y1451" s="10" t="n"/>
      <c r="Z1451" s="10" t="n"/>
      <c r="AA1451" s="11">
        <f>IF(A1451="","",IF(AND(J1451="P4",F1451="causal"),"P4-CAUSAL",""))</f>
        <v/>
      </c>
    </row>
    <row r="1452" ht="15" customHeight="1" s="1">
      <c r="P1452">
        <f>IF(OR(F1452="",H1452="",J1452=""),"",J1452&amp;"|"&amp;F1452&amp;"|"&amp;IF(H1452="W3","W3_"&amp;IF(I1452="","unknown",I1452),H1452))</f>
        <v/>
      </c>
      <c r="Q1452">
        <f>IF(P1452="","",IFERROR(IF(AND(H1452="W7",OR(F1452="causal",F1452="predictive")),IF(AND(OR(K1452=1,K1452="1"),OR(L1452=1,L1452="1"),OR(M1452=1,M1452="1")),"adequate","partial"),IF(AND(H1452="W4",F1452="predictive",OR(J1452="P2",J1452="P3",J1452="P4")),IF(OR(U1452=1,U1452="1"),"adequate","partial"),INDEX(Fit_Matrix!$B:$B,MATCH(P1452,Fit_Matrix!$A:$A,0)))),"CHECK KEY"))</f>
        <v/>
      </c>
      <c r="U1452" s="10" t="n"/>
      <c r="V1452" s="10" t="n"/>
      <c r="W1452" s="10" t="n"/>
      <c r="X1452" s="10" t="n"/>
      <c r="Y1452" s="10" t="n"/>
      <c r="Z1452" s="10" t="n"/>
      <c r="AA1452" s="11">
        <f>IF(A1452="","",IF(AND(J1452="P4",F1452="causal"),"P4-CAUSAL",""))</f>
        <v/>
      </c>
    </row>
    <row r="1453" ht="15" customHeight="1" s="1">
      <c r="P1453">
        <f>IF(OR(F1453="",H1453="",J1453=""),"",J1453&amp;"|"&amp;F1453&amp;"|"&amp;IF(H1453="W3","W3_"&amp;IF(I1453="","unknown",I1453),H1453))</f>
        <v/>
      </c>
      <c r="Q1453">
        <f>IF(P1453="","",IFERROR(IF(AND(H1453="W7",OR(F1453="causal",F1453="predictive")),IF(AND(OR(K1453=1,K1453="1"),OR(L1453=1,L1453="1"),OR(M1453=1,M1453="1")),"adequate","partial"),IF(AND(H1453="W4",F1453="predictive",OR(J1453="P2",J1453="P3",J1453="P4")),IF(OR(U1453=1,U1453="1"),"adequate","partial"),INDEX(Fit_Matrix!$B:$B,MATCH(P1453,Fit_Matrix!$A:$A,0)))),"CHECK KEY"))</f>
        <v/>
      </c>
      <c r="U1453" s="10" t="n"/>
      <c r="V1453" s="10" t="n"/>
      <c r="W1453" s="10" t="n"/>
      <c r="X1453" s="10" t="n"/>
      <c r="Y1453" s="10" t="n"/>
      <c r="Z1453" s="10" t="n"/>
      <c r="AA1453" s="11">
        <f>IF(A1453="","",IF(AND(J1453="P4",F1453="causal"),"P4-CAUSAL",""))</f>
        <v/>
      </c>
    </row>
    <row r="1454" ht="15" customHeight="1" s="1">
      <c r="P1454">
        <f>IF(OR(F1454="",H1454="",J1454=""),"",J1454&amp;"|"&amp;F1454&amp;"|"&amp;IF(H1454="W3","W3_"&amp;IF(I1454="","unknown",I1454),H1454))</f>
        <v/>
      </c>
      <c r="Q1454">
        <f>IF(P1454="","",IFERROR(IF(AND(H1454="W7",OR(F1454="causal",F1454="predictive")),IF(AND(OR(K1454=1,K1454="1"),OR(L1454=1,L1454="1"),OR(M1454=1,M1454="1")),"adequate","partial"),IF(AND(H1454="W4",F1454="predictive",OR(J1454="P2",J1454="P3",J1454="P4")),IF(OR(U1454=1,U1454="1"),"adequate","partial"),INDEX(Fit_Matrix!$B:$B,MATCH(P1454,Fit_Matrix!$A:$A,0)))),"CHECK KEY"))</f>
        <v/>
      </c>
      <c r="U1454" s="10" t="n"/>
      <c r="V1454" s="10" t="n"/>
      <c r="W1454" s="10" t="n"/>
      <c r="X1454" s="10" t="n"/>
      <c r="Y1454" s="10" t="n"/>
      <c r="Z1454" s="10" t="n"/>
      <c r="AA1454" s="11">
        <f>IF(A1454="","",IF(AND(J1454="P4",F1454="causal"),"P4-CAUSAL",""))</f>
        <v/>
      </c>
    </row>
    <row r="1455" ht="15" customHeight="1" s="1">
      <c r="P1455">
        <f>IF(OR(F1455="",H1455="",J1455=""),"",J1455&amp;"|"&amp;F1455&amp;"|"&amp;IF(H1455="W3","W3_"&amp;IF(I1455="","unknown",I1455),H1455))</f>
        <v/>
      </c>
      <c r="Q1455">
        <f>IF(P1455="","",IFERROR(IF(AND(H1455="W7",OR(F1455="causal",F1455="predictive")),IF(AND(OR(K1455=1,K1455="1"),OR(L1455=1,L1455="1"),OR(M1455=1,M1455="1")),"adequate","partial"),IF(AND(H1455="W4",F1455="predictive",OR(J1455="P2",J1455="P3",J1455="P4")),IF(OR(U1455=1,U1455="1"),"adequate","partial"),INDEX(Fit_Matrix!$B:$B,MATCH(P1455,Fit_Matrix!$A:$A,0)))),"CHECK KEY"))</f>
        <v/>
      </c>
      <c r="U1455" s="10" t="n"/>
      <c r="V1455" s="10" t="n"/>
      <c r="W1455" s="10" t="n"/>
      <c r="X1455" s="10" t="n"/>
      <c r="Y1455" s="10" t="n"/>
      <c r="Z1455" s="10" t="n"/>
      <c r="AA1455" s="11">
        <f>IF(A1455="","",IF(AND(J1455="P4",F1455="causal"),"P4-CAUSAL",""))</f>
        <v/>
      </c>
    </row>
    <row r="1456" ht="15" customHeight="1" s="1">
      <c r="P1456">
        <f>IF(OR(F1456="",H1456="",J1456=""),"",J1456&amp;"|"&amp;F1456&amp;"|"&amp;IF(H1456="W3","W3_"&amp;IF(I1456="","unknown",I1456),H1456))</f>
        <v/>
      </c>
      <c r="Q1456">
        <f>IF(P1456="","",IFERROR(IF(AND(H1456="W7",OR(F1456="causal",F1456="predictive")),IF(AND(OR(K1456=1,K1456="1"),OR(L1456=1,L1456="1"),OR(M1456=1,M1456="1")),"adequate","partial"),IF(AND(H1456="W4",F1456="predictive",OR(J1456="P2",J1456="P3",J1456="P4")),IF(OR(U1456=1,U1456="1"),"adequate","partial"),INDEX(Fit_Matrix!$B:$B,MATCH(P1456,Fit_Matrix!$A:$A,0)))),"CHECK KEY"))</f>
        <v/>
      </c>
      <c r="U1456" s="10" t="n"/>
      <c r="V1456" s="10" t="n"/>
      <c r="W1456" s="10" t="n"/>
      <c r="X1456" s="10" t="n"/>
      <c r="Y1456" s="10" t="n"/>
      <c r="Z1456" s="10" t="n"/>
      <c r="AA1456" s="11">
        <f>IF(A1456="","",IF(AND(J1456="P4",F1456="causal"),"P4-CAUSAL",""))</f>
        <v/>
      </c>
    </row>
    <row r="1457" ht="15" customHeight="1" s="1">
      <c r="P1457">
        <f>IF(OR(F1457="",H1457="",J1457=""),"",J1457&amp;"|"&amp;F1457&amp;"|"&amp;IF(H1457="W3","W3_"&amp;IF(I1457="","unknown",I1457),H1457))</f>
        <v/>
      </c>
      <c r="Q1457">
        <f>IF(P1457="","",IFERROR(IF(AND(H1457="W7",OR(F1457="causal",F1457="predictive")),IF(AND(OR(K1457=1,K1457="1"),OR(L1457=1,L1457="1"),OR(M1457=1,M1457="1")),"adequate","partial"),IF(AND(H1457="W4",F1457="predictive",OR(J1457="P2",J1457="P3",J1457="P4")),IF(OR(U1457=1,U1457="1"),"adequate","partial"),INDEX(Fit_Matrix!$B:$B,MATCH(P1457,Fit_Matrix!$A:$A,0)))),"CHECK KEY"))</f>
        <v/>
      </c>
      <c r="U1457" s="10" t="n"/>
      <c r="V1457" s="10" t="n"/>
      <c r="W1457" s="10" t="n"/>
      <c r="X1457" s="10" t="n"/>
      <c r="Y1457" s="10" t="n"/>
      <c r="Z1457" s="10" t="n"/>
      <c r="AA1457" s="11">
        <f>IF(A1457="","",IF(AND(J1457="P4",F1457="causal"),"P4-CAUSAL",""))</f>
        <v/>
      </c>
    </row>
    <row r="1458" ht="15" customHeight="1" s="1">
      <c r="P1458">
        <f>IF(OR(F1458="",H1458="",J1458=""),"",J1458&amp;"|"&amp;F1458&amp;"|"&amp;IF(H1458="W3","W3_"&amp;IF(I1458="","unknown",I1458),H1458))</f>
        <v/>
      </c>
      <c r="Q1458">
        <f>IF(P1458="","",IFERROR(IF(AND(H1458="W7",OR(F1458="causal",F1458="predictive")),IF(AND(OR(K1458=1,K1458="1"),OR(L1458=1,L1458="1"),OR(M1458=1,M1458="1")),"adequate","partial"),IF(AND(H1458="W4",F1458="predictive",OR(J1458="P2",J1458="P3",J1458="P4")),IF(OR(U1458=1,U1458="1"),"adequate","partial"),INDEX(Fit_Matrix!$B:$B,MATCH(P1458,Fit_Matrix!$A:$A,0)))),"CHECK KEY"))</f>
        <v/>
      </c>
      <c r="U1458" s="10" t="n"/>
      <c r="V1458" s="10" t="n"/>
      <c r="W1458" s="10" t="n"/>
      <c r="X1458" s="10" t="n"/>
      <c r="Y1458" s="10" t="n"/>
      <c r="Z1458" s="10" t="n"/>
      <c r="AA1458" s="11">
        <f>IF(A1458="","",IF(AND(J1458="P4",F1458="causal"),"P4-CAUSAL",""))</f>
        <v/>
      </c>
    </row>
    <row r="1459" ht="15" customHeight="1" s="1">
      <c r="P1459">
        <f>IF(OR(F1459="",H1459="",J1459=""),"",J1459&amp;"|"&amp;F1459&amp;"|"&amp;IF(H1459="W3","W3_"&amp;IF(I1459="","unknown",I1459),H1459))</f>
        <v/>
      </c>
      <c r="Q1459">
        <f>IF(P1459="","",IFERROR(IF(AND(H1459="W7",OR(F1459="causal",F1459="predictive")),IF(AND(OR(K1459=1,K1459="1"),OR(L1459=1,L1459="1"),OR(M1459=1,M1459="1")),"adequate","partial"),IF(AND(H1459="W4",F1459="predictive",OR(J1459="P2",J1459="P3",J1459="P4")),IF(OR(U1459=1,U1459="1"),"adequate","partial"),INDEX(Fit_Matrix!$B:$B,MATCH(P1459,Fit_Matrix!$A:$A,0)))),"CHECK KEY"))</f>
        <v/>
      </c>
      <c r="U1459" s="10" t="n"/>
      <c r="V1459" s="10" t="n"/>
      <c r="W1459" s="10" t="n"/>
      <c r="X1459" s="10" t="n"/>
      <c r="Y1459" s="10" t="n"/>
      <c r="Z1459" s="10" t="n"/>
      <c r="AA1459" s="11">
        <f>IF(A1459="","",IF(AND(J1459="P4",F1459="causal"),"P4-CAUSAL",""))</f>
        <v/>
      </c>
    </row>
    <row r="1460" ht="15" customHeight="1" s="1">
      <c r="P1460">
        <f>IF(OR(F1460="",H1460="",J1460=""),"",J1460&amp;"|"&amp;F1460&amp;"|"&amp;IF(H1460="W3","W3_"&amp;IF(I1460="","unknown",I1460),H1460))</f>
        <v/>
      </c>
      <c r="Q1460">
        <f>IF(P1460="","",IFERROR(IF(AND(H1460="W7",OR(F1460="causal",F1460="predictive")),IF(AND(OR(K1460=1,K1460="1"),OR(L1460=1,L1460="1"),OR(M1460=1,M1460="1")),"adequate","partial"),IF(AND(H1460="W4",F1460="predictive",OR(J1460="P2",J1460="P3",J1460="P4")),IF(OR(U1460=1,U1460="1"),"adequate","partial"),INDEX(Fit_Matrix!$B:$B,MATCH(P1460,Fit_Matrix!$A:$A,0)))),"CHECK KEY"))</f>
        <v/>
      </c>
      <c r="U1460" s="10" t="n"/>
      <c r="V1460" s="10" t="n"/>
      <c r="W1460" s="10" t="n"/>
      <c r="X1460" s="10" t="n"/>
      <c r="Y1460" s="10" t="n"/>
      <c r="Z1460" s="10" t="n"/>
      <c r="AA1460" s="11">
        <f>IF(A1460="","",IF(AND(J1460="P4",F1460="causal"),"P4-CAUSAL",""))</f>
        <v/>
      </c>
    </row>
    <row r="1461" ht="15" customHeight="1" s="1">
      <c r="P1461">
        <f>IF(OR(F1461="",H1461="",J1461=""),"",J1461&amp;"|"&amp;F1461&amp;"|"&amp;IF(H1461="W3","W3_"&amp;IF(I1461="","unknown",I1461),H1461))</f>
        <v/>
      </c>
      <c r="Q1461">
        <f>IF(P1461="","",IFERROR(IF(AND(H1461="W7",OR(F1461="causal",F1461="predictive")),IF(AND(OR(K1461=1,K1461="1"),OR(L1461=1,L1461="1"),OR(M1461=1,M1461="1")),"adequate","partial"),IF(AND(H1461="W4",F1461="predictive",OR(J1461="P2",J1461="P3",J1461="P4")),IF(OR(U1461=1,U1461="1"),"adequate","partial"),INDEX(Fit_Matrix!$B:$B,MATCH(P1461,Fit_Matrix!$A:$A,0)))),"CHECK KEY"))</f>
        <v/>
      </c>
      <c r="U1461" s="10" t="n"/>
      <c r="V1461" s="10" t="n"/>
      <c r="W1461" s="10" t="n"/>
      <c r="X1461" s="10" t="n"/>
      <c r="Y1461" s="10" t="n"/>
      <c r="Z1461" s="10" t="n"/>
      <c r="AA1461" s="11">
        <f>IF(A1461="","",IF(AND(J1461="P4",F1461="causal"),"P4-CAUSAL",""))</f>
        <v/>
      </c>
    </row>
    <row r="1462" ht="15" customHeight="1" s="1">
      <c r="P1462">
        <f>IF(OR(F1462="",H1462="",J1462=""),"",J1462&amp;"|"&amp;F1462&amp;"|"&amp;IF(H1462="W3","W3_"&amp;IF(I1462="","unknown",I1462),H1462))</f>
        <v/>
      </c>
      <c r="Q1462">
        <f>IF(P1462="","",IFERROR(IF(AND(H1462="W7",OR(F1462="causal",F1462="predictive")),IF(AND(OR(K1462=1,K1462="1"),OR(L1462=1,L1462="1"),OR(M1462=1,M1462="1")),"adequate","partial"),IF(AND(H1462="W4",F1462="predictive",OR(J1462="P2",J1462="P3",J1462="P4")),IF(OR(U1462=1,U1462="1"),"adequate","partial"),INDEX(Fit_Matrix!$B:$B,MATCH(P1462,Fit_Matrix!$A:$A,0)))),"CHECK KEY"))</f>
        <v/>
      </c>
      <c r="U1462" s="10" t="n"/>
      <c r="V1462" s="10" t="n"/>
      <c r="W1462" s="10" t="n"/>
      <c r="X1462" s="10" t="n"/>
      <c r="Y1462" s="10" t="n"/>
      <c r="Z1462" s="10" t="n"/>
      <c r="AA1462" s="11">
        <f>IF(A1462="","",IF(AND(J1462="P4",F1462="causal"),"P4-CAUSAL",""))</f>
        <v/>
      </c>
    </row>
    <row r="1463" ht="15" customHeight="1" s="1">
      <c r="P1463">
        <f>IF(OR(F1463="",H1463="",J1463=""),"",J1463&amp;"|"&amp;F1463&amp;"|"&amp;IF(H1463="W3","W3_"&amp;IF(I1463="","unknown",I1463),H1463))</f>
        <v/>
      </c>
      <c r="Q1463">
        <f>IF(P1463="","",IFERROR(IF(AND(H1463="W7",OR(F1463="causal",F1463="predictive")),IF(AND(OR(K1463=1,K1463="1"),OR(L1463=1,L1463="1"),OR(M1463=1,M1463="1")),"adequate","partial"),IF(AND(H1463="W4",F1463="predictive",OR(J1463="P2",J1463="P3",J1463="P4")),IF(OR(U1463=1,U1463="1"),"adequate","partial"),INDEX(Fit_Matrix!$B:$B,MATCH(P1463,Fit_Matrix!$A:$A,0)))),"CHECK KEY"))</f>
        <v/>
      </c>
      <c r="U1463" s="10" t="n"/>
      <c r="V1463" s="10" t="n"/>
      <c r="W1463" s="10" t="n"/>
      <c r="X1463" s="10" t="n"/>
      <c r="Y1463" s="10" t="n"/>
      <c r="Z1463" s="10" t="n"/>
      <c r="AA1463" s="11">
        <f>IF(A1463="","",IF(AND(J1463="P4",F1463="causal"),"P4-CAUSAL",""))</f>
        <v/>
      </c>
    </row>
    <row r="1464" ht="15" customHeight="1" s="1">
      <c r="P1464">
        <f>IF(OR(F1464="",H1464="",J1464=""),"",J1464&amp;"|"&amp;F1464&amp;"|"&amp;IF(H1464="W3","W3_"&amp;IF(I1464="","unknown",I1464),H1464))</f>
        <v/>
      </c>
      <c r="Q1464">
        <f>IF(P1464="","",IFERROR(IF(AND(H1464="W7",OR(F1464="causal",F1464="predictive")),IF(AND(OR(K1464=1,K1464="1"),OR(L1464=1,L1464="1"),OR(M1464=1,M1464="1")),"adequate","partial"),IF(AND(H1464="W4",F1464="predictive",OR(J1464="P2",J1464="P3",J1464="P4")),IF(OR(U1464=1,U1464="1"),"adequate","partial"),INDEX(Fit_Matrix!$B:$B,MATCH(P1464,Fit_Matrix!$A:$A,0)))),"CHECK KEY"))</f>
        <v/>
      </c>
      <c r="U1464" s="10" t="n"/>
      <c r="V1464" s="10" t="n"/>
      <c r="W1464" s="10" t="n"/>
      <c r="X1464" s="10" t="n"/>
      <c r="Y1464" s="10" t="n"/>
      <c r="Z1464" s="10" t="n"/>
      <c r="AA1464" s="11">
        <f>IF(A1464="","",IF(AND(J1464="P4",F1464="causal"),"P4-CAUSAL",""))</f>
        <v/>
      </c>
    </row>
    <row r="1465" ht="15" customHeight="1" s="1">
      <c r="P1465">
        <f>IF(OR(F1465="",H1465="",J1465=""),"",J1465&amp;"|"&amp;F1465&amp;"|"&amp;IF(H1465="W3","W3_"&amp;IF(I1465="","unknown",I1465),H1465))</f>
        <v/>
      </c>
      <c r="Q1465">
        <f>IF(P1465="","",IFERROR(IF(AND(H1465="W7",OR(F1465="causal",F1465="predictive")),IF(AND(OR(K1465=1,K1465="1"),OR(L1465=1,L1465="1"),OR(M1465=1,M1465="1")),"adequate","partial"),IF(AND(H1465="W4",F1465="predictive",OR(J1465="P2",J1465="P3",J1465="P4")),IF(OR(U1465=1,U1465="1"),"adequate","partial"),INDEX(Fit_Matrix!$B:$B,MATCH(P1465,Fit_Matrix!$A:$A,0)))),"CHECK KEY"))</f>
        <v/>
      </c>
      <c r="U1465" s="10" t="n"/>
      <c r="V1465" s="10" t="n"/>
      <c r="W1465" s="10" t="n"/>
      <c r="X1465" s="10" t="n"/>
      <c r="Y1465" s="10" t="n"/>
      <c r="Z1465" s="10" t="n"/>
      <c r="AA1465" s="11">
        <f>IF(A1465="","",IF(AND(J1465="P4",F1465="causal"),"P4-CAUSAL",""))</f>
        <v/>
      </c>
    </row>
    <row r="1466" ht="15" customHeight="1" s="1">
      <c r="P1466">
        <f>IF(OR(F1466="",H1466="",J1466=""),"",J1466&amp;"|"&amp;F1466&amp;"|"&amp;IF(H1466="W3","W3_"&amp;IF(I1466="","unknown",I1466),H1466))</f>
        <v/>
      </c>
      <c r="Q1466">
        <f>IF(P1466="","",IFERROR(IF(AND(H1466="W7",OR(F1466="causal",F1466="predictive")),IF(AND(OR(K1466=1,K1466="1"),OR(L1466=1,L1466="1"),OR(M1466=1,M1466="1")),"adequate","partial"),IF(AND(H1466="W4",F1466="predictive",OR(J1466="P2",J1466="P3",J1466="P4")),IF(OR(U1466=1,U1466="1"),"adequate","partial"),INDEX(Fit_Matrix!$B:$B,MATCH(P1466,Fit_Matrix!$A:$A,0)))),"CHECK KEY"))</f>
        <v/>
      </c>
      <c r="U1466" s="10" t="n"/>
      <c r="V1466" s="10" t="n"/>
      <c r="W1466" s="10" t="n"/>
      <c r="X1466" s="10" t="n"/>
      <c r="Y1466" s="10" t="n"/>
      <c r="Z1466" s="10" t="n"/>
      <c r="AA1466" s="11">
        <f>IF(A1466="","",IF(AND(J1466="P4",F1466="causal"),"P4-CAUSAL",""))</f>
        <v/>
      </c>
    </row>
    <row r="1467" ht="15" customHeight="1" s="1">
      <c r="P1467">
        <f>IF(OR(F1467="",H1467="",J1467=""),"",J1467&amp;"|"&amp;F1467&amp;"|"&amp;IF(H1467="W3","W3_"&amp;IF(I1467="","unknown",I1467),H1467))</f>
        <v/>
      </c>
      <c r="Q1467">
        <f>IF(P1467="","",IFERROR(IF(AND(H1467="W7",OR(F1467="causal",F1467="predictive")),IF(AND(OR(K1467=1,K1467="1"),OR(L1467=1,L1467="1"),OR(M1467=1,M1467="1")),"adequate","partial"),IF(AND(H1467="W4",F1467="predictive",OR(J1467="P2",J1467="P3",J1467="P4")),IF(OR(U1467=1,U1467="1"),"adequate","partial"),INDEX(Fit_Matrix!$B:$B,MATCH(P1467,Fit_Matrix!$A:$A,0)))),"CHECK KEY"))</f>
        <v/>
      </c>
      <c r="U1467" s="10" t="n"/>
      <c r="V1467" s="10" t="n"/>
      <c r="W1467" s="10" t="n"/>
      <c r="X1467" s="10" t="n"/>
      <c r="Y1467" s="10" t="n"/>
      <c r="Z1467" s="10" t="n"/>
      <c r="AA1467" s="11">
        <f>IF(A1467="","",IF(AND(J1467="P4",F1467="causal"),"P4-CAUSAL",""))</f>
        <v/>
      </c>
    </row>
    <row r="1468" ht="15" customHeight="1" s="1">
      <c r="P1468">
        <f>IF(OR(F1468="",H1468="",J1468=""),"",J1468&amp;"|"&amp;F1468&amp;"|"&amp;IF(H1468="W3","W3_"&amp;IF(I1468="","unknown",I1468),H1468))</f>
        <v/>
      </c>
      <c r="Q1468">
        <f>IF(P1468="","",IFERROR(IF(AND(H1468="W7",OR(F1468="causal",F1468="predictive")),IF(AND(OR(K1468=1,K1468="1"),OR(L1468=1,L1468="1"),OR(M1468=1,M1468="1")),"adequate","partial"),IF(AND(H1468="W4",F1468="predictive",OR(J1468="P2",J1468="P3",J1468="P4")),IF(OR(U1468=1,U1468="1"),"adequate","partial"),INDEX(Fit_Matrix!$B:$B,MATCH(P1468,Fit_Matrix!$A:$A,0)))),"CHECK KEY"))</f>
        <v/>
      </c>
      <c r="U1468" s="10" t="n"/>
      <c r="V1468" s="10" t="n"/>
      <c r="W1468" s="10" t="n"/>
      <c r="X1468" s="10" t="n"/>
      <c r="Y1468" s="10" t="n"/>
      <c r="Z1468" s="10" t="n"/>
      <c r="AA1468" s="11">
        <f>IF(A1468="","",IF(AND(J1468="P4",F1468="causal"),"P4-CAUSAL",""))</f>
        <v/>
      </c>
    </row>
    <row r="1469" ht="15" customHeight="1" s="1">
      <c r="P1469">
        <f>IF(OR(F1469="",H1469="",J1469=""),"",J1469&amp;"|"&amp;F1469&amp;"|"&amp;IF(H1469="W3","W3_"&amp;IF(I1469="","unknown",I1469),H1469))</f>
        <v/>
      </c>
      <c r="Q1469">
        <f>IF(P1469="","",IFERROR(IF(AND(H1469="W7",OR(F1469="causal",F1469="predictive")),IF(AND(OR(K1469=1,K1469="1"),OR(L1469=1,L1469="1"),OR(M1469=1,M1469="1")),"adequate","partial"),IF(AND(H1469="W4",F1469="predictive",OR(J1469="P2",J1469="P3",J1469="P4")),IF(OR(U1469=1,U1469="1"),"adequate","partial"),INDEX(Fit_Matrix!$B:$B,MATCH(P1469,Fit_Matrix!$A:$A,0)))),"CHECK KEY"))</f>
        <v/>
      </c>
      <c r="U1469" s="10" t="n"/>
      <c r="V1469" s="10" t="n"/>
      <c r="W1469" s="10" t="n"/>
      <c r="X1469" s="10" t="n"/>
      <c r="Y1469" s="10" t="n"/>
      <c r="Z1469" s="10" t="n"/>
      <c r="AA1469" s="11">
        <f>IF(A1469="","",IF(AND(J1469="P4",F1469="causal"),"P4-CAUSAL",""))</f>
        <v/>
      </c>
    </row>
    <row r="1470" ht="15" customHeight="1" s="1">
      <c r="P1470">
        <f>IF(OR(F1470="",H1470="",J1470=""),"",J1470&amp;"|"&amp;F1470&amp;"|"&amp;IF(H1470="W3","W3_"&amp;IF(I1470="","unknown",I1470),H1470))</f>
        <v/>
      </c>
      <c r="Q1470">
        <f>IF(P1470="","",IFERROR(IF(AND(H1470="W7",OR(F1470="causal",F1470="predictive")),IF(AND(OR(K1470=1,K1470="1"),OR(L1470=1,L1470="1"),OR(M1470=1,M1470="1")),"adequate","partial"),IF(AND(H1470="W4",F1470="predictive",OR(J1470="P2",J1470="P3",J1470="P4")),IF(OR(U1470=1,U1470="1"),"adequate","partial"),INDEX(Fit_Matrix!$B:$B,MATCH(P1470,Fit_Matrix!$A:$A,0)))),"CHECK KEY"))</f>
        <v/>
      </c>
      <c r="U1470" s="10" t="n"/>
      <c r="V1470" s="10" t="n"/>
      <c r="W1470" s="10" t="n"/>
      <c r="X1470" s="10" t="n"/>
      <c r="Y1470" s="10" t="n"/>
      <c r="Z1470" s="10" t="n"/>
      <c r="AA1470" s="11">
        <f>IF(A1470="","",IF(AND(J1470="P4",F1470="causal"),"P4-CAUSAL",""))</f>
        <v/>
      </c>
    </row>
    <row r="1471" ht="15" customHeight="1" s="1">
      <c r="P1471">
        <f>IF(OR(F1471="",H1471="",J1471=""),"",J1471&amp;"|"&amp;F1471&amp;"|"&amp;IF(H1471="W3","W3_"&amp;IF(I1471="","unknown",I1471),H1471))</f>
        <v/>
      </c>
      <c r="Q1471">
        <f>IF(P1471="","",IFERROR(IF(AND(H1471="W7",OR(F1471="causal",F1471="predictive")),IF(AND(OR(K1471=1,K1471="1"),OR(L1471=1,L1471="1"),OR(M1471=1,M1471="1")),"adequate","partial"),IF(AND(H1471="W4",F1471="predictive",OR(J1471="P2",J1471="P3",J1471="P4")),IF(OR(U1471=1,U1471="1"),"adequate","partial"),INDEX(Fit_Matrix!$B:$B,MATCH(P1471,Fit_Matrix!$A:$A,0)))),"CHECK KEY"))</f>
        <v/>
      </c>
      <c r="U1471" s="10" t="n"/>
      <c r="V1471" s="10" t="n"/>
      <c r="W1471" s="10" t="n"/>
      <c r="X1471" s="10" t="n"/>
      <c r="Y1471" s="10" t="n"/>
      <c r="Z1471" s="10" t="n"/>
      <c r="AA1471" s="11">
        <f>IF(A1471="","",IF(AND(J1471="P4",F1471="causal"),"P4-CAUSAL",""))</f>
        <v/>
      </c>
    </row>
    <row r="1472" ht="15" customHeight="1" s="1">
      <c r="P1472">
        <f>IF(OR(F1472="",H1472="",J1472=""),"",J1472&amp;"|"&amp;F1472&amp;"|"&amp;IF(H1472="W3","W3_"&amp;IF(I1472="","unknown",I1472),H1472))</f>
        <v/>
      </c>
      <c r="Q1472">
        <f>IF(P1472="","",IFERROR(IF(AND(H1472="W7",OR(F1472="causal",F1472="predictive")),IF(AND(OR(K1472=1,K1472="1"),OR(L1472=1,L1472="1"),OR(M1472=1,M1472="1")),"adequate","partial"),IF(AND(H1472="W4",F1472="predictive",OR(J1472="P2",J1472="P3",J1472="P4")),IF(OR(U1472=1,U1472="1"),"adequate","partial"),INDEX(Fit_Matrix!$B:$B,MATCH(P1472,Fit_Matrix!$A:$A,0)))),"CHECK KEY"))</f>
        <v/>
      </c>
      <c r="U1472" s="10" t="n"/>
      <c r="V1472" s="10" t="n"/>
      <c r="W1472" s="10" t="n"/>
      <c r="X1472" s="10" t="n"/>
      <c r="Y1472" s="10" t="n"/>
      <c r="Z1472" s="10" t="n"/>
      <c r="AA1472" s="11">
        <f>IF(A1472="","",IF(AND(J1472="P4",F1472="causal"),"P4-CAUSAL",""))</f>
        <v/>
      </c>
    </row>
    <row r="1473" ht="15" customHeight="1" s="1">
      <c r="P1473">
        <f>IF(OR(F1473="",H1473="",J1473=""),"",J1473&amp;"|"&amp;F1473&amp;"|"&amp;IF(H1473="W3","W3_"&amp;IF(I1473="","unknown",I1473),H1473))</f>
        <v/>
      </c>
      <c r="Q1473">
        <f>IF(P1473="","",IFERROR(IF(AND(H1473="W7",OR(F1473="causal",F1473="predictive")),IF(AND(OR(K1473=1,K1473="1"),OR(L1473=1,L1473="1"),OR(M1473=1,M1473="1")),"adequate","partial"),IF(AND(H1473="W4",F1473="predictive",OR(J1473="P2",J1473="P3",J1473="P4")),IF(OR(U1473=1,U1473="1"),"adequate","partial"),INDEX(Fit_Matrix!$B:$B,MATCH(P1473,Fit_Matrix!$A:$A,0)))),"CHECK KEY"))</f>
        <v/>
      </c>
      <c r="U1473" s="10" t="n"/>
      <c r="V1473" s="10" t="n"/>
      <c r="W1473" s="10" t="n"/>
      <c r="X1473" s="10" t="n"/>
      <c r="Y1473" s="10" t="n"/>
      <c r="Z1473" s="10" t="n"/>
      <c r="AA1473" s="11">
        <f>IF(A1473="","",IF(AND(J1473="P4",F1473="causal"),"P4-CAUSAL",""))</f>
        <v/>
      </c>
    </row>
    <row r="1474" ht="15" customHeight="1" s="1">
      <c r="P1474">
        <f>IF(OR(F1474="",H1474="",J1474=""),"",J1474&amp;"|"&amp;F1474&amp;"|"&amp;IF(H1474="W3","W3_"&amp;IF(I1474="","unknown",I1474),H1474))</f>
        <v/>
      </c>
      <c r="Q1474">
        <f>IF(P1474="","",IFERROR(IF(AND(H1474="W7",OR(F1474="causal",F1474="predictive")),IF(AND(OR(K1474=1,K1474="1"),OR(L1474=1,L1474="1"),OR(M1474=1,M1474="1")),"adequate","partial"),IF(AND(H1474="W4",F1474="predictive",OR(J1474="P2",J1474="P3",J1474="P4")),IF(OR(U1474=1,U1474="1"),"adequate","partial"),INDEX(Fit_Matrix!$B:$B,MATCH(P1474,Fit_Matrix!$A:$A,0)))),"CHECK KEY"))</f>
        <v/>
      </c>
      <c r="U1474" s="10" t="n"/>
      <c r="V1474" s="10" t="n"/>
      <c r="W1474" s="10" t="n"/>
      <c r="X1474" s="10" t="n"/>
      <c r="Y1474" s="10" t="n"/>
      <c r="Z1474" s="10" t="n"/>
      <c r="AA1474" s="11">
        <f>IF(A1474="","",IF(AND(J1474="P4",F1474="causal"),"P4-CAUSAL",""))</f>
        <v/>
      </c>
    </row>
    <row r="1475" ht="15" customHeight="1" s="1">
      <c r="P1475">
        <f>IF(OR(F1475="",H1475="",J1475=""),"",J1475&amp;"|"&amp;F1475&amp;"|"&amp;IF(H1475="W3","W3_"&amp;IF(I1475="","unknown",I1475),H1475))</f>
        <v/>
      </c>
      <c r="Q1475">
        <f>IF(P1475="","",IFERROR(IF(AND(H1475="W7",OR(F1475="causal",F1475="predictive")),IF(AND(OR(K1475=1,K1475="1"),OR(L1475=1,L1475="1"),OR(M1475=1,M1475="1")),"adequate","partial"),IF(AND(H1475="W4",F1475="predictive",OR(J1475="P2",J1475="P3",J1475="P4")),IF(OR(U1475=1,U1475="1"),"adequate","partial"),INDEX(Fit_Matrix!$B:$B,MATCH(P1475,Fit_Matrix!$A:$A,0)))),"CHECK KEY"))</f>
        <v/>
      </c>
      <c r="U1475" s="10" t="n"/>
      <c r="V1475" s="10" t="n"/>
      <c r="W1475" s="10" t="n"/>
      <c r="X1475" s="10" t="n"/>
      <c r="Y1475" s="10" t="n"/>
      <c r="Z1475" s="10" t="n"/>
      <c r="AA1475" s="11">
        <f>IF(A1475="","",IF(AND(J1475="P4",F1475="causal"),"P4-CAUSAL",""))</f>
        <v/>
      </c>
    </row>
    <row r="1476" ht="15" customHeight="1" s="1">
      <c r="P1476">
        <f>IF(OR(F1476="",H1476="",J1476=""),"",J1476&amp;"|"&amp;F1476&amp;"|"&amp;IF(H1476="W3","W3_"&amp;IF(I1476="","unknown",I1476),H1476))</f>
        <v/>
      </c>
      <c r="Q1476">
        <f>IF(P1476="","",IFERROR(IF(AND(H1476="W7",OR(F1476="causal",F1476="predictive")),IF(AND(OR(K1476=1,K1476="1"),OR(L1476=1,L1476="1"),OR(M1476=1,M1476="1")),"adequate","partial"),IF(AND(H1476="W4",F1476="predictive",OR(J1476="P2",J1476="P3",J1476="P4")),IF(OR(U1476=1,U1476="1"),"adequate","partial"),INDEX(Fit_Matrix!$B:$B,MATCH(P1476,Fit_Matrix!$A:$A,0)))),"CHECK KEY"))</f>
        <v/>
      </c>
      <c r="U1476" s="10" t="n"/>
      <c r="V1476" s="10" t="n"/>
      <c r="W1476" s="10" t="n"/>
      <c r="X1476" s="10" t="n"/>
      <c r="Y1476" s="10" t="n"/>
      <c r="Z1476" s="10" t="n"/>
      <c r="AA1476" s="11">
        <f>IF(A1476="","",IF(AND(J1476="P4",F1476="causal"),"P4-CAUSAL",""))</f>
        <v/>
      </c>
    </row>
    <row r="1477" ht="15" customHeight="1" s="1">
      <c r="P1477">
        <f>IF(OR(F1477="",H1477="",J1477=""),"",J1477&amp;"|"&amp;F1477&amp;"|"&amp;IF(H1477="W3","W3_"&amp;IF(I1477="","unknown",I1477),H1477))</f>
        <v/>
      </c>
      <c r="Q1477">
        <f>IF(P1477="","",IFERROR(IF(AND(H1477="W7",OR(F1477="causal",F1477="predictive")),IF(AND(OR(K1477=1,K1477="1"),OR(L1477=1,L1477="1"),OR(M1477=1,M1477="1")),"adequate","partial"),IF(AND(H1477="W4",F1477="predictive",OR(J1477="P2",J1477="P3",J1477="P4")),IF(OR(U1477=1,U1477="1"),"adequate","partial"),INDEX(Fit_Matrix!$B:$B,MATCH(P1477,Fit_Matrix!$A:$A,0)))),"CHECK KEY"))</f>
        <v/>
      </c>
      <c r="U1477" s="10" t="n"/>
      <c r="V1477" s="10" t="n"/>
      <c r="W1477" s="10" t="n"/>
      <c r="X1477" s="10" t="n"/>
      <c r="Y1477" s="10" t="n"/>
      <c r="Z1477" s="10" t="n"/>
      <c r="AA1477" s="11">
        <f>IF(A1477="","",IF(AND(J1477="P4",F1477="causal"),"P4-CAUSAL",""))</f>
        <v/>
      </c>
    </row>
    <row r="1478" ht="15" customHeight="1" s="1">
      <c r="P1478">
        <f>IF(OR(F1478="",H1478="",J1478=""),"",J1478&amp;"|"&amp;F1478&amp;"|"&amp;IF(H1478="W3","W3_"&amp;IF(I1478="","unknown",I1478),H1478))</f>
        <v/>
      </c>
      <c r="Q1478">
        <f>IF(P1478="","",IFERROR(IF(AND(H1478="W7",OR(F1478="causal",F1478="predictive")),IF(AND(OR(K1478=1,K1478="1"),OR(L1478=1,L1478="1"),OR(M1478=1,M1478="1")),"adequate","partial"),IF(AND(H1478="W4",F1478="predictive",OR(J1478="P2",J1478="P3",J1478="P4")),IF(OR(U1478=1,U1478="1"),"adequate","partial"),INDEX(Fit_Matrix!$B:$B,MATCH(P1478,Fit_Matrix!$A:$A,0)))),"CHECK KEY"))</f>
        <v/>
      </c>
      <c r="U1478" s="10" t="n"/>
      <c r="V1478" s="10" t="n"/>
      <c r="W1478" s="10" t="n"/>
      <c r="X1478" s="10" t="n"/>
      <c r="Y1478" s="10" t="n"/>
      <c r="Z1478" s="10" t="n"/>
      <c r="AA1478" s="11">
        <f>IF(A1478="","",IF(AND(J1478="P4",F1478="causal"),"P4-CAUSAL",""))</f>
        <v/>
      </c>
    </row>
    <row r="1479" ht="15" customHeight="1" s="1">
      <c r="P1479">
        <f>IF(OR(F1479="",H1479="",J1479=""),"",J1479&amp;"|"&amp;F1479&amp;"|"&amp;IF(H1479="W3","W3_"&amp;IF(I1479="","unknown",I1479),H1479))</f>
        <v/>
      </c>
      <c r="Q1479">
        <f>IF(P1479="","",IFERROR(IF(AND(H1479="W7",OR(F1479="causal",F1479="predictive")),IF(AND(OR(K1479=1,K1479="1"),OR(L1479=1,L1479="1"),OR(M1479=1,M1479="1")),"adequate","partial"),IF(AND(H1479="W4",F1479="predictive",OR(J1479="P2",J1479="P3",J1479="P4")),IF(OR(U1479=1,U1479="1"),"adequate","partial"),INDEX(Fit_Matrix!$B:$B,MATCH(P1479,Fit_Matrix!$A:$A,0)))),"CHECK KEY"))</f>
        <v/>
      </c>
      <c r="U1479" s="10" t="n"/>
      <c r="V1479" s="10" t="n"/>
      <c r="W1479" s="10" t="n"/>
      <c r="X1479" s="10" t="n"/>
      <c r="Y1479" s="10" t="n"/>
      <c r="Z1479" s="10" t="n"/>
      <c r="AA1479" s="11">
        <f>IF(A1479="","",IF(AND(J1479="P4",F1479="causal"),"P4-CAUSAL",""))</f>
        <v/>
      </c>
    </row>
    <row r="1480" ht="15" customHeight="1" s="1">
      <c r="P1480">
        <f>IF(OR(F1480="",H1480="",J1480=""),"",J1480&amp;"|"&amp;F1480&amp;"|"&amp;IF(H1480="W3","W3_"&amp;IF(I1480="","unknown",I1480),H1480))</f>
        <v/>
      </c>
      <c r="Q1480">
        <f>IF(P1480="","",IFERROR(IF(AND(H1480="W7",OR(F1480="causal",F1480="predictive")),IF(AND(OR(K1480=1,K1480="1"),OR(L1480=1,L1480="1"),OR(M1480=1,M1480="1")),"adequate","partial"),IF(AND(H1480="W4",F1480="predictive",OR(J1480="P2",J1480="P3",J1480="P4")),IF(OR(U1480=1,U1480="1"),"adequate","partial"),INDEX(Fit_Matrix!$B:$B,MATCH(P1480,Fit_Matrix!$A:$A,0)))),"CHECK KEY"))</f>
        <v/>
      </c>
      <c r="U1480" s="10" t="n"/>
      <c r="V1480" s="10" t="n"/>
      <c r="W1480" s="10" t="n"/>
      <c r="X1480" s="10" t="n"/>
      <c r="Y1480" s="10" t="n"/>
      <c r="Z1480" s="10" t="n"/>
      <c r="AA1480" s="11">
        <f>IF(A1480="","",IF(AND(J1480="P4",F1480="causal"),"P4-CAUSAL",""))</f>
        <v/>
      </c>
    </row>
    <row r="1481" ht="15" customHeight="1" s="1">
      <c r="P1481">
        <f>IF(OR(F1481="",H1481="",J1481=""),"",J1481&amp;"|"&amp;F1481&amp;"|"&amp;IF(H1481="W3","W3_"&amp;IF(I1481="","unknown",I1481),H1481))</f>
        <v/>
      </c>
      <c r="Q1481">
        <f>IF(P1481="","",IFERROR(IF(AND(H1481="W7",OR(F1481="causal",F1481="predictive")),IF(AND(OR(K1481=1,K1481="1"),OR(L1481=1,L1481="1"),OR(M1481=1,M1481="1")),"adequate","partial"),IF(AND(H1481="W4",F1481="predictive",OR(J1481="P2",J1481="P3",J1481="P4")),IF(OR(U1481=1,U1481="1"),"adequate","partial"),INDEX(Fit_Matrix!$B:$B,MATCH(P1481,Fit_Matrix!$A:$A,0)))),"CHECK KEY"))</f>
        <v/>
      </c>
      <c r="U1481" s="10" t="n"/>
      <c r="V1481" s="10" t="n"/>
      <c r="W1481" s="10" t="n"/>
      <c r="X1481" s="10" t="n"/>
      <c r="Y1481" s="10" t="n"/>
      <c r="Z1481" s="10" t="n"/>
      <c r="AA1481" s="11">
        <f>IF(A1481="","",IF(AND(J1481="P4",F1481="causal"),"P4-CAUSAL",""))</f>
        <v/>
      </c>
    </row>
    <row r="1482" ht="15" customHeight="1" s="1">
      <c r="P1482">
        <f>IF(OR(F1482="",H1482="",J1482=""),"",J1482&amp;"|"&amp;F1482&amp;"|"&amp;IF(H1482="W3","W3_"&amp;IF(I1482="","unknown",I1482),H1482))</f>
        <v/>
      </c>
      <c r="Q1482">
        <f>IF(P1482="","",IFERROR(IF(AND(H1482="W7",OR(F1482="causal",F1482="predictive")),IF(AND(OR(K1482=1,K1482="1"),OR(L1482=1,L1482="1"),OR(M1482=1,M1482="1")),"adequate","partial"),IF(AND(H1482="W4",F1482="predictive",OR(J1482="P2",J1482="P3",J1482="P4")),IF(OR(U1482=1,U1482="1"),"adequate","partial"),INDEX(Fit_Matrix!$B:$B,MATCH(P1482,Fit_Matrix!$A:$A,0)))),"CHECK KEY"))</f>
        <v/>
      </c>
      <c r="U1482" s="10" t="n"/>
      <c r="V1482" s="10" t="n"/>
      <c r="W1482" s="10" t="n"/>
      <c r="X1482" s="10" t="n"/>
      <c r="Y1482" s="10" t="n"/>
      <c r="Z1482" s="10" t="n"/>
      <c r="AA1482" s="11">
        <f>IF(A1482="","",IF(AND(J1482="P4",F1482="causal"),"P4-CAUSAL",""))</f>
        <v/>
      </c>
    </row>
    <row r="1483" ht="15" customHeight="1" s="1">
      <c r="P1483">
        <f>IF(OR(F1483="",H1483="",J1483=""),"",J1483&amp;"|"&amp;F1483&amp;"|"&amp;IF(H1483="W3","W3_"&amp;IF(I1483="","unknown",I1483),H1483))</f>
        <v/>
      </c>
      <c r="Q1483">
        <f>IF(P1483="","",IFERROR(IF(AND(H1483="W7",OR(F1483="causal",F1483="predictive")),IF(AND(OR(K1483=1,K1483="1"),OR(L1483=1,L1483="1"),OR(M1483=1,M1483="1")),"adequate","partial"),IF(AND(H1483="W4",F1483="predictive",OR(J1483="P2",J1483="P3",J1483="P4")),IF(OR(U1483=1,U1483="1"),"adequate","partial"),INDEX(Fit_Matrix!$B:$B,MATCH(P1483,Fit_Matrix!$A:$A,0)))),"CHECK KEY"))</f>
        <v/>
      </c>
      <c r="U1483" s="10" t="n"/>
      <c r="V1483" s="10" t="n"/>
      <c r="W1483" s="10" t="n"/>
      <c r="X1483" s="10" t="n"/>
      <c r="Y1483" s="10" t="n"/>
      <c r="Z1483" s="10" t="n"/>
      <c r="AA1483" s="11">
        <f>IF(A1483="","",IF(AND(J1483="P4",F1483="causal"),"P4-CAUSAL",""))</f>
        <v/>
      </c>
    </row>
    <row r="1484" ht="15" customHeight="1" s="1">
      <c r="P1484">
        <f>IF(OR(F1484="",H1484="",J1484=""),"",J1484&amp;"|"&amp;F1484&amp;"|"&amp;IF(H1484="W3","W3_"&amp;IF(I1484="","unknown",I1484),H1484))</f>
        <v/>
      </c>
      <c r="Q1484">
        <f>IF(P1484="","",IFERROR(IF(AND(H1484="W7",OR(F1484="causal",F1484="predictive")),IF(AND(OR(K1484=1,K1484="1"),OR(L1484=1,L1484="1"),OR(M1484=1,M1484="1")),"adequate","partial"),IF(AND(H1484="W4",F1484="predictive",OR(J1484="P2",J1484="P3",J1484="P4")),IF(OR(U1484=1,U1484="1"),"adequate","partial"),INDEX(Fit_Matrix!$B:$B,MATCH(P1484,Fit_Matrix!$A:$A,0)))),"CHECK KEY"))</f>
        <v/>
      </c>
      <c r="U1484" s="10" t="n"/>
      <c r="V1484" s="10" t="n"/>
      <c r="W1484" s="10" t="n"/>
      <c r="X1484" s="10" t="n"/>
      <c r="Y1484" s="10" t="n"/>
      <c r="Z1484" s="10" t="n"/>
      <c r="AA1484" s="11">
        <f>IF(A1484="","",IF(AND(J1484="P4",F1484="causal"),"P4-CAUSAL",""))</f>
        <v/>
      </c>
    </row>
    <row r="1485" ht="15" customHeight="1" s="1">
      <c r="P1485">
        <f>IF(OR(F1485="",H1485="",J1485=""),"",J1485&amp;"|"&amp;F1485&amp;"|"&amp;IF(H1485="W3","W3_"&amp;IF(I1485="","unknown",I1485),H1485))</f>
        <v/>
      </c>
      <c r="Q1485">
        <f>IF(P1485="","",IFERROR(IF(AND(H1485="W7",OR(F1485="causal",F1485="predictive")),IF(AND(OR(K1485=1,K1485="1"),OR(L1485=1,L1485="1"),OR(M1485=1,M1485="1")),"adequate","partial"),IF(AND(H1485="W4",F1485="predictive",OR(J1485="P2",J1485="P3",J1485="P4")),IF(OR(U1485=1,U1485="1"),"adequate","partial"),INDEX(Fit_Matrix!$B:$B,MATCH(P1485,Fit_Matrix!$A:$A,0)))),"CHECK KEY"))</f>
        <v/>
      </c>
      <c r="U1485" s="10" t="n"/>
      <c r="V1485" s="10" t="n"/>
      <c r="W1485" s="10" t="n"/>
      <c r="X1485" s="10" t="n"/>
      <c r="Y1485" s="10" t="n"/>
      <c r="Z1485" s="10" t="n"/>
      <c r="AA1485" s="11">
        <f>IF(A1485="","",IF(AND(J1485="P4",F1485="causal"),"P4-CAUSAL",""))</f>
        <v/>
      </c>
    </row>
    <row r="1486" ht="15" customHeight="1" s="1">
      <c r="P1486">
        <f>IF(OR(F1486="",H1486="",J1486=""),"",J1486&amp;"|"&amp;F1486&amp;"|"&amp;IF(H1486="W3","W3_"&amp;IF(I1486="","unknown",I1486),H1486))</f>
        <v/>
      </c>
      <c r="Q1486">
        <f>IF(P1486="","",IFERROR(IF(AND(H1486="W7",OR(F1486="causal",F1486="predictive")),IF(AND(OR(K1486=1,K1486="1"),OR(L1486=1,L1486="1"),OR(M1486=1,M1486="1")),"adequate","partial"),IF(AND(H1486="W4",F1486="predictive",OR(J1486="P2",J1486="P3",J1486="P4")),IF(OR(U1486=1,U1486="1"),"adequate","partial"),INDEX(Fit_Matrix!$B:$B,MATCH(P1486,Fit_Matrix!$A:$A,0)))),"CHECK KEY"))</f>
        <v/>
      </c>
      <c r="U1486" s="10" t="n"/>
      <c r="V1486" s="10" t="n"/>
      <c r="W1486" s="10" t="n"/>
      <c r="X1486" s="10" t="n"/>
      <c r="Y1486" s="10" t="n"/>
      <c r="Z1486" s="10" t="n"/>
      <c r="AA1486" s="11">
        <f>IF(A1486="","",IF(AND(J1486="P4",F1486="causal"),"P4-CAUSAL",""))</f>
        <v/>
      </c>
    </row>
    <row r="1487" ht="15" customHeight="1" s="1">
      <c r="P1487">
        <f>IF(OR(F1487="",H1487="",J1487=""),"",J1487&amp;"|"&amp;F1487&amp;"|"&amp;IF(H1487="W3","W3_"&amp;IF(I1487="","unknown",I1487),H1487))</f>
        <v/>
      </c>
      <c r="Q1487">
        <f>IF(P1487="","",IFERROR(IF(AND(H1487="W7",OR(F1487="causal",F1487="predictive")),IF(AND(OR(K1487=1,K1487="1"),OR(L1487=1,L1487="1"),OR(M1487=1,M1487="1")),"adequate","partial"),IF(AND(H1487="W4",F1487="predictive",OR(J1487="P2",J1487="P3",J1487="P4")),IF(OR(U1487=1,U1487="1"),"adequate","partial"),INDEX(Fit_Matrix!$B:$B,MATCH(P1487,Fit_Matrix!$A:$A,0)))),"CHECK KEY"))</f>
        <v/>
      </c>
      <c r="U1487" s="10" t="n"/>
      <c r="V1487" s="10" t="n"/>
      <c r="W1487" s="10" t="n"/>
      <c r="X1487" s="10" t="n"/>
      <c r="Y1487" s="10" t="n"/>
      <c r="Z1487" s="10" t="n"/>
      <c r="AA1487" s="11">
        <f>IF(A1487="","",IF(AND(J1487="P4",F1487="causal"),"P4-CAUSAL",""))</f>
        <v/>
      </c>
    </row>
    <row r="1488" ht="15" customHeight="1" s="1">
      <c r="P1488">
        <f>IF(OR(F1488="",H1488="",J1488=""),"",J1488&amp;"|"&amp;F1488&amp;"|"&amp;IF(H1488="W3","W3_"&amp;IF(I1488="","unknown",I1488),H1488))</f>
        <v/>
      </c>
      <c r="Q1488">
        <f>IF(P1488="","",IFERROR(IF(AND(H1488="W7",OR(F1488="causal",F1488="predictive")),IF(AND(OR(K1488=1,K1488="1"),OR(L1488=1,L1488="1"),OR(M1488=1,M1488="1")),"adequate","partial"),IF(AND(H1488="W4",F1488="predictive",OR(J1488="P2",J1488="P3",J1488="P4")),IF(OR(U1488=1,U1488="1"),"adequate","partial"),INDEX(Fit_Matrix!$B:$B,MATCH(P1488,Fit_Matrix!$A:$A,0)))),"CHECK KEY"))</f>
        <v/>
      </c>
      <c r="U1488" s="10" t="n"/>
      <c r="V1488" s="10" t="n"/>
      <c r="W1488" s="10" t="n"/>
      <c r="X1488" s="10" t="n"/>
      <c r="Y1488" s="10" t="n"/>
      <c r="Z1488" s="10" t="n"/>
      <c r="AA1488" s="11">
        <f>IF(A1488="","",IF(AND(J1488="P4",F1488="causal"),"P4-CAUSAL",""))</f>
        <v/>
      </c>
    </row>
    <row r="1489" ht="15" customHeight="1" s="1">
      <c r="P1489">
        <f>IF(OR(F1489="",H1489="",J1489=""),"",J1489&amp;"|"&amp;F1489&amp;"|"&amp;IF(H1489="W3","W3_"&amp;IF(I1489="","unknown",I1489),H1489))</f>
        <v/>
      </c>
      <c r="Q1489">
        <f>IF(P1489="","",IFERROR(IF(AND(H1489="W7",OR(F1489="causal",F1489="predictive")),IF(AND(OR(K1489=1,K1489="1"),OR(L1489=1,L1489="1"),OR(M1489=1,M1489="1")),"adequate","partial"),IF(AND(H1489="W4",F1489="predictive",OR(J1489="P2",J1489="P3",J1489="P4")),IF(OR(U1489=1,U1489="1"),"adequate","partial"),INDEX(Fit_Matrix!$B:$B,MATCH(P1489,Fit_Matrix!$A:$A,0)))),"CHECK KEY"))</f>
        <v/>
      </c>
      <c r="U1489" s="10" t="n"/>
      <c r="V1489" s="10" t="n"/>
      <c r="W1489" s="10" t="n"/>
      <c r="X1489" s="10" t="n"/>
      <c r="Y1489" s="10" t="n"/>
      <c r="Z1489" s="10" t="n"/>
      <c r="AA1489" s="11">
        <f>IF(A1489="","",IF(AND(J1489="P4",F1489="causal"),"P4-CAUSAL",""))</f>
        <v/>
      </c>
    </row>
    <row r="1490" ht="15" customHeight="1" s="1">
      <c r="P1490">
        <f>IF(OR(F1490="",H1490="",J1490=""),"",J1490&amp;"|"&amp;F1490&amp;"|"&amp;IF(H1490="W3","W3_"&amp;IF(I1490="","unknown",I1490),H1490))</f>
        <v/>
      </c>
      <c r="Q1490">
        <f>IF(P1490="","",IFERROR(IF(AND(H1490="W7",OR(F1490="causal",F1490="predictive")),IF(AND(OR(K1490=1,K1490="1"),OR(L1490=1,L1490="1"),OR(M1490=1,M1490="1")),"adequate","partial"),IF(AND(H1490="W4",F1490="predictive",OR(J1490="P2",J1490="P3",J1490="P4")),IF(OR(U1490=1,U1490="1"),"adequate","partial"),INDEX(Fit_Matrix!$B:$B,MATCH(P1490,Fit_Matrix!$A:$A,0)))),"CHECK KEY"))</f>
        <v/>
      </c>
      <c r="U1490" s="10" t="n"/>
      <c r="V1490" s="10" t="n"/>
      <c r="W1490" s="10" t="n"/>
      <c r="X1490" s="10" t="n"/>
      <c r="Y1490" s="10" t="n"/>
      <c r="Z1490" s="10" t="n"/>
      <c r="AA1490" s="11">
        <f>IF(A1490="","",IF(AND(J1490="P4",F1490="causal"),"P4-CAUSAL",""))</f>
        <v/>
      </c>
    </row>
    <row r="1491" ht="15" customHeight="1" s="1">
      <c r="P1491">
        <f>IF(OR(F1491="",H1491="",J1491=""),"",J1491&amp;"|"&amp;F1491&amp;"|"&amp;IF(H1491="W3","W3_"&amp;IF(I1491="","unknown",I1491),H1491))</f>
        <v/>
      </c>
      <c r="Q1491">
        <f>IF(P1491="","",IFERROR(IF(AND(H1491="W7",OR(F1491="causal",F1491="predictive")),IF(AND(OR(K1491=1,K1491="1"),OR(L1491=1,L1491="1"),OR(M1491=1,M1491="1")),"adequate","partial"),IF(AND(H1491="W4",F1491="predictive",OR(J1491="P2",J1491="P3",J1491="P4")),IF(OR(U1491=1,U1491="1"),"adequate","partial"),INDEX(Fit_Matrix!$B:$B,MATCH(P1491,Fit_Matrix!$A:$A,0)))),"CHECK KEY"))</f>
        <v/>
      </c>
      <c r="U1491" s="10" t="n"/>
      <c r="V1491" s="10" t="n"/>
      <c r="W1491" s="10" t="n"/>
      <c r="X1491" s="10" t="n"/>
      <c r="Y1491" s="10" t="n"/>
      <c r="Z1491" s="10" t="n"/>
      <c r="AA1491" s="11">
        <f>IF(A1491="","",IF(AND(J1491="P4",F1491="causal"),"P4-CAUSAL",""))</f>
        <v/>
      </c>
    </row>
    <row r="1492" ht="15" customHeight="1" s="1">
      <c r="P1492">
        <f>IF(OR(F1492="",H1492="",J1492=""),"",J1492&amp;"|"&amp;F1492&amp;"|"&amp;IF(H1492="W3","W3_"&amp;IF(I1492="","unknown",I1492),H1492))</f>
        <v/>
      </c>
      <c r="Q1492">
        <f>IF(P1492="","",IFERROR(IF(AND(H1492="W7",OR(F1492="causal",F1492="predictive")),IF(AND(OR(K1492=1,K1492="1"),OR(L1492=1,L1492="1"),OR(M1492=1,M1492="1")),"adequate","partial"),IF(AND(H1492="W4",F1492="predictive",OR(J1492="P2",J1492="P3",J1492="P4")),IF(OR(U1492=1,U1492="1"),"adequate","partial"),INDEX(Fit_Matrix!$B:$B,MATCH(P1492,Fit_Matrix!$A:$A,0)))),"CHECK KEY"))</f>
        <v/>
      </c>
      <c r="U1492" s="10" t="n"/>
      <c r="V1492" s="10" t="n"/>
      <c r="W1492" s="10" t="n"/>
      <c r="X1492" s="10" t="n"/>
      <c r="Y1492" s="10" t="n"/>
      <c r="Z1492" s="10" t="n"/>
      <c r="AA1492" s="11">
        <f>IF(A1492="","",IF(AND(J1492="P4",F1492="causal"),"P4-CAUSAL",""))</f>
        <v/>
      </c>
    </row>
    <row r="1493" ht="15" customHeight="1" s="1">
      <c r="P1493">
        <f>IF(OR(F1493="",H1493="",J1493=""),"",J1493&amp;"|"&amp;F1493&amp;"|"&amp;IF(H1493="W3","W3_"&amp;IF(I1493="","unknown",I1493),H1493))</f>
        <v/>
      </c>
      <c r="Q1493">
        <f>IF(P1493="","",IFERROR(IF(AND(H1493="W7",OR(F1493="causal",F1493="predictive")),IF(AND(OR(K1493=1,K1493="1"),OR(L1493=1,L1493="1"),OR(M1493=1,M1493="1")),"adequate","partial"),IF(AND(H1493="W4",F1493="predictive",OR(J1493="P2",J1493="P3",J1493="P4")),IF(OR(U1493=1,U1493="1"),"adequate","partial"),INDEX(Fit_Matrix!$B:$B,MATCH(P1493,Fit_Matrix!$A:$A,0)))),"CHECK KEY"))</f>
        <v/>
      </c>
      <c r="U1493" s="10" t="n"/>
      <c r="V1493" s="10" t="n"/>
      <c r="W1493" s="10" t="n"/>
      <c r="X1493" s="10" t="n"/>
      <c r="Y1493" s="10" t="n"/>
      <c r="Z1493" s="10" t="n"/>
      <c r="AA1493" s="11">
        <f>IF(A1493="","",IF(AND(J1493="P4",F1493="causal"),"P4-CAUSAL",""))</f>
        <v/>
      </c>
    </row>
    <row r="1494" ht="15" customHeight="1" s="1">
      <c r="P1494">
        <f>IF(OR(F1494="",H1494="",J1494=""),"",J1494&amp;"|"&amp;F1494&amp;"|"&amp;IF(H1494="W3","W3_"&amp;IF(I1494="","unknown",I1494),H1494))</f>
        <v/>
      </c>
      <c r="Q1494">
        <f>IF(P1494="","",IFERROR(IF(AND(H1494="W7",OR(F1494="causal",F1494="predictive")),IF(AND(OR(K1494=1,K1494="1"),OR(L1494=1,L1494="1"),OR(M1494=1,M1494="1")),"adequate","partial"),IF(AND(H1494="W4",F1494="predictive",OR(J1494="P2",J1494="P3",J1494="P4")),IF(OR(U1494=1,U1494="1"),"adequate","partial"),INDEX(Fit_Matrix!$B:$B,MATCH(P1494,Fit_Matrix!$A:$A,0)))),"CHECK KEY"))</f>
        <v/>
      </c>
      <c r="U1494" s="10" t="n"/>
      <c r="V1494" s="10" t="n"/>
      <c r="W1494" s="10" t="n"/>
      <c r="X1494" s="10" t="n"/>
      <c r="Y1494" s="10" t="n"/>
      <c r="Z1494" s="10" t="n"/>
      <c r="AA1494" s="11">
        <f>IF(A1494="","",IF(AND(J1494="P4",F1494="causal"),"P4-CAUSAL",""))</f>
        <v/>
      </c>
    </row>
    <row r="1495" ht="15" customHeight="1" s="1">
      <c r="P1495">
        <f>IF(OR(F1495="",H1495="",J1495=""),"",J1495&amp;"|"&amp;F1495&amp;"|"&amp;IF(H1495="W3","W3_"&amp;IF(I1495="","unknown",I1495),H1495))</f>
        <v/>
      </c>
      <c r="Q1495">
        <f>IF(P1495="","",IFERROR(IF(AND(H1495="W7",OR(F1495="causal",F1495="predictive")),IF(AND(OR(K1495=1,K1495="1"),OR(L1495=1,L1495="1"),OR(M1495=1,M1495="1")),"adequate","partial"),IF(AND(H1495="W4",F1495="predictive",OR(J1495="P2",J1495="P3",J1495="P4")),IF(OR(U1495=1,U1495="1"),"adequate","partial"),INDEX(Fit_Matrix!$B:$B,MATCH(P1495,Fit_Matrix!$A:$A,0)))),"CHECK KEY"))</f>
        <v/>
      </c>
      <c r="U1495" s="10" t="n"/>
      <c r="V1495" s="10" t="n"/>
      <c r="W1495" s="10" t="n"/>
      <c r="X1495" s="10" t="n"/>
      <c r="Y1495" s="10" t="n"/>
      <c r="Z1495" s="10" t="n"/>
      <c r="AA1495" s="11">
        <f>IF(A1495="","",IF(AND(J1495="P4",F1495="causal"),"P4-CAUSAL",""))</f>
        <v/>
      </c>
    </row>
    <row r="1496" ht="15" customHeight="1" s="1">
      <c r="P1496">
        <f>IF(OR(F1496="",H1496="",J1496=""),"",J1496&amp;"|"&amp;F1496&amp;"|"&amp;IF(H1496="W3","W3_"&amp;IF(I1496="","unknown",I1496),H1496))</f>
        <v/>
      </c>
      <c r="Q1496">
        <f>IF(P1496="","",IFERROR(IF(AND(H1496="W7",OR(F1496="causal",F1496="predictive")),IF(AND(OR(K1496=1,K1496="1"),OR(L1496=1,L1496="1"),OR(M1496=1,M1496="1")),"adequate","partial"),IF(AND(H1496="W4",F1496="predictive",OR(J1496="P2",J1496="P3",J1496="P4")),IF(OR(U1496=1,U1496="1"),"adequate","partial"),INDEX(Fit_Matrix!$B:$B,MATCH(P1496,Fit_Matrix!$A:$A,0)))),"CHECK KEY"))</f>
        <v/>
      </c>
      <c r="U1496" s="10" t="n"/>
      <c r="V1496" s="10" t="n"/>
      <c r="W1496" s="10" t="n"/>
      <c r="X1496" s="10" t="n"/>
      <c r="Y1496" s="10" t="n"/>
      <c r="Z1496" s="10" t="n"/>
      <c r="AA1496" s="11">
        <f>IF(A1496="","",IF(AND(J1496="P4",F1496="causal"),"P4-CAUSAL",""))</f>
        <v/>
      </c>
    </row>
    <row r="1497" ht="15" customHeight="1" s="1">
      <c r="P1497">
        <f>IF(OR(F1497="",H1497="",J1497=""),"",J1497&amp;"|"&amp;F1497&amp;"|"&amp;IF(H1497="W3","W3_"&amp;IF(I1497="","unknown",I1497),H1497))</f>
        <v/>
      </c>
      <c r="Q1497">
        <f>IF(P1497="","",IFERROR(IF(AND(H1497="W7",OR(F1497="causal",F1497="predictive")),IF(AND(OR(K1497=1,K1497="1"),OR(L1497=1,L1497="1"),OR(M1497=1,M1497="1")),"adequate","partial"),IF(AND(H1497="W4",F1497="predictive",OR(J1497="P2",J1497="P3",J1497="P4")),IF(OR(U1497=1,U1497="1"),"adequate","partial"),INDEX(Fit_Matrix!$B:$B,MATCH(P1497,Fit_Matrix!$A:$A,0)))),"CHECK KEY"))</f>
        <v/>
      </c>
      <c r="U1497" s="10" t="n"/>
      <c r="V1497" s="10" t="n"/>
      <c r="W1497" s="10" t="n"/>
      <c r="X1497" s="10" t="n"/>
      <c r="Y1497" s="10" t="n"/>
      <c r="Z1497" s="10" t="n"/>
      <c r="AA1497" s="11">
        <f>IF(A1497="","",IF(AND(J1497="P4",F1497="causal"),"P4-CAUSAL",""))</f>
        <v/>
      </c>
    </row>
    <row r="1498" ht="15" customHeight="1" s="1">
      <c r="P1498">
        <f>IF(OR(F1498="",H1498="",J1498=""),"",J1498&amp;"|"&amp;F1498&amp;"|"&amp;IF(H1498="W3","W3_"&amp;IF(I1498="","unknown",I1498),H1498))</f>
        <v/>
      </c>
      <c r="Q1498">
        <f>IF(P1498="","",IFERROR(IF(AND(H1498="W7",OR(F1498="causal",F1498="predictive")),IF(AND(OR(K1498=1,K1498="1"),OR(L1498=1,L1498="1"),OR(M1498=1,M1498="1")),"adequate","partial"),IF(AND(H1498="W4",F1498="predictive",OR(J1498="P2",J1498="P3",J1498="P4")),IF(OR(U1498=1,U1498="1"),"adequate","partial"),INDEX(Fit_Matrix!$B:$B,MATCH(P1498,Fit_Matrix!$A:$A,0)))),"CHECK KEY"))</f>
        <v/>
      </c>
      <c r="U1498" s="10" t="n"/>
      <c r="V1498" s="10" t="n"/>
      <c r="W1498" s="10" t="n"/>
      <c r="X1498" s="10" t="n"/>
      <c r="Y1498" s="10" t="n"/>
      <c r="Z1498" s="10" t="n"/>
      <c r="AA1498" s="11">
        <f>IF(A1498="","",IF(AND(J1498="P4",F1498="causal"),"P4-CAUSAL",""))</f>
        <v/>
      </c>
    </row>
    <row r="1499" ht="15" customHeight="1" s="1">
      <c r="P1499">
        <f>IF(OR(F1499="",H1499="",J1499=""),"",J1499&amp;"|"&amp;F1499&amp;"|"&amp;IF(H1499="W3","W3_"&amp;IF(I1499="","unknown",I1499),H1499))</f>
        <v/>
      </c>
      <c r="Q1499">
        <f>IF(P1499="","",IFERROR(IF(AND(H1499="W7",OR(F1499="causal",F1499="predictive")),IF(AND(OR(K1499=1,K1499="1"),OR(L1499=1,L1499="1"),OR(M1499=1,M1499="1")),"adequate","partial"),IF(AND(H1499="W4",F1499="predictive",OR(J1499="P2",J1499="P3",J1499="P4")),IF(OR(U1499=1,U1499="1"),"adequate","partial"),INDEX(Fit_Matrix!$B:$B,MATCH(P1499,Fit_Matrix!$A:$A,0)))),"CHECK KEY"))</f>
        <v/>
      </c>
      <c r="U1499" s="10" t="n"/>
      <c r="V1499" s="10" t="n"/>
      <c r="W1499" s="10" t="n"/>
      <c r="X1499" s="10" t="n"/>
      <c r="Y1499" s="10" t="n"/>
      <c r="Z1499" s="10" t="n"/>
      <c r="AA1499" s="11">
        <f>IF(A1499="","",IF(AND(J1499="P4",F1499="causal"),"P4-CAUSAL",""))</f>
        <v/>
      </c>
    </row>
    <row r="1500" ht="15" customHeight="1" s="1">
      <c r="P1500">
        <f>IF(OR(F1500="",H1500="",J1500=""),"",J1500&amp;"|"&amp;F1500&amp;"|"&amp;IF(H1500="W3","W3_"&amp;IF(I1500="","unknown",I1500),H1500))</f>
        <v/>
      </c>
      <c r="Q1500">
        <f>IF(P1500="","",IFERROR(IF(AND(H1500="W7",OR(F1500="causal",F1500="predictive")),IF(AND(OR(K1500=1,K1500="1"),OR(L1500=1,L1500="1"),OR(M1500=1,M1500="1")),"adequate","partial"),IF(AND(H1500="W4",F1500="predictive",OR(J1500="P2",J1500="P3",J1500="P4")),IF(OR(U1500=1,U1500="1"),"adequate","partial"),INDEX(Fit_Matrix!$B:$B,MATCH(P1500,Fit_Matrix!$A:$A,0)))),"CHECK KEY"))</f>
        <v/>
      </c>
      <c r="U1500" s="10" t="n"/>
      <c r="V1500" s="10" t="n"/>
      <c r="W1500" s="10" t="n"/>
      <c r="X1500" s="10" t="n"/>
      <c r="Y1500" s="10" t="n"/>
      <c r="Z1500" s="10" t="n"/>
      <c r="AA1500" s="11">
        <f>IF(A1500="","",IF(AND(J1500="P4",F1500="causal"),"P4-CAUSAL",""))</f>
        <v/>
      </c>
    </row>
    <row r="1501" ht="15" customHeight="1" s="1">
      <c r="P1501">
        <f>IF(OR(F1501="",H1501="",J1501=""),"",J1501&amp;"|"&amp;F1501&amp;"|"&amp;IF(H1501="W3","W3_"&amp;IF(I1501="","unknown",I1501),H1501))</f>
        <v/>
      </c>
      <c r="Q1501">
        <f>IF(P1501="","",IFERROR(IF(AND(H1501="W7",OR(F1501="causal",F1501="predictive")),IF(AND(OR(K1501=1,K1501="1"),OR(L1501=1,L1501="1"),OR(M1501=1,M1501="1")),"adequate","partial"),IF(AND(H1501="W4",F1501="predictive",OR(J1501="P2",J1501="P3",J1501="P4")),IF(OR(U1501=1,U1501="1"),"adequate","partial"),INDEX(Fit_Matrix!$B:$B,MATCH(P1501,Fit_Matrix!$A:$A,0)))),"CHECK KEY"))</f>
        <v/>
      </c>
      <c r="U1501" s="10" t="n"/>
      <c r="V1501" s="10" t="n"/>
      <c r="W1501" s="10" t="n"/>
      <c r="X1501" s="10" t="n"/>
      <c r="Y1501" s="10" t="n"/>
      <c r="Z1501" s="10" t="n"/>
      <c r="AA1501" s="11">
        <f>IF(A1501="","",IF(AND(J1501="P4",F1501="causal"),"P4-CAUSAL",""))</f>
        <v/>
      </c>
    </row>
    <row r="1502" ht="15" customHeight="1" s="1">
      <c r="P1502">
        <f>IF(OR(F1502="",H1502="",J1502=""),"",J1502&amp;"|"&amp;F1502&amp;"|"&amp;IF(H1502="W3","W3_"&amp;IF(I1502="","unknown",I1502),H1502))</f>
        <v/>
      </c>
      <c r="Q1502">
        <f>IF(P1502="","",IFERROR(IF(AND(H1502="W7",OR(F1502="causal",F1502="predictive")),IF(AND(OR(K1502=1,K1502="1"),OR(L1502=1,L1502="1"),OR(M1502=1,M1502="1")),"adequate","partial"),IF(AND(H1502="W4",F1502="predictive",OR(J1502="P2",J1502="P3",J1502="P4")),IF(OR(U1502=1,U1502="1"),"adequate","partial"),INDEX(Fit_Matrix!$B:$B,MATCH(P1502,Fit_Matrix!$A:$A,0)))),"CHECK KEY"))</f>
        <v/>
      </c>
      <c r="U1502" s="10" t="n"/>
      <c r="V1502" s="10" t="n"/>
      <c r="W1502" s="10" t="n"/>
      <c r="X1502" s="10" t="n"/>
      <c r="Y1502" s="10" t="n"/>
      <c r="Z1502" s="10" t="n"/>
      <c r="AA1502" s="11">
        <f>IF(A1502="","",IF(AND(J1502="P4",F1502="causal"),"P4-CAUSAL",""))</f>
        <v/>
      </c>
    </row>
    <row r="1503" ht="15" customHeight="1" s="1">
      <c r="P1503">
        <f>IF(OR(F1503="",H1503="",J1503=""),"",J1503&amp;"|"&amp;F1503&amp;"|"&amp;IF(H1503="W3","W3_"&amp;IF(I1503="","unknown",I1503),H1503))</f>
        <v/>
      </c>
      <c r="Q1503">
        <f>IF(P1503="","",IFERROR(IF(AND(H1503="W7",OR(F1503="causal",F1503="predictive")),IF(AND(OR(K1503=1,K1503="1"),OR(L1503=1,L1503="1"),OR(M1503=1,M1503="1")),"adequate","partial"),IF(AND(H1503="W4",F1503="predictive",OR(J1503="P2",J1503="P3",J1503="P4")),IF(OR(U1503=1,U1503="1"),"adequate","partial"),INDEX(Fit_Matrix!$B:$B,MATCH(P1503,Fit_Matrix!$A:$A,0)))),"CHECK KEY"))</f>
        <v/>
      </c>
      <c r="U1503" s="10" t="n"/>
      <c r="V1503" s="10" t="n"/>
      <c r="W1503" s="10" t="n"/>
      <c r="X1503" s="10" t="n"/>
      <c r="Y1503" s="10" t="n"/>
      <c r="Z1503" s="10" t="n"/>
      <c r="AA1503" s="11">
        <f>IF(A1503="","",IF(AND(J1503="P4",F1503="causal"),"P4-CAUSAL",""))</f>
        <v/>
      </c>
    </row>
    <row r="1504" ht="15" customHeight="1" s="1">
      <c r="P1504">
        <f>IF(OR(F1504="",H1504="",J1504=""),"",J1504&amp;"|"&amp;F1504&amp;"|"&amp;IF(H1504="W3","W3_"&amp;IF(I1504="","unknown",I1504),H1504))</f>
        <v/>
      </c>
      <c r="Q1504">
        <f>IF(P1504="","",IFERROR(IF(AND(H1504="W7",OR(F1504="causal",F1504="predictive")),IF(AND(OR(K1504=1,K1504="1"),OR(L1504=1,L1504="1"),OR(M1504=1,M1504="1")),"adequate","partial"),IF(AND(H1504="W4",F1504="predictive",OR(J1504="P2",J1504="P3",J1504="P4")),IF(OR(U1504=1,U1504="1"),"adequate","partial"),INDEX(Fit_Matrix!$B:$B,MATCH(P1504,Fit_Matrix!$A:$A,0)))),"CHECK KEY"))</f>
        <v/>
      </c>
      <c r="U1504" s="10" t="n"/>
      <c r="V1504" s="10" t="n"/>
      <c r="W1504" s="10" t="n"/>
      <c r="X1504" s="10" t="n"/>
      <c r="Y1504" s="10" t="n"/>
      <c r="Z1504" s="10" t="n"/>
      <c r="AA1504" s="11">
        <f>IF(A1504="","",IF(AND(J1504="P4",F1504="causal"),"P4-CAUSAL",""))</f>
        <v/>
      </c>
    </row>
    <row r="1505" ht="15" customHeight="1" s="1">
      <c r="P1505">
        <f>IF(OR(F1505="",H1505="",J1505=""),"",J1505&amp;"|"&amp;F1505&amp;"|"&amp;IF(H1505="W3","W3_"&amp;IF(I1505="","unknown",I1505),H1505))</f>
        <v/>
      </c>
      <c r="Q1505">
        <f>IF(P1505="","",IFERROR(IF(AND(H1505="W7",OR(F1505="causal",F1505="predictive")),IF(AND(OR(K1505=1,K1505="1"),OR(L1505=1,L1505="1"),OR(M1505=1,M1505="1")),"adequate","partial"),IF(AND(H1505="W4",F1505="predictive",OR(J1505="P2",J1505="P3",J1505="P4")),IF(OR(U1505=1,U1505="1"),"adequate","partial"),INDEX(Fit_Matrix!$B:$B,MATCH(P1505,Fit_Matrix!$A:$A,0)))),"CHECK KEY"))</f>
        <v/>
      </c>
      <c r="U1505" s="10" t="n"/>
      <c r="V1505" s="10" t="n"/>
      <c r="W1505" s="10" t="n"/>
      <c r="X1505" s="10" t="n"/>
      <c r="Y1505" s="10" t="n"/>
      <c r="Z1505" s="10" t="n"/>
      <c r="AA1505" s="11">
        <f>IF(A1505="","",IF(AND(J1505="P4",F1505="causal"),"P4-CAUSAL",""))</f>
        <v/>
      </c>
    </row>
    <row r="1506" ht="15" customHeight="1" s="1">
      <c r="P1506">
        <f>IF(OR(F1506="",H1506="",J1506=""),"",J1506&amp;"|"&amp;F1506&amp;"|"&amp;IF(H1506="W3","W3_"&amp;IF(I1506="","unknown",I1506),H1506))</f>
        <v/>
      </c>
      <c r="Q1506">
        <f>IF(P1506="","",IFERROR(IF(AND(H1506="W7",OR(F1506="causal",F1506="predictive")),IF(AND(OR(K1506=1,K1506="1"),OR(L1506=1,L1506="1"),OR(M1506=1,M1506="1")),"adequate","partial"),IF(AND(H1506="W4",F1506="predictive",OR(J1506="P2",J1506="P3",J1506="P4")),IF(OR(U1506=1,U1506="1"),"adequate","partial"),INDEX(Fit_Matrix!$B:$B,MATCH(P1506,Fit_Matrix!$A:$A,0)))),"CHECK KEY"))</f>
        <v/>
      </c>
      <c r="U1506" s="10" t="n"/>
      <c r="V1506" s="10" t="n"/>
      <c r="W1506" s="10" t="n"/>
      <c r="X1506" s="10" t="n"/>
      <c r="Y1506" s="10" t="n"/>
      <c r="Z1506" s="10" t="n"/>
      <c r="AA1506" s="11">
        <f>IF(A1506="","",IF(AND(J1506="P4",F1506="causal"),"P4-CAUSAL",""))</f>
        <v/>
      </c>
    </row>
    <row r="1507" ht="15" customHeight="1" s="1">
      <c r="P1507">
        <f>IF(OR(F1507="",H1507="",J1507=""),"",J1507&amp;"|"&amp;F1507&amp;"|"&amp;IF(H1507="W3","W3_"&amp;IF(I1507="","unknown",I1507),H1507))</f>
        <v/>
      </c>
      <c r="Q1507">
        <f>IF(P1507="","",IFERROR(IF(AND(H1507="W7",OR(F1507="causal",F1507="predictive")),IF(AND(OR(K1507=1,K1507="1"),OR(L1507=1,L1507="1"),OR(M1507=1,M1507="1")),"adequate","partial"),IF(AND(H1507="W4",F1507="predictive",OR(J1507="P2",J1507="P3",J1507="P4")),IF(OR(U1507=1,U1507="1"),"adequate","partial"),INDEX(Fit_Matrix!$B:$B,MATCH(P1507,Fit_Matrix!$A:$A,0)))),"CHECK KEY"))</f>
        <v/>
      </c>
      <c r="U1507" s="10" t="n"/>
      <c r="V1507" s="10" t="n"/>
      <c r="W1507" s="10" t="n"/>
      <c r="X1507" s="10" t="n"/>
      <c r="Y1507" s="10" t="n"/>
      <c r="Z1507" s="10" t="n"/>
      <c r="AA1507" s="11">
        <f>IF(A1507="","",IF(AND(J1507="P4",F1507="causal"),"P4-CAUSAL",""))</f>
        <v/>
      </c>
    </row>
    <row r="1508" ht="15" customHeight="1" s="1">
      <c r="P1508">
        <f>IF(OR(F1508="",H1508="",J1508=""),"",J1508&amp;"|"&amp;F1508&amp;"|"&amp;IF(H1508="W3","W3_"&amp;IF(I1508="","unknown",I1508),H1508))</f>
        <v/>
      </c>
      <c r="Q1508">
        <f>IF(P1508="","",IFERROR(IF(AND(H1508="W7",OR(F1508="causal",F1508="predictive")),IF(AND(OR(K1508=1,K1508="1"),OR(L1508=1,L1508="1"),OR(M1508=1,M1508="1")),"adequate","partial"),IF(AND(H1508="W4",F1508="predictive",OR(J1508="P2",J1508="P3",J1508="P4")),IF(OR(U1508=1,U1508="1"),"adequate","partial"),INDEX(Fit_Matrix!$B:$B,MATCH(P1508,Fit_Matrix!$A:$A,0)))),"CHECK KEY"))</f>
        <v/>
      </c>
      <c r="U1508" s="10" t="n"/>
      <c r="V1508" s="10" t="n"/>
      <c r="W1508" s="10" t="n"/>
      <c r="X1508" s="10" t="n"/>
      <c r="Y1508" s="10" t="n"/>
      <c r="Z1508" s="10" t="n"/>
      <c r="AA1508" s="11">
        <f>IF(A1508="","",IF(AND(J1508="P4",F1508="causal"),"P4-CAUSAL",""))</f>
        <v/>
      </c>
    </row>
    <row r="1509" ht="15" customHeight="1" s="1">
      <c r="P1509">
        <f>IF(OR(F1509="",H1509="",J1509=""),"",J1509&amp;"|"&amp;F1509&amp;"|"&amp;IF(H1509="W3","W3_"&amp;IF(I1509="","unknown",I1509),H1509))</f>
        <v/>
      </c>
      <c r="Q1509">
        <f>IF(P1509="","",IFERROR(IF(AND(H1509="W7",OR(F1509="causal",F1509="predictive")),IF(AND(OR(K1509=1,K1509="1"),OR(L1509=1,L1509="1"),OR(M1509=1,M1509="1")),"adequate","partial"),IF(AND(H1509="W4",F1509="predictive",OR(J1509="P2",J1509="P3",J1509="P4")),IF(OR(U1509=1,U1509="1"),"adequate","partial"),INDEX(Fit_Matrix!$B:$B,MATCH(P1509,Fit_Matrix!$A:$A,0)))),"CHECK KEY"))</f>
        <v/>
      </c>
      <c r="U1509" s="10" t="n"/>
      <c r="V1509" s="10" t="n"/>
      <c r="W1509" s="10" t="n"/>
      <c r="X1509" s="10" t="n"/>
      <c r="Y1509" s="10" t="n"/>
      <c r="Z1509" s="10" t="n"/>
      <c r="AA1509" s="11">
        <f>IF(A1509="","",IF(AND(J1509="P4",F1509="causal"),"P4-CAUSAL",""))</f>
        <v/>
      </c>
    </row>
    <row r="1510" ht="15" customHeight="1" s="1">
      <c r="P1510">
        <f>IF(OR(F1510="",H1510="",J1510=""),"",J1510&amp;"|"&amp;F1510&amp;"|"&amp;IF(H1510="W3","W3_"&amp;IF(I1510="","unknown",I1510),H1510))</f>
        <v/>
      </c>
      <c r="Q1510">
        <f>IF(P1510="","",IFERROR(IF(AND(H1510="W7",OR(F1510="causal",F1510="predictive")),IF(AND(OR(K1510=1,K1510="1"),OR(L1510=1,L1510="1"),OR(M1510=1,M1510="1")),"adequate","partial"),IF(AND(H1510="W4",F1510="predictive",OR(J1510="P2",J1510="P3",J1510="P4")),IF(OR(U1510=1,U1510="1"),"adequate","partial"),INDEX(Fit_Matrix!$B:$B,MATCH(P1510,Fit_Matrix!$A:$A,0)))),"CHECK KEY"))</f>
        <v/>
      </c>
      <c r="U1510" s="10" t="n"/>
      <c r="V1510" s="10" t="n"/>
      <c r="W1510" s="10" t="n"/>
      <c r="X1510" s="10" t="n"/>
      <c r="Y1510" s="10" t="n"/>
      <c r="Z1510" s="10" t="n"/>
      <c r="AA1510" s="11">
        <f>IF(A1510="","",IF(AND(J1510="P4",F1510="causal"),"P4-CAUSAL",""))</f>
        <v/>
      </c>
    </row>
    <row r="1511" ht="15" customHeight="1" s="1">
      <c r="P1511">
        <f>IF(OR(F1511="",H1511="",J1511=""),"",J1511&amp;"|"&amp;F1511&amp;"|"&amp;IF(H1511="W3","W3_"&amp;IF(I1511="","unknown",I1511),H1511))</f>
        <v/>
      </c>
      <c r="Q1511">
        <f>IF(P1511="","",IFERROR(IF(AND(H1511="W7",OR(F1511="causal",F1511="predictive")),IF(AND(OR(K1511=1,K1511="1"),OR(L1511=1,L1511="1"),OR(M1511=1,M1511="1")),"adequate","partial"),IF(AND(H1511="W4",F1511="predictive",OR(J1511="P2",J1511="P3",J1511="P4")),IF(OR(U1511=1,U1511="1"),"adequate","partial"),INDEX(Fit_Matrix!$B:$B,MATCH(P1511,Fit_Matrix!$A:$A,0)))),"CHECK KEY"))</f>
        <v/>
      </c>
      <c r="U1511" s="10" t="n"/>
      <c r="V1511" s="10" t="n"/>
      <c r="W1511" s="10" t="n"/>
      <c r="X1511" s="10" t="n"/>
      <c r="Y1511" s="10" t="n"/>
      <c r="Z1511" s="10" t="n"/>
      <c r="AA1511" s="11">
        <f>IF(A1511="","",IF(AND(J1511="P4",F1511="causal"),"P4-CAUSAL",""))</f>
        <v/>
      </c>
    </row>
    <row r="1512" ht="15" customHeight="1" s="1">
      <c r="P1512">
        <f>IF(OR(F1512="",H1512="",J1512=""),"",J1512&amp;"|"&amp;F1512&amp;"|"&amp;IF(H1512="W3","W3_"&amp;IF(I1512="","unknown",I1512),H1512))</f>
        <v/>
      </c>
      <c r="Q1512">
        <f>IF(P1512="","",IFERROR(IF(AND(H1512="W7",OR(F1512="causal",F1512="predictive")),IF(AND(OR(K1512=1,K1512="1"),OR(L1512=1,L1512="1"),OR(M1512=1,M1512="1")),"adequate","partial"),IF(AND(H1512="W4",F1512="predictive",OR(J1512="P2",J1512="P3",J1512="P4")),IF(OR(U1512=1,U1512="1"),"adequate","partial"),INDEX(Fit_Matrix!$B:$B,MATCH(P1512,Fit_Matrix!$A:$A,0)))),"CHECK KEY"))</f>
        <v/>
      </c>
      <c r="U1512" s="10" t="n"/>
      <c r="V1512" s="10" t="n"/>
      <c r="W1512" s="10" t="n"/>
      <c r="X1512" s="10" t="n"/>
      <c r="Y1512" s="10" t="n"/>
      <c r="Z1512" s="10" t="n"/>
      <c r="AA1512" s="11">
        <f>IF(A1512="","",IF(AND(J1512="P4",F1512="causal"),"P4-CAUSAL",""))</f>
        <v/>
      </c>
    </row>
    <row r="1513" ht="15" customHeight="1" s="1">
      <c r="P1513">
        <f>IF(OR(F1513="",H1513="",J1513=""),"",J1513&amp;"|"&amp;F1513&amp;"|"&amp;IF(H1513="W3","W3_"&amp;IF(I1513="","unknown",I1513),H1513))</f>
        <v/>
      </c>
      <c r="Q1513">
        <f>IF(P1513="","",IFERROR(IF(AND(H1513="W7",OR(F1513="causal",F1513="predictive")),IF(AND(OR(K1513=1,K1513="1"),OR(L1513=1,L1513="1"),OR(M1513=1,M1513="1")),"adequate","partial"),IF(AND(H1513="W4",F1513="predictive",OR(J1513="P2",J1513="P3",J1513="P4")),IF(OR(U1513=1,U1513="1"),"adequate","partial"),INDEX(Fit_Matrix!$B:$B,MATCH(P1513,Fit_Matrix!$A:$A,0)))),"CHECK KEY"))</f>
        <v/>
      </c>
      <c r="U1513" s="10" t="n"/>
      <c r="V1513" s="10" t="n"/>
      <c r="W1513" s="10" t="n"/>
      <c r="X1513" s="10" t="n"/>
      <c r="Y1513" s="10" t="n"/>
      <c r="Z1513" s="10" t="n"/>
      <c r="AA1513" s="11">
        <f>IF(A1513="","",IF(AND(J1513="P4",F1513="causal"),"P4-CAUSAL",""))</f>
        <v/>
      </c>
    </row>
    <row r="1514" ht="15" customHeight="1" s="1">
      <c r="P1514">
        <f>IF(OR(F1514="",H1514="",J1514=""),"",J1514&amp;"|"&amp;F1514&amp;"|"&amp;IF(H1514="W3","W3_"&amp;IF(I1514="","unknown",I1514),H1514))</f>
        <v/>
      </c>
      <c r="Q1514">
        <f>IF(P1514="","",IFERROR(IF(AND(H1514="W7",OR(F1514="causal",F1514="predictive")),IF(AND(OR(K1514=1,K1514="1"),OR(L1514=1,L1514="1"),OR(M1514=1,M1514="1")),"adequate","partial"),IF(AND(H1514="W4",F1514="predictive",OR(J1514="P2",J1514="P3",J1514="P4")),IF(OR(U1514=1,U1514="1"),"adequate","partial"),INDEX(Fit_Matrix!$B:$B,MATCH(P1514,Fit_Matrix!$A:$A,0)))),"CHECK KEY"))</f>
        <v/>
      </c>
      <c r="U1514" s="10" t="n"/>
      <c r="V1514" s="10" t="n"/>
      <c r="W1514" s="10" t="n"/>
      <c r="X1514" s="10" t="n"/>
      <c r="Y1514" s="10" t="n"/>
      <c r="Z1514" s="10" t="n"/>
      <c r="AA1514" s="11">
        <f>IF(A1514="","",IF(AND(J1514="P4",F1514="causal"),"P4-CAUSAL",""))</f>
        <v/>
      </c>
    </row>
    <row r="1515" ht="15" customHeight="1" s="1">
      <c r="P1515">
        <f>IF(OR(F1515="",H1515="",J1515=""),"",J1515&amp;"|"&amp;F1515&amp;"|"&amp;IF(H1515="W3","W3_"&amp;IF(I1515="","unknown",I1515),H1515))</f>
        <v/>
      </c>
      <c r="Q1515">
        <f>IF(P1515="","",IFERROR(IF(AND(H1515="W7",OR(F1515="causal",F1515="predictive")),IF(AND(OR(K1515=1,K1515="1"),OR(L1515=1,L1515="1"),OR(M1515=1,M1515="1")),"adequate","partial"),IF(AND(H1515="W4",F1515="predictive",OR(J1515="P2",J1515="P3",J1515="P4")),IF(OR(U1515=1,U1515="1"),"adequate","partial"),INDEX(Fit_Matrix!$B:$B,MATCH(P1515,Fit_Matrix!$A:$A,0)))),"CHECK KEY"))</f>
        <v/>
      </c>
      <c r="U1515" s="10" t="n"/>
      <c r="V1515" s="10" t="n"/>
      <c r="W1515" s="10" t="n"/>
      <c r="X1515" s="10" t="n"/>
      <c r="Y1515" s="10" t="n"/>
      <c r="Z1515" s="10" t="n"/>
      <c r="AA1515" s="11">
        <f>IF(A1515="","",IF(AND(J1515="P4",F1515="causal"),"P4-CAUSAL",""))</f>
        <v/>
      </c>
    </row>
    <row r="1516" ht="15" customHeight="1" s="1">
      <c r="P1516">
        <f>IF(OR(F1516="",H1516="",J1516=""),"",J1516&amp;"|"&amp;F1516&amp;"|"&amp;IF(H1516="W3","W3_"&amp;IF(I1516="","unknown",I1516),H1516))</f>
        <v/>
      </c>
      <c r="Q1516">
        <f>IF(P1516="","",IFERROR(IF(AND(H1516="W7",OR(F1516="causal",F1516="predictive")),IF(AND(OR(K1516=1,K1516="1"),OR(L1516=1,L1516="1"),OR(M1516=1,M1516="1")),"adequate","partial"),IF(AND(H1516="W4",F1516="predictive",OR(J1516="P2",J1516="P3",J1516="P4")),IF(OR(U1516=1,U1516="1"),"adequate","partial"),INDEX(Fit_Matrix!$B:$B,MATCH(P1516,Fit_Matrix!$A:$A,0)))),"CHECK KEY"))</f>
        <v/>
      </c>
      <c r="U1516" s="10" t="n"/>
      <c r="V1516" s="10" t="n"/>
      <c r="W1516" s="10" t="n"/>
      <c r="X1516" s="10" t="n"/>
      <c r="Y1516" s="10" t="n"/>
      <c r="Z1516" s="10" t="n"/>
      <c r="AA1516" s="11">
        <f>IF(A1516="","",IF(AND(J1516="P4",F1516="causal"),"P4-CAUSAL",""))</f>
        <v/>
      </c>
    </row>
    <row r="1517" ht="15" customHeight="1" s="1">
      <c r="P1517">
        <f>IF(OR(F1517="",H1517="",J1517=""),"",J1517&amp;"|"&amp;F1517&amp;"|"&amp;IF(H1517="W3","W3_"&amp;IF(I1517="","unknown",I1517),H1517))</f>
        <v/>
      </c>
      <c r="Q1517">
        <f>IF(P1517="","",IFERROR(IF(AND(H1517="W7",OR(F1517="causal",F1517="predictive")),IF(AND(OR(K1517=1,K1517="1"),OR(L1517=1,L1517="1"),OR(M1517=1,M1517="1")),"adequate","partial"),IF(AND(H1517="W4",F1517="predictive",OR(J1517="P2",J1517="P3",J1517="P4")),IF(OR(U1517=1,U1517="1"),"adequate","partial"),INDEX(Fit_Matrix!$B:$B,MATCH(P1517,Fit_Matrix!$A:$A,0)))),"CHECK KEY"))</f>
        <v/>
      </c>
      <c r="U1517" s="10" t="n"/>
      <c r="V1517" s="10" t="n"/>
      <c r="W1517" s="10" t="n"/>
      <c r="X1517" s="10" t="n"/>
      <c r="Y1517" s="10" t="n"/>
      <c r="Z1517" s="10" t="n"/>
      <c r="AA1517" s="11">
        <f>IF(A1517="","",IF(AND(J1517="P4",F1517="causal"),"P4-CAUSAL",""))</f>
        <v/>
      </c>
    </row>
    <row r="1518" ht="15" customHeight="1" s="1">
      <c r="P1518">
        <f>IF(OR(F1518="",H1518="",J1518=""),"",J1518&amp;"|"&amp;F1518&amp;"|"&amp;IF(H1518="W3","W3_"&amp;IF(I1518="","unknown",I1518),H1518))</f>
        <v/>
      </c>
      <c r="Q1518">
        <f>IF(P1518="","",IFERROR(IF(AND(H1518="W7",OR(F1518="causal",F1518="predictive")),IF(AND(OR(K1518=1,K1518="1"),OR(L1518=1,L1518="1"),OR(M1518=1,M1518="1")),"adequate","partial"),IF(AND(H1518="W4",F1518="predictive",OR(J1518="P2",J1518="P3",J1518="P4")),IF(OR(U1518=1,U1518="1"),"adequate","partial"),INDEX(Fit_Matrix!$B:$B,MATCH(P1518,Fit_Matrix!$A:$A,0)))),"CHECK KEY"))</f>
        <v/>
      </c>
      <c r="U1518" s="10" t="n"/>
      <c r="V1518" s="10" t="n"/>
      <c r="W1518" s="10" t="n"/>
      <c r="X1518" s="10" t="n"/>
      <c r="Y1518" s="10" t="n"/>
      <c r="Z1518" s="10" t="n"/>
      <c r="AA1518" s="11">
        <f>IF(A1518="","",IF(AND(J1518="P4",F1518="causal"),"P4-CAUSAL",""))</f>
        <v/>
      </c>
    </row>
    <row r="1519" ht="15" customHeight="1" s="1">
      <c r="P1519">
        <f>IF(OR(F1519="",H1519="",J1519=""),"",J1519&amp;"|"&amp;F1519&amp;"|"&amp;IF(H1519="W3","W3_"&amp;IF(I1519="","unknown",I1519),H1519))</f>
        <v/>
      </c>
      <c r="Q1519">
        <f>IF(P1519="","",IFERROR(IF(AND(H1519="W7",OR(F1519="causal",F1519="predictive")),IF(AND(OR(K1519=1,K1519="1"),OR(L1519=1,L1519="1"),OR(M1519=1,M1519="1")),"adequate","partial"),IF(AND(H1519="W4",F1519="predictive",OR(J1519="P2",J1519="P3",J1519="P4")),IF(OR(U1519=1,U1519="1"),"adequate","partial"),INDEX(Fit_Matrix!$B:$B,MATCH(P1519,Fit_Matrix!$A:$A,0)))),"CHECK KEY"))</f>
        <v/>
      </c>
      <c r="U1519" s="10" t="n"/>
      <c r="V1519" s="10" t="n"/>
      <c r="W1519" s="10" t="n"/>
      <c r="X1519" s="10" t="n"/>
      <c r="Y1519" s="10" t="n"/>
      <c r="Z1519" s="10" t="n"/>
      <c r="AA1519" s="11">
        <f>IF(A1519="","",IF(AND(J1519="P4",F1519="causal"),"P4-CAUSAL",""))</f>
        <v/>
      </c>
    </row>
    <row r="1520" ht="15" customHeight="1" s="1">
      <c r="P1520">
        <f>IF(OR(F1520="",H1520="",J1520=""),"",J1520&amp;"|"&amp;F1520&amp;"|"&amp;IF(H1520="W3","W3_"&amp;IF(I1520="","unknown",I1520),H1520))</f>
        <v/>
      </c>
      <c r="Q1520">
        <f>IF(P1520="","",IFERROR(IF(AND(H1520="W7",OR(F1520="causal",F1520="predictive")),IF(AND(OR(K1520=1,K1520="1"),OR(L1520=1,L1520="1"),OR(M1520=1,M1520="1")),"adequate","partial"),IF(AND(H1520="W4",F1520="predictive",OR(J1520="P2",J1520="P3",J1520="P4")),IF(OR(U1520=1,U1520="1"),"adequate","partial"),INDEX(Fit_Matrix!$B:$B,MATCH(P1520,Fit_Matrix!$A:$A,0)))),"CHECK KEY"))</f>
        <v/>
      </c>
      <c r="U1520" s="10" t="n"/>
      <c r="V1520" s="10" t="n"/>
      <c r="W1520" s="10" t="n"/>
      <c r="X1520" s="10" t="n"/>
      <c r="Y1520" s="10" t="n"/>
      <c r="Z1520" s="10" t="n"/>
      <c r="AA1520" s="11">
        <f>IF(A1520="","",IF(AND(J1520="P4",F1520="causal"),"P4-CAUSAL",""))</f>
        <v/>
      </c>
    </row>
    <row r="1521" ht="15" customHeight="1" s="1">
      <c r="P1521">
        <f>IF(OR(F1521="",H1521="",J1521=""),"",J1521&amp;"|"&amp;F1521&amp;"|"&amp;IF(H1521="W3","W3_"&amp;IF(I1521="","unknown",I1521),H1521))</f>
        <v/>
      </c>
      <c r="Q1521">
        <f>IF(P1521="","",IFERROR(IF(AND(H1521="W7",OR(F1521="causal",F1521="predictive")),IF(AND(OR(K1521=1,K1521="1"),OR(L1521=1,L1521="1"),OR(M1521=1,M1521="1")),"adequate","partial"),IF(AND(H1521="W4",F1521="predictive",OR(J1521="P2",J1521="P3",J1521="P4")),IF(OR(U1521=1,U1521="1"),"adequate","partial"),INDEX(Fit_Matrix!$B:$B,MATCH(P1521,Fit_Matrix!$A:$A,0)))),"CHECK KEY"))</f>
        <v/>
      </c>
      <c r="U1521" s="10" t="n"/>
      <c r="V1521" s="10" t="n"/>
      <c r="W1521" s="10" t="n"/>
      <c r="X1521" s="10" t="n"/>
      <c r="Y1521" s="10" t="n"/>
      <c r="Z1521" s="10" t="n"/>
      <c r="AA1521" s="11">
        <f>IF(A1521="","",IF(AND(J1521="P4",F1521="causal"),"P4-CAUSAL",""))</f>
        <v/>
      </c>
    </row>
    <row r="1522" ht="15" customHeight="1" s="1">
      <c r="P1522">
        <f>IF(OR(F1522="",H1522="",J1522=""),"",J1522&amp;"|"&amp;F1522&amp;"|"&amp;IF(H1522="W3","W3_"&amp;IF(I1522="","unknown",I1522),H1522))</f>
        <v/>
      </c>
      <c r="Q1522">
        <f>IF(P1522="","",IFERROR(IF(AND(H1522="W7",OR(F1522="causal",F1522="predictive")),IF(AND(OR(K1522=1,K1522="1"),OR(L1522=1,L1522="1"),OR(M1522=1,M1522="1")),"adequate","partial"),IF(AND(H1522="W4",F1522="predictive",OR(J1522="P2",J1522="P3",J1522="P4")),IF(OR(U1522=1,U1522="1"),"adequate","partial"),INDEX(Fit_Matrix!$B:$B,MATCH(P1522,Fit_Matrix!$A:$A,0)))),"CHECK KEY"))</f>
        <v/>
      </c>
      <c r="U1522" s="10" t="n"/>
      <c r="V1522" s="10" t="n"/>
      <c r="W1522" s="10" t="n"/>
      <c r="X1522" s="10" t="n"/>
      <c r="Y1522" s="10" t="n"/>
      <c r="Z1522" s="10" t="n"/>
      <c r="AA1522" s="11">
        <f>IF(A1522="","",IF(AND(J1522="P4",F1522="causal"),"P4-CAUSAL",""))</f>
        <v/>
      </c>
    </row>
    <row r="1523" ht="15" customHeight="1" s="1">
      <c r="P1523">
        <f>IF(OR(F1523="",H1523="",J1523=""),"",J1523&amp;"|"&amp;F1523&amp;"|"&amp;IF(H1523="W3","W3_"&amp;IF(I1523="","unknown",I1523),H1523))</f>
        <v/>
      </c>
      <c r="Q1523">
        <f>IF(P1523="","",IFERROR(IF(AND(H1523="W7",OR(F1523="causal",F1523="predictive")),IF(AND(OR(K1523=1,K1523="1"),OR(L1523=1,L1523="1"),OR(M1523=1,M1523="1")),"adequate","partial"),IF(AND(H1523="W4",F1523="predictive",OR(J1523="P2",J1523="P3",J1523="P4")),IF(OR(U1523=1,U1523="1"),"adequate","partial"),INDEX(Fit_Matrix!$B:$B,MATCH(P1523,Fit_Matrix!$A:$A,0)))),"CHECK KEY"))</f>
        <v/>
      </c>
      <c r="U1523" s="10" t="n"/>
      <c r="V1523" s="10" t="n"/>
      <c r="W1523" s="10" t="n"/>
      <c r="X1523" s="10" t="n"/>
      <c r="Y1523" s="10" t="n"/>
      <c r="Z1523" s="10" t="n"/>
      <c r="AA1523" s="11">
        <f>IF(A1523="","",IF(AND(J1523="P4",F1523="causal"),"P4-CAUSAL",""))</f>
        <v/>
      </c>
    </row>
    <row r="1524" ht="15" customHeight="1" s="1">
      <c r="P1524">
        <f>IF(OR(F1524="",H1524="",J1524=""),"",J1524&amp;"|"&amp;F1524&amp;"|"&amp;IF(H1524="W3","W3_"&amp;IF(I1524="","unknown",I1524),H1524))</f>
        <v/>
      </c>
      <c r="Q1524">
        <f>IF(P1524="","",IFERROR(IF(AND(H1524="W7",OR(F1524="causal",F1524="predictive")),IF(AND(OR(K1524=1,K1524="1"),OR(L1524=1,L1524="1"),OR(M1524=1,M1524="1")),"adequate","partial"),IF(AND(H1524="W4",F1524="predictive",OR(J1524="P2",J1524="P3",J1524="P4")),IF(OR(U1524=1,U1524="1"),"adequate","partial"),INDEX(Fit_Matrix!$B:$B,MATCH(P1524,Fit_Matrix!$A:$A,0)))),"CHECK KEY"))</f>
        <v/>
      </c>
      <c r="U1524" s="10" t="n"/>
      <c r="V1524" s="10" t="n"/>
      <c r="W1524" s="10" t="n"/>
      <c r="X1524" s="10" t="n"/>
      <c r="Y1524" s="10" t="n"/>
      <c r="Z1524" s="10" t="n"/>
      <c r="AA1524" s="11">
        <f>IF(A1524="","",IF(AND(J1524="P4",F1524="causal"),"P4-CAUSAL",""))</f>
        <v/>
      </c>
    </row>
    <row r="1525" ht="15" customHeight="1" s="1">
      <c r="P1525">
        <f>IF(OR(F1525="",H1525="",J1525=""),"",J1525&amp;"|"&amp;F1525&amp;"|"&amp;IF(H1525="W3","W3_"&amp;IF(I1525="","unknown",I1525),H1525))</f>
        <v/>
      </c>
      <c r="Q1525">
        <f>IF(P1525="","",IFERROR(IF(AND(H1525="W7",OR(F1525="causal",F1525="predictive")),IF(AND(OR(K1525=1,K1525="1"),OR(L1525=1,L1525="1"),OR(M1525=1,M1525="1")),"adequate","partial"),IF(AND(H1525="W4",F1525="predictive",OR(J1525="P2",J1525="P3",J1525="P4")),IF(OR(U1525=1,U1525="1"),"adequate","partial"),INDEX(Fit_Matrix!$B:$B,MATCH(P1525,Fit_Matrix!$A:$A,0)))),"CHECK KEY"))</f>
        <v/>
      </c>
      <c r="U1525" s="10" t="n"/>
      <c r="V1525" s="10" t="n"/>
      <c r="W1525" s="10" t="n"/>
      <c r="X1525" s="10" t="n"/>
      <c r="Y1525" s="10" t="n"/>
      <c r="Z1525" s="10" t="n"/>
      <c r="AA1525" s="11">
        <f>IF(A1525="","",IF(AND(J1525="P4",F1525="causal"),"P4-CAUSAL",""))</f>
        <v/>
      </c>
    </row>
    <row r="1526" ht="15" customHeight="1" s="1">
      <c r="P1526">
        <f>IF(OR(F1526="",H1526="",J1526=""),"",J1526&amp;"|"&amp;F1526&amp;"|"&amp;IF(H1526="W3","W3_"&amp;IF(I1526="","unknown",I1526),H1526))</f>
        <v/>
      </c>
      <c r="Q1526">
        <f>IF(P1526="","",IFERROR(IF(AND(H1526="W7",OR(F1526="causal",F1526="predictive")),IF(AND(OR(K1526=1,K1526="1"),OR(L1526=1,L1526="1"),OR(M1526=1,M1526="1")),"adequate","partial"),IF(AND(H1526="W4",F1526="predictive",OR(J1526="P2",J1526="P3",J1526="P4")),IF(OR(U1526=1,U1526="1"),"adequate","partial"),INDEX(Fit_Matrix!$B:$B,MATCH(P1526,Fit_Matrix!$A:$A,0)))),"CHECK KEY"))</f>
        <v/>
      </c>
      <c r="U1526" s="10" t="n"/>
      <c r="V1526" s="10" t="n"/>
      <c r="W1526" s="10" t="n"/>
      <c r="X1526" s="10" t="n"/>
      <c r="Y1526" s="10" t="n"/>
      <c r="Z1526" s="10" t="n"/>
      <c r="AA1526" s="11">
        <f>IF(A1526="","",IF(AND(J1526="P4",F1526="causal"),"P4-CAUSAL",""))</f>
        <v/>
      </c>
    </row>
    <row r="1527" ht="15" customHeight="1" s="1">
      <c r="P1527">
        <f>IF(OR(F1527="",H1527="",J1527=""),"",J1527&amp;"|"&amp;F1527&amp;"|"&amp;IF(H1527="W3","W3_"&amp;IF(I1527="","unknown",I1527),H1527))</f>
        <v/>
      </c>
      <c r="Q1527">
        <f>IF(P1527="","",IFERROR(IF(AND(H1527="W7",OR(F1527="causal",F1527="predictive")),IF(AND(OR(K1527=1,K1527="1"),OR(L1527=1,L1527="1"),OR(M1527=1,M1527="1")),"adequate","partial"),IF(AND(H1527="W4",F1527="predictive",OR(J1527="P2",J1527="P3",J1527="P4")),IF(OR(U1527=1,U1527="1"),"adequate","partial"),INDEX(Fit_Matrix!$B:$B,MATCH(P1527,Fit_Matrix!$A:$A,0)))),"CHECK KEY"))</f>
        <v/>
      </c>
      <c r="U1527" s="10" t="n"/>
      <c r="V1527" s="10" t="n"/>
      <c r="W1527" s="10" t="n"/>
      <c r="X1527" s="10" t="n"/>
      <c r="Y1527" s="10" t="n"/>
      <c r="Z1527" s="10" t="n"/>
      <c r="AA1527" s="11">
        <f>IF(A1527="","",IF(AND(J1527="P4",F1527="causal"),"P4-CAUSAL",""))</f>
        <v/>
      </c>
    </row>
    <row r="1528" ht="15" customHeight="1" s="1">
      <c r="P1528">
        <f>IF(OR(F1528="",H1528="",J1528=""),"",J1528&amp;"|"&amp;F1528&amp;"|"&amp;IF(H1528="W3","W3_"&amp;IF(I1528="","unknown",I1528),H1528))</f>
        <v/>
      </c>
      <c r="Q1528">
        <f>IF(P1528="","",IFERROR(IF(AND(H1528="W7",OR(F1528="causal",F1528="predictive")),IF(AND(OR(K1528=1,K1528="1"),OR(L1528=1,L1528="1"),OR(M1528=1,M1528="1")),"adequate","partial"),IF(AND(H1528="W4",F1528="predictive",OR(J1528="P2",J1528="P3",J1528="P4")),IF(OR(U1528=1,U1528="1"),"adequate","partial"),INDEX(Fit_Matrix!$B:$B,MATCH(P1528,Fit_Matrix!$A:$A,0)))),"CHECK KEY"))</f>
        <v/>
      </c>
      <c r="U1528" s="10" t="n"/>
      <c r="V1528" s="10" t="n"/>
      <c r="W1528" s="10" t="n"/>
      <c r="X1528" s="10" t="n"/>
      <c r="Y1528" s="10" t="n"/>
      <c r="Z1528" s="10" t="n"/>
      <c r="AA1528" s="11">
        <f>IF(A1528="","",IF(AND(J1528="P4",F1528="causal"),"P4-CAUSAL",""))</f>
        <v/>
      </c>
    </row>
    <row r="1529" ht="15" customHeight="1" s="1">
      <c r="P1529">
        <f>IF(OR(F1529="",H1529="",J1529=""),"",J1529&amp;"|"&amp;F1529&amp;"|"&amp;IF(H1529="W3","W3_"&amp;IF(I1529="","unknown",I1529),H1529))</f>
        <v/>
      </c>
      <c r="Q1529">
        <f>IF(P1529="","",IFERROR(IF(AND(H1529="W7",OR(F1529="causal",F1529="predictive")),IF(AND(OR(K1529=1,K1529="1"),OR(L1529=1,L1529="1"),OR(M1529=1,M1529="1")),"adequate","partial"),IF(AND(H1529="W4",F1529="predictive",OR(J1529="P2",J1529="P3",J1529="P4")),IF(OR(U1529=1,U1529="1"),"adequate","partial"),INDEX(Fit_Matrix!$B:$B,MATCH(P1529,Fit_Matrix!$A:$A,0)))),"CHECK KEY"))</f>
        <v/>
      </c>
      <c r="U1529" s="10" t="n"/>
      <c r="V1529" s="10" t="n"/>
      <c r="W1529" s="10" t="n"/>
      <c r="X1529" s="10" t="n"/>
      <c r="Y1529" s="10" t="n"/>
      <c r="Z1529" s="10" t="n"/>
      <c r="AA1529" s="11">
        <f>IF(A1529="","",IF(AND(J1529="P4",F1529="causal"),"P4-CAUSAL",""))</f>
        <v/>
      </c>
    </row>
    <row r="1530" ht="15" customHeight="1" s="1">
      <c r="P1530">
        <f>IF(OR(F1530="",H1530="",J1530=""),"",J1530&amp;"|"&amp;F1530&amp;"|"&amp;IF(H1530="W3","W3_"&amp;IF(I1530="","unknown",I1530),H1530))</f>
        <v/>
      </c>
      <c r="Q1530">
        <f>IF(P1530="","",IFERROR(IF(AND(H1530="W7",OR(F1530="causal",F1530="predictive")),IF(AND(OR(K1530=1,K1530="1"),OR(L1530=1,L1530="1"),OR(M1530=1,M1530="1")),"adequate","partial"),IF(AND(H1530="W4",F1530="predictive",OR(J1530="P2",J1530="P3",J1530="P4")),IF(OR(U1530=1,U1530="1"),"adequate","partial"),INDEX(Fit_Matrix!$B:$B,MATCH(P1530,Fit_Matrix!$A:$A,0)))),"CHECK KEY"))</f>
        <v/>
      </c>
      <c r="U1530" s="10" t="n"/>
      <c r="V1530" s="10" t="n"/>
      <c r="W1530" s="10" t="n"/>
      <c r="X1530" s="10" t="n"/>
      <c r="Y1530" s="10" t="n"/>
      <c r="Z1530" s="10" t="n"/>
      <c r="AA1530" s="11">
        <f>IF(A1530="","",IF(AND(J1530="P4",F1530="causal"),"P4-CAUSAL",""))</f>
        <v/>
      </c>
    </row>
    <row r="1531" ht="15" customHeight="1" s="1">
      <c r="P1531">
        <f>IF(OR(F1531="",H1531="",J1531=""),"",J1531&amp;"|"&amp;F1531&amp;"|"&amp;IF(H1531="W3","W3_"&amp;IF(I1531="","unknown",I1531),H1531))</f>
        <v/>
      </c>
      <c r="Q1531">
        <f>IF(P1531="","",IFERROR(IF(AND(H1531="W7",OR(F1531="causal",F1531="predictive")),IF(AND(OR(K1531=1,K1531="1"),OR(L1531=1,L1531="1"),OR(M1531=1,M1531="1")),"adequate","partial"),IF(AND(H1531="W4",F1531="predictive",OR(J1531="P2",J1531="P3",J1531="P4")),IF(OR(U1531=1,U1531="1"),"adequate","partial"),INDEX(Fit_Matrix!$B:$B,MATCH(P1531,Fit_Matrix!$A:$A,0)))),"CHECK KEY"))</f>
        <v/>
      </c>
      <c r="U1531" s="10" t="n"/>
      <c r="V1531" s="10" t="n"/>
      <c r="W1531" s="10" t="n"/>
      <c r="X1531" s="10" t="n"/>
      <c r="Y1531" s="10" t="n"/>
      <c r="Z1531" s="10" t="n"/>
      <c r="AA1531" s="11">
        <f>IF(A1531="","",IF(AND(J1531="P4",F1531="causal"),"P4-CAUSAL",""))</f>
        <v/>
      </c>
    </row>
    <row r="1532" ht="15" customHeight="1" s="1">
      <c r="P1532">
        <f>IF(OR(F1532="",H1532="",J1532=""),"",J1532&amp;"|"&amp;F1532&amp;"|"&amp;IF(H1532="W3","W3_"&amp;IF(I1532="","unknown",I1532),H1532))</f>
        <v/>
      </c>
      <c r="Q1532">
        <f>IF(P1532="","",IFERROR(IF(AND(H1532="W7",OR(F1532="causal",F1532="predictive")),IF(AND(OR(K1532=1,K1532="1"),OR(L1532=1,L1532="1"),OR(M1532=1,M1532="1")),"adequate","partial"),IF(AND(H1532="W4",F1532="predictive",OR(J1532="P2",J1532="P3",J1532="P4")),IF(OR(U1532=1,U1532="1"),"adequate","partial"),INDEX(Fit_Matrix!$B:$B,MATCH(P1532,Fit_Matrix!$A:$A,0)))),"CHECK KEY"))</f>
        <v/>
      </c>
      <c r="U1532" s="10" t="n"/>
      <c r="V1532" s="10" t="n"/>
      <c r="W1532" s="10" t="n"/>
      <c r="X1532" s="10" t="n"/>
      <c r="Y1532" s="10" t="n"/>
      <c r="Z1532" s="10" t="n"/>
      <c r="AA1532" s="11">
        <f>IF(A1532="","",IF(AND(J1532="P4",F1532="causal"),"P4-CAUSAL",""))</f>
        <v/>
      </c>
    </row>
    <row r="1533" ht="15" customHeight="1" s="1">
      <c r="P1533">
        <f>IF(OR(F1533="",H1533="",J1533=""),"",J1533&amp;"|"&amp;F1533&amp;"|"&amp;IF(H1533="W3","W3_"&amp;IF(I1533="","unknown",I1533),H1533))</f>
        <v/>
      </c>
      <c r="Q1533">
        <f>IF(P1533="","",IFERROR(IF(AND(H1533="W7",OR(F1533="causal",F1533="predictive")),IF(AND(OR(K1533=1,K1533="1"),OR(L1533=1,L1533="1"),OR(M1533=1,M1533="1")),"adequate","partial"),IF(AND(H1533="W4",F1533="predictive",OR(J1533="P2",J1533="P3",J1533="P4")),IF(OR(U1533=1,U1533="1"),"adequate","partial"),INDEX(Fit_Matrix!$B:$B,MATCH(P1533,Fit_Matrix!$A:$A,0)))),"CHECK KEY"))</f>
        <v/>
      </c>
      <c r="U1533" s="10" t="n"/>
      <c r="V1533" s="10" t="n"/>
      <c r="W1533" s="10" t="n"/>
      <c r="X1533" s="10" t="n"/>
      <c r="Y1533" s="10" t="n"/>
      <c r="Z1533" s="10" t="n"/>
      <c r="AA1533" s="11">
        <f>IF(A1533="","",IF(AND(J1533="P4",F1533="causal"),"P4-CAUSAL",""))</f>
        <v/>
      </c>
    </row>
    <row r="1534" ht="15" customHeight="1" s="1">
      <c r="P1534">
        <f>IF(OR(F1534="",H1534="",J1534=""),"",J1534&amp;"|"&amp;F1534&amp;"|"&amp;IF(H1534="W3","W3_"&amp;IF(I1534="","unknown",I1534),H1534))</f>
        <v/>
      </c>
      <c r="Q1534">
        <f>IF(P1534="","",IFERROR(IF(AND(H1534="W7",OR(F1534="causal",F1534="predictive")),IF(AND(OR(K1534=1,K1534="1"),OR(L1534=1,L1534="1"),OR(M1534=1,M1534="1")),"adequate","partial"),IF(AND(H1534="W4",F1534="predictive",OR(J1534="P2",J1534="P3",J1534="P4")),IF(OR(U1534=1,U1534="1"),"adequate","partial"),INDEX(Fit_Matrix!$B:$B,MATCH(P1534,Fit_Matrix!$A:$A,0)))),"CHECK KEY"))</f>
        <v/>
      </c>
      <c r="U1534" s="10" t="n"/>
      <c r="V1534" s="10" t="n"/>
      <c r="W1534" s="10" t="n"/>
      <c r="X1534" s="10" t="n"/>
      <c r="Y1534" s="10" t="n"/>
      <c r="Z1534" s="10" t="n"/>
      <c r="AA1534" s="11">
        <f>IF(A1534="","",IF(AND(J1534="P4",F1534="causal"),"P4-CAUSAL",""))</f>
        <v/>
      </c>
    </row>
    <row r="1535" ht="15" customHeight="1" s="1">
      <c r="P1535">
        <f>IF(OR(F1535="",H1535="",J1535=""),"",J1535&amp;"|"&amp;F1535&amp;"|"&amp;IF(H1535="W3","W3_"&amp;IF(I1535="","unknown",I1535),H1535))</f>
        <v/>
      </c>
      <c r="Q1535">
        <f>IF(P1535="","",IFERROR(IF(AND(H1535="W7",OR(F1535="causal",F1535="predictive")),IF(AND(OR(K1535=1,K1535="1"),OR(L1535=1,L1535="1"),OR(M1535=1,M1535="1")),"adequate","partial"),IF(AND(H1535="W4",F1535="predictive",OR(J1535="P2",J1535="P3",J1535="P4")),IF(OR(U1535=1,U1535="1"),"adequate","partial"),INDEX(Fit_Matrix!$B:$B,MATCH(P1535,Fit_Matrix!$A:$A,0)))),"CHECK KEY"))</f>
        <v/>
      </c>
      <c r="U1535" s="10" t="n"/>
      <c r="V1535" s="10" t="n"/>
      <c r="W1535" s="10" t="n"/>
      <c r="X1535" s="10" t="n"/>
      <c r="Y1535" s="10" t="n"/>
      <c r="Z1535" s="10" t="n"/>
      <c r="AA1535" s="11">
        <f>IF(A1535="","",IF(AND(J1535="P4",F1535="causal"),"P4-CAUSAL",""))</f>
        <v/>
      </c>
    </row>
    <row r="1536" ht="15" customHeight="1" s="1">
      <c r="P1536">
        <f>IF(OR(F1536="",H1536="",J1536=""),"",J1536&amp;"|"&amp;F1536&amp;"|"&amp;IF(H1536="W3","W3_"&amp;IF(I1536="","unknown",I1536),H1536))</f>
        <v/>
      </c>
      <c r="Q1536">
        <f>IF(P1536="","",IFERROR(IF(AND(H1536="W7",OR(F1536="causal",F1536="predictive")),IF(AND(OR(K1536=1,K1536="1"),OR(L1536=1,L1536="1"),OR(M1536=1,M1536="1")),"adequate","partial"),IF(AND(H1536="W4",F1536="predictive",OR(J1536="P2",J1536="P3",J1536="P4")),IF(OR(U1536=1,U1536="1"),"adequate","partial"),INDEX(Fit_Matrix!$B:$B,MATCH(P1536,Fit_Matrix!$A:$A,0)))),"CHECK KEY"))</f>
        <v/>
      </c>
      <c r="U1536" s="10" t="n"/>
      <c r="V1536" s="10" t="n"/>
      <c r="W1536" s="10" t="n"/>
      <c r="X1536" s="10" t="n"/>
      <c r="Y1536" s="10" t="n"/>
      <c r="Z1536" s="10" t="n"/>
      <c r="AA1536" s="11">
        <f>IF(A1536="","",IF(AND(J1536="P4",F1536="causal"),"P4-CAUSAL",""))</f>
        <v/>
      </c>
    </row>
    <row r="1537" ht="15" customHeight="1" s="1">
      <c r="P1537">
        <f>IF(OR(F1537="",H1537="",J1537=""),"",J1537&amp;"|"&amp;F1537&amp;"|"&amp;IF(H1537="W3","W3_"&amp;IF(I1537="","unknown",I1537),H1537))</f>
        <v/>
      </c>
      <c r="Q1537">
        <f>IF(P1537="","",IFERROR(IF(AND(H1537="W7",OR(F1537="causal",F1537="predictive")),IF(AND(OR(K1537=1,K1537="1"),OR(L1537=1,L1537="1"),OR(M1537=1,M1537="1")),"adequate","partial"),IF(AND(H1537="W4",F1537="predictive",OR(J1537="P2",J1537="P3",J1537="P4")),IF(OR(U1537=1,U1537="1"),"adequate","partial"),INDEX(Fit_Matrix!$B:$B,MATCH(P1537,Fit_Matrix!$A:$A,0)))),"CHECK KEY"))</f>
        <v/>
      </c>
      <c r="U1537" s="10" t="n"/>
      <c r="V1537" s="10" t="n"/>
      <c r="W1537" s="10" t="n"/>
      <c r="X1537" s="10" t="n"/>
      <c r="Y1537" s="10" t="n"/>
      <c r="Z1537" s="10" t="n"/>
      <c r="AA1537" s="11">
        <f>IF(A1537="","",IF(AND(J1537="P4",F1537="causal"),"P4-CAUSAL",""))</f>
        <v/>
      </c>
    </row>
    <row r="1538" ht="15" customHeight="1" s="1">
      <c r="P1538">
        <f>IF(OR(F1538="",H1538="",J1538=""),"",J1538&amp;"|"&amp;F1538&amp;"|"&amp;IF(H1538="W3","W3_"&amp;IF(I1538="","unknown",I1538),H1538))</f>
        <v/>
      </c>
      <c r="Q1538">
        <f>IF(P1538="","",IFERROR(IF(AND(H1538="W7",OR(F1538="causal",F1538="predictive")),IF(AND(OR(K1538=1,K1538="1"),OR(L1538=1,L1538="1"),OR(M1538=1,M1538="1")),"adequate","partial"),IF(AND(H1538="W4",F1538="predictive",OR(J1538="P2",J1538="P3",J1538="P4")),IF(OR(U1538=1,U1538="1"),"adequate","partial"),INDEX(Fit_Matrix!$B:$B,MATCH(P1538,Fit_Matrix!$A:$A,0)))),"CHECK KEY"))</f>
        <v/>
      </c>
      <c r="U1538" s="10" t="n"/>
      <c r="V1538" s="10" t="n"/>
      <c r="W1538" s="10" t="n"/>
      <c r="X1538" s="10" t="n"/>
      <c r="Y1538" s="10" t="n"/>
      <c r="Z1538" s="10" t="n"/>
      <c r="AA1538" s="11">
        <f>IF(A1538="","",IF(AND(J1538="P4",F1538="causal"),"P4-CAUSAL",""))</f>
        <v/>
      </c>
    </row>
    <row r="1539" ht="15" customHeight="1" s="1">
      <c r="P1539">
        <f>IF(OR(F1539="",H1539="",J1539=""),"",J1539&amp;"|"&amp;F1539&amp;"|"&amp;IF(H1539="W3","W3_"&amp;IF(I1539="","unknown",I1539),H1539))</f>
        <v/>
      </c>
      <c r="Q1539">
        <f>IF(P1539="","",IFERROR(IF(AND(H1539="W7",OR(F1539="causal",F1539="predictive")),IF(AND(OR(K1539=1,K1539="1"),OR(L1539=1,L1539="1"),OR(M1539=1,M1539="1")),"adequate","partial"),IF(AND(H1539="W4",F1539="predictive",OR(J1539="P2",J1539="P3",J1539="P4")),IF(OR(U1539=1,U1539="1"),"adequate","partial"),INDEX(Fit_Matrix!$B:$B,MATCH(P1539,Fit_Matrix!$A:$A,0)))),"CHECK KEY"))</f>
        <v/>
      </c>
      <c r="U1539" s="10" t="n"/>
      <c r="V1539" s="10" t="n"/>
      <c r="W1539" s="10" t="n"/>
      <c r="X1539" s="10" t="n"/>
      <c r="Y1539" s="10" t="n"/>
      <c r="Z1539" s="10" t="n"/>
      <c r="AA1539" s="11">
        <f>IF(A1539="","",IF(AND(J1539="P4",F1539="causal"),"P4-CAUSAL",""))</f>
        <v/>
      </c>
    </row>
    <row r="1540" ht="15" customHeight="1" s="1">
      <c r="P1540">
        <f>IF(OR(F1540="",H1540="",J1540=""),"",J1540&amp;"|"&amp;F1540&amp;"|"&amp;IF(H1540="W3","W3_"&amp;IF(I1540="","unknown",I1540),H1540))</f>
        <v/>
      </c>
      <c r="Q1540">
        <f>IF(P1540="","",IFERROR(IF(AND(H1540="W7",OR(F1540="causal",F1540="predictive")),IF(AND(OR(K1540=1,K1540="1"),OR(L1540=1,L1540="1"),OR(M1540=1,M1540="1")),"adequate","partial"),IF(AND(H1540="W4",F1540="predictive",OR(J1540="P2",J1540="P3",J1540="P4")),IF(OR(U1540=1,U1540="1"),"adequate","partial"),INDEX(Fit_Matrix!$B:$B,MATCH(P1540,Fit_Matrix!$A:$A,0)))),"CHECK KEY"))</f>
        <v/>
      </c>
      <c r="U1540" s="10" t="n"/>
      <c r="V1540" s="10" t="n"/>
      <c r="W1540" s="10" t="n"/>
      <c r="X1540" s="10" t="n"/>
      <c r="Y1540" s="10" t="n"/>
      <c r="Z1540" s="10" t="n"/>
      <c r="AA1540" s="11">
        <f>IF(A1540="","",IF(AND(J1540="P4",F1540="causal"),"P4-CAUSAL",""))</f>
        <v/>
      </c>
    </row>
    <row r="1541" ht="15" customHeight="1" s="1">
      <c r="P1541">
        <f>IF(OR(F1541="",H1541="",J1541=""),"",J1541&amp;"|"&amp;F1541&amp;"|"&amp;IF(H1541="W3","W3_"&amp;IF(I1541="","unknown",I1541),H1541))</f>
        <v/>
      </c>
      <c r="Q1541">
        <f>IF(P1541="","",IFERROR(IF(AND(H1541="W7",OR(F1541="causal",F1541="predictive")),IF(AND(OR(K1541=1,K1541="1"),OR(L1541=1,L1541="1"),OR(M1541=1,M1541="1")),"adequate","partial"),IF(AND(H1541="W4",F1541="predictive",OR(J1541="P2",J1541="P3",J1541="P4")),IF(OR(U1541=1,U1541="1"),"adequate","partial"),INDEX(Fit_Matrix!$B:$B,MATCH(P1541,Fit_Matrix!$A:$A,0)))),"CHECK KEY"))</f>
        <v/>
      </c>
      <c r="U1541" s="10" t="n"/>
      <c r="V1541" s="10" t="n"/>
      <c r="W1541" s="10" t="n"/>
      <c r="X1541" s="10" t="n"/>
      <c r="Y1541" s="10" t="n"/>
      <c r="Z1541" s="10" t="n"/>
      <c r="AA1541" s="11">
        <f>IF(A1541="","",IF(AND(J1541="P4",F1541="causal"),"P4-CAUSAL",""))</f>
        <v/>
      </c>
    </row>
    <row r="1542" ht="15" customHeight="1" s="1">
      <c r="P1542">
        <f>IF(OR(F1542="",H1542="",J1542=""),"",J1542&amp;"|"&amp;F1542&amp;"|"&amp;IF(H1542="W3","W3_"&amp;IF(I1542="","unknown",I1542),H1542))</f>
        <v/>
      </c>
      <c r="Q1542">
        <f>IF(P1542="","",IFERROR(IF(AND(H1542="W7",OR(F1542="causal",F1542="predictive")),IF(AND(OR(K1542=1,K1542="1"),OR(L1542=1,L1542="1"),OR(M1542=1,M1542="1")),"adequate","partial"),IF(AND(H1542="W4",F1542="predictive",OR(J1542="P2",J1542="P3",J1542="P4")),IF(OR(U1542=1,U1542="1"),"adequate","partial"),INDEX(Fit_Matrix!$B:$B,MATCH(P1542,Fit_Matrix!$A:$A,0)))),"CHECK KEY"))</f>
        <v/>
      </c>
      <c r="U1542" s="10" t="n"/>
      <c r="V1542" s="10" t="n"/>
      <c r="W1542" s="10" t="n"/>
      <c r="X1542" s="10" t="n"/>
      <c r="Y1542" s="10" t="n"/>
      <c r="Z1542" s="10" t="n"/>
      <c r="AA1542" s="11">
        <f>IF(A1542="","",IF(AND(J1542="P4",F1542="causal"),"P4-CAUSAL",""))</f>
        <v/>
      </c>
    </row>
    <row r="1543" ht="15" customHeight="1" s="1">
      <c r="P1543">
        <f>IF(OR(F1543="",H1543="",J1543=""),"",J1543&amp;"|"&amp;F1543&amp;"|"&amp;IF(H1543="W3","W3_"&amp;IF(I1543="","unknown",I1543),H1543))</f>
        <v/>
      </c>
      <c r="Q1543">
        <f>IF(P1543="","",IFERROR(IF(AND(H1543="W7",OR(F1543="causal",F1543="predictive")),IF(AND(OR(K1543=1,K1543="1"),OR(L1543=1,L1543="1"),OR(M1543=1,M1543="1")),"adequate","partial"),IF(AND(H1543="W4",F1543="predictive",OR(J1543="P2",J1543="P3",J1543="P4")),IF(OR(U1543=1,U1543="1"),"adequate","partial"),INDEX(Fit_Matrix!$B:$B,MATCH(P1543,Fit_Matrix!$A:$A,0)))),"CHECK KEY"))</f>
        <v/>
      </c>
      <c r="U1543" s="10" t="n"/>
      <c r="V1543" s="10" t="n"/>
      <c r="W1543" s="10" t="n"/>
      <c r="X1543" s="10" t="n"/>
      <c r="Y1543" s="10" t="n"/>
      <c r="Z1543" s="10" t="n"/>
      <c r="AA1543" s="11">
        <f>IF(A1543="","",IF(AND(J1543="P4",F1543="causal"),"P4-CAUSAL",""))</f>
        <v/>
      </c>
    </row>
    <row r="1544" ht="15" customHeight="1" s="1">
      <c r="P1544">
        <f>IF(OR(F1544="",H1544="",J1544=""),"",J1544&amp;"|"&amp;F1544&amp;"|"&amp;IF(H1544="W3","W3_"&amp;IF(I1544="","unknown",I1544),H1544))</f>
        <v/>
      </c>
      <c r="Q1544">
        <f>IF(P1544="","",IFERROR(IF(AND(H1544="W7",OR(F1544="causal",F1544="predictive")),IF(AND(OR(K1544=1,K1544="1"),OR(L1544=1,L1544="1"),OR(M1544=1,M1544="1")),"adequate","partial"),IF(AND(H1544="W4",F1544="predictive",OR(J1544="P2",J1544="P3",J1544="P4")),IF(OR(U1544=1,U1544="1"),"adequate","partial"),INDEX(Fit_Matrix!$B:$B,MATCH(P1544,Fit_Matrix!$A:$A,0)))),"CHECK KEY"))</f>
        <v/>
      </c>
      <c r="U1544" s="10" t="n"/>
      <c r="V1544" s="10" t="n"/>
      <c r="W1544" s="10" t="n"/>
      <c r="X1544" s="10" t="n"/>
      <c r="Y1544" s="10" t="n"/>
      <c r="Z1544" s="10" t="n"/>
      <c r="AA1544" s="11">
        <f>IF(A1544="","",IF(AND(J1544="P4",F1544="causal"),"P4-CAUSAL",""))</f>
        <v/>
      </c>
    </row>
    <row r="1545" ht="15" customHeight="1" s="1">
      <c r="P1545">
        <f>IF(OR(F1545="",H1545="",J1545=""),"",J1545&amp;"|"&amp;F1545&amp;"|"&amp;IF(H1545="W3","W3_"&amp;IF(I1545="","unknown",I1545),H1545))</f>
        <v/>
      </c>
      <c r="Q1545">
        <f>IF(P1545="","",IFERROR(IF(AND(H1545="W7",OR(F1545="causal",F1545="predictive")),IF(AND(OR(K1545=1,K1545="1"),OR(L1545=1,L1545="1"),OR(M1545=1,M1545="1")),"adequate","partial"),IF(AND(H1545="W4",F1545="predictive",OR(J1545="P2",J1545="P3",J1545="P4")),IF(OR(U1545=1,U1545="1"),"adequate","partial"),INDEX(Fit_Matrix!$B:$B,MATCH(P1545,Fit_Matrix!$A:$A,0)))),"CHECK KEY"))</f>
        <v/>
      </c>
      <c r="U1545" s="10" t="n"/>
      <c r="V1545" s="10" t="n"/>
      <c r="W1545" s="10" t="n"/>
      <c r="X1545" s="10" t="n"/>
      <c r="Y1545" s="10" t="n"/>
      <c r="Z1545" s="10" t="n"/>
      <c r="AA1545" s="11">
        <f>IF(A1545="","",IF(AND(J1545="P4",F1545="causal"),"P4-CAUSAL",""))</f>
        <v/>
      </c>
    </row>
    <row r="1546" ht="15" customHeight="1" s="1">
      <c r="P1546">
        <f>IF(OR(F1546="",H1546="",J1546=""),"",J1546&amp;"|"&amp;F1546&amp;"|"&amp;IF(H1546="W3","W3_"&amp;IF(I1546="","unknown",I1546),H1546))</f>
        <v/>
      </c>
      <c r="Q1546">
        <f>IF(P1546="","",IFERROR(IF(AND(H1546="W7",OR(F1546="causal",F1546="predictive")),IF(AND(OR(K1546=1,K1546="1"),OR(L1546=1,L1546="1"),OR(M1546=1,M1546="1")),"adequate","partial"),IF(AND(H1546="W4",F1546="predictive",OR(J1546="P2",J1546="P3",J1546="P4")),IF(OR(U1546=1,U1546="1"),"adequate","partial"),INDEX(Fit_Matrix!$B:$B,MATCH(P1546,Fit_Matrix!$A:$A,0)))),"CHECK KEY"))</f>
        <v/>
      </c>
      <c r="U1546" s="10" t="n"/>
      <c r="V1546" s="10" t="n"/>
      <c r="W1546" s="10" t="n"/>
      <c r="X1546" s="10" t="n"/>
      <c r="Y1546" s="10" t="n"/>
      <c r="Z1546" s="10" t="n"/>
      <c r="AA1546" s="11">
        <f>IF(A1546="","",IF(AND(J1546="P4",F1546="causal"),"P4-CAUSAL",""))</f>
        <v/>
      </c>
    </row>
    <row r="1547" ht="15" customHeight="1" s="1">
      <c r="P1547">
        <f>IF(OR(F1547="",H1547="",J1547=""),"",J1547&amp;"|"&amp;F1547&amp;"|"&amp;IF(H1547="W3","W3_"&amp;IF(I1547="","unknown",I1547),H1547))</f>
        <v/>
      </c>
      <c r="Q1547">
        <f>IF(P1547="","",IFERROR(IF(AND(H1547="W7",OR(F1547="causal",F1547="predictive")),IF(AND(OR(K1547=1,K1547="1"),OR(L1547=1,L1547="1"),OR(M1547=1,M1547="1")),"adequate","partial"),IF(AND(H1547="W4",F1547="predictive",OR(J1547="P2",J1547="P3",J1547="P4")),IF(OR(U1547=1,U1547="1"),"adequate","partial"),INDEX(Fit_Matrix!$B:$B,MATCH(P1547,Fit_Matrix!$A:$A,0)))),"CHECK KEY"))</f>
        <v/>
      </c>
      <c r="U1547" s="10" t="n"/>
      <c r="V1547" s="10" t="n"/>
      <c r="W1547" s="10" t="n"/>
      <c r="X1547" s="10" t="n"/>
      <c r="Y1547" s="10" t="n"/>
      <c r="Z1547" s="10" t="n"/>
      <c r="AA1547" s="11">
        <f>IF(A1547="","",IF(AND(J1547="P4",F1547="causal"),"P4-CAUSAL",""))</f>
        <v/>
      </c>
    </row>
    <row r="1548" ht="15" customHeight="1" s="1">
      <c r="P1548">
        <f>IF(OR(F1548="",H1548="",J1548=""),"",J1548&amp;"|"&amp;F1548&amp;"|"&amp;IF(H1548="W3","W3_"&amp;IF(I1548="","unknown",I1548),H1548))</f>
        <v/>
      </c>
      <c r="Q1548">
        <f>IF(P1548="","",IFERROR(IF(AND(H1548="W7",OR(F1548="causal",F1548="predictive")),IF(AND(OR(K1548=1,K1548="1"),OR(L1548=1,L1548="1"),OR(M1548=1,M1548="1")),"adequate","partial"),IF(AND(H1548="W4",F1548="predictive",OR(J1548="P2",J1548="P3",J1548="P4")),IF(OR(U1548=1,U1548="1"),"adequate","partial"),INDEX(Fit_Matrix!$B:$B,MATCH(P1548,Fit_Matrix!$A:$A,0)))),"CHECK KEY"))</f>
        <v/>
      </c>
      <c r="U1548" s="10" t="n"/>
      <c r="V1548" s="10" t="n"/>
      <c r="W1548" s="10" t="n"/>
      <c r="X1548" s="10" t="n"/>
      <c r="Y1548" s="10" t="n"/>
      <c r="Z1548" s="10" t="n"/>
      <c r="AA1548" s="11">
        <f>IF(A1548="","",IF(AND(J1548="P4",F1548="causal"),"P4-CAUSAL",""))</f>
        <v/>
      </c>
    </row>
    <row r="1549" ht="15" customHeight="1" s="1">
      <c r="P1549">
        <f>IF(OR(F1549="",H1549="",J1549=""),"",J1549&amp;"|"&amp;F1549&amp;"|"&amp;IF(H1549="W3","W3_"&amp;IF(I1549="","unknown",I1549),H1549))</f>
        <v/>
      </c>
      <c r="Q1549">
        <f>IF(P1549="","",IFERROR(IF(AND(H1549="W7",OR(F1549="causal",F1549="predictive")),IF(AND(OR(K1549=1,K1549="1"),OR(L1549=1,L1549="1"),OR(M1549=1,M1549="1")),"adequate","partial"),IF(AND(H1549="W4",F1549="predictive",OR(J1549="P2",J1549="P3",J1549="P4")),IF(OR(U1549=1,U1549="1"),"adequate","partial"),INDEX(Fit_Matrix!$B:$B,MATCH(P1549,Fit_Matrix!$A:$A,0)))),"CHECK KEY"))</f>
        <v/>
      </c>
      <c r="U1549" s="10" t="n"/>
      <c r="V1549" s="10" t="n"/>
      <c r="W1549" s="10" t="n"/>
      <c r="X1549" s="10" t="n"/>
      <c r="Y1549" s="10" t="n"/>
      <c r="Z1549" s="10" t="n"/>
      <c r="AA1549" s="11">
        <f>IF(A1549="","",IF(AND(J1549="P4",F1549="causal"),"P4-CAUSAL",""))</f>
        <v/>
      </c>
    </row>
    <row r="1550" ht="15" customHeight="1" s="1">
      <c r="P1550">
        <f>IF(OR(F1550="",H1550="",J1550=""),"",J1550&amp;"|"&amp;F1550&amp;"|"&amp;IF(H1550="W3","W3_"&amp;IF(I1550="","unknown",I1550),H1550))</f>
        <v/>
      </c>
      <c r="Q1550">
        <f>IF(P1550="","",IFERROR(IF(AND(H1550="W7",OR(F1550="causal",F1550="predictive")),IF(AND(OR(K1550=1,K1550="1"),OR(L1550=1,L1550="1"),OR(M1550=1,M1550="1")),"adequate","partial"),IF(AND(H1550="W4",F1550="predictive",OR(J1550="P2",J1550="P3",J1550="P4")),IF(OR(U1550=1,U1550="1"),"adequate","partial"),INDEX(Fit_Matrix!$B:$B,MATCH(P1550,Fit_Matrix!$A:$A,0)))),"CHECK KEY"))</f>
        <v/>
      </c>
      <c r="U1550" s="10" t="n"/>
      <c r="V1550" s="10" t="n"/>
      <c r="W1550" s="10" t="n"/>
      <c r="X1550" s="10" t="n"/>
      <c r="Y1550" s="10" t="n"/>
      <c r="Z1550" s="10" t="n"/>
      <c r="AA1550" s="11">
        <f>IF(A1550="","",IF(AND(J1550="P4",F1550="causal"),"P4-CAUSAL",""))</f>
        <v/>
      </c>
    </row>
    <row r="1551" ht="15" customHeight="1" s="1">
      <c r="P1551">
        <f>IF(OR(F1551="",H1551="",J1551=""),"",J1551&amp;"|"&amp;F1551&amp;"|"&amp;IF(H1551="W3","W3_"&amp;IF(I1551="","unknown",I1551),H1551))</f>
        <v/>
      </c>
      <c r="Q1551">
        <f>IF(P1551="","",IFERROR(IF(AND(H1551="W7",OR(F1551="causal",F1551="predictive")),IF(AND(OR(K1551=1,K1551="1"),OR(L1551=1,L1551="1"),OR(M1551=1,M1551="1")),"adequate","partial"),IF(AND(H1551="W4",F1551="predictive",OR(J1551="P2",J1551="P3",J1551="P4")),IF(OR(U1551=1,U1551="1"),"adequate","partial"),INDEX(Fit_Matrix!$B:$B,MATCH(P1551,Fit_Matrix!$A:$A,0)))),"CHECK KEY"))</f>
        <v/>
      </c>
      <c r="U1551" s="10" t="n"/>
      <c r="V1551" s="10" t="n"/>
      <c r="W1551" s="10" t="n"/>
      <c r="X1551" s="10" t="n"/>
      <c r="Y1551" s="10" t="n"/>
      <c r="Z1551" s="10" t="n"/>
      <c r="AA1551" s="11">
        <f>IF(A1551="","",IF(AND(J1551="P4",F1551="causal"),"P4-CAUSAL",""))</f>
        <v/>
      </c>
    </row>
    <row r="1552" ht="15" customHeight="1" s="1">
      <c r="P1552">
        <f>IF(OR(F1552="",H1552="",J1552=""),"",J1552&amp;"|"&amp;F1552&amp;"|"&amp;IF(H1552="W3","W3_"&amp;IF(I1552="","unknown",I1552),H1552))</f>
        <v/>
      </c>
      <c r="Q1552">
        <f>IF(P1552="","",IFERROR(IF(AND(H1552="W7",OR(F1552="causal",F1552="predictive")),IF(AND(OR(K1552=1,K1552="1"),OR(L1552=1,L1552="1"),OR(M1552=1,M1552="1")),"adequate","partial"),IF(AND(H1552="W4",F1552="predictive",OR(J1552="P2",J1552="P3",J1552="P4")),IF(OR(U1552=1,U1552="1"),"adequate","partial"),INDEX(Fit_Matrix!$B:$B,MATCH(P1552,Fit_Matrix!$A:$A,0)))),"CHECK KEY"))</f>
        <v/>
      </c>
      <c r="U1552" s="10" t="n"/>
      <c r="V1552" s="10" t="n"/>
      <c r="W1552" s="10" t="n"/>
      <c r="X1552" s="10" t="n"/>
      <c r="Y1552" s="10" t="n"/>
      <c r="Z1552" s="10" t="n"/>
      <c r="AA1552" s="11">
        <f>IF(A1552="","",IF(AND(J1552="P4",F1552="causal"),"P4-CAUSAL",""))</f>
        <v/>
      </c>
    </row>
    <row r="1553" ht="15" customHeight="1" s="1">
      <c r="P1553">
        <f>IF(OR(F1553="",H1553="",J1553=""),"",J1553&amp;"|"&amp;F1553&amp;"|"&amp;IF(H1553="W3","W3_"&amp;IF(I1553="","unknown",I1553),H1553))</f>
        <v/>
      </c>
      <c r="Q1553">
        <f>IF(P1553="","",IFERROR(IF(AND(H1553="W7",OR(F1553="causal",F1553="predictive")),IF(AND(OR(K1553=1,K1553="1"),OR(L1553=1,L1553="1"),OR(M1553=1,M1553="1")),"adequate","partial"),IF(AND(H1553="W4",F1553="predictive",OR(J1553="P2",J1553="P3",J1553="P4")),IF(OR(U1553=1,U1553="1"),"adequate","partial"),INDEX(Fit_Matrix!$B:$B,MATCH(P1553,Fit_Matrix!$A:$A,0)))),"CHECK KEY"))</f>
        <v/>
      </c>
      <c r="U1553" s="10" t="n"/>
      <c r="V1553" s="10" t="n"/>
      <c r="W1553" s="10" t="n"/>
      <c r="X1553" s="10" t="n"/>
      <c r="Y1553" s="10" t="n"/>
      <c r="Z1553" s="10" t="n"/>
      <c r="AA1553" s="11">
        <f>IF(A1553="","",IF(AND(J1553="P4",F1553="causal"),"P4-CAUSAL",""))</f>
        <v/>
      </c>
    </row>
    <row r="1554" ht="15" customHeight="1" s="1">
      <c r="P1554">
        <f>IF(OR(F1554="",H1554="",J1554=""),"",J1554&amp;"|"&amp;F1554&amp;"|"&amp;IF(H1554="W3","W3_"&amp;IF(I1554="","unknown",I1554),H1554))</f>
        <v/>
      </c>
      <c r="Q1554">
        <f>IF(P1554="","",IFERROR(IF(AND(H1554="W7",OR(F1554="causal",F1554="predictive")),IF(AND(OR(K1554=1,K1554="1"),OR(L1554=1,L1554="1"),OR(M1554=1,M1554="1")),"adequate","partial"),IF(AND(H1554="W4",F1554="predictive",OR(J1554="P2",J1554="P3",J1554="P4")),IF(OR(U1554=1,U1554="1"),"adequate","partial"),INDEX(Fit_Matrix!$B:$B,MATCH(P1554,Fit_Matrix!$A:$A,0)))),"CHECK KEY"))</f>
        <v/>
      </c>
      <c r="U1554" s="10" t="n"/>
      <c r="V1554" s="10" t="n"/>
      <c r="W1554" s="10" t="n"/>
      <c r="X1554" s="10" t="n"/>
      <c r="Y1554" s="10" t="n"/>
      <c r="Z1554" s="10" t="n"/>
      <c r="AA1554" s="11">
        <f>IF(A1554="","",IF(AND(J1554="P4",F1554="causal"),"P4-CAUSAL",""))</f>
        <v/>
      </c>
    </row>
    <row r="1555" ht="15" customHeight="1" s="1">
      <c r="P1555">
        <f>IF(OR(F1555="",H1555="",J1555=""),"",J1555&amp;"|"&amp;F1555&amp;"|"&amp;IF(H1555="W3","W3_"&amp;IF(I1555="","unknown",I1555),H1555))</f>
        <v/>
      </c>
      <c r="Q1555">
        <f>IF(P1555="","",IFERROR(IF(AND(H1555="W7",OR(F1555="causal",F1555="predictive")),IF(AND(OR(K1555=1,K1555="1"),OR(L1555=1,L1555="1"),OR(M1555=1,M1555="1")),"adequate","partial"),IF(AND(H1555="W4",F1555="predictive",OR(J1555="P2",J1555="P3",J1555="P4")),IF(OR(U1555=1,U1555="1"),"adequate","partial"),INDEX(Fit_Matrix!$B:$B,MATCH(P1555,Fit_Matrix!$A:$A,0)))),"CHECK KEY"))</f>
        <v/>
      </c>
      <c r="U1555" s="10" t="n"/>
      <c r="V1555" s="10" t="n"/>
      <c r="W1555" s="10" t="n"/>
      <c r="X1555" s="10" t="n"/>
      <c r="Y1555" s="10" t="n"/>
      <c r="Z1555" s="10" t="n"/>
      <c r="AA1555" s="11">
        <f>IF(A1555="","",IF(AND(J1555="P4",F1555="causal"),"P4-CAUSAL",""))</f>
        <v/>
      </c>
    </row>
    <row r="1556" ht="15" customHeight="1" s="1">
      <c r="P1556">
        <f>IF(OR(F1556="",H1556="",J1556=""),"",J1556&amp;"|"&amp;F1556&amp;"|"&amp;IF(H1556="W3","W3_"&amp;IF(I1556="","unknown",I1556),H1556))</f>
        <v/>
      </c>
      <c r="Q1556">
        <f>IF(P1556="","",IFERROR(IF(AND(H1556="W7",OR(F1556="causal",F1556="predictive")),IF(AND(OR(K1556=1,K1556="1"),OR(L1556=1,L1556="1"),OR(M1556=1,M1556="1")),"adequate","partial"),IF(AND(H1556="W4",F1556="predictive",OR(J1556="P2",J1556="P3",J1556="P4")),IF(OR(U1556=1,U1556="1"),"adequate","partial"),INDEX(Fit_Matrix!$B:$B,MATCH(P1556,Fit_Matrix!$A:$A,0)))),"CHECK KEY"))</f>
        <v/>
      </c>
      <c r="U1556" s="10" t="n"/>
      <c r="V1556" s="10" t="n"/>
      <c r="W1556" s="10" t="n"/>
      <c r="X1556" s="10" t="n"/>
      <c r="Y1556" s="10" t="n"/>
      <c r="Z1556" s="10" t="n"/>
      <c r="AA1556" s="11">
        <f>IF(A1556="","",IF(AND(J1556="P4",F1556="causal"),"P4-CAUSAL",""))</f>
        <v/>
      </c>
    </row>
    <row r="1557" ht="15" customHeight="1" s="1">
      <c r="P1557">
        <f>IF(OR(F1557="",H1557="",J1557=""),"",J1557&amp;"|"&amp;F1557&amp;"|"&amp;IF(H1557="W3","W3_"&amp;IF(I1557="","unknown",I1557),H1557))</f>
        <v/>
      </c>
      <c r="Q1557">
        <f>IF(P1557="","",IFERROR(IF(AND(H1557="W7",OR(F1557="causal",F1557="predictive")),IF(AND(OR(K1557=1,K1557="1"),OR(L1557=1,L1557="1"),OR(M1557=1,M1557="1")),"adequate","partial"),IF(AND(H1557="W4",F1557="predictive",OR(J1557="P2",J1557="P3",J1557="P4")),IF(OR(U1557=1,U1557="1"),"adequate","partial"),INDEX(Fit_Matrix!$B:$B,MATCH(P1557,Fit_Matrix!$A:$A,0)))),"CHECK KEY"))</f>
        <v/>
      </c>
      <c r="U1557" s="10" t="n"/>
      <c r="V1557" s="10" t="n"/>
      <c r="W1557" s="10" t="n"/>
      <c r="X1557" s="10" t="n"/>
      <c r="Y1557" s="10" t="n"/>
      <c r="Z1557" s="10" t="n"/>
      <c r="AA1557" s="11">
        <f>IF(A1557="","",IF(AND(J1557="P4",F1557="causal"),"P4-CAUSAL",""))</f>
        <v/>
      </c>
    </row>
    <row r="1558" ht="15" customHeight="1" s="1">
      <c r="P1558">
        <f>IF(OR(F1558="",H1558="",J1558=""),"",J1558&amp;"|"&amp;F1558&amp;"|"&amp;IF(H1558="W3","W3_"&amp;IF(I1558="","unknown",I1558),H1558))</f>
        <v/>
      </c>
      <c r="Q1558">
        <f>IF(P1558="","",IFERROR(IF(AND(H1558="W7",OR(F1558="causal",F1558="predictive")),IF(AND(OR(K1558=1,K1558="1"),OR(L1558=1,L1558="1"),OR(M1558=1,M1558="1")),"adequate","partial"),IF(AND(H1558="W4",F1558="predictive",OR(J1558="P2",J1558="P3",J1558="P4")),IF(OR(U1558=1,U1558="1"),"adequate","partial"),INDEX(Fit_Matrix!$B:$B,MATCH(P1558,Fit_Matrix!$A:$A,0)))),"CHECK KEY"))</f>
        <v/>
      </c>
      <c r="U1558" s="10" t="n"/>
      <c r="V1558" s="10" t="n"/>
      <c r="W1558" s="10" t="n"/>
      <c r="X1558" s="10" t="n"/>
      <c r="Y1558" s="10" t="n"/>
      <c r="Z1558" s="10" t="n"/>
      <c r="AA1558" s="11">
        <f>IF(A1558="","",IF(AND(J1558="P4",F1558="causal"),"P4-CAUSAL",""))</f>
        <v/>
      </c>
    </row>
    <row r="1559" ht="15" customHeight="1" s="1">
      <c r="P1559">
        <f>IF(OR(F1559="",H1559="",J1559=""),"",J1559&amp;"|"&amp;F1559&amp;"|"&amp;IF(H1559="W3","W3_"&amp;IF(I1559="","unknown",I1559),H1559))</f>
        <v/>
      </c>
      <c r="Q1559">
        <f>IF(P1559="","",IFERROR(IF(AND(H1559="W7",OR(F1559="causal",F1559="predictive")),IF(AND(OR(K1559=1,K1559="1"),OR(L1559=1,L1559="1"),OR(M1559=1,M1559="1")),"adequate","partial"),IF(AND(H1559="W4",F1559="predictive",OR(J1559="P2",J1559="P3",J1559="P4")),IF(OR(U1559=1,U1559="1"),"adequate","partial"),INDEX(Fit_Matrix!$B:$B,MATCH(P1559,Fit_Matrix!$A:$A,0)))),"CHECK KEY"))</f>
        <v/>
      </c>
      <c r="U1559" s="10" t="n"/>
      <c r="V1559" s="10" t="n"/>
      <c r="W1559" s="10" t="n"/>
      <c r="X1559" s="10" t="n"/>
      <c r="Y1559" s="10" t="n"/>
      <c r="Z1559" s="10" t="n"/>
      <c r="AA1559" s="11">
        <f>IF(A1559="","",IF(AND(J1559="P4",F1559="causal"),"P4-CAUSAL",""))</f>
        <v/>
      </c>
    </row>
    <row r="1560" ht="15" customHeight="1" s="1">
      <c r="P1560">
        <f>IF(OR(F1560="",H1560="",J1560=""),"",J1560&amp;"|"&amp;F1560&amp;"|"&amp;IF(H1560="W3","W3_"&amp;IF(I1560="","unknown",I1560),H1560))</f>
        <v/>
      </c>
      <c r="Q1560">
        <f>IF(P1560="","",IFERROR(IF(AND(H1560="W7",OR(F1560="causal",F1560="predictive")),IF(AND(OR(K1560=1,K1560="1"),OR(L1560=1,L1560="1"),OR(M1560=1,M1560="1")),"adequate","partial"),IF(AND(H1560="W4",F1560="predictive",OR(J1560="P2",J1560="P3",J1560="P4")),IF(OR(U1560=1,U1560="1"),"adequate","partial"),INDEX(Fit_Matrix!$B:$B,MATCH(P1560,Fit_Matrix!$A:$A,0)))),"CHECK KEY"))</f>
        <v/>
      </c>
      <c r="U1560" s="10" t="n"/>
      <c r="V1560" s="10" t="n"/>
      <c r="W1560" s="10" t="n"/>
      <c r="X1560" s="10" t="n"/>
      <c r="Y1560" s="10" t="n"/>
      <c r="Z1560" s="10" t="n"/>
      <c r="AA1560" s="11">
        <f>IF(A1560="","",IF(AND(J1560="P4",F1560="causal"),"P4-CAUSAL",""))</f>
        <v/>
      </c>
    </row>
    <row r="1561" ht="15" customHeight="1" s="1">
      <c r="P1561">
        <f>IF(OR(F1561="",H1561="",J1561=""),"",J1561&amp;"|"&amp;F1561&amp;"|"&amp;IF(H1561="W3","W3_"&amp;IF(I1561="","unknown",I1561),H1561))</f>
        <v/>
      </c>
      <c r="Q1561">
        <f>IF(P1561="","",IFERROR(IF(AND(H1561="W7",OR(F1561="causal",F1561="predictive")),IF(AND(OR(K1561=1,K1561="1"),OR(L1561=1,L1561="1"),OR(M1561=1,M1561="1")),"adequate","partial"),IF(AND(H1561="W4",F1561="predictive",OR(J1561="P2",J1561="P3",J1561="P4")),IF(OR(U1561=1,U1561="1"),"adequate","partial"),INDEX(Fit_Matrix!$B:$B,MATCH(P1561,Fit_Matrix!$A:$A,0)))),"CHECK KEY"))</f>
        <v/>
      </c>
      <c r="U1561" s="10" t="n"/>
      <c r="V1561" s="10" t="n"/>
      <c r="W1561" s="10" t="n"/>
      <c r="X1561" s="10" t="n"/>
      <c r="Y1561" s="10" t="n"/>
      <c r="Z1561" s="10" t="n"/>
      <c r="AA1561" s="11">
        <f>IF(A1561="","",IF(AND(J1561="P4",F1561="causal"),"P4-CAUSAL",""))</f>
        <v/>
      </c>
    </row>
    <row r="1562" ht="15" customHeight="1" s="1">
      <c r="P1562">
        <f>IF(OR(F1562="",H1562="",J1562=""),"",J1562&amp;"|"&amp;F1562&amp;"|"&amp;IF(H1562="W3","W3_"&amp;IF(I1562="","unknown",I1562),H1562))</f>
        <v/>
      </c>
      <c r="Q1562">
        <f>IF(P1562="","",IFERROR(IF(AND(H1562="W7",OR(F1562="causal",F1562="predictive")),IF(AND(OR(K1562=1,K1562="1"),OR(L1562=1,L1562="1"),OR(M1562=1,M1562="1")),"adequate","partial"),IF(AND(H1562="W4",F1562="predictive",OR(J1562="P2",J1562="P3",J1562="P4")),IF(OR(U1562=1,U1562="1"),"adequate","partial"),INDEX(Fit_Matrix!$B:$B,MATCH(P1562,Fit_Matrix!$A:$A,0)))),"CHECK KEY"))</f>
        <v/>
      </c>
      <c r="U1562" s="10" t="n"/>
      <c r="V1562" s="10" t="n"/>
      <c r="W1562" s="10" t="n"/>
      <c r="X1562" s="10" t="n"/>
      <c r="Y1562" s="10" t="n"/>
      <c r="Z1562" s="10" t="n"/>
      <c r="AA1562" s="11">
        <f>IF(A1562="","",IF(AND(J1562="P4",F1562="causal"),"P4-CAUSAL",""))</f>
        <v/>
      </c>
    </row>
    <row r="1563" ht="15" customHeight="1" s="1">
      <c r="P1563">
        <f>IF(OR(F1563="",H1563="",J1563=""),"",J1563&amp;"|"&amp;F1563&amp;"|"&amp;IF(H1563="W3","W3_"&amp;IF(I1563="","unknown",I1563),H1563))</f>
        <v/>
      </c>
      <c r="Q1563">
        <f>IF(P1563="","",IFERROR(IF(AND(H1563="W7",OR(F1563="causal",F1563="predictive")),IF(AND(OR(K1563=1,K1563="1"),OR(L1563=1,L1563="1"),OR(M1563=1,M1563="1")),"adequate","partial"),IF(AND(H1563="W4",F1563="predictive",OR(J1563="P2",J1563="P3",J1563="P4")),IF(OR(U1563=1,U1563="1"),"adequate","partial"),INDEX(Fit_Matrix!$B:$B,MATCH(P1563,Fit_Matrix!$A:$A,0)))),"CHECK KEY"))</f>
        <v/>
      </c>
      <c r="U1563" s="10" t="n"/>
      <c r="V1563" s="10" t="n"/>
      <c r="W1563" s="10" t="n"/>
      <c r="X1563" s="10" t="n"/>
      <c r="Y1563" s="10" t="n"/>
      <c r="Z1563" s="10" t="n"/>
      <c r="AA1563" s="11">
        <f>IF(A1563="","",IF(AND(J1563="P4",F1563="causal"),"P4-CAUSAL",""))</f>
        <v/>
      </c>
    </row>
    <row r="1564" ht="15" customHeight="1" s="1">
      <c r="P1564">
        <f>IF(OR(F1564="",H1564="",J1564=""),"",J1564&amp;"|"&amp;F1564&amp;"|"&amp;IF(H1564="W3","W3_"&amp;IF(I1564="","unknown",I1564),H1564))</f>
        <v/>
      </c>
      <c r="Q1564">
        <f>IF(P1564="","",IFERROR(IF(AND(H1564="W7",OR(F1564="causal",F1564="predictive")),IF(AND(OR(K1564=1,K1564="1"),OR(L1564=1,L1564="1"),OR(M1564=1,M1564="1")),"adequate","partial"),IF(AND(H1564="W4",F1564="predictive",OR(J1564="P2",J1564="P3",J1564="P4")),IF(OR(U1564=1,U1564="1"),"adequate","partial"),INDEX(Fit_Matrix!$B:$B,MATCH(P1564,Fit_Matrix!$A:$A,0)))),"CHECK KEY"))</f>
        <v/>
      </c>
      <c r="U1564" s="10" t="n"/>
      <c r="V1564" s="10" t="n"/>
      <c r="W1564" s="10" t="n"/>
      <c r="X1564" s="10" t="n"/>
      <c r="Y1564" s="10" t="n"/>
      <c r="Z1564" s="10" t="n"/>
      <c r="AA1564" s="11">
        <f>IF(A1564="","",IF(AND(J1564="P4",F1564="causal"),"P4-CAUSAL",""))</f>
        <v/>
      </c>
    </row>
    <row r="1565" ht="15" customHeight="1" s="1">
      <c r="P1565">
        <f>IF(OR(F1565="",H1565="",J1565=""),"",J1565&amp;"|"&amp;F1565&amp;"|"&amp;IF(H1565="W3","W3_"&amp;IF(I1565="","unknown",I1565),H1565))</f>
        <v/>
      </c>
      <c r="Q1565">
        <f>IF(P1565="","",IFERROR(IF(AND(H1565="W7",OR(F1565="causal",F1565="predictive")),IF(AND(OR(K1565=1,K1565="1"),OR(L1565=1,L1565="1"),OR(M1565=1,M1565="1")),"adequate","partial"),IF(AND(H1565="W4",F1565="predictive",OR(J1565="P2",J1565="P3",J1565="P4")),IF(OR(U1565=1,U1565="1"),"adequate","partial"),INDEX(Fit_Matrix!$B:$B,MATCH(P1565,Fit_Matrix!$A:$A,0)))),"CHECK KEY"))</f>
        <v/>
      </c>
      <c r="U1565" s="10" t="n"/>
      <c r="V1565" s="10" t="n"/>
      <c r="W1565" s="10" t="n"/>
      <c r="X1565" s="10" t="n"/>
      <c r="Y1565" s="10" t="n"/>
      <c r="Z1565" s="10" t="n"/>
      <c r="AA1565" s="11">
        <f>IF(A1565="","",IF(AND(J1565="P4",F1565="causal"),"P4-CAUSAL",""))</f>
        <v/>
      </c>
    </row>
    <row r="1566" ht="15" customHeight="1" s="1">
      <c r="P1566">
        <f>IF(OR(F1566="",H1566="",J1566=""),"",J1566&amp;"|"&amp;F1566&amp;"|"&amp;IF(H1566="W3","W3_"&amp;IF(I1566="","unknown",I1566),H1566))</f>
        <v/>
      </c>
      <c r="Q1566">
        <f>IF(P1566="","",IFERROR(IF(AND(H1566="W7",OR(F1566="causal",F1566="predictive")),IF(AND(OR(K1566=1,K1566="1"),OR(L1566=1,L1566="1"),OR(M1566=1,M1566="1")),"adequate","partial"),IF(AND(H1566="W4",F1566="predictive",OR(J1566="P2",J1566="P3",J1566="P4")),IF(OR(U1566=1,U1566="1"),"adequate","partial"),INDEX(Fit_Matrix!$B:$B,MATCH(P1566,Fit_Matrix!$A:$A,0)))),"CHECK KEY"))</f>
        <v/>
      </c>
      <c r="U1566" s="10" t="n"/>
      <c r="V1566" s="10" t="n"/>
      <c r="W1566" s="10" t="n"/>
      <c r="X1566" s="10" t="n"/>
      <c r="Y1566" s="10" t="n"/>
      <c r="Z1566" s="10" t="n"/>
      <c r="AA1566" s="11">
        <f>IF(A1566="","",IF(AND(J1566="P4",F1566="causal"),"P4-CAUSAL",""))</f>
        <v/>
      </c>
    </row>
    <row r="1567" ht="15" customHeight="1" s="1">
      <c r="P1567">
        <f>IF(OR(F1567="",H1567="",J1567=""),"",J1567&amp;"|"&amp;F1567&amp;"|"&amp;IF(H1567="W3","W3_"&amp;IF(I1567="","unknown",I1567),H1567))</f>
        <v/>
      </c>
      <c r="Q1567">
        <f>IF(P1567="","",IFERROR(IF(AND(H1567="W7",OR(F1567="causal",F1567="predictive")),IF(AND(OR(K1567=1,K1567="1"),OR(L1567=1,L1567="1"),OR(M1567=1,M1567="1")),"adequate","partial"),IF(AND(H1567="W4",F1567="predictive",OR(J1567="P2",J1567="P3",J1567="P4")),IF(OR(U1567=1,U1567="1"),"adequate","partial"),INDEX(Fit_Matrix!$B:$B,MATCH(P1567,Fit_Matrix!$A:$A,0)))),"CHECK KEY"))</f>
        <v/>
      </c>
      <c r="U1567" s="10" t="n"/>
      <c r="V1567" s="10" t="n"/>
      <c r="W1567" s="10" t="n"/>
      <c r="X1567" s="10" t="n"/>
      <c r="Y1567" s="10" t="n"/>
      <c r="Z1567" s="10" t="n"/>
      <c r="AA1567" s="11">
        <f>IF(A1567="","",IF(AND(J1567="P4",F1567="causal"),"P4-CAUSAL",""))</f>
        <v/>
      </c>
    </row>
    <row r="1568" ht="15" customHeight="1" s="1">
      <c r="P1568">
        <f>IF(OR(F1568="",H1568="",J1568=""),"",J1568&amp;"|"&amp;F1568&amp;"|"&amp;IF(H1568="W3","W3_"&amp;IF(I1568="","unknown",I1568),H1568))</f>
        <v/>
      </c>
      <c r="Q1568">
        <f>IF(P1568="","",IFERROR(IF(AND(H1568="W7",OR(F1568="causal",F1568="predictive")),IF(AND(OR(K1568=1,K1568="1"),OR(L1568=1,L1568="1"),OR(M1568=1,M1568="1")),"adequate","partial"),IF(AND(H1568="W4",F1568="predictive",OR(J1568="P2",J1568="P3",J1568="P4")),IF(OR(U1568=1,U1568="1"),"adequate","partial"),INDEX(Fit_Matrix!$B:$B,MATCH(P1568,Fit_Matrix!$A:$A,0)))),"CHECK KEY"))</f>
        <v/>
      </c>
      <c r="U1568" s="10" t="n"/>
      <c r="V1568" s="10" t="n"/>
      <c r="W1568" s="10" t="n"/>
      <c r="X1568" s="10" t="n"/>
      <c r="Y1568" s="10" t="n"/>
      <c r="Z1568" s="10" t="n"/>
      <c r="AA1568" s="11">
        <f>IF(A1568="","",IF(AND(J1568="P4",F1568="causal"),"P4-CAUSAL",""))</f>
        <v/>
      </c>
    </row>
    <row r="1569" ht="15" customHeight="1" s="1">
      <c r="P1569">
        <f>IF(OR(F1569="",H1569="",J1569=""),"",J1569&amp;"|"&amp;F1569&amp;"|"&amp;IF(H1569="W3","W3_"&amp;IF(I1569="","unknown",I1569),H1569))</f>
        <v/>
      </c>
      <c r="Q1569">
        <f>IF(P1569="","",IFERROR(IF(AND(H1569="W7",OR(F1569="causal",F1569="predictive")),IF(AND(OR(K1569=1,K1569="1"),OR(L1569=1,L1569="1"),OR(M1569=1,M1569="1")),"adequate","partial"),IF(AND(H1569="W4",F1569="predictive",OR(J1569="P2",J1569="P3",J1569="P4")),IF(OR(U1569=1,U1569="1"),"adequate","partial"),INDEX(Fit_Matrix!$B:$B,MATCH(P1569,Fit_Matrix!$A:$A,0)))),"CHECK KEY"))</f>
        <v/>
      </c>
      <c r="U1569" s="10" t="n"/>
      <c r="V1569" s="10" t="n"/>
      <c r="W1569" s="10" t="n"/>
      <c r="X1569" s="10" t="n"/>
      <c r="Y1569" s="10" t="n"/>
      <c r="Z1569" s="10" t="n"/>
      <c r="AA1569" s="11">
        <f>IF(A1569="","",IF(AND(J1569="P4",F1569="causal"),"P4-CAUSAL",""))</f>
        <v/>
      </c>
    </row>
    <row r="1570" ht="15" customHeight="1" s="1">
      <c r="P1570">
        <f>IF(OR(F1570="",H1570="",J1570=""),"",J1570&amp;"|"&amp;F1570&amp;"|"&amp;IF(H1570="W3","W3_"&amp;IF(I1570="","unknown",I1570),H1570))</f>
        <v/>
      </c>
      <c r="Q1570">
        <f>IF(P1570="","",IFERROR(IF(AND(H1570="W7",OR(F1570="causal",F1570="predictive")),IF(AND(OR(K1570=1,K1570="1"),OR(L1570=1,L1570="1"),OR(M1570=1,M1570="1")),"adequate","partial"),IF(AND(H1570="W4",F1570="predictive",OR(J1570="P2",J1570="P3",J1570="P4")),IF(OR(U1570=1,U1570="1"),"adequate","partial"),INDEX(Fit_Matrix!$B:$B,MATCH(P1570,Fit_Matrix!$A:$A,0)))),"CHECK KEY"))</f>
        <v/>
      </c>
      <c r="U1570" s="10" t="n"/>
      <c r="V1570" s="10" t="n"/>
      <c r="W1570" s="10" t="n"/>
      <c r="X1570" s="10" t="n"/>
      <c r="Y1570" s="10" t="n"/>
      <c r="Z1570" s="10" t="n"/>
      <c r="AA1570" s="11">
        <f>IF(A1570="","",IF(AND(J1570="P4",F1570="causal"),"P4-CAUSAL",""))</f>
        <v/>
      </c>
    </row>
    <row r="1571" ht="15" customHeight="1" s="1">
      <c r="P1571">
        <f>IF(OR(F1571="",H1571="",J1571=""),"",J1571&amp;"|"&amp;F1571&amp;"|"&amp;IF(H1571="W3","W3_"&amp;IF(I1571="","unknown",I1571),H1571))</f>
        <v/>
      </c>
      <c r="Q1571">
        <f>IF(P1571="","",IFERROR(IF(AND(H1571="W7",OR(F1571="causal",F1571="predictive")),IF(AND(OR(K1571=1,K1571="1"),OR(L1571=1,L1571="1"),OR(M1571=1,M1571="1")),"adequate","partial"),IF(AND(H1571="W4",F1571="predictive",OR(J1571="P2",J1571="P3",J1571="P4")),IF(OR(U1571=1,U1571="1"),"adequate","partial"),INDEX(Fit_Matrix!$B:$B,MATCH(P1571,Fit_Matrix!$A:$A,0)))),"CHECK KEY"))</f>
        <v/>
      </c>
      <c r="U1571" s="10" t="n"/>
      <c r="V1571" s="10" t="n"/>
      <c r="W1571" s="10" t="n"/>
      <c r="X1571" s="10" t="n"/>
      <c r="Y1571" s="10" t="n"/>
      <c r="Z1571" s="10" t="n"/>
      <c r="AA1571" s="11">
        <f>IF(A1571="","",IF(AND(J1571="P4",F1571="causal"),"P4-CAUSAL",""))</f>
        <v/>
      </c>
    </row>
    <row r="1572" ht="15" customHeight="1" s="1">
      <c r="P1572">
        <f>IF(OR(F1572="",H1572="",J1572=""),"",J1572&amp;"|"&amp;F1572&amp;"|"&amp;IF(H1572="W3","W3_"&amp;IF(I1572="","unknown",I1572),H1572))</f>
        <v/>
      </c>
      <c r="Q1572">
        <f>IF(P1572="","",IFERROR(IF(AND(H1572="W7",OR(F1572="causal",F1572="predictive")),IF(AND(OR(K1572=1,K1572="1"),OR(L1572=1,L1572="1"),OR(M1572=1,M1572="1")),"adequate","partial"),IF(AND(H1572="W4",F1572="predictive",OR(J1572="P2",J1572="P3",J1572="P4")),IF(OR(U1572=1,U1572="1"),"adequate","partial"),INDEX(Fit_Matrix!$B:$B,MATCH(P1572,Fit_Matrix!$A:$A,0)))),"CHECK KEY"))</f>
        <v/>
      </c>
      <c r="U1572" s="10" t="n"/>
      <c r="V1572" s="10" t="n"/>
      <c r="W1572" s="10" t="n"/>
      <c r="X1572" s="10" t="n"/>
      <c r="Y1572" s="10" t="n"/>
      <c r="Z1572" s="10" t="n"/>
      <c r="AA1572" s="11">
        <f>IF(A1572="","",IF(AND(J1572="P4",F1572="causal"),"P4-CAUSAL",""))</f>
        <v/>
      </c>
    </row>
    <row r="1573" ht="15" customHeight="1" s="1">
      <c r="P1573">
        <f>IF(OR(F1573="",H1573="",J1573=""),"",J1573&amp;"|"&amp;F1573&amp;"|"&amp;IF(H1573="W3","W3_"&amp;IF(I1573="","unknown",I1573),H1573))</f>
        <v/>
      </c>
      <c r="Q1573">
        <f>IF(P1573="","",IFERROR(IF(AND(H1573="W7",OR(F1573="causal",F1573="predictive")),IF(AND(OR(K1573=1,K1573="1"),OR(L1573=1,L1573="1"),OR(M1573=1,M1573="1")),"adequate","partial"),IF(AND(H1573="W4",F1573="predictive",OR(J1573="P2",J1573="P3",J1573="P4")),IF(OR(U1573=1,U1573="1"),"adequate","partial"),INDEX(Fit_Matrix!$B:$B,MATCH(P1573,Fit_Matrix!$A:$A,0)))),"CHECK KEY"))</f>
        <v/>
      </c>
      <c r="U1573" s="10" t="n"/>
      <c r="V1573" s="10" t="n"/>
      <c r="W1573" s="10" t="n"/>
      <c r="X1573" s="10" t="n"/>
      <c r="Y1573" s="10" t="n"/>
      <c r="Z1573" s="10" t="n"/>
      <c r="AA1573" s="11">
        <f>IF(A1573="","",IF(AND(J1573="P4",F1573="causal"),"P4-CAUSAL",""))</f>
        <v/>
      </c>
    </row>
    <row r="1574" ht="15" customHeight="1" s="1">
      <c r="P1574">
        <f>IF(OR(F1574="",H1574="",J1574=""),"",J1574&amp;"|"&amp;F1574&amp;"|"&amp;IF(H1574="W3","W3_"&amp;IF(I1574="","unknown",I1574),H1574))</f>
        <v/>
      </c>
      <c r="Q1574">
        <f>IF(P1574="","",IFERROR(IF(AND(H1574="W7",OR(F1574="causal",F1574="predictive")),IF(AND(OR(K1574=1,K1574="1"),OR(L1574=1,L1574="1"),OR(M1574=1,M1574="1")),"adequate","partial"),IF(AND(H1574="W4",F1574="predictive",OR(J1574="P2",J1574="P3",J1574="P4")),IF(OR(U1574=1,U1574="1"),"adequate","partial"),INDEX(Fit_Matrix!$B:$B,MATCH(P1574,Fit_Matrix!$A:$A,0)))),"CHECK KEY"))</f>
        <v/>
      </c>
      <c r="U1574" s="10" t="n"/>
      <c r="V1574" s="10" t="n"/>
      <c r="W1574" s="10" t="n"/>
      <c r="X1574" s="10" t="n"/>
      <c r="Y1574" s="10" t="n"/>
      <c r="Z1574" s="10" t="n"/>
      <c r="AA1574" s="11">
        <f>IF(A1574="","",IF(AND(J1574="P4",F1574="causal"),"P4-CAUSAL",""))</f>
        <v/>
      </c>
    </row>
    <row r="1575" ht="15" customHeight="1" s="1">
      <c r="P1575">
        <f>IF(OR(F1575="",H1575="",J1575=""),"",J1575&amp;"|"&amp;F1575&amp;"|"&amp;IF(H1575="W3","W3_"&amp;IF(I1575="","unknown",I1575),H1575))</f>
        <v/>
      </c>
      <c r="Q1575">
        <f>IF(P1575="","",IFERROR(IF(AND(H1575="W7",OR(F1575="causal",F1575="predictive")),IF(AND(OR(K1575=1,K1575="1"),OR(L1575=1,L1575="1"),OR(M1575=1,M1575="1")),"adequate","partial"),IF(AND(H1575="W4",F1575="predictive",OR(J1575="P2",J1575="P3",J1575="P4")),IF(OR(U1575=1,U1575="1"),"adequate","partial"),INDEX(Fit_Matrix!$B:$B,MATCH(P1575,Fit_Matrix!$A:$A,0)))),"CHECK KEY"))</f>
        <v/>
      </c>
      <c r="U1575" s="10" t="n"/>
      <c r="V1575" s="10" t="n"/>
      <c r="W1575" s="10" t="n"/>
      <c r="X1575" s="10" t="n"/>
      <c r="Y1575" s="10" t="n"/>
      <c r="Z1575" s="10" t="n"/>
      <c r="AA1575" s="11">
        <f>IF(A1575="","",IF(AND(J1575="P4",F1575="causal"),"P4-CAUSAL",""))</f>
        <v/>
      </c>
    </row>
    <row r="1576" ht="15" customHeight="1" s="1">
      <c r="P1576">
        <f>IF(OR(F1576="",H1576="",J1576=""),"",J1576&amp;"|"&amp;F1576&amp;"|"&amp;IF(H1576="W3","W3_"&amp;IF(I1576="","unknown",I1576),H1576))</f>
        <v/>
      </c>
      <c r="Q1576">
        <f>IF(P1576="","",IFERROR(IF(AND(H1576="W7",OR(F1576="causal",F1576="predictive")),IF(AND(OR(K1576=1,K1576="1"),OR(L1576=1,L1576="1"),OR(M1576=1,M1576="1")),"adequate","partial"),IF(AND(H1576="W4",F1576="predictive",OR(J1576="P2",J1576="P3",J1576="P4")),IF(OR(U1576=1,U1576="1"),"adequate","partial"),INDEX(Fit_Matrix!$B:$B,MATCH(P1576,Fit_Matrix!$A:$A,0)))),"CHECK KEY"))</f>
        <v/>
      </c>
      <c r="U1576" s="10" t="n"/>
      <c r="V1576" s="10" t="n"/>
      <c r="W1576" s="10" t="n"/>
      <c r="X1576" s="10" t="n"/>
      <c r="Y1576" s="10" t="n"/>
      <c r="Z1576" s="10" t="n"/>
      <c r="AA1576" s="11">
        <f>IF(A1576="","",IF(AND(J1576="P4",F1576="causal"),"P4-CAUSAL",""))</f>
        <v/>
      </c>
    </row>
    <row r="1577" ht="15" customHeight="1" s="1">
      <c r="P1577">
        <f>IF(OR(F1577="",H1577="",J1577=""),"",J1577&amp;"|"&amp;F1577&amp;"|"&amp;IF(H1577="W3","W3_"&amp;IF(I1577="","unknown",I1577),H1577))</f>
        <v/>
      </c>
      <c r="Q1577">
        <f>IF(P1577="","",IFERROR(IF(AND(H1577="W7",OR(F1577="causal",F1577="predictive")),IF(AND(OR(K1577=1,K1577="1"),OR(L1577=1,L1577="1"),OR(M1577=1,M1577="1")),"adequate","partial"),IF(AND(H1577="W4",F1577="predictive",OR(J1577="P2",J1577="P3",J1577="P4")),IF(OR(U1577=1,U1577="1"),"adequate","partial"),INDEX(Fit_Matrix!$B:$B,MATCH(P1577,Fit_Matrix!$A:$A,0)))),"CHECK KEY"))</f>
        <v/>
      </c>
      <c r="U1577" s="10" t="n"/>
      <c r="V1577" s="10" t="n"/>
      <c r="W1577" s="10" t="n"/>
      <c r="X1577" s="10" t="n"/>
      <c r="Y1577" s="10" t="n"/>
      <c r="Z1577" s="10" t="n"/>
      <c r="AA1577" s="11">
        <f>IF(A1577="","",IF(AND(J1577="P4",F1577="causal"),"P4-CAUSAL",""))</f>
        <v/>
      </c>
    </row>
    <row r="1578" ht="15" customHeight="1" s="1">
      <c r="P1578">
        <f>IF(OR(F1578="",H1578="",J1578=""),"",J1578&amp;"|"&amp;F1578&amp;"|"&amp;IF(H1578="W3","W3_"&amp;IF(I1578="","unknown",I1578),H1578))</f>
        <v/>
      </c>
      <c r="Q1578">
        <f>IF(P1578="","",IFERROR(IF(AND(H1578="W7",OR(F1578="causal",F1578="predictive")),IF(AND(OR(K1578=1,K1578="1"),OR(L1578=1,L1578="1"),OR(M1578=1,M1578="1")),"adequate","partial"),IF(AND(H1578="W4",F1578="predictive",OR(J1578="P2",J1578="P3",J1578="P4")),IF(OR(U1578=1,U1578="1"),"adequate","partial"),INDEX(Fit_Matrix!$B:$B,MATCH(P1578,Fit_Matrix!$A:$A,0)))),"CHECK KEY"))</f>
        <v/>
      </c>
      <c r="U1578" s="10" t="n"/>
      <c r="V1578" s="10" t="n"/>
      <c r="W1578" s="10" t="n"/>
      <c r="X1578" s="10" t="n"/>
      <c r="Y1578" s="10" t="n"/>
      <c r="Z1578" s="10" t="n"/>
      <c r="AA1578" s="11">
        <f>IF(A1578="","",IF(AND(J1578="P4",F1578="causal"),"P4-CAUSAL",""))</f>
        <v/>
      </c>
    </row>
    <row r="1579" ht="15" customHeight="1" s="1">
      <c r="P1579">
        <f>IF(OR(F1579="",H1579="",J1579=""),"",J1579&amp;"|"&amp;F1579&amp;"|"&amp;IF(H1579="W3","W3_"&amp;IF(I1579="","unknown",I1579),H1579))</f>
        <v/>
      </c>
      <c r="Q1579">
        <f>IF(P1579="","",IFERROR(IF(AND(H1579="W7",OR(F1579="causal",F1579="predictive")),IF(AND(OR(K1579=1,K1579="1"),OR(L1579=1,L1579="1"),OR(M1579=1,M1579="1")),"adequate","partial"),IF(AND(H1579="W4",F1579="predictive",OR(J1579="P2",J1579="P3",J1579="P4")),IF(OR(U1579=1,U1579="1"),"adequate","partial"),INDEX(Fit_Matrix!$B:$B,MATCH(P1579,Fit_Matrix!$A:$A,0)))),"CHECK KEY"))</f>
        <v/>
      </c>
      <c r="U1579" s="10" t="n"/>
      <c r="V1579" s="10" t="n"/>
      <c r="W1579" s="10" t="n"/>
      <c r="X1579" s="10" t="n"/>
      <c r="Y1579" s="10" t="n"/>
      <c r="Z1579" s="10" t="n"/>
      <c r="AA1579" s="11">
        <f>IF(A1579="","",IF(AND(J1579="P4",F1579="causal"),"P4-CAUSAL",""))</f>
        <v/>
      </c>
    </row>
    <row r="1580" ht="15" customHeight="1" s="1">
      <c r="P1580">
        <f>IF(OR(F1580="",H1580="",J1580=""),"",J1580&amp;"|"&amp;F1580&amp;"|"&amp;IF(H1580="W3","W3_"&amp;IF(I1580="","unknown",I1580),H1580))</f>
        <v/>
      </c>
      <c r="Q1580">
        <f>IF(P1580="","",IFERROR(IF(AND(H1580="W7",OR(F1580="causal",F1580="predictive")),IF(AND(OR(K1580=1,K1580="1"),OR(L1580=1,L1580="1"),OR(M1580=1,M1580="1")),"adequate","partial"),IF(AND(H1580="W4",F1580="predictive",OR(J1580="P2",J1580="P3",J1580="P4")),IF(OR(U1580=1,U1580="1"),"adequate","partial"),INDEX(Fit_Matrix!$B:$B,MATCH(P1580,Fit_Matrix!$A:$A,0)))),"CHECK KEY"))</f>
        <v/>
      </c>
      <c r="U1580" s="10" t="n"/>
      <c r="V1580" s="10" t="n"/>
      <c r="W1580" s="10" t="n"/>
      <c r="X1580" s="10" t="n"/>
      <c r="Y1580" s="10" t="n"/>
      <c r="Z1580" s="10" t="n"/>
      <c r="AA1580" s="11">
        <f>IF(A1580="","",IF(AND(J1580="P4",F1580="causal"),"P4-CAUSAL",""))</f>
        <v/>
      </c>
    </row>
    <row r="1581" ht="15" customHeight="1" s="1">
      <c r="P1581">
        <f>IF(OR(F1581="",H1581="",J1581=""),"",J1581&amp;"|"&amp;F1581&amp;"|"&amp;IF(H1581="W3","W3_"&amp;IF(I1581="","unknown",I1581),H1581))</f>
        <v/>
      </c>
      <c r="Q1581">
        <f>IF(P1581="","",IFERROR(IF(AND(H1581="W7",OR(F1581="causal",F1581="predictive")),IF(AND(OR(K1581=1,K1581="1"),OR(L1581=1,L1581="1"),OR(M1581=1,M1581="1")),"adequate","partial"),IF(AND(H1581="W4",F1581="predictive",OR(J1581="P2",J1581="P3",J1581="P4")),IF(OR(U1581=1,U1581="1"),"adequate","partial"),INDEX(Fit_Matrix!$B:$B,MATCH(P1581,Fit_Matrix!$A:$A,0)))),"CHECK KEY"))</f>
        <v/>
      </c>
      <c r="U1581" s="10" t="n"/>
      <c r="V1581" s="10" t="n"/>
      <c r="W1581" s="10" t="n"/>
      <c r="X1581" s="10" t="n"/>
      <c r="Y1581" s="10" t="n"/>
      <c r="Z1581" s="10" t="n"/>
      <c r="AA1581" s="11">
        <f>IF(A1581="","",IF(AND(J1581="P4",F1581="causal"),"P4-CAUSAL",""))</f>
        <v/>
      </c>
    </row>
    <row r="1582" ht="15" customHeight="1" s="1">
      <c r="P1582">
        <f>IF(OR(F1582="",H1582="",J1582=""),"",J1582&amp;"|"&amp;F1582&amp;"|"&amp;IF(H1582="W3","W3_"&amp;IF(I1582="","unknown",I1582),H1582))</f>
        <v/>
      </c>
      <c r="Q1582">
        <f>IF(P1582="","",IFERROR(IF(AND(H1582="W7",OR(F1582="causal",F1582="predictive")),IF(AND(OR(K1582=1,K1582="1"),OR(L1582=1,L1582="1"),OR(M1582=1,M1582="1")),"adequate","partial"),IF(AND(H1582="W4",F1582="predictive",OR(J1582="P2",J1582="P3",J1582="P4")),IF(OR(U1582=1,U1582="1"),"adequate","partial"),INDEX(Fit_Matrix!$B:$B,MATCH(P1582,Fit_Matrix!$A:$A,0)))),"CHECK KEY"))</f>
        <v/>
      </c>
      <c r="U1582" s="10" t="n"/>
      <c r="V1582" s="10" t="n"/>
      <c r="W1582" s="10" t="n"/>
      <c r="X1582" s="10" t="n"/>
      <c r="Y1582" s="10" t="n"/>
      <c r="Z1582" s="10" t="n"/>
      <c r="AA1582" s="11">
        <f>IF(A1582="","",IF(AND(J1582="P4",F1582="causal"),"P4-CAUSAL",""))</f>
        <v/>
      </c>
    </row>
    <row r="1583" ht="15" customHeight="1" s="1">
      <c r="P1583">
        <f>IF(OR(F1583="",H1583="",J1583=""),"",J1583&amp;"|"&amp;F1583&amp;"|"&amp;IF(H1583="W3","W3_"&amp;IF(I1583="","unknown",I1583),H1583))</f>
        <v/>
      </c>
      <c r="Q1583">
        <f>IF(P1583="","",IFERROR(IF(AND(H1583="W7",OR(F1583="causal",F1583="predictive")),IF(AND(OR(K1583=1,K1583="1"),OR(L1583=1,L1583="1"),OR(M1583=1,M1583="1")),"adequate","partial"),IF(AND(H1583="W4",F1583="predictive",OR(J1583="P2",J1583="P3",J1583="P4")),IF(OR(U1583=1,U1583="1"),"adequate","partial"),INDEX(Fit_Matrix!$B:$B,MATCH(P1583,Fit_Matrix!$A:$A,0)))),"CHECK KEY"))</f>
        <v/>
      </c>
      <c r="U1583" s="10" t="n"/>
      <c r="V1583" s="10" t="n"/>
      <c r="W1583" s="10" t="n"/>
      <c r="X1583" s="10" t="n"/>
      <c r="Y1583" s="10" t="n"/>
      <c r="Z1583" s="10" t="n"/>
      <c r="AA1583" s="11">
        <f>IF(A1583="","",IF(AND(J1583="P4",F1583="causal"),"P4-CAUSAL",""))</f>
        <v/>
      </c>
    </row>
    <row r="1584" ht="15" customHeight="1" s="1">
      <c r="P1584">
        <f>IF(OR(F1584="",H1584="",J1584=""),"",J1584&amp;"|"&amp;F1584&amp;"|"&amp;IF(H1584="W3","W3_"&amp;IF(I1584="","unknown",I1584),H1584))</f>
        <v/>
      </c>
      <c r="Q1584">
        <f>IF(P1584="","",IFERROR(IF(AND(H1584="W7",OR(F1584="causal",F1584="predictive")),IF(AND(OR(K1584=1,K1584="1"),OR(L1584=1,L1584="1"),OR(M1584=1,M1584="1")),"adequate","partial"),IF(AND(H1584="W4",F1584="predictive",OR(J1584="P2",J1584="P3",J1584="P4")),IF(OR(U1584=1,U1584="1"),"adequate","partial"),INDEX(Fit_Matrix!$B:$B,MATCH(P1584,Fit_Matrix!$A:$A,0)))),"CHECK KEY"))</f>
        <v/>
      </c>
      <c r="U1584" s="10" t="n"/>
      <c r="V1584" s="10" t="n"/>
      <c r="W1584" s="10" t="n"/>
      <c r="X1584" s="10" t="n"/>
      <c r="Y1584" s="10" t="n"/>
      <c r="Z1584" s="10" t="n"/>
      <c r="AA1584" s="11">
        <f>IF(A1584="","",IF(AND(J1584="P4",F1584="causal"),"P4-CAUSAL",""))</f>
        <v/>
      </c>
    </row>
    <row r="1585" ht="15" customHeight="1" s="1">
      <c r="P1585">
        <f>IF(OR(F1585="",H1585="",J1585=""),"",J1585&amp;"|"&amp;F1585&amp;"|"&amp;IF(H1585="W3","W3_"&amp;IF(I1585="","unknown",I1585),H1585))</f>
        <v/>
      </c>
      <c r="Q1585">
        <f>IF(P1585="","",IFERROR(IF(AND(H1585="W7",OR(F1585="causal",F1585="predictive")),IF(AND(OR(K1585=1,K1585="1"),OR(L1585=1,L1585="1"),OR(M1585=1,M1585="1")),"adequate","partial"),IF(AND(H1585="W4",F1585="predictive",OR(J1585="P2",J1585="P3",J1585="P4")),IF(OR(U1585=1,U1585="1"),"adequate","partial"),INDEX(Fit_Matrix!$B:$B,MATCH(P1585,Fit_Matrix!$A:$A,0)))),"CHECK KEY"))</f>
        <v/>
      </c>
      <c r="U1585" s="10" t="n"/>
      <c r="V1585" s="10" t="n"/>
      <c r="W1585" s="10" t="n"/>
      <c r="X1585" s="10" t="n"/>
      <c r="Y1585" s="10" t="n"/>
      <c r="Z1585" s="10" t="n"/>
      <c r="AA1585" s="11">
        <f>IF(A1585="","",IF(AND(J1585="P4",F1585="causal"),"P4-CAUSAL",""))</f>
        <v/>
      </c>
    </row>
    <row r="1586" ht="15" customHeight="1" s="1">
      <c r="P1586">
        <f>IF(OR(F1586="",H1586="",J1586=""),"",J1586&amp;"|"&amp;F1586&amp;"|"&amp;IF(H1586="W3","W3_"&amp;IF(I1586="","unknown",I1586),H1586))</f>
        <v/>
      </c>
      <c r="Q1586">
        <f>IF(P1586="","",IFERROR(IF(AND(H1586="W7",OR(F1586="causal",F1586="predictive")),IF(AND(OR(K1586=1,K1586="1"),OR(L1586=1,L1586="1"),OR(M1586=1,M1586="1")),"adequate","partial"),IF(AND(H1586="W4",F1586="predictive",OR(J1586="P2",J1586="P3",J1586="P4")),IF(OR(U1586=1,U1586="1"),"adequate","partial"),INDEX(Fit_Matrix!$B:$B,MATCH(P1586,Fit_Matrix!$A:$A,0)))),"CHECK KEY"))</f>
        <v/>
      </c>
      <c r="U1586" s="10" t="n"/>
      <c r="V1586" s="10" t="n"/>
      <c r="W1586" s="10" t="n"/>
      <c r="X1586" s="10" t="n"/>
      <c r="Y1586" s="10" t="n"/>
      <c r="Z1586" s="10" t="n"/>
      <c r="AA1586" s="11">
        <f>IF(A1586="","",IF(AND(J1586="P4",F1586="causal"),"P4-CAUSAL",""))</f>
        <v/>
      </c>
    </row>
    <row r="1587" ht="15" customHeight="1" s="1">
      <c r="P1587">
        <f>IF(OR(F1587="",H1587="",J1587=""),"",J1587&amp;"|"&amp;F1587&amp;"|"&amp;IF(H1587="W3","W3_"&amp;IF(I1587="","unknown",I1587),H1587))</f>
        <v/>
      </c>
      <c r="Q1587">
        <f>IF(P1587="","",IFERROR(IF(AND(H1587="W7",OR(F1587="causal",F1587="predictive")),IF(AND(OR(K1587=1,K1587="1"),OR(L1587=1,L1587="1"),OR(M1587=1,M1587="1")),"adequate","partial"),IF(AND(H1587="W4",F1587="predictive",OR(J1587="P2",J1587="P3",J1587="P4")),IF(OR(U1587=1,U1587="1"),"adequate","partial"),INDEX(Fit_Matrix!$B:$B,MATCH(P1587,Fit_Matrix!$A:$A,0)))),"CHECK KEY"))</f>
        <v/>
      </c>
      <c r="U1587" s="10" t="n"/>
      <c r="V1587" s="10" t="n"/>
      <c r="W1587" s="10" t="n"/>
      <c r="X1587" s="10" t="n"/>
      <c r="Y1587" s="10" t="n"/>
      <c r="Z1587" s="10" t="n"/>
      <c r="AA1587" s="11">
        <f>IF(A1587="","",IF(AND(J1587="P4",F1587="causal"),"P4-CAUSAL",""))</f>
        <v/>
      </c>
    </row>
    <row r="1588" ht="15" customHeight="1" s="1">
      <c r="P1588">
        <f>IF(OR(F1588="",H1588="",J1588=""),"",J1588&amp;"|"&amp;F1588&amp;"|"&amp;IF(H1588="W3","W3_"&amp;IF(I1588="","unknown",I1588),H1588))</f>
        <v/>
      </c>
      <c r="Q1588">
        <f>IF(P1588="","",IFERROR(IF(AND(H1588="W7",OR(F1588="causal",F1588="predictive")),IF(AND(OR(K1588=1,K1588="1"),OR(L1588=1,L1588="1"),OR(M1588=1,M1588="1")),"adequate","partial"),IF(AND(H1588="W4",F1588="predictive",OR(J1588="P2",J1588="P3",J1588="P4")),IF(OR(U1588=1,U1588="1"),"adequate","partial"),INDEX(Fit_Matrix!$B:$B,MATCH(P1588,Fit_Matrix!$A:$A,0)))),"CHECK KEY"))</f>
        <v/>
      </c>
      <c r="U1588" s="10" t="n"/>
      <c r="V1588" s="10" t="n"/>
      <c r="W1588" s="10" t="n"/>
      <c r="X1588" s="10" t="n"/>
      <c r="Y1588" s="10" t="n"/>
      <c r="Z1588" s="10" t="n"/>
      <c r="AA1588" s="11">
        <f>IF(A1588="","",IF(AND(J1588="P4",F1588="causal"),"P4-CAUSAL",""))</f>
        <v/>
      </c>
    </row>
    <row r="1589" ht="15" customHeight="1" s="1">
      <c r="P1589">
        <f>IF(OR(F1589="",H1589="",J1589=""),"",J1589&amp;"|"&amp;F1589&amp;"|"&amp;IF(H1589="W3","W3_"&amp;IF(I1589="","unknown",I1589),H1589))</f>
        <v/>
      </c>
      <c r="Q1589">
        <f>IF(P1589="","",IFERROR(IF(AND(H1589="W7",OR(F1589="causal",F1589="predictive")),IF(AND(OR(K1589=1,K1589="1"),OR(L1589=1,L1589="1"),OR(M1589=1,M1589="1")),"adequate","partial"),IF(AND(H1589="W4",F1589="predictive",OR(J1589="P2",J1589="P3",J1589="P4")),IF(OR(U1589=1,U1589="1"),"adequate","partial"),INDEX(Fit_Matrix!$B:$B,MATCH(P1589,Fit_Matrix!$A:$A,0)))),"CHECK KEY"))</f>
        <v/>
      </c>
      <c r="U1589" s="10" t="n"/>
      <c r="V1589" s="10" t="n"/>
      <c r="W1589" s="10" t="n"/>
      <c r="X1589" s="10" t="n"/>
      <c r="Y1589" s="10" t="n"/>
      <c r="Z1589" s="10" t="n"/>
      <c r="AA1589" s="11">
        <f>IF(A1589="","",IF(AND(J1589="P4",F1589="causal"),"P4-CAUSAL",""))</f>
        <v/>
      </c>
    </row>
    <row r="1590" ht="15" customHeight="1" s="1">
      <c r="P1590">
        <f>IF(OR(F1590="",H1590="",J1590=""),"",J1590&amp;"|"&amp;F1590&amp;"|"&amp;IF(H1590="W3","W3_"&amp;IF(I1590="","unknown",I1590),H1590))</f>
        <v/>
      </c>
      <c r="Q1590">
        <f>IF(P1590="","",IFERROR(IF(AND(H1590="W7",OR(F1590="causal",F1590="predictive")),IF(AND(OR(K1590=1,K1590="1"),OR(L1590=1,L1590="1"),OR(M1590=1,M1590="1")),"adequate","partial"),IF(AND(H1590="W4",F1590="predictive",OR(J1590="P2",J1590="P3",J1590="P4")),IF(OR(U1590=1,U1590="1"),"adequate","partial"),INDEX(Fit_Matrix!$B:$B,MATCH(P1590,Fit_Matrix!$A:$A,0)))),"CHECK KEY"))</f>
        <v/>
      </c>
      <c r="U1590" s="10" t="n"/>
      <c r="V1590" s="10" t="n"/>
      <c r="W1590" s="10" t="n"/>
      <c r="X1590" s="10" t="n"/>
      <c r="Y1590" s="10" t="n"/>
      <c r="Z1590" s="10" t="n"/>
      <c r="AA1590" s="11">
        <f>IF(A1590="","",IF(AND(J1590="P4",F1590="causal"),"P4-CAUSAL",""))</f>
        <v/>
      </c>
    </row>
    <row r="1591" ht="15" customHeight="1" s="1">
      <c r="P1591">
        <f>IF(OR(F1591="",H1591="",J1591=""),"",J1591&amp;"|"&amp;F1591&amp;"|"&amp;IF(H1591="W3","W3_"&amp;IF(I1591="","unknown",I1591),H1591))</f>
        <v/>
      </c>
      <c r="Q1591">
        <f>IF(P1591="","",IFERROR(IF(AND(H1591="W7",OR(F1591="causal",F1591="predictive")),IF(AND(OR(K1591=1,K1591="1"),OR(L1591=1,L1591="1"),OR(M1591=1,M1591="1")),"adequate","partial"),IF(AND(H1591="W4",F1591="predictive",OR(J1591="P2",J1591="P3",J1591="P4")),IF(OR(U1591=1,U1591="1"),"adequate","partial"),INDEX(Fit_Matrix!$B:$B,MATCH(P1591,Fit_Matrix!$A:$A,0)))),"CHECK KEY"))</f>
        <v/>
      </c>
      <c r="U1591" s="10" t="n"/>
      <c r="V1591" s="10" t="n"/>
      <c r="W1591" s="10" t="n"/>
      <c r="X1591" s="10" t="n"/>
      <c r="Y1591" s="10" t="n"/>
      <c r="Z1591" s="10" t="n"/>
      <c r="AA1591" s="11">
        <f>IF(A1591="","",IF(AND(J1591="P4",F1591="causal"),"P4-CAUSAL",""))</f>
        <v/>
      </c>
    </row>
    <row r="1592" ht="15" customHeight="1" s="1">
      <c r="P1592">
        <f>IF(OR(F1592="",H1592="",J1592=""),"",J1592&amp;"|"&amp;F1592&amp;"|"&amp;IF(H1592="W3","W3_"&amp;IF(I1592="","unknown",I1592),H1592))</f>
        <v/>
      </c>
      <c r="Q1592">
        <f>IF(P1592="","",IFERROR(IF(AND(H1592="W7",OR(F1592="causal",F1592="predictive")),IF(AND(OR(K1592=1,K1592="1"),OR(L1592=1,L1592="1"),OR(M1592=1,M1592="1")),"adequate","partial"),IF(AND(H1592="W4",F1592="predictive",OR(J1592="P2",J1592="P3",J1592="P4")),IF(OR(U1592=1,U1592="1"),"adequate","partial"),INDEX(Fit_Matrix!$B:$B,MATCH(P1592,Fit_Matrix!$A:$A,0)))),"CHECK KEY"))</f>
        <v/>
      </c>
      <c r="U1592" s="10" t="n"/>
      <c r="V1592" s="10" t="n"/>
      <c r="W1592" s="10" t="n"/>
      <c r="X1592" s="10" t="n"/>
      <c r="Y1592" s="10" t="n"/>
      <c r="Z1592" s="10" t="n"/>
      <c r="AA1592" s="11">
        <f>IF(A1592="","",IF(AND(J1592="P4",F1592="causal"),"P4-CAUSAL",""))</f>
        <v/>
      </c>
    </row>
    <row r="1593" ht="15" customHeight="1" s="1">
      <c r="P1593">
        <f>IF(OR(F1593="",H1593="",J1593=""),"",J1593&amp;"|"&amp;F1593&amp;"|"&amp;IF(H1593="W3","W3_"&amp;IF(I1593="","unknown",I1593),H1593))</f>
        <v/>
      </c>
      <c r="Q1593">
        <f>IF(P1593="","",IFERROR(IF(AND(H1593="W7",OR(F1593="causal",F1593="predictive")),IF(AND(OR(K1593=1,K1593="1"),OR(L1593=1,L1593="1"),OR(M1593=1,M1593="1")),"adequate","partial"),IF(AND(H1593="W4",F1593="predictive",OR(J1593="P2",J1593="P3",J1593="P4")),IF(OR(U1593=1,U1593="1"),"adequate","partial"),INDEX(Fit_Matrix!$B:$B,MATCH(P1593,Fit_Matrix!$A:$A,0)))),"CHECK KEY"))</f>
        <v/>
      </c>
      <c r="U1593" s="10" t="n"/>
      <c r="V1593" s="10" t="n"/>
      <c r="W1593" s="10" t="n"/>
      <c r="X1593" s="10" t="n"/>
      <c r="Y1593" s="10" t="n"/>
      <c r="Z1593" s="10" t="n"/>
      <c r="AA1593" s="11">
        <f>IF(A1593="","",IF(AND(J1593="P4",F1593="causal"),"P4-CAUSAL",""))</f>
        <v/>
      </c>
    </row>
    <row r="1594" ht="15" customHeight="1" s="1">
      <c r="P1594">
        <f>IF(OR(F1594="",H1594="",J1594=""),"",J1594&amp;"|"&amp;F1594&amp;"|"&amp;IF(H1594="W3","W3_"&amp;IF(I1594="","unknown",I1594),H1594))</f>
        <v/>
      </c>
      <c r="Q1594">
        <f>IF(P1594="","",IFERROR(IF(AND(H1594="W7",OR(F1594="causal",F1594="predictive")),IF(AND(OR(K1594=1,K1594="1"),OR(L1594=1,L1594="1"),OR(M1594=1,M1594="1")),"adequate","partial"),IF(AND(H1594="W4",F1594="predictive",OR(J1594="P2",J1594="P3",J1594="P4")),IF(OR(U1594=1,U1594="1"),"adequate","partial"),INDEX(Fit_Matrix!$B:$B,MATCH(P1594,Fit_Matrix!$A:$A,0)))),"CHECK KEY"))</f>
        <v/>
      </c>
      <c r="U1594" s="10" t="n"/>
      <c r="V1594" s="10" t="n"/>
      <c r="W1594" s="10" t="n"/>
      <c r="X1594" s="10" t="n"/>
      <c r="Y1594" s="10" t="n"/>
      <c r="Z1594" s="10" t="n"/>
      <c r="AA1594" s="11">
        <f>IF(A1594="","",IF(AND(J1594="P4",F1594="causal"),"P4-CAUSAL",""))</f>
        <v/>
      </c>
    </row>
    <row r="1595" ht="15" customHeight="1" s="1">
      <c r="P1595">
        <f>IF(OR(F1595="",H1595="",J1595=""),"",J1595&amp;"|"&amp;F1595&amp;"|"&amp;IF(H1595="W3","W3_"&amp;IF(I1595="","unknown",I1595),H1595))</f>
        <v/>
      </c>
      <c r="Q1595">
        <f>IF(P1595="","",IFERROR(IF(AND(H1595="W7",OR(F1595="causal",F1595="predictive")),IF(AND(OR(K1595=1,K1595="1"),OR(L1595=1,L1595="1"),OR(M1595=1,M1595="1")),"adequate","partial"),IF(AND(H1595="W4",F1595="predictive",OR(J1595="P2",J1595="P3",J1595="P4")),IF(OR(U1595=1,U1595="1"),"adequate","partial"),INDEX(Fit_Matrix!$B:$B,MATCH(P1595,Fit_Matrix!$A:$A,0)))),"CHECK KEY"))</f>
        <v/>
      </c>
      <c r="U1595" s="10" t="n"/>
      <c r="V1595" s="10" t="n"/>
      <c r="W1595" s="10" t="n"/>
      <c r="X1595" s="10" t="n"/>
      <c r="Y1595" s="10" t="n"/>
      <c r="Z1595" s="10" t="n"/>
      <c r="AA1595" s="11">
        <f>IF(A1595="","",IF(AND(J1595="P4",F1595="causal"),"P4-CAUSAL",""))</f>
        <v/>
      </c>
    </row>
    <row r="1596" ht="15" customHeight="1" s="1">
      <c r="P1596">
        <f>IF(OR(F1596="",H1596="",J1596=""),"",J1596&amp;"|"&amp;F1596&amp;"|"&amp;IF(H1596="W3","W3_"&amp;IF(I1596="","unknown",I1596),H1596))</f>
        <v/>
      </c>
      <c r="Q1596">
        <f>IF(P1596="","",IFERROR(IF(AND(H1596="W7",OR(F1596="causal",F1596="predictive")),IF(AND(OR(K1596=1,K1596="1"),OR(L1596=1,L1596="1"),OR(M1596=1,M1596="1")),"adequate","partial"),IF(AND(H1596="W4",F1596="predictive",OR(J1596="P2",J1596="P3",J1596="P4")),IF(OR(U1596=1,U1596="1"),"adequate","partial"),INDEX(Fit_Matrix!$B:$B,MATCH(P1596,Fit_Matrix!$A:$A,0)))),"CHECK KEY"))</f>
        <v/>
      </c>
      <c r="U1596" s="10" t="n"/>
      <c r="V1596" s="10" t="n"/>
      <c r="W1596" s="10" t="n"/>
      <c r="X1596" s="10" t="n"/>
      <c r="Y1596" s="10" t="n"/>
      <c r="Z1596" s="10" t="n"/>
      <c r="AA1596" s="11">
        <f>IF(A1596="","",IF(AND(J1596="P4",F1596="causal"),"P4-CAUSAL",""))</f>
        <v/>
      </c>
    </row>
    <row r="1597" ht="15" customHeight="1" s="1">
      <c r="P1597">
        <f>IF(OR(F1597="",H1597="",J1597=""),"",J1597&amp;"|"&amp;F1597&amp;"|"&amp;IF(H1597="W3","W3_"&amp;IF(I1597="","unknown",I1597),H1597))</f>
        <v/>
      </c>
      <c r="Q1597">
        <f>IF(P1597="","",IFERROR(IF(AND(H1597="W7",OR(F1597="causal",F1597="predictive")),IF(AND(OR(K1597=1,K1597="1"),OR(L1597=1,L1597="1"),OR(M1597=1,M1597="1")),"adequate","partial"),IF(AND(H1597="W4",F1597="predictive",OR(J1597="P2",J1597="P3",J1597="P4")),IF(OR(U1597=1,U1597="1"),"adequate","partial"),INDEX(Fit_Matrix!$B:$B,MATCH(P1597,Fit_Matrix!$A:$A,0)))),"CHECK KEY"))</f>
        <v/>
      </c>
      <c r="U1597" s="10" t="n"/>
      <c r="V1597" s="10" t="n"/>
      <c r="W1597" s="10" t="n"/>
      <c r="X1597" s="10" t="n"/>
      <c r="Y1597" s="10" t="n"/>
      <c r="Z1597" s="10" t="n"/>
      <c r="AA1597" s="11">
        <f>IF(A1597="","",IF(AND(J1597="P4",F1597="causal"),"P4-CAUSAL",""))</f>
        <v/>
      </c>
    </row>
    <row r="1598" ht="15" customHeight="1" s="1">
      <c r="P1598">
        <f>IF(OR(F1598="",H1598="",J1598=""),"",J1598&amp;"|"&amp;F1598&amp;"|"&amp;IF(H1598="W3","W3_"&amp;IF(I1598="","unknown",I1598),H1598))</f>
        <v/>
      </c>
      <c r="Q1598">
        <f>IF(P1598="","",IFERROR(IF(AND(H1598="W7",OR(F1598="causal",F1598="predictive")),IF(AND(OR(K1598=1,K1598="1"),OR(L1598=1,L1598="1"),OR(M1598=1,M1598="1")),"adequate","partial"),IF(AND(H1598="W4",F1598="predictive",OR(J1598="P2",J1598="P3",J1598="P4")),IF(OR(U1598=1,U1598="1"),"adequate","partial"),INDEX(Fit_Matrix!$B:$B,MATCH(P1598,Fit_Matrix!$A:$A,0)))),"CHECK KEY"))</f>
        <v/>
      </c>
      <c r="U1598" s="10" t="n"/>
      <c r="V1598" s="10" t="n"/>
      <c r="W1598" s="10" t="n"/>
      <c r="X1598" s="10" t="n"/>
      <c r="Y1598" s="10" t="n"/>
      <c r="Z1598" s="10" t="n"/>
      <c r="AA1598" s="11">
        <f>IF(A1598="","",IF(AND(J1598="P4",F1598="causal"),"P4-CAUSAL",""))</f>
        <v/>
      </c>
    </row>
    <row r="1599" ht="15" customHeight="1" s="1">
      <c r="P1599">
        <f>IF(OR(F1599="",H1599="",J1599=""),"",J1599&amp;"|"&amp;F1599&amp;"|"&amp;IF(H1599="W3","W3_"&amp;IF(I1599="","unknown",I1599),H1599))</f>
        <v/>
      </c>
      <c r="Q1599">
        <f>IF(P1599="","",IFERROR(IF(AND(H1599="W7",OR(F1599="causal",F1599="predictive")),IF(AND(OR(K1599=1,K1599="1"),OR(L1599=1,L1599="1"),OR(M1599=1,M1599="1")),"adequate","partial"),IF(AND(H1599="W4",F1599="predictive",OR(J1599="P2",J1599="P3",J1599="P4")),IF(OR(U1599=1,U1599="1"),"adequate","partial"),INDEX(Fit_Matrix!$B:$B,MATCH(P1599,Fit_Matrix!$A:$A,0)))),"CHECK KEY"))</f>
        <v/>
      </c>
      <c r="U1599" s="10" t="n"/>
      <c r="V1599" s="10" t="n"/>
      <c r="W1599" s="10" t="n"/>
      <c r="X1599" s="10" t="n"/>
      <c r="Y1599" s="10" t="n"/>
      <c r="Z1599" s="10" t="n"/>
      <c r="AA1599" s="11">
        <f>IF(A1599="","",IF(AND(J1599="P4",F1599="causal"),"P4-CAUSAL",""))</f>
        <v/>
      </c>
    </row>
    <row r="1600" ht="15" customHeight="1" s="1">
      <c r="P1600">
        <f>IF(OR(F1600="",H1600="",J1600=""),"",J1600&amp;"|"&amp;F1600&amp;"|"&amp;IF(H1600="W3","W3_"&amp;IF(I1600="","unknown",I1600),H1600))</f>
        <v/>
      </c>
      <c r="Q1600">
        <f>IF(P1600="","",IFERROR(IF(AND(H1600="W7",OR(F1600="causal",F1600="predictive")),IF(AND(OR(K1600=1,K1600="1"),OR(L1600=1,L1600="1"),OR(M1600=1,M1600="1")),"adequate","partial"),IF(AND(H1600="W4",F1600="predictive",OR(J1600="P2",J1600="P3",J1600="P4")),IF(OR(U1600=1,U1600="1"),"adequate","partial"),INDEX(Fit_Matrix!$B:$B,MATCH(P1600,Fit_Matrix!$A:$A,0)))),"CHECK KEY"))</f>
        <v/>
      </c>
      <c r="U1600" s="10" t="n"/>
      <c r="V1600" s="10" t="n"/>
      <c r="W1600" s="10" t="n"/>
      <c r="X1600" s="10" t="n"/>
      <c r="Y1600" s="10" t="n"/>
      <c r="Z1600" s="10" t="n"/>
      <c r="AA1600" s="11">
        <f>IF(A1600="","",IF(AND(J1600="P4",F1600="causal"),"P4-CAUSAL",""))</f>
        <v/>
      </c>
    </row>
    <row r="1601" ht="15" customHeight="1" s="1">
      <c r="P1601">
        <f>IF(OR(F1601="",H1601="",J1601=""),"",J1601&amp;"|"&amp;F1601&amp;"|"&amp;IF(H1601="W3","W3_"&amp;IF(I1601="","unknown",I1601),H1601))</f>
        <v/>
      </c>
      <c r="Q1601">
        <f>IF(P1601="","",IFERROR(IF(AND(H1601="W7",OR(F1601="causal",F1601="predictive")),IF(AND(OR(K1601=1,K1601="1"),OR(L1601=1,L1601="1"),OR(M1601=1,M1601="1")),"adequate","partial"),IF(AND(H1601="W4",F1601="predictive",OR(J1601="P2",J1601="P3",J1601="P4")),IF(OR(U1601=1,U1601="1"),"adequate","partial"),INDEX(Fit_Matrix!$B:$B,MATCH(P1601,Fit_Matrix!$A:$A,0)))),"CHECK KEY"))</f>
        <v/>
      </c>
      <c r="U1601" s="10" t="n"/>
      <c r="V1601" s="10" t="n"/>
      <c r="W1601" s="10" t="n"/>
      <c r="X1601" s="10" t="n"/>
      <c r="Y1601" s="10" t="n"/>
      <c r="Z1601" s="10" t="n"/>
      <c r="AA1601" s="11">
        <f>IF(A1601="","",IF(AND(J1601="P4",F1601="causal"),"P4-CAUSAL",""))</f>
        <v/>
      </c>
    </row>
    <row r="1602" ht="15" customHeight="1" s="1">
      <c r="P1602">
        <f>IF(OR(F1602="",H1602="",J1602=""),"",J1602&amp;"|"&amp;F1602&amp;"|"&amp;IF(H1602="W3","W3_"&amp;IF(I1602="","unknown",I1602),H1602))</f>
        <v/>
      </c>
      <c r="Q1602">
        <f>IF(P1602="","",IFERROR(IF(AND(H1602="W7",OR(F1602="causal",F1602="predictive")),IF(AND(OR(K1602=1,K1602="1"),OR(L1602=1,L1602="1"),OR(M1602=1,M1602="1")),"adequate","partial"),IF(AND(H1602="W4",F1602="predictive",OR(J1602="P2",J1602="P3",J1602="P4")),IF(OR(U1602=1,U1602="1"),"adequate","partial"),INDEX(Fit_Matrix!$B:$B,MATCH(P1602,Fit_Matrix!$A:$A,0)))),"CHECK KEY"))</f>
        <v/>
      </c>
      <c r="U1602" s="10" t="n"/>
      <c r="V1602" s="10" t="n"/>
      <c r="W1602" s="10" t="n"/>
      <c r="X1602" s="10" t="n"/>
      <c r="Y1602" s="10" t="n"/>
      <c r="Z1602" s="10" t="n"/>
      <c r="AA1602" s="11">
        <f>IF(A1602="","",IF(AND(J1602="P4",F1602="causal"),"P4-CAUSAL",""))</f>
        <v/>
      </c>
    </row>
    <row r="1603" ht="15" customHeight="1" s="1">
      <c r="P1603">
        <f>IF(OR(F1603="",H1603="",J1603=""),"",J1603&amp;"|"&amp;F1603&amp;"|"&amp;IF(H1603="W3","W3_"&amp;IF(I1603="","unknown",I1603),H1603))</f>
        <v/>
      </c>
      <c r="Q1603">
        <f>IF(P1603="","",IFERROR(IF(AND(H1603="W7",OR(F1603="causal",F1603="predictive")),IF(AND(OR(K1603=1,K1603="1"),OR(L1603=1,L1603="1"),OR(M1603=1,M1603="1")),"adequate","partial"),IF(AND(H1603="W4",F1603="predictive",OR(J1603="P2",J1603="P3",J1603="P4")),IF(OR(U1603=1,U1603="1"),"adequate","partial"),INDEX(Fit_Matrix!$B:$B,MATCH(P1603,Fit_Matrix!$A:$A,0)))),"CHECK KEY"))</f>
        <v/>
      </c>
      <c r="U1603" s="10" t="n"/>
      <c r="V1603" s="10" t="n"/>
      <c r="W1603" s="10" t="n"/>
      <c r="X1603" s="10" t="n"/>
      <c r="Y1603" s="10" t="n"/>
      <c r="Z1603" s="10" t="n"/>
      <c r="AA1603" s="11">
        <f>IF(A1603="","",IF(AND(J1603="P4",F1603="causal"),"P4-CAUSAL",""))</f>
        <v/>
      </c>
    </row>
    <row r="1604" ht="15" customHeight="1" s="1">
      <c r="P1604">
        <f>IF(OR(F1604="",H1604="",J1604=""),"",J1604&amp;"|"&amp;F1604&amp;"|"&amp;IF(H1604="W3","W3_"&amp;IF(I1604="","unknown",I1604),H1604))</f>
        <v/>
      </c>
      <c r="Q1604">
        <f>IF(P1604="","",IFERROR(IF(AND(H1604="W7",OR(F1604="causal",F1604="predictive")),IF(AND(OR(K1604=1,K1604="1"),OR(L1604=1,L1604="1"),OR(M1604=1,M1604="1")),"adequate","partial"),IF(AND(H1604="W4",F1604="predictive",OR(J1604="P2",J1604="P3",J1604="P4")),IF(OR(U1604=1,U1604="1"),"adequate","partial"),INDEX(Fit_Matrix!$B:$B,MATCH(P1604,Fit_Matrix!$A:$A,0)))),"CHECK KEY"))</f>
        <v/>
      </c>
      <c r="U1604" s="10" t="n"/>
      <c r="V1604" s="10" t="n"/>
      <c r="W1604" s="10" t="n"/>
      <c r="X1604" s="10" t="n"/>
      <c r="Y1604" s="10" t="n"/>
      <c r="Z1604" s="10" t="n"/>
      <c r="AA1604" s="11">
        <f>IF(A1604="","",IF(AND(J1604="P4",F1604="causal"),"P4-CAUSAL",""))</f>
        <v/>
      </c>
    </row>
    <row r="1605" ht="15" customHeight="1" s="1">
      <c r="P1605">
        <f>IF(OR(F1605="",H1605="",J1605=""),"",J1605&amp;"|"&amp;F1605&amp;"|"&amp;IF(H1605="W3","W3_"&amp;IF(I1605="","unknown",I1605),H1605))</f>
        <v/>
      </c>
      <c r="Q1605">
        <f>IF(P1605="","",IFERROR(IF(AND(H1605="W7",OR(F1605="causal",F1605="predictive")),IF(AND(OR(K1605=1,K1605="1"),OR(L1605=1,L1605="1"),OR(M1605=1,M1605="1")),"adequate","partial"),IF(AND(H1605="W4",F1605="predictive",OR(J1605="P2",J1605="P3",J1605="P4")),IF(OR(U1605=1,U1605="1"),"adequate","partial"),INDEX(Fit_Matrix!$B:$B,MATCH(P1605,Fit_Matrix!$A:$A,0)))),"CHECK KEY"))</f>
        <v/>
      </c>
      <c r="U1605" s="10" t="n"/>
      <c r="V1605" s="10" t="n"/>
      <c r="W1605" s="10" t="n"/>
      <c r="X1605" s="10" t="n"/>
      <c r="Y1605" s="10" t="n"/>
      <c r="Z1605" s="10" t="n"/>
      <c r="AA1605" s="11">
        <f>IF(A1605="","",IF(AND(J1605="P4",F1605="causal"),"P4-CAUSAL",""))</f>
        <v/>
      </c>
    </row>
    <row r="1606" ht="15" customHeight="1" s="1">
      <c r="P1606">
        <f>IF(OR(F1606="",H1606="",J1606=""),"",J1606&amp;"|"&amp;F1606&amp;"|"&amp;IF(H1606="W3","W3_"&amp;IF(I1606="","unknown",I1606),H1606))</f>
        <v/>
      </c>
      <c r="Q1606">
        <f>IF(P1606="","",IFERROR(IF(AND(H1606="W7",OR(F1606="causal",F1606="predictive")),IF(AND(OR(K1606=1,K1606="1"),OR(L1606=1,L1606="1"),OR(M1606=1,M1606="1")),"adequate","partial"),IF(AND(H1606="W4",F1606="predictive",OR(J1606="P2",J1606="P3",J1606="P4")),IF(OR(U1606=1,U1606="1"),"adequate","partial"),INDEX(Fit_Matrix!$B:$B,MATCH(P1606,Fit_Matrix!$A:$A,0)))),"CHECK KEY"))</f>
        <v/>
      </c>
      <c r="U1606" s="10" t="n"/>
      <c r="V1606" s="10" t="n"/>
      <c r="W1606" s="10" t="n"/>
      <c r="X1606" s="10" t="n"/>
      <c r="Y1606" s="10" t="n"/>
      <c r="Z1606" s="10" t="n"/>
      <c r="AA1606" s="11">
        <f>IF(A1606="","",IF(AND(J1606="P4",F1606="causal"),"P4-CAUSAL",""))</f>
        <v/>
      </c>
    </row>
    <row r="1607" ht="15" customHeight="1" s="1">
      <c r="P1607">
        <f>IF(OR(F1607="",H1607="",J1607=""),"",J1607&amp;"|"&amp;F1607&amp;"|"&amp;IF(H1607="W3","W3_"&amp;IF(I1607="","unknown",I1607),H1607))</f>
        <v/>
      </c>
      <c r="Q1607">
        <f>IF(P1607="","",IFERROR(IF(AND(H1607="W7",OR(F1607="causal",F1607="predictive")),IF(AND(OR(K1607=1,K1607="1"),OR(L1607=1,L1607="1"),OR(M1607=1,M1607="1")),"adequate","partial"),IF(AND(H1607="W4",F1607="predictive",OR(J1607="P2",J1607="P3",J1607="P4")),IF(OR(U1607=1,U1607="1"),"adequate","partial"),INDEX(Fit_Matrix!$B:$B,MATCH(P1607,Fit_Matrix!$A:$A,0)))),"CHECK KEY"))</f>
        <v/>
      </c>
      <c r="U1607" s="10" t="n"/>
      <c r="V1607" s="10" t="n"/>
      <c r="W1607" s="10" t="n"/>
      <c r="X1607" s="10" t="n"/>
      <c r="Y1607" s="10" t="n"/>
      <c r="Z1607" s="10" t="n"/>
      <c r="AA1607" s="11">
        <f>IF(A1607="","",IF(AND(J1607="P4",F1607="causal"),"P4-CAUSAL",""))</f>
        <v/>
      </c>
    </row>
    <row r="1608" ht="15" customHeight="1" s="1">
      <c r="P1608">
        <f>IF(OR(F1608="",H1608="",J1608=""),"",J1608&amp;"|"&amp;F1608&amp;"|"&amp;IF(H1608="W3","W3_"&amp;IF(I1608="","unknown",I1608),H1608))</f>
        <v/>
      </c>
      <c r="Q1608">
        <f>IF(P1608="","",IFERROR(IF(AND(H1608="W7",OR(F1608="causal",F1608="predictive")),IF(AND(OR(K1608=1,K1608="1"),OR(L1608=1,L1608="1"),OR(M1608=1,M1608="1")),"adequate","partial"),IF(AND(H1608="W4",F1608="predictive",OR(J1608="P2",J1608="P3",J1608="P4")),IF(OR(U1608=1,U1608="1"),"adequate","partial"),INDEX(Fit_Matrix!$B:$B,MATCH(P1608,Fit_Matrix!$A:$A,0)))),"CHECK KEY"))</f>
        <v/>
      </c>
      <c r="U1608" s="10" t="n"/>
      <c r="V1608" s="10" t="n"/>
      <c r="W1608" s="10" t="n"/>
      <c r="X1608" s="10" t="n"/>
      <c r="Y1608" s="10" t="n"/>
      <c r="Z1608" s="10" t="n"/>
      <c r="AA1608" s="11">
        <f>IF(A1608="","",IF(AND(J1608="P4",F1608="causal"),"P4-CAUSAL",""))</f>
        <v/>
      </c>
    </row>
    <row r="1609" ht="15" customHeight="1" s="1">
      <c r="P1609">
        <f>IF(OR(F1609="",H1609="",J1609=""),"",J1609&amp;"|"&amp;F1609&amp;"|"&amp;IF(H1609="W3","W3_"&amp;IF(I1609="","unknown",I1609),H1609))</f>
        <v/>
      </c>
      <c r="Q1609">
        <f>IF(P1609="","",IFERROR(IF(AND(H1609="W7",OR(F1609="causal",F1609="predictive")),IF(AND(OR(K1609=1,K1609="1"),OR(L1609=1,L1609="1"),OR(M1609=1,M1609="1")),"adequate","partial"),IF(AND(H1609="W4",F1609="predictive",OR(J1609="P2",J1609="P3",J1609="P4")),IF(OR(U1609=1,U1609="1"),"adequate","partial"),INDEX(Fit_Matrix!$B:$B,MATCH(P1609,Fit_Matrix!$A:$A,0)))),"CHECK KEY"))</f>
        <v/>
      </c>
      <c r="U1609" s="10" t="n"/>
      <c r="V1609" s="10" t="n"/>
      <c r="W1609" s="10" t="n"/>
      <c r="X1609" s="10" t="n"/>
      <c r="Y1609" s="10" t="n"/>
      <c r="Z1609" s="10" t="n"/>
      <c r="AA1609" s="11">
        <f>IF(A1609="","",IF(AND(J1609="P4",F1609="causal"),"P4-CAUSAL",""))</f>
        <v/>
      </c>
    </row>
    <row r="1610" ht="15" customHeight="1" s="1">
      <c r="P1610">
        <f>IF(OR(F1610="",H1610="",J1610=""),"",J1610&amp;"|"&amp;F1610&amp;"|"&amp;IF(H1610="W3","W3_"&amp;IF(I1610="","unknown",I1610),H1610))</f>
        <v/>
      </c>
      <c r="Q1610">
        <f>IF(P1610="","",IFERROR(IF(AND(H1610="W7",OR(F1610="causal",F1610="predictive")),IF(AND(OR(K1610=1,K1610="1"),OR(L1610=1,L1610="1"),OR(M1610=1,M1610="1")),"adequate","partial"),IF(AND(H1610="W4",F1610="predictive",OR(J1610="P2",J1610="P3",J1610="P4")),IF(OR(U1610=1,U1610="1"),"adequate","partial"),INDEX(Fit_Matrix!$B:$B,MATCH(P1610,Fit_Matrix!$A:$A,0)))),"CHECK KEY"))</f>
        <v/>
      </c>
      <c r="U1610" s="10" t="n"/>
      <c r="V1610" s="10" t="n"/>
      <c r="W1610" s="10" t="n"/>
      <c r="X1610" s="10" t="n"/>
      <c r="Y1610" s="10" t="n"/>
      <c r="Z1610" s="10" t="n"/>
      <c r="AA1610" s="11">
        <f>IF(A1610="","",IF(AND(J1610="P4",F1610="causal"),"P4-CAUSAL",""))</f>
        <v/>
      </c>
    </row>
    <row r="1611" ht="15" customHeight="1" s="1">
      <c r="P1611">
        <f>IF(OR(F1611="",H1611="",J1611=""),"",J1611&amp;"|"&amp;F1611&amp;"|"&amp;IF(H1611="W3","W3_"&amp;IF(I1611="","unknown",I1611),H1611))</f>
        <v/>
      </c>
      <c r="Q1611">
        <f>IF(P1611="","",IFERROR(IF(AND(H1611="W7",OR(F1611="causal",F1611="predictive")),IF(AND(OR(K1611=1,K1611="1"),OR(L1611=1,L1611="1"),OR(M1611=1,M1611="1")),"adequate","partial"),IF(AND(H1611="W4",F1611="predictive",OR(J1611="P2",J1611="P3",J1611="P4")),IF(OR(U1611=1,U1611="1"),"adequate","partial"),INDEX(Fit_Matrix!$B:$B,MATCH(P1611,Fit_Matrix!$A:$A,0)))),"CHECK KEY"))</f>
        <v/>
      </c>
      <c r="U1611" s="10" t="n"/>
      <c r="V1611" s="10" t="n"/>
      <c r="W1611" s="10" t="n"/>
      <c r="X1611" s="10" t="n"/>
      <c r="Y1611" s="10" t="n"/>
      <c r="Z1611" s="10" t="n"/>
      <c r="AA1611" s="11">
        <f>IF(A1611="","",IF(AND(J1611="P4",F1611="causal"),"P4-CAUSAL",""))</f>
        <v/>
      </c>
    </row>
    <row r="1612" ht="15" customHeight="1" s="1">
      <c r="P1612">
        <f>IF(OR(F1612="",H1612="",J1612=""),"",J1612&amp;"|"&amp;F1612&amp;"|"&amp;IF(H1612="W3","W3_"&amp;IF(I1612="","unknown",I1612),H1612))</f>
        <v/>
      </c>
      <c r="Q1612">
        <f>IF(P1612="","",IFERROR(IF(AND(H1612="W7",OR(F1612="causal",F1612="predictive")),IF(AND(OR(K1612=1,K1612="1"),OR(L1612=1,L1612="1"),OR(M1612=1,M1612="1")),"adequate","partial"),IF(AND(H1612="W4",F1612="predictive",OR(J1612="P2",J1612="P3",J1612="P4")),IF(OR(U1612=1,U1612="1"),"adequate","partial"),INDEX(Fit_Matrix!$B:$B,MATCH(P1612,Fit_Matrix!$A:$A,0)))),"CHECK KEY"))</f>
        <v/>
      </c>
      <c r="U1612" s="10" t="n"/>
      <c r="V1612" s="10" t="n"/>
      <c r="W1612" s="10" t="n"/>
      <c r="X1612" s="10" t="n"/>
      <c r="Y1612" s="10" t="n"/>
      <c r="Z1612" s="10" t="n"/>
      <c r="AA1612" s="11">
        <f>IF(A1612="","",IF(AND(J1612="P4",F1612="causal"),"P4-CAUSAL",""))</f>
        <v/>
      </c>
    </row>
    <row r="1613" ht="15" customHeight="1" s="1">
      <c r="P1613">
        <f>IF(OR(F1613="",H1613="",J1613=""),"",J1613&amp;"|"&amp;F1613&amp;"|"&amp;IF(H1613="W3","W3_"&amp;IF(I1613="","unknown",I1613),H1613))</f>
        <v/>
      </c>
      <c r="Q1613">
        <f>IF(P1613="","",IFERROR(IF(AND(H1613="W7",OR(F1613="causal",F1613="predictive")),IF(AND(OR(K1613=1,K1613="1"),OR(L1613=1,L1613="1"),OR(M1613=1,M1613="1")),"adequate","partial"),IF(AND(H1613="W4",F1613="predictive",OR(J1613="P2",J1613="P3",J1613="P4")),IF(OR(U1613=1,U1613="1"),"adequate","partial"),INDEX(Fit_Matrix!$B:$B,MATCH(P1613,Fit_Matrix!$A:$A,0)))),"CHECK KEY"))</f>
        <v/>
      </c>
      <c r="U1613" s="10" t="n"/>
      <c r="V1613" s="10" t="n"/>
      <c r="W1613" s="10" t="n"/>
      <c r="X1613" s="10" t="n"/>
      <c r="Y1613" s="10" t="n"/>
      <c r="Z1613" s="10" t="n"/>
      <c r="AA1613" s="11">
        <f>IF(A1613="","",IF(AND(J1613="P4",F1613="causal"),"P4-CAUSAL",""))</f>
        <v/>
      </c>
    </row>
    <row r="1614" ht="15" customHeight="1" s="1">
      <c r="P1614">
        <f>IF(OR(F1614="",H1614="",J1614=""),"",J1614&amp;"|"&amp;F1614&amp;"|"&amp;IF(H1614="W3","W3_"&amp;IF(I1614="","unknown",I1614),H1614))</f>
        <v/>
      </c>
      <c r="Q1614">
        <f>IF(P1614="","",IFERROR(IF(AND(H1614="W7",OR(F1614="causal",F1614="predictive")),IF(AND(OR(K1614=1,K1614="1"),OR(L1614=1,L1614="1"),OR(M1614=1,M1614="1")),"adequate","partial"),IF(AND(H1614="W4",F1614="predictive",OR(J1614="P2",J1614="P3",J1614="P4")),IF(OR(U1614=1,U1614="1"),"adequate","partial"),INDEX(Fit_Matrix!$B:$B,MATCH(P1614,Fit_Matrix!$A:$A,0)))),"CHECK KEY"))</f>
        <v/>
      </c>
      <c r="U1614" s="10" t="n"/>
      <c r="V1614" s="10" t="n"/>
      <c r="W1614" s="10" t="n"/>
      <c r="X1614" s="10" t="n"/>
      <c r="Y1614" s="10" t="n"/>
      <c r="Z1614" s="10" t="n"/>
      <c r="AA1614" s="11">
        <f>IF(A1614="","",IF(AND(J1614="P4",F1614="causal"),"P4-CAUSAL",""))</f>
        <v/>
      </c>
    </row>
    <row r="1615" ht="15" customHeight="1" s="1">
      <c r="P1615">
        <f>IF(OR(F1615="",H1615="",J1615=""),"",J1615&amp;"|"&amp;F1615&amp;"|"&amp;IF(H1615="W3","W3_"&amp;IF(I1615="","unknown",I1615),H1615))</f>
        <v/>
      </c>
      <c r="Q1615">
        <f>IF(P1615="","",IFERROR(IF(AND(H1615="W7",OR(F1615="causal",F1615="predictive")),IF(AND(OR(K1615=1,K1615="1"),OR(L1615=1,L1615="1"),OR(M1615=1,M1615="1")),"adequate","partial"),IF(AND(H1615="W4",F1615="predictive",OR(J1615="P2",J1615="P3",J1615="P4")),IF(OR(U1615=1,U1615="1"),"adequate","partial"),INDEX(Fit_Matrix!$B:$B,MATCH(P1615,Fit_Matrix!$A:$A,0)))),"CHECK KEY"))</f>
        <v/>
      </c>
      <c r="U1615" s="10" t="n"/>
      <c r="V1615" s="10" t="n"/>
      <c r="W1615" s="10" t="n"/>
      <c r="X1615" s="10" t="n"/>
      <c r="Y1615" s="10" t="n"/>
      <c r="Z1615" s="10" t="n"/>
      <c r="AA1615" s="11">
        <f>IF(A1615="","",IF(AND(J1615="P4",F1615="causal"),"P4-CAUSAL",""))</f>
        <v/>
      </c>
    </row>
    <row r="1616" ht="15" customHeight="1" s="1">
      <c r="P1616">
        <f>IF(OR(F1616="",H1616="",J1616=""),"",J1616&amp;"|"&amp;F1616&amp;"|"&amp;IF(H1616="W3","W3_"&amp;IF(I1616="","unknown",I1616),H1616))</f>
        <v/>
      </c>
      <c r="Q1616">
        <f>IF(P1616="","",IFERROR(IF(AND(H1616="W7",OR(F1616="causal",F1616="predictive")),IF(AND(OR(K1616=1,K1616="1"),OR(L1616=1,L1616="1"),OR(M1616=1,M1616="1")),"adequate","partial"),IF(AND(H1616="W4",F1616="predictive",OR(J1616="P2",J1616="P3",J1616="P4")),IF(OR(U1616=1,U1616="1"),"adequate","partial"),INDEX(Fit_Matrix!$B:$B,MATCH(P1616,Fit_Matrix!$A:$A,0)))),"CHECK KEY"))</f>
        <v/>
      </c>
      <c r="U1616" s="10" t="n"/>
      <c r="V1616" s="10" t="n"/>
      <c r="W1616" s="10" t="n"/>
      <c r="X1616" s="10" t="n"/>
      <c r="Y1616" s="10" t="n"/>
      <c r="Z1616" s="10" t="n"/>
      <c r="AA1616" s="11">
        <f>IF(A1616="","",IF(AND(J1616="P4",F1616="causal"),"P4-CAUSAL",""))</f>
        <v/>
      </c>
    </row>
    <row r="1617" ht="15" customHeight="1" s="1">
      <c r="P1617">
        <f>IF(OR(F1617="",H1617="",J1617=""),"",J1617&amp;"|"&amp;F1617&amp;"|"&amp;IF(H1617="W3","W3_"&amp;IF(I1617="","unknown",I1617),H1617))</f>
        <v/>
      </c>
      <c r="Q1617">
        <f>IF(P1617="","",IFERROR(IF(AND(H1617="W7",OR(F1617="causal",F1617="predictive")),IF(AND(OR(K1617=1,K1617="1"),OR(L1617=1,L1617="1"),OR(M1617=1,M1617="1")),"adequate","partial"),IF(AND(H1617="W4",F1617="predictive",OR(J1617="P2",J1617="P3",J1617="P4")),IF(OR(U1617=1,U1617="1"),"adequate","partial"),INDEX(Fit_Matrix!$B:$B,MATCH(P1617,Fit_Matrix!$A:$A,0)))),"CHECK KEY"))</f>
        <v/>
      </c>
      <c r="U1617" s="10" t="n"/>
      <c r="V1617" s="10" t="n"/>
      <c r="W1617" s="10" t="n"/>
      <c r="X1617" s="10" t="n"/>
      <c r="Y1617" s="10" t="n"/>
      <c r="Z1617" s="10" t="n"/>
      <c r="AA1617" s="11">
        <f>IF(A1617="","",IF(AND(J1617="P4",F1617="causal"),"P4-CAUSAL",""))</f>
        <v/>
      </c>
    </row>
    <row r="1618" ht="15" customHeight="1" s="1">
      <c r="P1618">
        <f>IF(OR(F1618="",H1618="",J1618=""),"",J1618&amp;"|"&amp;F1618&amp;"|"&amp;IF(H1618="W3","W3_"&amp;IF(I1618="","unknown",I1618),H1618))</f>
        <v/>
      </c>
      <c r="Q1618">
        <f>IF(P1618="","",IFERROR(IF(AND(H1618="W7",OR(F1618="causal",F1618="predictive")),IF(AND(OR(K1618=1,K1618="1"),OR(L1618=1,L1618="1"),OR(M1618=1,M1618="1")),"adequate","partial"),IF(AND(H1618="W4",F1618="predictive",OR(J1618="P2",J1618="P3",J1618="P4")),IF(OR(U1618=1,U1618="1"),"adequate","partial"),INDEX(Fit_Matrix!$B:$B,MATCH(P1618,Fit_Matrix!$A:$A,0)))),"CHECK KEY"))</f>
        <v/>
      </c>
      <c r="U1618" s="10" t="n"/>
      <c r="V1618" s="10" t="n"/>
      <c r="W1618" s="10" t="n"/>
      <c r="X1618" s="10" t="n"/>
      <c r="Y1618" s="10" t="n"/>
      <c r="Z1618" s="10" t="n"/>
      <c r="AA1618" s="11">
        <f>IF(A1618="","",IF(AND(J1618="P4",F1618="causal"),"P4-CAUSAL",""))</f>
        <v/>
      </c>
    </row>
    <row r="1619" ht="15" customHeight="1" s="1">
      <c r="P1619">
        <f>IF(OR(F1619="",H1619="",J1619=""),"",J1619&amp;"|"&amp;F1619&amp;"|"&amp;IF(H1619="W3","W3_"&amp;IF(I1619="","unknown",I1619),H1619))</f>
        <v/>
      </c>
      <c r="Q1619">
        <f>IF(P1619="","",IFERROR(IF(AND(H1619="W7",OR(F1619="causal",F1619="predictive")),IF(AND(OR(K1619=1,K1619="1"),OR(L1619=1,L1619="1"),OR(M1619=1,M1619="1")),"adequate","partial"),IF(AND(H1619="W4",F1619="predictive",OR(J1619="P2",J1619="P3",J1619="P4")),IF(OR(U1619=1,U1619="1"),"adequate","partial"),INDEX(Fit_Matrix!$B:$B,MATCH(P1619,Fit_Matrix!$A:$A,0)))),"CHECK KEY"))</f>
        <v/>
      </c>
      <c r="U1619" s="10" t="n"/>
      <c r="V1619" s="10" t="n"/>
      <c r="W1619" s="10" t="n"/>
      <c r="X1619" s="10" t="n"/>
      <c r="Y1619" s="10" t="n"/>
      <c r="Z1619" s="10" t="n"/>
      <c r="AA1619" s="11">
        <f>IF(A1619="","",IF(AND(J1619="P4",F1619="causal"),"P4-CAUSAL",""))</f>
        <v/>
      </c>
    </row>
    <row r="1620" ht="15" customHeight="1" s="1">
      <c r="P1620">
        <f>IF(OR(F1620="",H1620="",J1620=""),"",J1620&amp;"|"&amp;F1620&amp;"|"&amp;IF(H1620="W3","W3_"&amp;IF(I1620="","unknown",I1620),H1620))</f>
        <v/>
      </c>
      <c r="Q1620">
        <f>IF(P1620="","",IFERROR(IF(AND(H1620="W7",OR(F1620="causal",F1620="predictive")),IF(AND(OR(K1620=1,K1620="1"),OR(L1620=1,L1620="1"),OR(M1620=1,M1620="1")),"adequate","partial"),IF(AND(H1620="W4",F1620="predictive",OR(J1620="P2",J1620="P3",J1620="P4")),IF(OR(U1620=1,U1620="1"),"adequate","partial"),INDEX(Fit_Matrix!$B:$B,MATCH(P1620,Fit_Matrix!$A:$A,0)))),"CHECK KEY"))</f>
        <v/>
      </c>
      <c r="U1620" s="10" t="n"/>
      <c r="V1620" s="10" t="n"/>
      <c r="W1620" s="10" t="n"/>
      <c r="X1620" s="10" t="n"/>
      <c r="Y1620" s="10" t="n"/>
      <c r="Z1620" s="10" t="n"/>
      <c r="AA1620" s="11">
        <f>IF(A1620="","",IF(AND(J1620="P4",F1620="causal"),"P4-CAUSAL",""))</f>
        <v/>
      </c>
    </row>
    <row r="1621" ht="15" customHeight="1" s="1">
      <c r="P1621">
        <f>IF(OR(F1621="",H1621="",J1621=""),"",J1621&amp;"|"&amp;F1621&amp;"|"&amp;IF(H1621="W3","W3_"&amp;IF(I1621="","unknown",I1621),H1621))</f>
        <v/>
      </c>
      <c r="Q1621">
        <f>IF(P1621="","",IFERROR(IF(AND(H1621="W7",OR(F1621="causal",F1621="predictive")),IF(AND(OR(K1621=1,K1621="1"),OR(L1621=1,L1621="1"),OR(M1621=1,M1621="1")),"adequate","partial"),IF(AND(H1621="W4",F1621="predictive",OR(J1621="P2",J1621="P3",J1621="P4")),IF(OR(U1621=1,U1621="1"),"adequate","partial"),INDEX(Fit_Matrix!$B:$B,MATCH(P1621,Fit_Matrix!$A:$A,0)))),"CHECK KEY"))</f>
        <v/>
      </c>
      <c r="U1621" s="10" t="n"/>
      <c r="V1621" s="10" t="n"/>
      <c r="W1621" s="10" t="n"/>
      <c r="X1621" s="10" t="n"/>
      <c r="Y1621" s="10" t="n"/>
      <c r="Z1621" s="10" t="n"/>
      <c r="AA1621" s="11">
        <f>IF(A1621="","",IF(AND(J1621="P4",F1621="causal"),"P4-CAUSAL",""))</f>
        <v/>
      </c>
    </row>
    <row r="1622" ht="15" customHeight="1" s="1">
      <c r="P1622">
        <f>IF(OR(F1622="",H1622="",J1622=""),"",J1622&amp;"|"&amp;F1622&amp;"|"&amp;IF(H1622="W3","W3_"&amp;IF(I1622="","unknown",I1622),H1622))</f>
        <v/>
      </c>
      <c r="Q1622">
        <f>IF(P1622="","",IFERROR(IF(AND(H1622="W7",OR(F1622="causal",F1622="predictive")),IF(AND(OR(K1622=1,K1622="1"),OR(L1622=1,L1622="1"),OR(M1622=1,M1622="1")),"adequate","partial"),IF(AND(H1622="W4",F1622="predictive",OR(J1622="P2",J1622="P3",J1622="P4")),IF(OR(U1622=1,U1622="1"),"adequate","partial"),INDEX(Fit_Matrix!$B:$B,MATCH(P1622,Fit_Matrix!$A:$A,0)))),"CHECK KEY"))</f>
        <v/>
      </c>
      <c r="U1622" s="10" t="n"/>
      <c r="V1622" s="10" t="n"/>
      <c r="W1622" s="10" t="n"/>
      <c r="X1622" s="10" t="n"/>
      <c r="Y1622" s="10" t="n"/>
      <c r="Z1622" s="10" t="n"/>
      <c r="AA1622" s="11">
        <f>IF(A1622="","",IF(AND(J1622="P4",F1622="causal"),"P4-CAUSAL",""))</f>
        <v/>
      </c>
    </row>
    <row r="1623" ht="15" customHeight="1" s="1">
      <c r="P1623">
        <f>IF(OR(F1623="",H1623="",J1623=""),"",J1623&amp;"|"&amp;F1623&amp;"|"&amp;IF(H1623="W3","W3_"&amp;IF(I1623="","unknown",I1623),H1623))</f>
        <v/>
      </c>
      <c r="Q1623">
        <f>IF(P1623="","",IFERROR(IF(AND(H1623="W7",OR(F1623="causal",F1623="predictive")),IF(AND(OR(K1623=1,K1623="1"),OR(L1623=1,L1623="1"),OR(M1623=1,M1623="1")),"adequate","partial"),IF(AND(H1623="W4",F1623="predictive",OR(J1623="P2",J1623="P3",J1623="P4")),IF(OR(U1623=1,U1623="1"),"adequate","partial"),INDEX(Fit_Matrix!$B:$B,MATCH(P1623,Fit_Matrix!$A:$A,0)))),"CHECK KEY"))</f>
        <v/>
      </c>
      <c r="U1623" s="10" t="n"/>
      <c r="V1623" s="10" t="n"/>
      <c r="W1623" s="10" t="n"/>
      <c r="X1623" s="10" t="n"/>
      <c r="Y1623" s="10" t="n"/>
      <c r="Z1623" s="10" t="n"/>
      <c r="AA1623" s="11">
        <f>IF(A1623="","",IF(AND(J1623="P4",F1623="causal"),"P4-CAUSAL",""))</f>
        <v/>
      </c>
    </row>
    <row r="1624" ht="15" customHeight="1" s="1">
      <c r="P1624">
        <f>IF(OR(F1624="",H1624="",J1624=""),"",J1624&amp;"|"&amp;F1624&amp;"|"&amp;IF(H1624="W3","W3_"&amp;IF(I1624="","unknown",I1624),H1624))</f>
        <v/>
      </c>
      <c r="Q1624">
        <f>IF(P1624="","",IFERROR(IF(AND(H1624="W7",OR(F1624="causal",F1624="predictive")),IF(AND(OR(K1624=1,K1624="1"),OR(L1624=1,L1624="1"),OR(M1624=1,M1624="1")),"adequate","partial"),IF(AND(H1624="W4",F1624="predictive",OR(J1624="P2",J1624="P3",J1624="P4")),IF(OR(U1624=1,U1624="1"),"adequate","partial"),INDEX(Fit_Matrix!$B:$B,MATCH(P1624,Fit_Matrix!$A:$A,0)))),"CHECK KEY"))</f>
        <v/>
      </c>
      <c r="U1624" s="10" t="n"/>
      <c r="V1624" s="10" t="n"/>
      <c r="W1624" s="10" t="n"/>
      <c r="X1624" s="10" t="n"/>
      <c r="Y1624" s="10" t="n"/>
      <c r="Z1624" s="10" t="n"/>
      <c r="AA1624" s="11">
        <f>IF(A1624="","",IF(AND(J1624="P4",F1624="causal"),"P4-CAUSAL",""))</f>
        <v/>
      </c>
    </row>
    <row r="1625" ht="15" customHeight="1" s="1">
      <c r="P1625">
        <f>IF(OR(F1625="",H1625="",J1625=""),"",J1625&amp;"|"&amp;F1625&amp;"|"&amp;IF(H1625="W3","W3_"&amp;IF(I1625="","unknown",I1625),H1625))</f>
        <v/>
      </c>
      <c r="Q1625">
        <f>IF(P1625="","",IFERROR(IF(AND(H1625="W7",OR(F1625="causal",F1625="predictive")),IF(AND(OR(K1625=1,K1625="1"),OR(L1625=1,L1625="1"),OR(M1625=1,M1625="1")),"adequate","partial"),IF(AND(H1625="W4",F1625="predictive",OR(J1625="P2",J1625="P3",J1625="P4")),IF(OR(U1625=1,U1625="1"),"adequate","partial"),INDEX(Fit_Matrix!$B:$B,MATCH(P1625,Fit_Matrix!$A:$A,0)))),"CHECK KEY"))</f>
        <v/>
      </c>
      <c r="U1625" s="10" t="n"/>
      <c r="V1625" s="10" t="n"/>
      <c r="W1625" s="10" t="n"/>
      <c r="X1625" s="10" t="n"/>
      <c r="Y1625" s="10" t="n"/>
      <c r="Z1625" s="10" t="n"/>
      <c r="AA1625" s="11">
        <f>IF(A1625="","",IF(AND(J1625="P4",F1625="causal"),"P4-CAUSAL",""))</f>
        <v/>
      </c>
    </row>
    <row r="1626" ht="15" customHeight="1" s="1">
      <c r="P1626">
        <f>IF(OR(F1626="",H1626="",J1626=""),"",J1626&amp;"|"&amp;F1626&amp;"|"&amp;IF(H1626="W3","W3_"&amp;IF(I1626="","unknown",I1626),H1626))</f>
        <v/>
      </c>
      <c r="Q1626">
        <f>IF(P1626="","",IFERROR(IF(AND(H1626="W7",OR(F1626="causal",F1626="predictive")),IF(AND(OR(K1626=1,K1626="1"),OR(L1626=1,L1626="1"),OR(M1626=1,M1626="1")),"adequate","partial"),IF(AND(H1626="W4",F1626="predictive",OR(J1626="P2",J1626="P3",J1626="P4")),IF(OR(U1626=1,U1626="1"),"adequate","partial"),INDEX(Fit_Matrix!$B:$B,MATCH(P1626,Fit_Matrix!$A:$A,0)))),"CHECK KEY"))</f>
        <v/>
      </c>
      <c r="U1626" s="10" t="n"/>
      <c r="V1626" s="10" t="n"/>
      <c r="W1626" s="10" t="n"/>
      <c r="X1626" s="10" t="n"/>
      <c r="Y1626" s="10" t="n"/>
      <c r="Z1626" s="10" t="n"/>
      <c r="AA1626" s="11">
        <f>IF(A1626="","",IF(AND(J1626="P4",F1626="causal"),"P4-CAUSAL",""))</f>
        <v/>
      </c>
    </row>
    <row r="1627" ht="15" customHeight="1" s="1">
      <c r="P1627">
        <f>IF(OR(F1627="",H1627="",J1627=""),"",J1627&amp;"|"&amp;F1627&amp;"|"&amp;IF(H1627="W3","W3_"&amp;IF(I1627="","unknown",I1627),H1627))</f>
        <v/>
      </c>
      <c r="Q1627">
        <f>IF(P1627="","",IFERROR(IF(AND(H1627="W7",OR(F1627="causal",F1627="predictive")),IF(AND(OR(K1627=1,K1627="1"),OR(L1627=1,L1627="1"),OR(M1627=1,M1627="1")),"adequate","partial"),IF(AND(H1627="W4",F1627="predictive",OR(J1627="P2",J1627="P3",J1627="P4")),IF(OR(U1627=1,U1627="1"),"adequate","partial"),INDEX(Fit_Matrix!$B:$B,MATCH(P1627,Fit_Matrix!$A:$A,0)))),"CHECK KEY"))</f>
        <v/>
      </c>
      <c r="U1627" s="10" t="n"/>
      <c r="V1627" s="10" t="n"/>
      <c r="W1627" s="10" t="n"/>
      <c r="X1627" s="10" t="n"/>
      <c r="Y1627" s="10" t="n"/>
      <c r="Z1627" s="10" t="n"/>
      <c r="AA1627" s="11">
        <f>IF(A1627="","",IF(AND(J1627="P4",F1627="causal"),"P4-CAUSAL",""))</f>
        <v/>
      </c>
    </row>
    <row r="1628" ht="15" customHeight="1" s="1">
      <c r="P1628">
        <f>IF(OR(F1628="",H1628="",J1628=""),"",J1628&amp;"|"&amp;F1628&amp;"|"&amp;IF(H1628="W3","W3_"&amp;IF(I1628="","unknown",I1628),H1628))</f>
        <v/>
      </c>
      <c r="Q1628">
        <f>IF(P1628="","",IFERROR(IF(AND(H1628="W7",OR(F1628="causal",F1628="predictive")),IF(AND(OR(K1628=1,K1628="1"),OR(L1628=1,L1628="1"),OR(M1628=1,M1628="1")),"adequate","partial"),IF(AND(H1628="W4",F1628="predictive",OR(J1628="P2",J1628="P3",J1628="P4")),IF(OR(U1628=1,U1628="1"),"adequate","partial"),INDEX(Fit_Matrix!$B:$B,MATCH(P1628,Fit_Matrix!$A:$A,0)))),"CHECK KEY"))</f>
        <v/>
      </c>
      <c r="U1628" s="10" t="n"/>
      <c r="V1628" s="10" t="n"/>
      <c r="W1628" s="10" t="n"/>
      <c r="X1628" s="10" t="n"/>
      <c r="Y1628" s="10" t="n"/>
      <c r="Z1628" s="10" t="n"/>
      <c r="AA1628" s="11">
        <f>IF(A1628="","",IF(AND(J1628="P4",F1628="causal"),"P4-CAUSAL",""))</f>
        <v/>
      </c>
    </row>
    <row r="1629" ht="15" customHeight="1" s="1">
      <c r="P1629">
        <f>IF(OR(F1629="",H1629="",J1629=""),"",J1629&amp;"|"&amp;F1629&amp;"|"&amp;IF(H1629="W3","W3_"&amp;IF(I1629="","unknown",I1629),H1629))</f>
        <v/>
      </c>
      <c r="Q1629">
        <f>IF(P1629="","",IFERROR(IF(AND(H1629="W7",OR(F1629="causal",F1629="predictive")),IF(AND(OR(K1629=1,K1629="1"),OR(L1629=1,L1629="1"),OR(M1629=1,M1629="1")),"adequate","partial"),IF(AND(H1629="W4",F1629="predictive",OR(J1629="P2",J1629="P3",J1629="P4")),IF(OR(U1629=1,U1629="1"),"adequate","partial"),INDEX(Fit_Matrix!$B:$B,MATCH(P1629,Fit_Matrix!$A:$A,0)))),"CHECK KEY"))</f>
        <v/>
      </c>
      <c r="U1629" s="10" t="n"/>
      <c r="V1629" s="10" t="n"/>
      <c r="W1629" s="10" t="n"/>
      <c r="X1629" s="10" t="n"/>
      <c r="Y1629" s="10" t="n"/>
      <c r="Z1629" s="10" t="n"/>
      <c r="AA1629" s="11">
        <f>IF(A1629="","",IF(AND(J1629="P4",F1629="causal"),"P4-CAUSAL",""))</f>
        <v/>
      </c>
    </row>
    <row r="1630" ht="15" customHeight="1" s="1">
      <c r="P1630">
        <f>IF(OR(F1630="",H1630="",J1630=""),"",J1630&amp;"|"&amp;F1630&amp;"|"&amp;IF(H1630="W3","W3_"&amp;IF(I1630="","unknown",I1630),H1630))</f>
        <v/>
      </c>
      <c r="Q1630">
        <f>IF(P1630="","",IFERROR(IF(AND(H1630="W7",OR(F1630="causal",F1630="predictive")),IF(AND(OR(K1630=1,K1630="1"),OR(L1630=1,L1630="1"),OR(M1630=1,M1630="1")),"adequate","partial"),IF(AND(H1630="W4",F1630="predictive",OR(J1630="P2",J1630="P3",J1630="P4")),IF(OR(U1630=1,U1630="1"),"adequate","partial"),INDEX(Fit_Matrix!$B:$B,MATCH(P1630,Fit_Matrix!$A:$A,0)))),"CHECK KEY"))</f>
        <v/>
      </c>
      <c r="U1630" s="10" t="n"/>
      <c r="V1630" s="10" t="n"/>
      <c r="W1630" s="10" t="n"/>
      <c r="X1630" s="10" t="n"/>
      <c r="Y1630" s="10" t="n"/>
      <c r="Z1630" s="10" t="n"/>
      <c r="AA1630" s="11">
        <f>IF(A1630="","",IF(AND(J1630="P4",F1630="causal"),"P4-CAUSAL",""))</f>
        <v/>
      </c>
    </row>
    <row r="1631" ht="15" customHeight="1" s="1">
      <c r="P1631">
        <f>IF(OR(F1631="",H1631="",J1631=""),"",J1631&amp;"|"&amp;F1631&amp;"|"&amp;IF(H1631="W3","W3_"&amp;IF(I1631="","unknown",I1631),H1631))</f>
        <v/>
      </c>
      <c r="Q1631">
        <f>IF(P1631="","",IFERROR(IF(AND(H1631="W7",OR(F1631="causal",F1631="predictive")),IF(AND(OR(K1631=1,K1631="1"),OR(L1631=1,L1631="1"),OR(M1631=1,M1631="1")),"adequate","partial"),IF(AND(H1631="W4",F1631="predictive",OR(J1631="P2",J1631="P3",J1631="P4")),IF(OR(U1631=1,U1631="1"),"adequate","partial"),INDEX(Fit_Matrix!$B:$B,MATCH(P1631,Fit_Matrix!$A:$A,0)))),"CHECK KEY"))</f>
        <v/>
      </c>
      <c r="U1631" s="10" t="n"/>
      <c r="V1631" s="10" t="n"/>
      <c r="W1631" s="10" t="n"/>
      <c r="X1631" s="10" t="n"/>
      <c r="Y1631" s="10" t="n"/>
      <c r="Z1631" s="10" t="n"/>
      <c r="AA1631" s="11">
        <f>IF(A1631="","",IF(AND(J1631="P4",F1631="causal"),"P4-CAUSAL",""))</f>
        <v/>
      </c>
    </row>
    <row r="1632" ht="15" customHeight="1" s="1">
      <c r="P1632">
        <f>IF(OR(F1632="",H1632="",J1632=""),"",J1632&amp;"|"&amp;F1632&amp;"|"&amp;IF(H1632="W3","W3_"&amp;IF(I1632="","unknown",I1632),H1632))</f>
        <v/>
      </c>
      <c r="Q1632">
        <f>IF(P1632="","",IFERROR(IF(AND(H1632="W7",OR(F1632="causal",F1632="predictive")),IF(AND(OR(K1632=1,K1632="1"),OR(L1632=1,L1632="1"),OR(M1632=1,M1632="1")),"adequate","partial"),IF(AND(H1632="W4",F1632="predictive",OR(J1632="P2",J1632="P3",J1632="P4")),IF(OR(U1632=1,U1632="1"),"adequate","partial"),INDEX(Fit_Matrix!$B:$B,MATCH(P1632,Fit_Matrix!$A:$A,0)))),"CHECK KEY"))</f>
        <v/>
      </c>
      <c r="U1632" s="10" t="n"/>
      <c r="V1632" s="10" t="n"/>
      <c r="W1632" s="10" t="n"/>
      <c r="X1632" s="10" t="n"/>
      <c r="Y1632" s="10" t="n"/>
      <c r="Z1632" s="10" t="n"/>
      <c r="AA1632" s="11">
        <f>IF(A1632="","",IF(AND(J1632="P4",F1632="causal"),"P4-CAUSAL",""))</f>
        <v/>
      </c>
    </row>
    <row r="1633" ht="15" customHeight="1" s="1">
      <c r="P1633">
        <f>IF(OR(F1633="",H1633="",J1633=""),"",J1633&amp;"|"&amp;F1633&amp;"|"&amp;IF(H1633="W3","W3_"&amp;IF(I1633="","unknown",I1633),H1633))</f>
        <v/>
      </c>
      <c r="Q1633">
        <f>IF(P1633="","",IFERROR(IF(AND(H1633="W7",OR(F1633="causal",F1633="predictive")),IF(AND(OR(K1633=1,K1633="1"),OR(L1633=1,L1633="1"),OR(M1633=1,M1633="1")),"adequate","partial"),IF(AND(H1633="W4",F1633="predictive",OR(J1633="P2",J1633="P3",J1633="P4")),IF(OR(U1633=1,U1633="1"),"adequate","partial"),INDEX(Fit_Matrix!$B:$B,MATCH(P1633,Fit_Matrix!$A:$A,0)))),"CHECK KEY"))</f>
        <v/>
      </c>
      <c r="U1633" s="10" t="n"/>
      <c r="V1633" s="10" t="n"/>
      <c r="W1633" s="10" t="n"/>
      <c r="X1633" s="10" t="n"/>
      <c r="Y1633" s="10" t="n"/>
      <c r="Z1633" s="10" t="n"/>
      <c r="AA1633" s="11">
        <f>IF(A1633="","",IF(AND(J1633="P4",F1633="causal"),"P4-CAUSAL",""))</f>
        <v/>
      </c>
    </row>
    <row r="1634" ht="15" customHeight="1" s="1">
      <c r="P1634">
        <f>IF(OR(F1634="",H1634="",J1634=""),"",J1634&amp;"|"&amp;F1634&amp;"|"&amp;IF(H1634="W3","W3_"&amp;IF(I1634="","unknown",I1634),H1634))</f>
        <v/>
      </c>
      <c r="Q1634">
        <f>IF(P1634="","",IFERROR(IF(AND(H1634="W7",OR(F1634="causal",F1634="predictive")),IF(AND(OR(K1634=1,K1634="1"),OR(L1634=1,L1634="1"),OR(M1634=1,M1634="1")),"adequate","partial"),IF(AND(H1634="W4",F1634="predictive",OR(J1634="P2",J1634="P3",J1634="P4")),IF(OR(U1634=1,U1634="1"),"adequate","partial"),INDEX(Fit_Matrix!$B:$B,MATCH(P1634,Fit_Matrix!$A:$A,0)))),"CHECK KEY"))</f>
        <v/>
      </c>
      <c r="U1634" s="10" t="n"/>
      <c r="V1634" s="10" t="n"/>
      <c r="W1634" s="10" t="n"/>
      <c r="X1634" s="10" t="n"/>
      <c r="Y1634" s="10" t="n"/>
      <c r="Z1634" s="10" t="n"/>
      <c r="AA1634" s="11">
        <f>IF(A1634="","",IF(AND(J1634="P4",F1634="causal"),"P4-CAUSAL",""))</f>
        <v/>
      </c>
    </row>
    <row r="1635" ht="15" customHeight="1" s="1">
      <c r="P1635">
        <f>IF(OR(F1635="",H1635="",J1635=""),"",J1635&amp;"|"&amp;F1635&amp;"|"&amp;IF(H1635="W3","W3_"&amp;IF(I1635="","unknown",I1635),H1635))</f>
        <v/>
      </c>
      <c r="Q1635">
        <f>IF(P1635="","",IFERROR(IF(AND(H1635="W7",OR(F1635="causal",F1635="predictive")),IF(AND(OR(K1635=1,K1635="1"),OR(L1635=1,L1635="1"),OR(M1635=1,M1635="1")),"adequate","partial"),IF(AND(H1635="W4",F1635="predictive",OR(J1635="P2",J1635="P3",J1635="P4")),IF(OR(U1635=1,U1635="1"),"adequate","partial"),INDEX(Fit_Matrix!$B:$B,MATCH(P1635,Fit_Matrix!$A:$A,0)))),"CHECK KEY"))</f>
        <v/>
      </c>
      <c r="U1635" s="10" t="n"/>
      <c r="V1635" s="10" t="n"/>
      <c r="W1635" s="10" t="n"/>
      <c r="X1635" s="10" t="n"/>
      <c r="Y1635" s="10" t="n"/>
      <c r="Z1635" s="10" t="n"/>
      <c r="AA1635" s="11">
        <f>IF(A1635="","",IF(AND(J1635="P4",F1635="causal"),"P4-CAUSAL",""))</f>
        <v/>
      </c>
    </row>
    <row r="1636" ht="15" customHeight="1" s="1">
      <c r="P1636">
        <f>IF(OR(F1636="",H1636="",J1636=""),"",J1636&amp;"|"&amp;F1636&amp;"|"&amp;IF(H1636="W3","W3_"&amp;IF(I1636="","unknown",I1636),H1636))</f>
        <v/>
      </c>
      <c r="Q1636">
        <f>IF(P1636="","",IFERROR(IF(AND(H1636="W7",OR(F1636="causal",F1636="predictive")),IF(AND(OR(K1636=1,K1636="1"),OR(L1636=1,L1636="1"),OR(M1636=1,M1636="1")),"adequate","partial"),IF(AND(H1636="W4",F1636="predictive",OR(J1636="P2",J1636="P3",J1636="P4")),IF(OR(U1636=1,U1636="1"),"adequate","partial"),INDEX(Fit_Matrix!$B:$B,MATCH(P1636,Fit_Matrix!$A:$A,0)))),"CHECK KEY"))</f>
        <v/>
      </c>
      <c r="U1636" s="10" t="n"/>
      <c r="V1636" s="10" t="n"/>
      <c r="W1636" s="10" t="n"/>
      <c r="X1636" s="10" t="n"/>
      <c r="Y1636" s="10" t="n"/>
      <c r="Z1636" s="10" t="n"/>
      <c r="AA1636" s="11">
        <f>IF(A1636="","",IF(AND(J1636="P4",F1636="causal"),"P4-CAUSAL",""))</f>
        <v/>
      </c>
    </row>
    <row r="1637" ht="15" customHeight="1" s="1">
      <c r="P1637">
        <f>IF(OR(F1637="",H1637="",J1637=""),"",J1637&amp;"|"&amp;F1637&amp;"|"&amp;IF(H1637="W3","W3_"&amp;IF(I1637="","unknown",I1637),H1637))</f>
        <v/>
      </c>
      <c r="Q1637">
        <f>IF(P1637="","",IFERROR(IF(AND(H1637="W7",OR(F1637="causal",F1637="predictive")),IF(AND(OR(K1637=1,K1637="1"),OR(L1637=1,L1637="1"),OR(M1637=1,M1637="1")),"adequate","partial"),IF(AND(H1637="W4",F1637="predictive",OR(J1637="P2",J1637="P3",J1637="P4")),IF(OR(U1637=1,U1637="1"),"adequate","partial"),INDEX(Fit_Matrix!$B:$B,MATCH(P1637,Fit_Matrix!$A:$A,0)))),"CHECK KEY"))</f>
        <v/>
      </c>
      <c r="U1637" s="10" t="n"/>
      <c r="V1637" s="10" t="n"/>
      <c r="W1637" s="10" t="n"/>
      <c r="X1637" s="10" t="n"/>
      <c r="Y1637" s="10" t="n"/>
      <c r="Z1637" s="10" t="n"/>
      <c r="AA1637" s="11">
        <f>IF(A1637="","",IF(AND(J1637="P4",F1637="causal"),"P4-CAUSAL",""))</f>
        <v/>
      </c>
    </row>
    <row r="1638" ht="15" customHeight="1" s="1">
      <c r="P1638">
        <f>IF(OR(F1638="",H1638="",J1638=""),"",J1638&amp;"|"&amp;F1638&amp;"|"&amp;IF(H1638="W3","W3_"&amp;IF(I1638="","unknown",I1638),H1638))</f>
        <v/>
      </c>
      <c r="Q1638">
        <f>IF(P1638="","",IFERROR(IF(AND(H1638="W7",OR(F1638="causal",F1638="predictive")),IF(AND(OR(K1638=1,K1638="1"),OR(L1638=1,L1638="1"),OR(M1638=1,M1638="1")),"adequate","partial"),IF(AND(H1638="W4",F1638="predictive",OR(J1638="P2",J1638="P3",J1638="P4")),IF(OR(U1638=1,U1638="1"),"adequate","partial"),INDEX(Fit_Matrix!$B:$B,MATCH(P1638,Fit_Matrix!$A:$A,0)))),"CHECK KEY"))</f>
        <v/>
      </c>
      <c r="U1638" s="10" t="n"/>
      <c r="V1638" s="10" t="n"/>
      <c r="W1638" s="10" t="n"/>
      <c r="X1638" s="10" t="n"/>
      <c r="Y1638" s="10" t="n"/>
      <c r="Z1638" s="10" t="n"/>
      <c r="AA1638" s="11">
        <f>IF(A1638="","",IF(AND(J1638="P4",F1638="causal"),"P4-CAUSAL",""))</f>
        <v/>
      </c>
    </row>
    <row r="1639" ht="15" customHeight="1" s="1">
      <c r="P1639">
        <f>IF(OR(F1639="",H1639="",J1639=""),"",J1639&amp;"|"&amp;F1639&amp;"|"&amp;IF(H1639="W3","W3_"&amp;IF(I1639="","unknown",I1639),H1639))</f>
        <v/>
      </c>
      <c r="Q1639">
        <f>IF(P1639="","",IFERROR(IF(AND(H1639="W7",OR(F1639="causal",F1639="predictive")),IF(AND(OR(K1639=1,K1639="1"),OR(L1639=1,L1639="1"),OR(M1639=1,M1639="1")),"adequate","partial"),IF(AND(H1639="W4",F1639="predictive",OR(J1639="P2",J1639="P3",J1639="P4")),IF(OR(U1639=1,U1639="1"),"adequate","partial"),INDEX(Fit_Matrix!$B:$B,MATCH(P1639,Fit_Matrix!$A:$A,0)))),"CHECK KEY"))</f>
        <v/>
      </c>
      <c r="U1639" s="10" t="n"/>
      <c r="V1639" s="10" t="n"/>
      <c r="W1639" s="10" t="n"/>
      <c r="X1639" s="10" t="n"/>
      <c r="Y1639" s="10" t="n"/>
      <c r="Z1639" s="10" t="n"/>
      <c r="AA1639" s="11">
        <f>IF(A1639="","",IF(AND(J1639="P4",F1639="causal"),"P4-CAUSAL",""))</f>
        <v/>
      </c>
    </row>
    <row r="1640" ht="15" customHeight="1" s="1">
      <c r="P1640">
        <f>IF(OR(F1640="",H1640="",J1640=""),"",J1640&amp;"|"&amp;F1640&amp;"|"&amp;IF(H1640="W3","W3_"&amp;IF(I1640="","unknown",I1640),H1640))</f>
        <v/>
      </c>
      <c r="Q1640">
        <f>IF(P1640="","",IFERROR(IF(AND(H1640="W7",OR(F1640="causal",F1640="predictive")),IF(AND(OR(K1640=1,K1640="1"),OR(L1640=1,L1640="1"),OR(M1640=1,M1640="1")),"adequate","partial"),IF(AND(H1640="W4",F1640="predictive",OR(J1640="P2",J1640="P3",J1640="P4")),IF(OR(U1640=1,U1640="1"),"adequate","partial"),INDEX(Fit_Matrix!$B:$B,MATCH(P1640,Fit_Matrix!$A:$A,0)))),"CHECK KEY"))</f>
        <v/>
      </c>
      <c r="U1640" s="10" t="n"/>
      <c r="V1640" s="10" t="n"/>
      <c r="W1640" s="10" t="n"/>
      <c r="X1640" s="10" t="n"/>
      <c r="Y1640" s="10" t="n"/>
      <c r="Z1640" s="10" t="n"/>
      <c r="AA1640" s="11">
        <f>IF(A1640="","",IF(AND(J1640="P4",F1640="causal"),"P4-CAUSAL",""))</f>
        <v/>
      </c>
    </row>
    <row r="1641" ht="15" customHeight="1" s="1">
      <c r="P1641">
        <f>IF(OR(F1641="",H1641="",J1641=""),"",J1641&amp;"|"&amp;F1641&amp;"|"&amp;IF(H1641="W3","W3_"&amp;IF(I1641="","unknown",I1641),H1641))</f>
        <v/>
      </c>
      <c r="Q1641">
        <f>IF(P1641="","",IFERROR(IF(AND(H1641="W7",OR(F1641="causal",F1641="predictive")),IF(AND(OR(K1641=1,K1641="1"),OR(L1641=1,L1641="1"),OR(M1641=1,M1641="1")),"adequate","partial"),IF(AND(H1641="W4",F1641="predictive",OR(J1641="P2",J1641="P3",J1641="P4")),IF(OR(U1641=1,U1641="1"),"adequate","partial"),INDEX(Fit_Matrix!$B:$B,MATCH(P1641,Fit_Matrix!$A:$A,0)))),"CHECK KEY"))</f>
        <v/>
      </c>
      <c r="U1641" s="10" t="n"/>
      <c r="V1641" s="10" t="n"/>
      <c r="W1641" s="10" t="n"/>
      <c r="X1641" s="10" t="n"/>
      <c r="Y1641" s="10" t="n"/>
      <c r="Z1641" s="10" t="n"/>
      <c r="AA1641" s="11">
        <f>IF(A1641="","",IF(AND(J1641="P4",F1641="causal"),"P4-CAUSAL",""))</f>
        <v/>
      </c>
    </row>
    <row r="1642" ht="15" customHeight="1" s="1">
      <c r="P1642">
        <f>IF(OR(F1642="",H1642="",J1642=""),"",J1642&amp;"|"&amp;F1642&amp;"|"&amp;IF(H1642="W3","W3_"&amp;IF(I1642="","unknown",I1642),H1642))</f>
        <v/>
      </c>
      <c r="Q1642">
        <f>IF(P1642="","",IFERROR(IF(AND(H1642="W7",OR(F1642="causal",F1642="predictive")),IF(AND(OR(K1642=1,K1642="1"),OR(L1642=1,L1642="1"),OR(M1642=1,M1642="1")),"adequate","partial"),IF(AND(H1642="W4",F1642="predictive",OR(J1642="P2",J1642="P3",J1642="P4")),IF(OR(U1642=1,U1642="1"),"adequate","partial"),INDEX(Fit_Matrix!$B:$B,MATCH(P1642,Fit_Matrix!$A:$A,0)))),"CHECK KEY"))</f>
        <v/>
      </c>
      <c r="U1642" s="10" t="n"/>
      <c r="V1642" s="10" t="n"/>
      <c r="W1642" s="10" t="n"/>
      <c r="X1642" s="10" t="n"/>
      <c r="Y1642" s="10" t="n"/>
      <c r="Z1642" s="10" t="n"/>
      <c r="AA1642" s="11">
        <f>IF(A1642="","",IF(AND(J1642="P4",F1642="causal"),"P4-CAUSAL",""))</f>
        <v/>
      </c>
    </row>
    <row r="1643" ht="15" customHeight="1" s="1">
      <c r="P1643">
        <f>IF(OR(F1643="",H1643="",J1643=""),"",J1643&amp;"|"&amp;F1643&amp;"|"&amp;IF(H1643="W3","W3_"&amp;IF(I1643="","unknown",I1643),H1643))</f>
        <v/>
      </c>
      <c r="Q1643">
        <f>IF(P1643="","",IFERROR(IF(AND(H1643="W7",OR(F1643="causal",F1643="predictive")),IF(AND(OR(K1643=1,K1643="1"),OR(L1643=1,L1643="1"),OR(M1643=1,M1643="1")),"adequate","partial"),IF(AND(H1643="W4",F1643="predictive",OR(J1643="P2",J1643="P3",J1643="P4")),IF(OR(U1643=1,U1643="1"),"adequate","partial"),INDEX(Fit_Matrix!$B:$B,MATCH(P1643,Fit_Matrix!$A:$A,0)))),"CHECK KEY"))</f>
        <v/>
      </c>
      <c r="U1643" s="10" t="n"/>
      <c r="V1643" s="10" t="n"/>
      <c r="W1643" s="10" t="n"/>
      <c r="X1643" s="10" t="n"/>
      <c r="Y1643" s="10" t="n"/>
      <c r="Z1643" s="10" t="n"/>
      <c r="AA1643" s="11">
        <f>IF(A1643="","",IF(AND(J1643="P4",F1643="causal"),"P4-CAUSAL",""))</f>
        <v/>
      </c>
    </row>
    <row r="1644" ht="15" customHeight="1" s="1">
      <c r="P1644">
        <f>IF(OR(F1644="",H1644="",J1644=""),"",J1644&amp;"|"&amp;F1644&amp;"|"&amp;IF(H1644="W3","W3_"&amp;IF(I1644="","unknown",I1644),H1644))</f>
        <v/>
      </c>
      <c r="Q1644">
        <f>IF(P1644="","",IFERROR(IF(AND(H1644="W7",OR(F1644="causal",F1644="predictive")),IF(AND(OR(K1644=1,K1644="1"),OR(L1644=1,L1644="1"),OR(M1644=1,M1644="1")),"adequate","partial"),IF(AND(H1644="W4",F1644="predictive",OR(J1644="P2",J1644="P3",J1644="P4")),IF(OR(U1644=1,U1644="1"),"adequate","partial"),INDEX(Fit_Matrix!$B:$B,MATCH(P1644,Fit_Matrix!$A:$A,0)))),"CHECK KEY"))</f>
        <v/>
      </c>
      <c r="U1644" s="10" t="n"/>
      <c r="V1644" s="10" t="n"/>
      <c r="W1644" s="10" t="n"/>
      <c r="X1644" s="10" t="n"/>
      <c r="Y1644" s="10" t="n"/>
      <c r="Z1644" s="10" t="n"/>
      <c r="AA1644" s="11">
        <f>IF(A1644="","",IF(AND(J1644="P4",F1644="causal"),"P4-CAUSAL",""))</f>
        <v/>
      </c>
    </row>
    <row r="1645" ht="15" customHeight="1" s="1">
      <c r="P1645">
        <f>IF(OR(F1645="",H1645="",J1645=""),"",J1645&amp;"|"&amp;F1645&amp;"|"&amp;IF(H1645="W3","W3_"&amp;IF(I1645="","unknown",I1645),H1645))</f>
        <v/>
      </c>
      <c r="Q1645">
        <f>IF(P1645="","",IFERROR(IF(AND(H1645="W7",OR(F1645="causal",F1645="predictive")),IF(AND(OR(K1645=1,K1645="1"),OR(L1645=1,L1645="1"),OR(M1645=1,M1645="1")),"adequate","partial"),IF(AND(H1645="W4",F1645="predictive",OR(J1645="P2",J1645="P3",J1645="P4")),IF(OR(U1645=1,U1645="1"),"adequate","partial"),INDEX(Fit_Matrix!$B:$B,MATCH(P1645,Fit_Matrix!$A:$A,0)))),"CHECK KEY"))</f>
        <v/>
      </c>
      <c r="U1645" s="10" t="n"/>
      <c r="V1645" s="10" t="n"/>
      <c r="W1645" s="10" t="n"/>
      <c r="X1645" s="10" t="n"/>
      <c r="Y1645" s="10" t="n"/>
      <c r="Z1645" s="10" t="n"/>
      <c r="AA1645" s="11">
        <f>IF(A1645="","",IF(AND(J1645="P4",F1645="causal"),"P4-CAUSAL",""))</f>
        <v/>
      </c>
    </row>
    <row r="1646" ht="15" customHeight="1" s="1">
      <c r="P1646">
        <f>IF(OR(F1646="",H1646="",J1646=""),"",J1646&amp;"|"&amp;F1646&amp;"|"&amp;IF(H1646="W3","W3_"&amp;IF(I1646="","unknown",I1646),H1646))</f>
        <v/>
      </c>
      <c r="Q1646">
        <f>IF(P1646="","",IFERROR(IF(AND(H1646="W7",OR(F1646="causal",F1646="predictive")),IF(AND(OR(K1646=1,K1646="1"),OR(L1646=1,L1646="1"),OR(M1646=1,M1646="1")),"adequate","partial"),IF(AND(H1646="W4",F1646="predictive",OR(J1646="P2",J1646="P3",J1646="P4")),IF(OR(U1646=1,U1646="1"),"adequate","partial"),INDEX(Fit_Matrix!$B:$B,MATCH(P1646,Fit_Matrix!$A:$A,0)))),"CHECK KEY"))</f>
        <v/>
      </c>
      <c r="U1646" s="10" t="n"/>
      <c r="V1646" s="10" t="n"/>
      <c r="W1646" s="10" t="n"/>
      <c r="X1646" s="10" t="n"/>
      <c r="Y1646" s="10" t="n"/>
      <c r="Z1646" s="10" t="n"/>
      <c r="AA1646" s="11">
        <f>IF(A1646="","",IF(AND(J1646="P4",F1646="causal"),"P4-CAUSAL",""))</f>
        <v/>
      </c>
    </row>
    <row r="1647" ht="15" customHeight="1" s="1">
      <c r="P1647">
        <f>IF(OR(F1647="",H1647="",J1647=""),"",J1647&amp;"|"&amp;F1647&amp;"|"&amp;IF(H1647="W3","W3_"&amp;IF(I1647="","unknown",I1647),H1647))</f>
        <v/>
      </c>
      <c r="Q1647">
        <f>IF(P1647="","",IFERROR(IF(AND(H1647="W7",OR(F1647="causal",F1647="predictive")),IF(AND(OR(K1647=1,K1647="1"),OR(L1647=1,L1647="1"),OR(M1647=1,M1647="1")),"adequate","partial"),IF(AND(H1647="W4",F1647="predictive",OR(J1647="P2",J1647="P3",J1647="P4")),IF(OR(U1647=1,U1647="1"),"adequate","partial"),INDEX(Fit_Matrix!$B:$B,MATCH(P1647,Fit_Matrix!$A:$A,0)))),"CHECK KEY"))</f>
        <v/>
      </c>
      <c r="U1647" s="10" t="n"/>
      <c r="V1647" s="10" t="n"/>
      <c r="W1647" s="10" t="n"/>
      <c r="X1647" s="10" t="n"/>
      <c r="Y1647" s="10" t="n"/>
      <c r="Z1647" s="10" t="n"/>
      <c r="AA1647" s="11">
        <f>IF(A1647="","",IF(AND(J1647="P4",F1647="causal"),"P4-CAUSAL",""))</f>
        <v/>
      </c>
    </row>
    <row r="1648" ht="15" customHeight="1" s="1">
      <c r="P1648">
        <f>IF(OR(F1648="",H1648="",J1648=""),"",J1648&amp;"|"&amp;F1648&amp;"|"&amp;IF(H1648="W3","W3_"&amp;IF(I1648="","unknown",I1648),H1648))</f>
        <v/>
      </c>
      <c r="Q1648">
        <f>IF(P1648="","",IFERROR(IF(AND(H1648="W7",OR(F1648="causal",F1648="predictive")),IF(AND(OR(K1648=1,K1648="1"),OR(L1648=1,L1648="1"),OR(M1648=1,M1648="1")),"adequate","partial"),IF(AND(H1648="W4",F1648="predictive",OR(J1648="P2",J1648="P3",J1648="P4")),IF(OR(U1648=1,U1648="1"),"adequate","partial"),INDEX(Fit_Matrix!$B:$B,MATCH(P1648,Fit_Matrix!$A:$A,0)))),"CHECK KEY"))</f>
        <v/>
      </c>
      <c r="U1648" s="10" t="n"/>
      <c r="V1648" s="10" t="n"/>
      <c r="W1648" s="10" t="n"/>
      <c r="X1648" s="10" t="n"/>
      <c r="Y1648" s="10" t="n"/>
      <c r="Z1648" s="10" t="n"/>
      <c r="AA1648" s="11">
        <f>IF(A1648="","",IF(AND(J1648="P4",F1648="causal"),"P4-CAUSAL",""))</f>
        <v/>
      </c>
    </row>
    <row r="1649" ht="15" customHeight="1" s="1">
      <c r="P1649">
        <f>IF(OR(F1649="",H1649="",J1649=""),"",J1649&amp;"|"&amp;F1649&amp;"|"&amp;IF(H1649="W3","W3_"&amp;IF(I1649="","unknown",I1649),H1649))</f>
        <v/>
      </c>
      <c r="Q1649">
        <f>IF(P1649="","",IFERROR(IF(AND(H1649="W7",OR(F1649="causal",F1649="predictive")),IF(AND(OR(K1649=1,K1649="1"),OR(L1649=1,L1649="1"),OR(M1649=1,M1649="1")),"adequate","partial"),IF(AND(H1649="W4",F1649="predictive",OR(J1649="P2",J1649="P3",J1649="P4")),IF(OR(U1649=1,U1649="1"),"adequate","partial"),INDEX(Fit_Matrix!$B:$B,MATCH(P1649,Fit_Matrix!$A:$A,0)))),"CHECK KEY"))</f>
        <v/>
      </c>
      <c r="U1649" s="10" t="n"/>
      <c r="V1649" s="10" t="n"/>
      <c r="W1649" s="10" t="n"/>
      <c r="X1649" s="10" t="n"/>
      <c r="Y1649" s="10" t="n"/>
      <c r="Z1649" s="10" t="n"/>
      <c r="AA1649" s="11">
        <f>IF(A1649="","",IF(AND(J1649="P4",F1649="causal"),"P4-CAUSAL",""))</f>
        <v/>
      </c>
    </row>
    <row r="1650" ht="15" customHeight="1" s="1">
      <c r="P1650">
        <f>IF(OR(F1650="",H1650="",J1650=""),"",J1650&amp;"|"&amp;F1650&amp;"|"&amp;IF(H1650="W3","W3_"&amp;IF(I1650="","unknown",I1650),H1650))</f>
        <v/>
      </c>
      <c r="Q1650">
        <f>IF(P1650="","",IFERROR(IF(AND(H1650="W7",OR(F1650="causal",F1650="predictive")),IF(AND(OR(K1650=1,K1650="1"),OR(L1650=1,L1650="1"),OR(M1650=1,M1650="1")),"adequate","partial"),IF(AND(H1650="W4",F1650="predictive",OR(J1650="P2",J1650="P3",J1650="P4")),IF(OR(U1650=1,U1650="1"),"adequate","partial"),INDEX(Fit_Matrix!$B:$B,MATCH(P1650,Fit_Matrix!$A:$A,0)))),"CHECK KEY"))</f>
        <v/>
      </c>
      <c r="U1650" s="10" t="n"/>
      <c r="V1650" s="10" t="n"/>
      <c r="W1650" s="10" t="n"/>
      <c r="X1650" s="10" t="n"/>
      <c r="Y1650" s="10" t="n"/>
      <c r="Z1650" s="10" t="n"/>
      <c r="AA1650" s="11">
        <f>IF(A1650="","",IF(AND(J1650="P4",F1650="causal"),"P4-CAUSAL",""))</f>
        <v/>
      </c>
    </row>
    <row r="1651" ht="15" customHeight="1" s="1">
      <c r="P1651">
        <f>IF(OR(F1651="",H1651="",J1651=""),"",J1651&amp;"|"&amp;F1651&amp;"|"&amp;IF(H1651="W3","W3_"&amp;IF(I1651="","unknown",I1651),H1651))</f>
        <v/>
      </c>
      <c r="Q1651">
        <f>IF(P1651="","",IFERROR(IF(AND(H1651="W7",OR(F1651="causal",F1651="predictive")),IF(AND(OR(K1651=1,K1651="1"),OR(L1651=1,L1651="1"),OR(M1651=1,M1651="1")),"adequate","partial"),IF(AND(H1651="W4",F1651="predictive",OR(J1651="P2",J1651="P3",J1651="P4")),IF(OR(U1651=1,U1651="1"),"adequate","partial"),INDEX(Fit_Matrix!$B:$B,MATCH(P1651,Fit_Matrix!$A:$A,0)))),"CHECK KEY"))</f>
        <v/>
      </c>
      <c r="U1651" s="10" t="n"/>
      <c r="V1651" s="10" t="n"/>
      <c r="W1651" s="10" t="n"/>
      <c r="X1651" s="10" t="n"/>
      <c r="Y1651" s="10" t="n"/>
      <c r="Z1651" s="10" t="n"/>
      <c r="AA1651" s="11">
        <f>IF(A1651="","",IF(AND(J1651="P4",F1651="causal"),"P4-CAUSAL",""))</f>
        <v/>
      </c>
    </row>
    <row r="1652" ht="15" customHeight="1" s="1">
      <c r="P1652">
        <f>IF(OR(F1652="",H1652="",J1652=""),"",J1652&amp;"|"&amp;F1652&amp;"|"&amp;IF(H1652="W3","W3_"&amp;IF(I1652="","unknown",I1652),H1652))</f>
        <v/>
      </c>
      <c r="Q1652">
        <f>IF(P1652="","",IFERROR(IF(AND(H1652="W7",OR(F1652="causal",F1652="predictive")),IF(AND(OR(K1652=1,K1652="1"),OR(L1652=1,L1652="1"),OR(M1652=1,M1652="1")),"adequate","partial"),IF(AND(H1652="W4",F1652="predictive",OR(J1652="P2",J1652="P3",J1652="P4")),IF(OR(U1652=1,U1652="1"),"adequate","partial"),INDEX(Fit_Matrix!$B:$B,MATCH(P1652,Fit_Matrix!$A:$A,0)))),"CHECK KEY"))</f>
        <v/>
      </c>
      <c r="U1652" s="10" t="n"/>
      <c r="V1652" s="10" t="n"/>
      <c r="W1652" s="10" t="n"/>
      <c r="X1652" s="10" t="n"/>
      <c r="Y1652" s="10" t="n"/>
      <c r="Z1652" s="10" t="n"/>
      <c r="AA1652" s="11">
        <f>IF(A1652="","",IF(AND(J1652="P4",F1652="causal"),"P4-CAUSAL",""))</f>
        <v/>
      </c>
    </row>
    <row r="1653" ht="15" customHeight="1" s="1">
      <c r="P1653">
        <f>IF(OR(F1653="",H1653="",J1653=""),"",J1653&amp;"|"&amp;F1653&amp;"|"&amp;IF(H1653="W3","W3_"&amp;IF(I1653="","unknown",I1653),H1653))</f>
        <v/>
      </c>
      <c r="Q1653">
        <f>IF(P1653="","",IFERROR(IF(AND(H1653="W7",OR(F1653="causal",F1653="predictive")),IF(AND(OR(K1653=1,K1653="1"),OR(L1653=1,L1653="1"),OR(M1653=1,M1653="1")),"adequate","partial"),IF(AND(H1653="W4",F1653="predictive",OR(J1653="P2",J1653="P3",J1653="P4")),IF(OR(U1653=1,U1653="1"),"adequate","partial"),INDEX(Fit_Matrix!$B:$B,MATCH(P1653,Fit_Matrix!$A:$A,0)))),"CHECK KEY"))</f>
        <v/>
      </c>
      <c r="U1653" s="10" t="n"/>
      <c r="V1653" s="10" t="n"/>
      <c r="W1653" s="10" t="n"/>
      <c r="X1653" s="10" t="n"/>
      <c r="Y1653" s="10" t="n"/>
      <c r="Z1653" s="10" t="n"/>
      <c r="AA1653" s="11">
        <f>IF(A1653="","",IF(AND(J1653="P4",F1653="causal"),"P4-CAUSAL",""))</f>
        <v/>
      </c>
    </row>
    <row r="1654" ht="15" customHeight="1" s="1">
      <c r="P1654">
        <f>IF(OR(F1654="",H1654="",J1654=""),"",J1654&amp;"|"&amp;F1654&amp;"|"&amp;IF(H1654="W3","W3_"&amp;IF(I1654="","unknown",I1654),H1654))</f>
        <v/>
      </c>
      <c r="Q1654">
        <f>IF(P1654="","",IFERROR(IF(AND(H1654="W7",OR(F1654="causal",F1654="predictive")),IF(AND(OR(K1654=1,K1654="1"),OR(L1654=1,L1654="1"),OR(M1654=1,M1654="1")),"adequate","partial"),IF(AND(H1654="W4",F1654="predictive",OR(J1654="P2",J1654="P3",J1654="P4")),IF(OR(U1654=1,U1654="1"),"adequate","partial"),INDEX(Fit_Matrix!$B:$B,MATCH(P1654,Fit_Matrix!$A:$A,0)))),"CHECK KEY"))</f>
        <v/>
      </c>
      <c r="U1654" s="10" t="n"/>
      <c r="V1654" s="10" t="n"/>
      <c r="W1654" s="10" t="n"/>
      <c r="X1654" s="10" t="n"/>
      <c r="Y1654" s="10" t="n"/>
      <c r="Z1654" s="10" t="n"/>
      <c r="AA1654" s="11">
        <f>IF(A1654="","",IF(AND(J1654="P4",F1654="causal"),"P4-CAUSAL",""))</f>
        <v/>
      </c>
    </row>
    <row r="1655" ht="15" customHeight="1" s="1">
      <c r="P1655">
        <f>IF(OR(F1655="",H1655="",J1655=""),"",J1655&amp;"|"&amp;F1655&amp;"|"&amp;IF(H1655="W3","W3_"&amp;IF(I1655="","unknown",I1655),H1655))</f>
        <v/>
      </c>
      <c r="Q1655">
        <f>IF(P1655="","",IFERROR(IF(AND(H1655="W7",OR(F1655="causal",F1655="predictive")),IF(AND(OR(K1655=1,K1655="1"),OR(L1655=1,L1655="1"),OR(M1655=1,M1655="1")),"adequate","partial"),IF(AND(H1655="W4",F1655="predictive",OR(J1655="P2",J1655="P3",J1655="P4")),IF(OR(U1655=1,U1655="1"),"adequate","partial"),INDEX(Fit_Matrix!$B:$B,MATCH(P1655,Fit_Matrix!$A:$A,0)))),"CHECK KEY"))</f>
        <v/>
      </c>
      <c r="U1655" s="10" t="n"/>
      <c r="V1655" s="10" t="n"/>
      <c r="W1655" s="10" t="n"/>
      <c r="X1655" s="10" t="n"/>
      <c r="Y1655" s="10" t="n"/>
      <c r="Z1655" s="10" t="n"/>
      <c r="AA1655" s="11">
        <f>IF(A1655="","",IF(AND(J1655="P4",F1655="causal"),"P4-CAUSAL",""))</f>
        <v/>
      </c>
    </row>
    <row r="1656" ht="15" customHeight="1" s="1">
      <c r="P1656">
        <f>IF(OR(F1656="",H1656="",J1656=""),"",J1656&amp;"|"&amp;F1656&amp;"|"&amp;IF(H1656="W3","W3_"&amp;IF(I1656="","unknown",I1656),H1656))</f>
        <v/>
      </c>
      <c r="Q1656">
        <f>IF(P1656="","",IFERROR(IF(AND(H1656="W7",OR(F1656="causal",F1656="predictive")),IF(AND(OR(K1656=1,K1656="1"),OR(L1656=1,L1656="1"),OR(M1656=1,M1656="1")),"adequate","partial"),IF(AND(H1656="W4",F1656="predictive",OR(J1656="P2",J1656="P3",J1656="P4")),IF(OR(U1656=1,U1656="1"),"adequate","partial"),INDEX(Fit_Matrix!$B:$B,MATCH(P1656,Fit_Matrix!$A:$A,0)))),"CHECK KEY"))</f>
        <v/>
      </c>
      <c r="U1656" s="10" t="n"/>
      <c r="V1656" s="10" t="n"/>
      <c r="W1656" s="10" t="n"/>
      <c r="X1656" s="10" t="n"/>
      <c r="Y1656" s="10" t="n"/>
      <c r="Z1656" s="10" t="n"/>
      <c r="AA1656" s="11">
        <f>IF(A1656="","",IF(AND(J1656="P4",F1656="causal"),"P4-CAUSAL",""))</f>
        <v/>
      </c>
    </row>
    <row r="1657" ht="15" customHeight="1" s="1">
      <c r="P1657">
        <f>IF(OR(F1657="",H1657="",J1657=""),"",J1657&amp;"|"&amp;F1657&amp;"|"&amp;IF(H1657="W3","W3_"&amp;IF(I1657="","unknown",I1657),H1657))</f>
        <v/>
      </c>
      <c r="Q1657">
        <f>IF(P1657="","",IFERROR(IF(AND(H1657="W7",OR(F1657="causal",F1657="predictive")),IF(AND(OR(K1657=1,K1657="1"),OR(L1657=1,L1657="1"),OR(M1657=1,M1657="1")),"adequate","partial"),IF(AND(H1657="W4",F1657="predictive",OR(J1657="P2",J1657="P3",J1657="P4")),IF(OR(U1657=1,U1657="1"),"adequate","partial"),INDEX(Fit_Matrix!$B:$B,MATCH(P1657,Fit_Matrix!$A:$A,0)))),"CHECK KEY"))</f>
        <v/>
      </c>
      <c r="U1657" s="10" t="n"/>
      <c r="V1657" s="10" t="n"/>
      <c r="W1657" s="10" t="n"/>
      <c r="X1657" s="10" t="n"/>
      <c r="Y1657" s="10" t="n"/>
      <c r="Z1657" s="10" t="n"/>
      <c r="AA1657" s="11">
        <f>IF(A1657="","",IF(AND(J1657="P4",F1657="causal"),"P4-CAUSAL",""))</f>
        <v/>
      </c>
    </row>
    <row r="1658" ht="15" customHeight="1" s="1">
      <c r="P1658">
        <f>IF(OR(F1658="",H1658="",J1658=""),"",J1658&amp;"|"&amp;F1658&amp;"|"&amp;IF(H1658="W3","W3_"&amp;IF(I1658="","unknown",I1658),H1658))</f>
        <v/>
      </c>
      <c r="Q1658">
        <f>IF(P1658="","",IFERROR(IF(AND(H1658="W7",OR(F1658="causal",F1658="predictive")),IF(AND(OR(K1658=1,K1658="1"),OR(L1658=1,L1658="1"),OR(M1658=1,M1658="1")),"adequate","partial"),IF(AND(H1658="W4",F1658="predictive",OR(J1658="P2",J1658="P3",J1658="P4")),IF(OR(U1658=1,U1658="1"),"adequate","partial"),INDEX(Fit_Matrix!$B:$B,MATCH(P1658,Fit_Matrix!$A:$A,0)))),"CHECK KEY"))</f>
        <v/>
      </c>
      <c r="U1658" s="10" t="n"/>
      <c r="V1658" s="10" t="n"/>
      <c r="W1658" s="10" t="n"/>
      <c r="X1658" s="10" t="n"/>
      <c r="Y1658" s="10" t="n"/>
      <c r="Z1658" s="10" t="n"/>
      <c r="AA1658" s="11">
        <f>IF(A1658="","",IF(AND(J1658="P4",F1658="causal"),"P4-CAUSAL",""))</f>
        <v/>
      </c>
    </row>
    <row r="1659" ht="15" customHeight="1" s="1">
      <c r="P1659">
        <f>IF(OR(F1659="",H1659="",J1659=""),"",J1659&amp;"|"&amp;F1659&amp;"|"&amp;IF(H1659="W3","W3_"&amp;IF(I1659="","unknown",I1659),H1659))</f>
        <v/>
      </c>
      <c r="Q1659">
        <f>IF(P1659="","",IFERROR(IF(AND(H1659="W7",OR(F1659="causal",F1659="predictive")),IF(AND(OR(K1659=1,K1659="1"),OR(L1659=1,L1659="1"),OR(M1659=1,M1659="1")),"adequate","partial"),IF(AND(H1659="W4",F1659="predictive",OR(J1659="P2",J1659="P3",J1659="P4")),IF(OR(U1659=1,U1659="1"),"adequate","partial"),INDEX(Fit_Matrix!$B:$B,MATCH(P1659,Fit_Matrix!$A:$A,0)))),"CHECK KEY"))</f>
        <v/>
      </c>
      <c r="U1659" s="10" t="n"/>
      <c r="V1659" s="10" t="n"/>
      <c r="W1659" s="10" t="n"/>
      <c r="X1659" s="10" t="n"/>
      <c r="Y1659" s="10" t="n"/>
      <c r="Z1659" s="10" t="n"/>
      <c r="AA1659" s="11">
        <f>IF(A1659="","",IF(AND(J1659="P4",F1659="causal"),"P4-CAUSAL",""))</f>
        <v/>
      </c>
    </row>
    <row r="1660" ht="15" customHeight="1" s="1">
      <c r="P1660">
        <f>IF(OR(F1660="",H1660="",J1660=""),"",J1660&amp;"|"&amp;F1660&amp;"|"&amp;IF(H1660="W3","W3_"&amp;IF(I1660="","unknown",I1660),H1660))</f>
        <v/>
      </c>
      <c r="Q1660">
        <f>IF(P1660="","",IFERROR(IF(AND(H1660="W7",OR(F1660="causal",F1660="predictive")),IF(AND(OR(K1660=1,K1660="1"),OR(L1660=1,L1660="1"),OR(M1660=1,M1660="1")),"adequate","partial"),IF(AND(H1660="W4",F1660="predictive",OR(J1660="P2",J1660="P3",J1660="P4")),IF(OR(U1660=1,U1660="1"),"adequate","partial"),INDEX(Fit_Matrix!$B:$B,MATCH(P1660,Fit_Matrix!$A:$A,0)))),"CHECK KEY"))</f>
        <v/>
      </c>
      <c r="U1660" s="10" t="n"/>
      <c r="V1660" s="10" t="n"/>
      <c r="W1660" s="10" t="n"/>
      <c r="X1660" s="10" t="n"/>
      <c r="Y1660" s="10" t="n"/>
      <c r="Z1660" s="10" t="n"/>
      <c r="AA1660" s="11">
        <f>IF(A1660="","",IF(AND(J1660="P4",F1660="causal"),"P4-CAUSAL",""))</f>
        <v/>
      </c>
    </row>
    <row r="1661" ht="15" customHeight="1" s="1">
      <c r="P1661">
        <f>IF(OR(F1661="",H1661="",J1661=""),"",J1661&amp;"|"&amp;F1661&amp;"|"&amp;IF(H1661="W3","W3_"&amp;IF(I1661="","unknown",I1661),H1661))</f>
        <v/>
      </c>
      <c r="Q1661">
        <f>IF(P1661="","",IFERROR(IF(AND(H1661="W7",OR(F1661="causal",F1661="predictive")),IF(AND(OR(K1661=1,K1661="1"),OR(L1661=1,L1661="1"),OR(M1661=1,M1661="1")),"adequate","partial"),IF(AND(H1661="W4",F1661="predictive",OR(J1661="P2",J1661="P3",J1661="P4")),IF(OR(U1661=1,U1661="1"),"adequate","partial"),INDEX(Fit_Matrix!$B:$B,MATCH(P1661,Fit_Matrix!$A:$A,0)))),"CHECK KEY"))</f>
        <v/>
      </c>
      <c r="U1661" s="10" t="n"/>
      <c r="V1661" s="10" t="n"/>
      <c r="W1661" s="10" t="n"/>
      <c r="X1661" s="10" t="n"/>
      <c r="Y1661" s="10" t="n"/>
      <c r="Z1661" s="10" t="n"/>
      <c r="AA1661" s="11">
        <f>IF(A1661="","",IF(AND(J1661="P4",F1661="causal"),"P4-CAUSAL",""))</f>
        <v/>
      </c>
    </row>
    <row r="1662" ht="15" customHeight="1" s="1">
      <c r="P1662">
        <f>IF(OR(F1662="",H1662="",J1662=""),"",J1662&amp;"|"&amp;F1662&amp;"|"&amp;IF(H1662="W3","W3_"&amp;IF(I1662="","unknown",I1662),H1662))</f>
        <v/>
      </c>
      <c r="Q1662">
        <f>IF(P1662="","",IFERROR(IF(AND(H1662="W7",OR(F1662="causal",F1662="predictive")),IF(AND(OR(K1662=1,K1662="1"),OR(L1662=1,L1662="1"),OR(M1662=1,M1662="1")),"adequate","partial"),IF(AND(H1662="W4",F1662="predictive",OR(J1662="P2",J1662="P3",J1662="P4")),IF(OR(U1662=1,U1662="1"),"adequate","partial"),INDEX(Fit_Matrix!$B:$B,MATCH(P1662,Fit_Matrix!$A:$A,0)))),"CHECK KEY"))</f>
        <v/>
      </c>
      <c r="U1662" s="10" t="n"/>
      <c r="V1662" s="10" t="n"/>
      <c r="W1662" s="10" t="n"/>
      <c r="X1662" s="10" t="n"/>
      <c r="Y1662" s="10" t="n"/>
      <c r="Z1662" s="10" t="n"/>
      <c r="AA1662" s="11">
        <f>IF(A1662="","",IF(AND(J1662="P4",F1662="causal"),"P4-CAUSAL",""))</f>
        <v/>
      </c>
    </row>
    <row r="1663" ht="15" customHeight="1" s="1">
      <c r="P1663">
        <f>IF(OR(F1663="",H1663="",J1663=""),"",J1663&amp;"|"&amp;F1663&amp;"|"&amp;IF(H1663="W3","W3_"&amp;IF(I1663="","unknown",I1663),H1663))</f>
        <v/>
      </c>
      <c r="Q1663">
        <f>IF(P1663="","",IFERROR(IF(AND(H1663="W7",OR(F1663="causal",F1663="predictive")),IF(AND(OR(K1663=1,K1663="1"),OR(L1663=1,L1663="1"),OR(M1663=1,M1663="1")),"adequate","partial"),IF(AND(H1663="W4",F1663="predictive",OR(J1663="P2",J1663="P3",J1663="P4")),IF(OR(U1663=1,U1663="1"),"adequate","partial"),INDEX(Fit_Matrix!$B:$B,MATCH(P1663,Fit_Matrix!$A:$A,0)))),"CHECK KEY"))</f>
        <v/>
      </c>
      <c r="U1663" s="10" t="n"/>
      <c r="V1663" s="10" t="n"/>
      <c r="W1663" s="10" t="n"/>
      <c r="X1663" s="10" t="n"/>
      <c r="Y1663" s="10" t="n"/>
      <c r="Z1663" s="10" t="n"/>
      <c r="AA1663" s="11">
        <f>IF(A1663="","",IF(AND(J1663="P4",F1663="causal"),"P4-CAUSAL",""))</f>
        <v/>
      </c>
    </row>
    <row r="1664" ht="15" customHeight="1" s="1">
      <c r="P1664">
        <f>IF(OR(F1664="",H1664="",J1664=""),"",J1664&amp;"|"&amp;F1664&amp;"|"&amp;IF(H1664="W3","W3_"&amp;IF(I1664="","unknown",I1664),H1664))</f>
        <v/>
      </c>
      <c r="Q1664">
        <f>IF(P1664="","",IFERROR(IF(AND(H1664="W7",OR(F1664="causal",F1664="predictive")),IF(AND(OR(K1664=1,K1664="1"),OR(L1664=1,L1664="1"),OR(M1664=1,M1664="1")),"adequate","partial"),IF(AND(H1664="W4",F1664="predictive",OR(J1664="P2",J1664="P3",J1664="P4")),IF(OR(U1664=1,U1664="1"),"adequate","partial"),INDEX(Fit_Matrix!$B:$B,MATCH(P1664,Fit_Matrix!$A:$A,0)))),"CHECK KEY"))</f>
        <v/>
      </c>
      <c r="U1664" s="10" t="n"/>
      <c r="V1664" s="10" t="n"/>
      <c r="W1664" s="10" t="n"/>
      <c r="X1664" s="10" t="n"/>
      <c r="Y1664" s="10" t="n"/>
      <c r="Z1664" s="10" t="n"/>
      <c r="AA1664" s="11">
        <f>IF(A1664="","",IF(AND(J1664="P4",F1664="causal"),"P4-CAUSAL",""))</f>
        <v/>
      </c>
    </row>
    <row r="1665" ht="15" customHeight="1" s="1">
      <c r="P1665">
        <f>IF(OR(F1665="",H1665="",J1665=""),"",J1665&amp;"|"&amp;F1665&amp;"|"&amp;IF(H1665="W3","W3_"&amp;IF(I1665="","unknown",I1665),H1665))</f>
        <v/>
      </c>
      <c r="Q1665">
        <f>IF(P1665="","",IFERROR(IF(AND(H1665="W7",OR(F1665="causal",F1665="predictive")),IF(AND(OR(K1665=1,K1665="1"),OR(L1665=1,L1665="1"),OR(M1665=1,M1665="1")),"adequate","partial"),IF(AND(H1665="W4",F1665="predictive",OR(J1665="P2",J1665="P3",J1665="P4")),IF(OR(U1665=1,U1665="1"),"adequate","partial"),INDEX(Fit_Matrix!$B:$B,MATCH(P1665,Fit_Matrix!$A:$A,0)))),"CHECK KEY"))</f>
        <v/>
      </c>
      <c r="U1665" s="10" t="n"/>
      <c r="V1665" s="10" t="n"/>
      <c r="W1665" s="10" t="n"/>
      <c r="X1665" s="10" t="n"/>
      <c r="Y1665" s="10" t="n"/>
      <c r="Z1665" s="10" t="n"/>
      <c r="AA1665" s="11">
        <f>IF(A1665="","",IF(AND(J1665="P4",F1665="causal"),"P4-CAUSAL",""))</f>
        <v/>
      </c>
    </row>
    <row r="1666" ht="15" customHeight="1" s="1">
      <c r="P1666">
        <f>IF(OR(F1666="",H1666="",J1666=""),"",J1666&amp;"|"&amp;F1666&amp;"|"&amp;IF(H1666="W3","W3_"&amp;IF(I1666="","unknown",I1666),H1666))</f>
        <v/>
      </c>
      <c r="Q1666">
        <f>IF(P1666="","",IFERROR(IF(AND(H1666="W7",OR(F1666="causal",F1666="predictive")),IF(AND(OR(K1666=1,K1666="1"),OR(L1666=1,L1666="1"),OR(M1666=1,M1666="1")),"adequate","partial"),IF(AND(H1666="W4",F1666="predictive",OR(J1666="P2",J1666="P3",J1666="P4")),IF(OR(U1666=1,U1666="1"),"adequate","partial"),INDEX(Fit_Matrix!$B:$B,MATCH(P1666,Fit_Matrix!$A:$A,0)))),"CHECK KEY"))</f>
        <v/>
      </c>
      <c r="U1666" s="10" t="n"/>
      <c r="V1666" s="10" t="n"/>
      <c r="W1666" s="10" t="n"/>
      <c r="X1666" s="10" t="n"/>
      <c r="Y1666" s="10" t="n"/>
      <c r="Z1666" s="10" t="n"/>
      <c r="AA1666" s="11">
        <f>IF(A1666="","",IF(AND(J1666="P4",F1666="causal"),"P4-CAUSAL",""))</f>
        <v/>
      </c>
    </row>
    <row r="1667" ht="15" customHeight="1" s="1">
      <c r="P1667">
        <f>IF(OR(F1667="",H1667="",J1667=""),"",J1667&amp;"|"&amp;F1667&amp;"|"&amp;IF(H1667="W3","W3_"&amp;IF(I1667="","unknown",I1667),H1667))</f>
        <v/>
      </c>
      <c r="Q1667">
        <f>IF(P1667="","",IFERROR(IF(AND(H1667="W7",OR(F1667="causal",F1667="predictive")),IF(AND(OR(K1667=1,K1667="1"),OR(L1667=1,L1667="1"),OR(M1667=1,M1667="1")),"adequate","partial"),IF(AND(H1667="W4",F1667="predictive",OR(J1667="P2",J1667="P3",J1667="P4")),IF(OR(U1667=1,U1667="1"),"adequate","partial"),INDEX(Fit_Matrix!$B:$B,MATCH(P1667,Fit_Matrix!$A:$A,0)))),"CHECK KEY"))</f>
        <v/>
      </c>
      <c r="U1667" s="10" t="n"/>
      <c r="V1667" s="10" t="n"/>
      <c r="W1667" s="10" t="n"/>
      <c r="X1667" s="10" t="n"/>
      <c r="Y1667" s="10" t="n"/>
      <c r="Z1667" s="10" t="n"/>
      <c r="AA1667" s="11">
        <f>IF(A1667="","",IF(AND(J1667="P4",F1667="causal"),"P4-CAUSAL",""))</f>
        <v/>
      </c>
    </row>
    <row r="1668" ht="15" customHeight="1" s="1">
      <c r="P1668">
        <f>IF(OR(F1668="",H1668="",J1668=""),"",J1668&amp;"|"&amp;F1668&amp;"|"&amp;IF(H1668="W3","W3_"&amp;IF(I1668="","unknown",I1668),H1668))</f>
        <v/>
      </c>
      <c r="Q1668">
        <f>IF(P1668="","",IFERROR(IF(AND(H1668="W7",OR(F1668="causal",F1668="predictive")),IF(AND(OR(K1668=1,K1668="1"),OR(L1668=1,L1668="1"),OR(M1668=1,M1668="1")),"adequate","partial"),IF(AND(H1668="W4",F1668="predictive",OR(J1668="P2",J1668="P3",J1668="P4")),IF(OR(U1668=1,U1668="1"),"adequate","partial"),INDEX(Fit_Matrix!$B:$B,MATCH(P1668,Fit_Matrix!$A:$A,0)))),"CHECK KEY"))</f>
        <v/>
      </c>
      <c r="U1668" s="10" t="n"/>
      <c r="V1668" s="10" t="n"/>
      <c r="W1668" s="10" t="n"/>
      <c r="X1668" s="10" t="n"/>
      <c r="Y1668" s="10" t="n"/>
      <c r="Z1668" s="10" t="n"/>
      <c r="AA1668" s="11">
        <f>IF(A1668="","",IF(AND(J1668="P4",F1668="causal"),"P4-CAUSAL",""))</f>
        <v/>
      </c>
    </row>
    <row r="1669" ht="15" customHeight="1" s="1">
      <c r="P1669">
        <f>IF(OR(F1669="",H1669="",J1669=""),"",J1669&amp;"|"&amp;F1669&amp;"|"&amp;IF(H1669="W3","W3_"&amp;IF(I1669="","unknown",I1669),H1669))</f>
        <v/>
      </c>
      <c r="Q1669">
        <f>IF(P1669="","",IFERROR(IF(AND(H1669="W7",OR(F1669="causal",F1669="predictive")),IF(AND(OR(K1669=1,K1669="1"),OR(L1669=1,L1669="1"),OR(M1669=1,M1669="1")),"adequate","partial"),IF(AND(H1669="W4",F1669="predictive",OR(J1669="P2",J1669="P3",J1669="P4")),IF(OR(U1669=1,U1669="1"),"adequate","partial"),INDEX(Fit_Matrix!$B:$B,MATCH(P1669,Fit_Matrix!$A:$A,0)))),"CHECK KEY"))</f>
        <v/>
      </c>
      <c r="U1669" s="10" t="n"/>
      <c r="V1669" s="10" t="n"/>
      <c r="W1669" s="10" t="n"/>
      <c r="X1669" s="10" t="n"/>
      <c r="Y1669" s="10" t="n"/>
      <c r="Z1669" s="10" t="n"/>
      <c r="AA1669" s="11">
        <f>IF(A1669="","",IF(AND(J1669="P4",F1669="causal"),"P4-CAUSAL",""))</f>
        <v/>
      </c>
    </row>
    <row r="1670" ht="15" customHeight="1" s="1">
      <c r="P1670">
        <f>IF(OR(F1670="",H1670="",J1670=""),"",J1670&amp;"|"&amp;F1670&amp;"|"&amp;IF(H1670="W3","W3_"&amp;IF(I1670="","unknown",I1670),H1670))</f>
        <v/>
      </c>
      <c r="Q1670">
        <f>IF(P1670="","",IFERROR(IF(AND(H1670="W7",OR(F1670="causal",F1670="predictive")),IF(AND(OR(K1670=1,K1670="1"),OR(L1670=1,L1670="1"),OR(M1670=1,M1670="1")),"adequate","partial"),IF(AND(H1670="W4",F1670="predictive",OR(J1670="P2",J1670="P3",J1670="P4")),IF(OR(U1670=1,U1670="1"),"adequate","partial"),INDEX(Fit_Matrix!$B:$B,MATCH(P1670,Fit_Matrix!$A:$A,0)))),"CHECK KEY"))</f>
        <v/>
      </c>
      <c r="U1670" s="10" t="n"/>
      <c r="V1670" s="10" t="n"/>
      <c r="W1670" s="10" t="n"/>
      <c r="X1670" s="10" t="n"/>
      <c r="Y1670" s="10" t="n"/>
      <c r="Z1670" s="10" t="n"/>
      <c r="AA1670" s="11">
        <f>IF(A1670="","",IF(AND(J1670="P4",F1670="causal"),"P4-CAUSAL",""))</f>
        <v/>
      </c>
    </row>
    <row r="1671" ht="15" customHeight="1" s="1">
      <c r="P1671">
        <f>IF(OR(F1671="",H1671="",J1671=""),"",J1671&amp;"|"&amp;F1671&amp;"|"&amp;IF(H1671="W3","W3_"&amp;IF(I1671="","unknown",I1671),H1671))</f>
        <v/>
      </c>
      <c r="Q1671">
        <f>IF(P1671="","",IFERROR(IF(AND(H1671="W7",OR(F1671="causal",F1671="predictive")),IF(AND(OR(K1671=1,K1671="1"),OR(L1671=1,L1671="1"),OR(M1671=1,M1671="1")),"adequate","partial"),IF(AND(H1671="W4",F1671="predictive",OR(J1671="P2",J1671="P3",J1671="P4")),IF(OR(U1671=1,U1671="1"),"adequate","partial"),INDEX(Fit_Matrix!$B:$B,MATCH(P1671,Fit_Matrix!$A:$A,0)))),"CHECK KEY"))</f>
        <v/>
      </c>
      <c r="U1671" s="10" t="n"/>
      <c r="V1671" s="10" t="n"/>
      <c r="W1671" s="10" t="n"/>
      <c r="X1671" s="10" t="n"/>
      <c r="Y1671" s="10" t="n"/>
      <c r="Z1671" s="10" t="n"/>
      <c r="AA1671" s="11">
        <f>IF(A1671="","",IF(AND(J1671="P4",F1671="causal"),"P4-CAUSAL",""))</f>
        <v/>
      </c>
    </row>
    <row r="1672" ht="15" customHeight="1" s="1">
      <c r="P1672">
        <f>IF(OR(F1672="",H1672="",J1672=""),"",J1672&amp;"|"&amp;F1672&amp;"|"&amp;IF(H1672="W3","W3_"&amp;IF(I1672="","unknown",I1672),H1672))</f>
        <v/>
      </c>
      <c r="Q1672">
        <f>IF(P1672="","",IFERROR(IF(AND(H1672="W7",OR(F1672="causal",F1672="predictive")),IF(AND(OR(K1672=1,K1672="1"),OR(L1672=1,L1672="1"),OR(M1672=1,M1672="1")),"adequate","partial"),IF(AND(H1672="W4",F1672="predictive",OR(J1672="P2",J1672="P3",J1672="P4")),IF(OR(U1672=1,U1672="1"),"adequate","partial"),INDEX(Fit_Matrix!$B:$B,MATCH(P1672,Fit_Matrix!$A:$A,0)))),"CHECK KEY"))</f>
        <v/>
      </c>
      <c r="U1672" s="10" t="n"/>
      <c r="V1672" s="10" t="n"/>
      <c r="W1672" s="10" t="n"/>
      <c r="X1672" s="10" t="n"/>
      <c r="Y1672" s="10" t="n"/>
      <c r="Z1672" s="10" t="n"/>
      <c r="AA1672" s="11">
        <f>IF(A1672="","",IF(AND(J1672="P4",F1672="causal"),"P4-CAUSAL",""))</f>
        <v/>
      </c>
    </row>
    <row r="1673" ht="15" customHeight="1" s="1">
      <c r="P1673">
        <f>IF(OR(F1673="",H1673="",J1673=""),"",J1673&amp;"|"&amp;F1673&amp;"|"&amp;IF(H1673="W3","W3_"&amp;IF(I1673="","unknown",I1673),H1673))</f>
        <v/>
      </c>
      <c r="Q1673">
        <f>IF(P1673="","",IFERROR(IF(AND(H1673="W7",OR(F1673="causal",F1673="predictive")),IF(AND(OR(K1673=1,K1673="1"),OR(L1673=1,L1673="1"),OR(M1673=1,M1673="1")),"adequate","partial"),IF(AND(H1673="W4",F1673="predictive",OR(J1673="P2",J1673="P3",J1673="P4")),IF(OR(U1673=1,U1673="1"),"adequate","partial"),INDEX(Fit_Matrix!$B:$B,MATCH(P1673,Fit_Matrix!$A:$A,0)))),"CHECK KEY"))</f>
        <v/>
      </c>
      <c r="U1673" s="10" t="n"/>
      <c r="V1673" s="10" t="n"/>
      <c r="W1673" s="10" t="n"/>
      <c r="X1673" s="10" t="n"/>
      <c r="Y1673" s="10" t="n"/>
      <c r="Z1673" s="10" t="n"/>
      <c r="AA1673" s="11">
        <f>IF(A1673="","",IF(AND(J1673="P4",F1673="causal"),"P4-CAUSAL",""))</f>
        <v/>
      </c>
    </row>
    <row r="1674" ht="15" customHeight="1" s="1">
      <c r="P1674">
        <f>IF(OR(F1674="",H1674="",J1674=""),"",J1674&amp;"|"&amp;F1674&amp;"|"&amp;IF(H1674="W3","W3_"&amp;IF(I1674="","unknown",I1674),H1674))</f>
        <v/>
      </c>
      <c r="Q1674">
        <f>IF(P1674="","",IFERROR(IF(AND(H1674="W7",OR(F1674="causal",F1674="predictive")),IF(AND(OR(K1674=1,K1674="1"),OR(L1674=1,L1674="1"),OR(M1674=1,M1674="1")),"adequate","partial"),IF(AND(H1674="W4",F1674="predictive",OR(J1674="P2",J1674="P3",J1674="P4")),IF(OR(U1674=1,U1674="1"),"adequate","partial"),INDEX(Fit_Matrix!$B:$B,MATCH(P1674,Fit_Matrix!$A:$A,0)))),"CHECK KEY"))</f>
        <v/>
      </c>
      <c r="U1674" s="10" t="n"/>
      <c r="V1674" s="10" t="n"/>
      <c r="W1674" s="10" t="n"/>
      <c r="X1674" s="10" t="n"/>
      <c r="Y1674" s="10" t="n"/>
      <c r="Z1674" s="10" t="n"/>
      <c r="AA1674" s="11">
        <f>IF(A1674="","",IF(AND(J1674="P4",F1674="causal"),"P4-CAUSAL",""))</f>
        <v/>
      </c>
    </row>
    <row r="1675" ht="15" customHeight="1" s="1">
      <c r="P1675">
        <f>IF(OR(F1675="",H1675="",J1675=""),"",J1675&amp;"|"&amp;F1675&amp;"|"&amp;IF(H1675="W3","W3_"&amp;IF(I1675="","unknown",I1675),H1675))</f>
        <v/>
      </c>
      <c r="Q1675">
        <f>IF(P1675="","",IFERROR(IF(AND(H1675="W7",OR(F1675="causal",F1675="predictive")),IF(AND(OR(K1675=1,K1675="1"),OR(L1675=1,L1675="1"),OR(M1675=1,M1675="1")),"adequate","partial"),IF(AND(H1675="W4",F1675="predictive",OR(J1675="P2",J1675="P3",J1675="P4")),IF(OR(U1675=1,U1675="1"),"adequate","partial"),INDEX(Fit_Matrix!$B:$B,MATCH(P1675,Fit_Matrix!$A:$A,0)))),"CHECK KEY"))</f>
        <v/>
      </c>
      <c r="U1675" s="10" t="n"/>
      <c r="V1675" s="10" t="n"/>
      <c r="W1675" s="10" t="n"/>
      <c r="X1675" s="10" t="n"/>
      <c r="Y1675" s="10" t="n"/>
      <c r="Z1675" s="10" t="n"/>
      <c r="AA1675" s="11">
        <f>IF(A1675="","",IF(AND(J1675="P4",F1675="causal"),"P4-CAUSAL",""))</f>
        <v/>
      </c>
    </row>
    <row r="1676" ht="15" customHeight="1" s="1">
      <c r="P1676">
        <f>IF(OR(F1676="",H1676="",J1676=""),"",J1676&amp;"|"&amp;F1676&amp;"|"&amp;IF(H1676="W3","W3_"&amp;IF(I1676="","unknown",I1676),H1676))</f>
        <v/>
      </c>
      <c r="Q1676">
        <f>IF(P1676="","",IFERROR(IF(AND(H1676="W7",OR(F1676="causal",F1676="predictive")),IF(AND(OR(K1676=1,K1676="1"),OR(L1676=1,L1676="1"),OR(M1676=1,M1676="1")),"adequate","partial"),IF(AND(H1676="W4",F1676="predictive",OR(J1676="P2",J1676="P3",J1676="P4")),IF(OR(U1676=1,U1676="1"),"adequate","partial"),INDEX(Fit_Matrix!$B:$B,MATCH(P1676,Fit_Matrix!$A:$A,0)))),"CHECK KEY"))</f>
        <v/>
      </c>
      <c r="U1676" s="10" t="n"/>
      <c r="V1676" s="10" t="n"/>
      <c r="W1676" s="10" t="n"/>
      <c r="X1676" s="10" t="n"/>
      <c r="Y1676" s="10" t="n"/>
      <c r="Z1676" s="10" t="n"/>
      <c r="AA1676" s="11">
        <f>IF(A1676="","",IF(AND(J1676="P4",F1676="causal"),"P4-CAUSAL",""))</f>
        <v/>
      </c>
    </row>
    <row r="1677" ht="15" customHeight="1" s="1">
      <c r="P1677">
        <f>IF(OR(F1677="",H1677="",J1677=""),"",J1677&amp;"|"&amp;F1677&amp;"|"&amp;IF(H1677="W3","W3_"&amp;IF(I1677="","unknown",I1677),H1677))</f>
        <v/>
      </c>
      <c r="Q1677">
        <f>IF(P1677="","",IFERROR(IF(AND(H1677="W7",OR(F1677="causal",F1677="predictive")),IF(AND(OR(K1677=1,K1677="1"),OR(L1677=1,L1677="1"),OR(M1677=1,M1677="1")),"adequate","partial"),IF(AND(H1677="W4",F1677="predictive",OR(J1677="P2",J1677="P3",J1677="P4")),IF(OR(U1677=1,U1677="1"),"adequate","partial"),INDEX(Fit_Matrix!$B:$B,MATCH(P1677,Fit_Matrix!$A:$A,0)))),"CHECK KEY"))</f>
        <v/>
      </c>
      <c r="U1677" s="10" t="n"/>
      <c r="V1677" s="10" t="n"/>
      <c r="W1677" s="10" t="n"/>
      <c r="X1677" s="10" t="n"/>
      <c r="Y1677" s="10" t="n"/>
      <c r="Z1677" s="10" t="n"/>
      <c r="AA1677" s="11">
        <f>IF(A1677="","",IF(AND(J1677="P4",F1677="causal"),"P4-CAUSAL",""))</f>
        <v/>
      </c>
    </row>
    <row r="1678" ht="15" customHeight="1" s="1">
      <c r="P1678">
        <f>IF(OR(F1678="",H1678="",J1678=""),"",J1678&amp;"|"&amp;F1678&amp;"|"&amp;IF(H1678="W3","W3_"&amp;IF(I1678="","unknown",I1678),H1678))</f>
        <v/>
      </c>
      <c r="Q1678">
        <f>IF(P1678="","",IFERROR(IF(AND(H1678="W7",OR(F1678="causal",F1678="predictive")),IF(AND(OR(K1678=1,K1678="1"),OR(L1678=1,L1678="1"),OR(M1678=1,M1678="1")),"adequate","partial"),IF(AND(H1678="W4",F1678="predictive",OR(J1678="P2",J1678="P3",J1678="P4")),IF(OR(U1678=1,U1678="1"),"adequate","partial"),INDEX(Fit_Matrix!$B:$B,MATCH(P1678,Fit_Matrix!$A:$A,0)))),"CHECK KEY"))</f>
        <v/>
      </c>
      <c r="U1678" s="10" t="n"/>
      <c r="V1678" s="10" t="n"/>
      <c r="W1678" s="10" t="n"/>
      <c r="X1678" s="10" t="n"/>
      <c r="Y1678" s="10" t="n"/>
      <c r="Z1678" s="10" t="n"/>
      <c r="AA1678" s="11">
        <f>IF(A1678="","",IF(AND(J1678="P4",F1678="causal"),"P4-CAUSAL",""))</f>
        <v/>
      </c>
    </row>
    <row r="1679" ht="15" customHeight="1" s="1">
      <c r="P1679">
        <f>IF(OR(F1679="",H1679="",J1679=""),"",J1679&amp;"|"&amp;F1679&amp;"|"&amp;IF(H1679="W3","W3_"&amp;IF(I1679="","unknown",I1679),H1679))</f>
        <v/>
      </c>
      <c r="Q1679">
        <f>IF(P1679="","",IFERROR(IF(AND(H1679="W7",OR(F1679="causal",F1679="predictive")),IF(AND(OR(K1679=1,K1679="1"),OR(L1679=1,L1679="1"),OR(M1679=1,M1679="1")),"adequate","partial"),IF(AND(H1679="W4",F1679="predictive",OR(J1679="P2",J1679="P3",J1679="P4")),IF(OR(U1679=1,U1679="1"),"adequate","partial"),INDEX(Fit_Matrix!$B:$B,MATCH(P1679,Fit_Matrix!$A:$A,0)))),"CHECK KEY"))</f>
        <v/>
      </c>
      <c r="U1679" s="10" t="n"/>
      <c r="V1679" s="10" t="n"/>
      <c r="W1679" s="10" t="n"/>
      <c r="X1679" s="10" t="n"/>
      <c r="Y1679" s="10" t="n"/>
      <c r="Z1679" s="10" t="n"/>
      <c r="AA1679" s="11">
        <f>IF(A1679="","",IF(AND(J1679="P4",F1679="causal"),"P4-CAUSAL",""))</f>
        <v/>
      </c>
    </row>
    <row r="1680" ht="15" customHeight="1" s="1">
      <c r="P1680">
        <f>IF(OR(F1680="",H1680="",J1680=""),"",J1680&amp;"|"&amp;F1680&amp;"|"&amp;IF(H1680="W3","W3_"&amp;IF(I1680="","unknown",I1680),H1680))</f>
        <v/>
      </c>
      <c r="Q1680">
        <f>IF(P1680="","",IFERROR(IF(AND(H1680="W7",OR(F1680="causal",F1680="predictive")),IF(AND(OR(K1680=1,K1680="1"),OR(L1680=1,L1680="1"),OR(M1680=1,M1680="1")),"adequate","partial"),IF(AND(H1680="W4",F1680="predictive",OR(J1680="P2",J1680="P3",J1680="P4")),IF(OR(U1680=1,U1680="1"),"adequate","partial"),INDEX(Fit_Matrix!$B:$B,MATCH(P1680,Fit_Matrix!$A:$A,0)))),"CHECK KEY"))</f>
        <v/>
      </c>
      <c r="U1680" s="10" t="n"/>
      <c r="V1680" s="10" t="n"/>
      <c r="W1680" s="10" t="n"/>
      <c r="X1680" s="10" t="n"/>
      <c r="Y1680" s="10" t="n"/>
      <c r="Z1680" s="10" t="n"/>
      <c r="AA1680" s="11">
        <f>IF(A1680="","",IF(AND(J1680="P4",F1680="causal"),"P4-CAUSAL",""))</f>
        <v/>
      </c>
    </row>
    <row r="1681" ht="15" customHeight="1" s="1">
      <c r="P1681">
        <f>IF(OR(F1681="",H1681="",J1681=""),"",J1681&amp;"|"&amp;F1681&amp;"|"&amp;IF(H1681="W3","W3_"&amp;IF(I1681="","unknown",I1681),H1681))</f>
        <v/>
      </c>
      <c r="Q1681">
        <f>IF(P1681="","",IFERROR(IF(AND(H1681="W7",OR(F1681="causal",F1681="predictive")),IF(AND(OR(K1681=1,K1681="1"),OR(L1681=1,L1681="1"),OR(M1681=1,M1681="1")),"adequate","partial"),IF(AND(H1681="W4",F1681="predictive",OR(J1681="P2",J1681="P3",J1681="P4")),IF(OR(U1681=1,U1681="1"),"adequate","partial"),INDEX(Fit_Matrix!$B:$B,MATCH(P1681,Fit_Matrix!$A:$A,0)))),"CHECK KEY"))</f>
        <v/>
      </c>
      <c r="U1681" s="10" t="n"/>
      <c r="V1681" s="10" t="n"/>
      <c r="W1681" s="10" t="n"/>
      <c r="X1681" s="10" t="n"/>
      <c r="Y1681" s="10" t="n"/>
      <c r="Z1681" s="10" t="n"/>
      <c r="AA1681" s="11">
        <f>IF(A1681="","",IF(AND(J1681="P4",F1681="causal"),"P4-CAUSAL",""))</f>
        <v/>
      </c>
    </row>
    <row r="1682" ht="15" customHeight="1" s="1">
      <c r="P1682">
        <f>IF(OR(F1682="",H1682="",J1682=""),"",J1682&amp;"|"&amp;F1682&amp;"|"&amp;IF(H1682="W3","W3_"&amp;IF(I1682="","unknown",I1682),H1682))</f>
        <v/>
      </c>
      <c r="Q1682">
        <f>IF(P1682="","",IFERROR(IF(AND(H1682="W7",OR(F1682="causal",F1682="predictive")),IF(AND(OR(K1682=1,K1682="1"),OR(L1682=1,L1682="1"),OR(M1682=1,M1682="1")),"adequate","partial"),IF(AND(H1682="W4",F1682="predictive",OR(J1682="P2",J1682="P3",J1682="P4")),IF(OR(U1682=1,U1682="1"),"adequate","partial"),INDEX(Fit_Matrix!$B:$B,MATCH(P1682,Fit_Matrix!$A:$A,0)))),"CHECK KEY"))</f>
        <v/>
      </c>
      <c r="U1682" s="10" t="n"/>
      <c r="V1682" s="10" t="n"/>
      <c r="W1682" s="10" t="n"/>
      <c r="X1682" s="10" t="n"/>
      <c r="Y1682" s="10" t="n"/>
      <c r="Z1682" s="10" t="n"/>
      <c r="AA1682" s="11">
        <f>IF(A1682="","",IF(AND(J1682="P4",F1682="causal"),"P4-CAUSAL",""))</f>
        <v/>
      </c>
    </row>
    <row r="1683" ht="15" customHeight="1" s="1">
      <c r="P1683">
        <f>IF(OR(F1683="",H1683="",J1683=""),"",J1683&amp;"|"&amp;F1683&amp;"|"&amp;IF(H1683="W3","W3_"&amp;IF(I1683="","unknown",I1683),H1683))</f>
        <v/>
      </c>
      <c r="Q1683">
        <f>IF(P1683="","",IFERROR(IF(AND(H1683="W7",OR(F1683="causal",F1683="predictive")),IF(AND(OR(K1683=1,K1683="1"),OR(L1683=1,L1683="1"),OR(M1683=1,M1683="1")),"adequate","partial"),IF(AND(H1683="W4",F1683="predictive",OR(J1683="P2",J1683="P3",J1683="P4")),IF(OR(U1683=1,U1683="1"),"adequate","partial"),INDEX(Fit_Matrix!$B:$B,MATCH(P1683,Fit_Matrix!$A:$A,0)))),"CHECK KEY"))</f>
        <v/>
      </c>
      <c r="U1683" s="10" t="n"/>
      <c r="V1683" s="10" t="n"/>
      <c r="W1683" s="10" t="n"/>
      <c r="X1683" s="10" t="n"/>
      <c r="Y1683" s="10" t="n"/>
      <c r="Z1683" s="10" t="n"/>
      <c r="AA1683" s="11">
        <f>IF(A1683="","",IF(AND(J1683="P4",F1683="causal"),"P4-CAUSAL",""))</f>
        <v/>
      </c>
    </row>
    <row r="1684" ht="15" customHeight="1" s="1">
      <c r="P1684">
        <f>IF(OR(F1684="",H1684="",J1684=""),"",J1684&amp;"|"&amp;F1684&amp;"|"&amp;IF(H1684="W3","W3_"&amp;IF(I1684="","unknown",I1684),H1684))</f>
        <v/>
      </c>
      <c r="Q1684">
        <f>IF(P1684="","",IFERROR(IF(AND(H1684="W7",OR(F1684="causal",F1684="predictive")),IF(AND(OR(K1684=1,K1684="1"),OR(L1684=1,L1684="1"),OR(M1684=1,M1684="1")),"adequate","partial"),IF(AND(H1684="W4",F1684="predictive",OR(J1684="P2",J1684="P3",J1684="P4")),IF(OR(U1684=1,U1684="1"),"adequate","partial"),INDEX(Fit_Matrix!$B:$B,MATCH(P1684,Fit_Matrix!$A:$A,0)))),"CHECK KEY"))</f>
        <v/>
      </c>
      <c r="U1684" s="10" t="n"/>
      <c r="V1684" s="10" t="n"/>
      <c r="W1684" s="10" t="n"/>
      <c r="X1684" s="10" t="n"/>
      <c r="Y1684" s="10" t="n"/>
      <c r="Z1684" s="10" t="n"/>
      <c r="AA1684" s="11">
        <f>IF(A1684="","",IF(AND(J1684="P4",F1684="causal"),"P4-CAUSAL",""))</f>
        <v/>
      </c>
    </row>
    <row r="1685" ht="15" customHeight="1" s="1">
      <c r="P1685">
        <f>IF(OR(F1685="",H1685="",J1685=""),"",J1685&amp;"|"&amp;F1685&amp;"|"&amp;IF(H1685="W3","W3_"&amp;IF(I1685="","unknown",I1685),H1685))</f>
        <v/>
      </c>
      <c r="Q1685">
        <f>IF(P1685="","",IFERROR(IF(AND(H1685="W7",OR(F1685="causal",F1685="predictive")),IF(AND(OR(K1685=1,K1685="1"),OR(L1685=1,L1685="1"),OR(M1685=1,M1685="1")),"adequate","partial"),IF(AND(H1685="W4",F1685="predictive",OR(J1685="P2",J1685="P3",J1685="P4")),IF(OR(U1685=1,U1685="1"),"adequate","partial"),INDEX(Fit_Matrix!$B:$B,MATCH(P1685,Fit_Matrix!$A:$A,0)))),"CHECK KEY"))</f>
        <v/>
      </c>
      <c r="U1685" s="10" t="n"/>
      <c r="V1685" s="10" t="n"/>
      <c r="W1685" s="10" t="n"/>
      <c r="X1685" s="10" t="n"/>
      <c r="Y1685" s="10" t="n"/>
      <c r="Z1685" s="10" t="n"/>
      <c r="AA1685" s="11">
        <f>IF(A1685="","",IF(AND(J1685="P4",F1685="causal"),"P4-CAUSAL",""))</f>
        <v/>
      </c>
    </row>
    <row r="1686" ht="15" customHeight="1" s="1">
      <c r="P1686">
        <f>IF(OR(F1686="",H1686="",J1686=""),"",J1686&amp;"|"&amp;F1686&amp;"|"&amp;IF(H1686="W3","W3_"&amp;IF(I1686="","unknown",I1686),H1686))</f>
        <v/>
      </c>
      <c r="Q1686">
        <f>IF(P1686="","",IFERROR(IF(AND(H1686="W7",OR(F1686="causal",F1686="predictive")),IF(AND(OR(K1686=1,K1686="1"),OR(L1686=1,L1686="1"),OR(M1686=1,M1686="1")),"adequate","partial"),IF(AND(H1686="W4",F1686="predictive",OR(J1686="P2",J1686="P3",J1686="P4")),IF(OR(U1686=1,U1686="1"),"adequate","partial"),INDEX(Fit_Matrix!$B:$B,MATCH(P1686,Fit_Matrix!$A:$A,0)))),"CHECK KEY"))</f>
        <v/>
      </c>
      <c r="U1686" s="10" t="n"/>
      <c r="V1686" s="10" t="n"/>
      <c r="W1686" s="10" t="n"/>
      <c r="X1686" s="10" t="n"/>
      <c r="Y1686" s="10" t="n"/>
      <c r="Z1686" s="10" t="n"/>
      <c r="AA1686" s="11">
        <f>IF(A1686="","",IF(AND(J1686="P4",F1686="causal"),"P4-CAUSAL",""))</f>
        <v/>
      </c>
    </row>
    <row r="1687" ht="15" customHeight="1" s="1">
      <c r="P1687">
        <f>IF(OR(F1687="",H1687="",J1687=""),"",J1687&amp;"|"&amp;F1687&amp;"|"&amp;IF(H1687="W3","W3_"&amp;IF(I1687="","unknown",I1687),H1687))</f>
        <v/>
      </c>
      <c r="Q1687">
        <f>IF(P1687="","",IFERROR(IF(AND(H1687="W7",OR(F1687="causal",F1687="predictive")),IF(AND(OR(K1687=1,K1687="1"),OR(L1687=1,L1687="1"),OR(M1687=1,M1687="1")),"adequate","partial"),IF(AND(H1687="W4",F1687="predictive",OR(J1687="P2",J1687="P3",J1687="P4")),IF(OR(U1687=1,U1687="1"),"adequate","partial"),INDEX(Fit_Matrix!$B:$B,MATCH(P1687,Fit_Matrix!$A:$A,0)))),"CHECK KEY"))</f>
        <v/>
      </c>
      <c r="U1687" s="10" t="n"/>
      <c r="V1687" s="10" t="n"/>
      <c r="W1687" s="10" t="n"/>
      <c r="X1687" s="10" t="n"/>
      <c r="Y1687" s="10" t="n"/>
      <c r="Z1687" s="10" t="n"/>
      <c r="AA1687" s="11">
        <f>IF(A1687="","",IF(AND(J1687="P4",F1687="causal"),"P4-CAUSAL",""))</f>
        <v/>
      </c>
    </row>
    <row r="1688" ht="15" customHeight="1" s="1">
      <c r="P1688">
        <f>IF(OR(F1688="",H1688="",J1688=""),"",J1688&amp;"|"&amp;F1688&amp;"|"&amp;IF(H1688="W3","W3_"&amp;IF(I1688="","unknown",I1688),H1688))</f>
        <v/>
      </c>
      <c r="Q1688">
        <f>IF(P1688="","",IFERROR(IF(AND(H1688="W7",OR(F1688="causal",F1688="predictive")),IF(AND(OR(K1688=1,K1688="1"),OR(L1688=1,L1688="1"),OR(M1688=1,M1688="1")),"adequate","partial"),IF(AND(H1688="W4",F1688="predictive",OR(J1688="P2",J1688="P3",J1688="P4")),IF(OR(U1688=1,U1688="1"),"adequate","partial"),INDEX(Fit_Matrix!$B:$B,MATCH(P1688,Fit_Matrix!$A:$A,0)))),"CHECK KEY"))</f>
        <v/>
      </c>
      <c r="U1688" s="10" t="n"/>
      <c r="V1688" s="10" t="n"/>
      <c r="W1688" s="10" t="n"/>
      <c r="X1688" s="10" t="n"/>
      <c r="Y1688" s="10" t="n"/>
      <c r="Z1688" s="10" t="n"/>
      <c r="AA1688" s="11">
        <f>IF(A1688="","",IF(AND(J1688="P4",F1688="causal"),"P4-CAUSAL",""))</f>
        <v/>
      </c>
    </row>
    <row r="1689" ht="15" customHeight="1" s="1">
      <c r="P1689">
        <f>IF(OR(F1689="",H1689="",J1689=""),"",J1689&amp;"|"&amp;F1689&amp;"|"&amp;IF(H1689="W3","W3_"&amp;IF(I1689="","unknown",I1689),H1689))</f>
        <v/>
      </c>
      <c r="Q1689">
        <f>IF(P1689="","",IFERROR(IF(AND(H1689="W7",OR(F1689="causal",F1689="predictive")),IF(AND(OR(K1689=1,K1689="1"),OR(L1689=1,L1689="1"),OR(M1689=1,M1689="1")),"adequate","partial"),IF(AND(H1689="W4",F1689="predictive",OR(J1689="P2",J1689="P3",J1689="P4")),IF(OR(U1689=1,U1689="1"),"adequate","partial"),INDEX(Fit_Matrix!$B:$B,MATCH(P1689,Fit_Matrix!$A:$A,0)))),"CHECK KEY"))</f>
        <v/>
      </c>
      <c r="U1689" s="10" t="n"/>
      <c r="V1689" s="10" t="n"/>
      <c r="W1689" s="10" t="n"/>
      <c r="X1689" s="10" t="n"/>
      <c r="Y1689" s="10" t="n"/>
      <c r="Z1689" s="10" t="n"/>
      <c r="AA1689" s="11">
        <f>IF(A1689="","",IF(AND(J1689="P4",F1689="causal"),"P4-CAUSAL",""))</f>
        <v/>
      </c>
    </row>
    <row r="1690" ht="15" customHeight="1" s="1">
      <c r="P1690">
        <f>IF(OR(F1690="",H1690="",J1690=""),"",J1690&amp;"|"&amp;F1690&amp;"|"&amp;IF(H1690="W3","W3_"&amp;IF(I1690="","unknown",I1690),H1690))</f>
        <v/>
      </c>
      <c r="Q1690">
        <f>IF(P1690="","",IFERROR(IF(AND(H1690="W7",OR(F1690="causal",F1690="predictive")),IF(AND(OR(K1690=1,K1690="1"),OR(L1690=1,L1690="1"),OR(M1690=1,M1690="1")),"adequate","partial"),IF(AND(H1690="W4",F1690="predictive",OR(J1690="P2",J1690="P3",J1690="P4")),IF(OR(U1690=1,U1690="1"),"adequate","partial"),INDEX(Fit_Matrix!$B:$B,MATCH(P1690,Fit_Matrix!$A:$A,0)))),"CHECK KEY"))</f>
        <v/>
      </c>
      <c r="U1690" s="10" t="n"/>
      <c r="V1690" s="10" t="n"/>
      <c r="W1690" s="10" t="n"/>
      <c r="X1690" s="10" t="n"/>
      <c r="Y1690" s="10" t="n"/>
      <c r="Z1690" s="10" t="n"/>
      <c r="AA1690" s="11">
        <f>IF(A1690="","",IF(AND(J1690="P4",F1690="causal"),"P4-CAUSAL",""))</f>
        <v/>
      </c>
    </row>
    <row r="1691" ht="15" customHeight="1" s="1">
      <c r="P1691">
        <f>IF(OR(F1691="",H1691="",J1691=""),"",J1691&amp;"|"&amp;F1691&amp;"|"&amp;IF(H1691="W3","W3_"&amp;IF(I1691="","unknown",I1691),H1691))</f>
        <v/>
      </c>
      <c r="Q1691">
        <f>IF(P1691="","",IFERROR(IF(AND(H1691="W7",OR(F1691="causal",F1691="predictive")),IF(AND(OR(K1691=1,K1691="1"),OR(L1691=1,L1691="1"),OR(M1691=1,M1691="1")),"adequate","partial"),IF(AND(H1691="W4",F1691="predictive",OR(J1691="P2",J1691="P3",J1691="P4")),IF(OR(U1691=1,U1691="1"),"adequate","partial"),INDEX(Fit_Matrix!$B:$B,MATCH(P1691,Fit_Matrix!$A:$A,0)))),"CHECK KEY"))</f>
        <v/>
      </c>
      <c r="U1691" s="10" t="n"/>
      <c r="V1691" s="10" t="n"/>
      <c r="W1691" s="10" t="n"/>
      <c r="X1691" s="10" t="n"/>
      <c r="Y1691" s="10" t="n"/>
      <c r="Z1691" s="10" t="n"/>
      <c r="AA1691" s="11">
        <f>IF(A1691="","",IF(AND(J1691="P4",F1691="causal"),"P4-CAUSAL",""))</f>
        <v/>
      </c>
    </row>
    <row r="1692" ht="15" customHeight="1" s="1">
      <c r="P1692">
        <f>IF(OR(F1692="",H1692="",J1692=""),"",J1692&amp;"|"&amp;F1692&amp;"|"&amp;IF(H1692="W3","W3_"&amp;IF(I1692="","unknown",I1692),H1692))</f>
        <v/>
      </c>
      <c r="Q1692">
        <f>IF(P1692="","",IFERROR(IF(AND(H1692="W7",OR(F1692="causal",F1692="predictive")),IF(AND(OR(K1692=1,K1692="1"),OR(L1692=1,L1692="1"),OR(M1692=1,M1692="1")),"adequate","partial"),IF(AND(H1692="W4",F1692="predictive",OR(J1692="P2",J1692="P3",J1692="P4")),IF(OR(U1692=1,U1692="1"),"adequate","partial"),INDEX(Fit_Matrix!$B:$B,MATCH(P1692,Fit_Matrix!$A:$A,0)))),"CHECK KEY"))</f>
        <v/>
      </c>
      <c r="U1692" s="10" t="n"/>
      <c r="V1692" s="10" t="n"/>
      <c r="W1692" s="10" t="n"/>
      <c r="X1692" s="10" t="n"/>
      <c r="Y1692" s="10" t="n"/>
      <c r="Z1692" s="10" t="n"/>
      <c r="AA1692" s="11">
        <f>IF(A1692="","",IF(AND(J1692="P4",F1692="causal"),"P4-CAUSAL",""))</f>
        <v/>
      </c>
    </row>
    <row r="1693" ht="15" customHeight="1" s="1">
      <c r="P1693">
        <f>IF(OR(F1693="",H1693="",J1693=""),"",J1693&amp;"|"&amp;F1693&amp;"|"&amp;IF(H1693="W3","W3_"&amp;IF(I1693="","unknown",I1693),H1693))</f>
        <v/>
      </c>
      <c r="Q1693">
        <f>IF(P1693="","",IFERROR(IF(AND(H1693="W7",OR(F1693="causal",F1693="predictive")),IF(AND(OR(K1693=1,K1693="1"),OR(L1693=1,L1693="1"),OR(M1693=1,M1693="1")),"adequate","partial"),IF(AND(H1693="W4",F1693="predictive",OR(J1693="P2",J1693="P3",J1693="P4")),IF(OR(U1693=1,U1693="1"),"adequate","partial"),INDEX(Fit_Matrix!$B:$B,MATCH(P1693,Fit_Matrix!$A:$A,0)))),"CHECK KEY"))</f>
        <v/>
      </c>
      <c r="U1693" s="10" t="n"/>
      <c r="V1693" s="10" t="n"/>
      <c r="W1693" s="10" t="n"/>
      <c r="X1693" s="10" t="n"/>
      <c r="Y1693" s="10" t="n"/>
      <c r="Z1693" s="10" t="n"/>
      <c r="AA1693" s="11">
        <f>IF(A1693="","",IF(AND(J1693="P4",F1693="causal"),"P4-CAUSAL",""))</f>
        <v/>
      </c>
    </row>
    <row r="1694" ht="15" customHeight="1" s="1">
      <c r="P1694">
        <f>IF(OR(F1694="",H1694="",J1694=""),"",J1694&amp;"|"&amp;F1694&amp;"|"&amp;IF(H1694="W3","W3_"&amp;IF(I1694="","unknown",I1694),H1694))</f>
        <v/>
      </c>
      <c r="Q1694">
        <f>IF(P1694="","",IFERROR(IF(AND(H1694="W7",OR(F1694="causal",F1694="predictive")),IF(AND(OR(K1694=1,K1694="1"),OR(L1694=1,L1694="1"),OR(M1694=1,M1694="1")),"adequate","partial"),IF(AND(H1694="W4",F1694="predictive",OR(J1694="P2",J1694="P3",J1694="P4")),IF(OR(U1694=1,U1694="1"),"adequate","partial"),INDEX(Fit_Matrix!$B:$B,MATCH(P1694,Fit_Matrix!$A:$A,0)))),"CHECK KEY"))</f>
        <v/>
      </c>
      <c r="U1694" s="10" t="n"/>
      <c r="V1694" s="10" t="n"/>
      <c r="W1694" s="10" t="n"/>
      <c r="X1694" s="10" t="n"/>
      <c r="Y1694" s="10" t="n"/>
      <c r="Z1694" s="10" t="n"/>
      <c r="AA1694" s="11">
        <f>IF(A1694="","",IF(AND(J1694="P4",F1694="causal"),"P4-CAUSAL",""))</f>
        <v/>
      </c>
    </row>
    <row r="1695" ht="15" customHeight="1" s="1">
      <c r="P1695">
        <f>IF(OR(F1695="",H1695="",J1695=""),"",J1695&amp;"|"&amp;F1695&amp;"|"&amp;IF(H1695="W3","W3_"&amp;IF(I1695="","unknown",I1695),H1695))</f>
        <v/>
      </c>
      <c r="Q1695">
        <f>IF(P1695="","",IFERROR(IF(AND(H1695="W7",OR(F1695="causal",F1695="predictive")),IF(AND(OR(K1695=1,K1695="1"),OR(L1695=1,L1695="1"),OR(M1695=1,M1695="1")),"adequate","partial"),IF(AND(H1695="W4",F1695="predictive",OR(J1695="P2",J1695="P3",J1695="P4")),IF(OR(U1695=1,U1695="1"),"adequate","partial"),INDEX(Fit_Matrix!$B:$B,MATCH(P1695,Fit_Matrix!$A:$A,0)))),"CHECK KEY"))</f>
        <v/>
      </c>
      <c r="U1695" s="10" t="n"/>
      <c r="V1695" s="10" t="n"/>
      <c r="W1695" s="10" t="n"/>
      <c r="X1695" s="10" t="n"/>
      <c r="Y1695" s="10" t="n"/>
      <c r="Z1695" s="10" t="n"/>
      <c r="AA1695" s="11">
        <f>IF(A1695="","",IF(AND(J1695="P4",F1695="causal"),"P4-CAUSAL",""))</f>
        <v/>
      </c>
    </row>
    <row r="1696" ht="15" customHeight="1" s="1">
      <c r="P1696">
        <f>IF(OR(F1696="",H1696="",J1696=""),"",J1696&amp;"|"&amp;F1696&amp;"|"&amp;IF(H1696="W3","W3_"&amp;IF(I1696="","unknown",I1696),H1696))</f>
        <v/>
      </c>
      <c r="Q1696">
        <f>IF(P1696="","",IFERROR(IF(AND(H1696="W7",OR(F1696="causal",F1696="predictive")),IF(AND(OR(K1696=1,K1696="1"),OR(L1696=1,L1696="1"),OR(M1696=1,M1696="1")),"adequate","partial"),IF(AND(H1696="W4",F1696="predictive",OR(J1696="P2",J1696="P3",J1696="P4")),IF(OR(U1696=1,U1696="1"),"adequate","partial"),INDEX(Fit_Matrix!$B:$B,MATCH(P1696,Fit_Matrix!$A:$A,0)))),"CHECK KEY"))</f>
        <v/>
      </c>
      <c r="U1696" s="10" t="n"/>
      <c r="V1696" s="10" t="n"/>
      <c r="W1696" s="10" t="n"/>
      <c r="X1696" s="10" t="n"/>
      <c r="Y1696" s="10" t="n"/>
      <c r="Z1696" s="10" t="n"/>
      <c r="AA1696" s="11">
        <f>IF(A1696="","",IF(AND(J1696="P4",F1696="causal"),"P4-CAUSAL",""))</f>
        <v/>
      </c>
    </row>
    <row r="1697" ht="15" customHeight="1" s="1">
      <c r="P1697">
        <f>IF(OR(F1697="",H1697="",J1697=""),"",J1697&amp;"|"&amp;F1697&amp;"|"&amp;IF(H1697="W3","W3_"&amp;IF(I1697="","unknown",I1697),H1697))</f>
        <v/>
      </c>
      <c r="Q1697">
        <f>IF(P1697="","",IFERROR(IF(AND(H1697="W7",OR(F1697="causal",F1697="predictive")),IF(AND(OR(K1697=1,K1697="1"),OR(L1697=1,L1697="1"),OR(M1697=1,M1697="1")),"adequate","partial"),IF(AND(H1697="W4",F1697="predictive",OR(J1697="P2",J1697="P3",J1697="P4")),IF(OR(U1697=1,U1697="1"),"adequate","partial"),INDEX(Fit_Matrix!$B:$B,MATCH(P1697,Fit_Matrix!$A:$A,0)))),"CHECK KEY"))</f>
        <v/>
      </c>
      <c r="U1697" s="10" t="n"/>
      <c r="V1697" s="10" t="n"/>
      <c r="W1697" s="10" t="n"/>
      <c r="X1697" s="10" t="n"/>
      <c r="Y1697" s="10" t="n"/>
      <c r="Z1697" s="10" t="n"/>
      <c r="AA1697" s="11">
        <f>IF(A1697="","",IF(AND(J1697="P4",F1697="causal"),"P4-CAUSAL",""))</f>
        <v/>
      </c>
    </row>
    <row r="1698" ht="15" customHeight="1" s="1">
      <c r="P1698">
        <f>IF(OR(F1698="",H1698="",J1698=""),"",J1698&amp;"|"&amp;F1698&amp;"|"&amp;IF(H1698="W3","W3_"&amp;IF(I1698="","unknown",I1698),H1698))</f>
        <v/>
      </c>
      <c r="Q1698">
        <f>IF(P1698="","",IFERROR(IF(AND(H1698="W7",OR(F1698="causal",F1698="predictive")),IF(AND(OR(K1698=1,K1698="1"),OR(L1698=1,L1698="1"),OR(M1698=1,M1698="1")),"adequate","partial"),IF(AND(H1698="W4",F1698="predictive",OR(J1698="P2",J1698="P3",J1698="P4")),IF(OR(U1698=1,U1698="1"),"adequate","partial"),INDEX(Fit_Matrix!$B:$B,MATCH(P1698,Fit_Matrix!$A:$A,0)))),"CHECK KEY"))</f>
        <v/>
      </c>
      <c r="U1698" s="10" t="n"/>
      <c r="V1698" s="10" t="n"/>
      <c r="W1698" s="10" t="n"/>
      <c r="X1698" s="10" t="n"/>
      <c r="Y1698" s="10" t="n"/>
      <c r="Z1698" s="10" t="n"/>
      <c r="AA1698" s="11">
        <f>IF(A1698="","",IF(AND(J1698="P4",F1698="causal"),"P4-CAUSAL",""))</f>
        <v/>
      </c>
    </row>
    <row r="1699" ht="15" customHeight="1" s="1">
      <c r="P1699">
        <f>IF(OR(F1699="",H1699="",J1699=""),"",J1699&amp;"|"&amp;F1699&amp;"|"&amp;IF(H1699="W3","W3_"&amp;IF(I1699="","unknown",I1699),H1699))</f>
        <v/>
      </c>
      <c r="Q1699">
        <f>IF(P1699="","",IFERROR(IF(AND(H1699="W7",OR(F1699="causal",F1699="predictive")),IF(AND(OR(K1699=1,K1699="1"),OR(L1699=1,L1699="1"),OR(M1699=1,M1699="1")),"adequate","partial"),IF(AND(H1699="W4",F1699="predictive",OR(J1699="P2",J1699="P3",J1699="P4")),IF(OR(U1699=1,U1699="1"),"adequate","partial"),INDEX(Fit_Matrix!$B:$B,MATCH(P1699,Fit_Matrix!$A:$A,0)))),"CHECK KEY"))</f>
        <v/>
      </c>
      <c r="U1699" s="10" t="n"/>
      <c r="V1699" s="10" t="n"/>
      <c r="W1699" s="10" t="n"/>
      <c r="X1699" s="10" t="n"/>
      <c r="Y1699" s="10" t="n"/>
      <c r="Z1699" s="10" t="n"/>
      <c r="AA1699" s="11">
        <f>IF(A1699="","",IF(AND(J1699="P4",F1699="causal"),"P4-CAUSAL",""))</f>
        <v/>
      </c>
    </row>
    <row r="1700" ht="15" customHeight="1" s="1">
      <c r="P1700">
        <f>IF(OR(F1700="",H1700="",J1700=""),"",J1700&amp;"|"&amp;F1700&amp;"|"&amp;IF(H1700="W3","W3_"&amp;IF(I1700="","unknown",I1700),H1700))</f>
        <v/>
      </c>
      <c r="Q1700">
        <f>IF(P1700="","",IFERROR(IF(AND(H1700="W7",OR(F1700="causal",F1700="predictive")),IF(AND(OR(K1700=1,K1700="1"),OR(L1700=1,L1700="1"),OR(M1700=1,M1700="1")),"adequate","partial"),IF(AND(H1700="W4",F1700="predictive",OR(J1700="P2",J1700="P3",J1700="P4")),IF(OR(U1700=1,U1700="1"),"adequate","partial"),INDEX(Fit_Matrix!$B:$B,MATCH(P1700,Fit_Matrix!$A:$A,0)))),"CHECK KEY"))</f>
        <v/>
      </c>
      <c r="U1700" s="10" t="n"/>
      <c r="V1700" s="10" t="n"/>
      <c r="W1700" s="10" t="n"/>
      <c r="X1700" s="10" t="n"/>
      <c r="Y1700" s="10" t="n"/>
      <c r="Z1700" s="10" t="n"/>
      <c r="AA1700" s="11">
        <f>IF(A1700="","",IF(AND(J1700="P4",F1700="causal"),"P4-CAUSAL",""))</f>
        <v/>
      </c>
    </row>
    <row r="1701" ht="15" customHeight="1" s="1">
      <c r="P1701">
        <f>IF(OR(F1701="",H1701="",J1701=""),"",J1701&amp;"|"&amp;F1701&amp;"|"&amp;IF(H1701="W3","W3_"&amp;IF(I1701="","unknown",I1701),H1701))</f>
        <v/>
      </c>
      <c r="Q1701">
        <f>IF(P1701="","",IFERROR(IF(AND(H1701="W7",OR(F1701="causal",F1701="predictive")),IF(AND(OR(K1701=1,K1701="1"),OR(L1701=1,L1701="1"),OR(M1701=1,M1701="1")),"adequate","partial"),IF(AND(H1701="W4",F1701="predictive",OR(J1701="P2",J1701="P3",J1701="P4")),IF(OR(U1701=1,U1701="1"),"adequate","partial"),INDEX(Fit_Matrix!$B:$B,MATCH(P1701,Fit_Matrix!$A:$A,0)))),"CHECK KEY"))</f>
        <v/>
      </c>
      <c r="U1701" s="10" t="n"/>
      <c r="V1701" s="10" t="n"/>
      <c r="W1701" s="10" t="n"/>
      <c r="X1701" s="10" t="n"/>
      <c r="Y1701" s="10" t="n"/>
      <c r="Z1701" s="10" t="n"/>
      <c r="AA1701" s="11">
        <f>IF(A1701="","",IF(AND(J1701="P4",F1701="causal"),"P4-CAUSAL",""))</f>
        <v/>
      </c>
    </row>
    <row r="1702" ht="15" customHeight="1" s="1">
      <c r="P1702">
        <f>IF(OR(F1702="",H1702="",J1702=""),"",J1702&amp;"|"&amp;F1702&amp;"|"&amp;IF(H1702="W3","W3_"&amp;IF(I1702="","unknown",I1702),H1702))</f>
        <v/>
      </c>
      <c r="Q1702">
        <f>IF(P1702="","",IFERROR(IF(AND(H1702="W7",OR(F1702="causal",F1702="predictive")),IF(AND(OR(K1702=1,K1702="1"),OR(L1702=1,L1702="1"),OR(M1702=1,M1702="1")),"adequate","partial"),IF(AND(H1702="W4",F1702="predictive",OR(J1702="P2",J1702="P3",J1702="P4")),IF(OR(U1702=1,U1702="1"),"adequate","partial"),INDEX(Fit_Matrix!$B:$B,MATCH(P1702,Fit_Matrix!$A:$A,0)))),"CHECK KEY"))</f>
        <v/>
      </c>
      <c r="U1702" s="10" t="n"/>
      <c r="V1702" s="10" t="n"/>
      <c r="W1702" s="10" t="n"/>
      <c r="X1702" s="10" t="n"/>
      <c r="Y1702" s="10" t="n"/>
      <c r="Z1702" s="10" t="n"/>
      <c r="AA1702" s="11">
        <f>IF(A1702="","",IF(AND(J1702="P4",F1702="causal"),"P4-CAUSAL",""))</f>
        <v/>
      </c>
    </row>
    <row r="1703" ht="15" customHeight="1" s="1">
      <c r="P1703">
        <f>IF(OR(F1703="",H1703="",J1703=""),"",J1703&amp;"|"&amp;F1703&amp;"|"&amp;IF(H1703="W3","W3_"&amp;IF(I1703="","unknown",I1703),H1703))</f>
        <v/>
      </c>
      <c r="Q1703">
        <f>IF(P1703="","",IFERROR(IF(AND(H1703="W7",OR(F1703="causal",F1703="predictive")),IF(AND(OR(K1703=1,K1703="1"),OR(L1703=1,L1703="1"),OR(M1703=1,M1703="1")),"adequate","partial"),IF(AND(H1703="W4",F1703="predictive",OR(J1703="P2",J1703="P3",J1703="P4")),IF(OR(U1703=1,U1703="1"),"adequate","partial"),INDEX(Fit_Matrix!$B:$B,MATCH(P1703,Fit_Matrix!$A:$A,0)))),"CHECK KEY"))</f>
        <v/>
      </c>
      <c r="U1703" s="10" t="n"/>
      <c r="V1703" s="10" t="n"/>
      <c r="W1703" s="10" t="n"/>
      <c r="X1703" s="10" t="n"/>
      <c r="Y1703" s="10" t="n"/>
      <c r="Z1703" s="10" t="n"/>
      <c r="AA1703" s="11">
        <f>IF(A1703="","",IF(AND(J1703="P4",F1703="causal"),"P4-CAUSAL",""))</f>
        <v/>
      </c>
    </row>
    <row r="1704" ht="15" customHeight="1" s="1">
      <c r="P1704">
        <f>IF(OR(F1704="",H1704="",J1704=""),"",J1704&amp;"|"&amp;F1704&amp;"|"&amp;IF(H1704="W3","W3_"&amp;IF(I1704="","unknown",I1704),H1704))</f>
        <v/>
      </c>
      <c r="Q1704">
        <f>IF(P1704="","",IFERROR(IF(AND(H1704="W7",OR(F1704="causal",F1704="predictive")),IF(AND(OR(K1704=1,K1704="1"),OR(L1704=1,L1704="1"),OR(M1704=1,M1704="1")),"adequate","partial"),IF(AND(H1704="W4",F1704="predictive",OR(J1704="P2",J1704="P3",J1704="P4")),IF(OR(U1704=1,U1704="1"),"adequate","partial"),INDEX(Fit_Matrix!$B:$B,MATCH(P1704,Fit_Matrix!$A:$A,0)))),"CHECK KEY"))</f>
        <v/>
      </c>
      <c r="U1704" s="10" t="n"/>
      <c r="V1704" s="10" t="n"/>
      <c r="W1704" s="10" t="n"/>
      <c r="X1704" s="10" t="n"/>
      <c r="Y1704" s="10" t="n"/>
      <c r="Z1704" s="10" t="n"/>
      <c r="AA1704" s="11">
        <f>IF(A1704="","",IF(AND(J1704="P4",F1704="causal"),"P4-CAUSAL",""))</f>
        <v/>
      </c>
    </row>
    <row r="1705" ht="15" customHeight="1" s="1">
      <c r="P1705">
        <f>IF(OR(F1705="",H1705="",J1705=""),"",J1705&amp;"|"&amp;F1705&amp;"|"&amp;IF(H1705="W3","W3_"&amp;IF(I1705="","unknown",I1705),H1705))</f>
        <v/>
      </c>
      <c r="Q1705">
        <f>IF(P1705="","",IFERROR(IF(AND(H1705="W7",OR(F1705="causal",F1705="predictive")),IF(AND(OR(K1705=1,K1705="1"),OR(L1705=1,L1705="1"),OR(M1705=1,M1705="1")),"adequate","partial"),IF(AND(H1705="W4",F1705="predictive",OR(J1705="P2",J1705="P3",J1705="P4")),IF(OR(U1705=1,U1705="1"),"adequate","partial"),INDEX(Fit_Matrix!$B:$B,MATCH(P1705,Fit_Matrix!$A:$A,0)))),"CHECK KEY"))</f>
        <v/>
      </c>
      <c r="U1705" s="10" t="n"/>
      <c r="V1705" s="10" t="n"/>
      <c r="W1705" s="10" t="n"/>
      <c r="X1705" s="10" t="n"/>
      <c r="Y1705" s="10" t="n"/>
      <c r="Z1705" s="10" t="n"/>
      <c r="AA1705" s="11">
        <f>IF(A1705="","",IF(AND(J1705="P4",F1705="causal"),"P4-CAUSAL",""))</f>
        <v/>
      </c>
    </row>
    <row r="1706" ht="15" customHeight="1" s="1">
      <c r="P1706">
        <f>IF(OR(F1706="",H1706="",J1706=""),"",J1706&amp;"|"&amp;F1706&amp;"|"&amp;IF(H1706="W3","W3_"&amp;IF(I1706="","unknown",I1706),H1706))</f>
        <v/>
      </c>
      <c r="Q1706">
        <f>IF(P1706="","",IFERROR(IF(AND(H1706="W7",OR(F1706="causal",F1706="predictive")),IF(AND(OR(K1706=1,K1706="1"),OR(L1706=1,L1706="1"),OR(M1706=1,M1706="1")),"adequate","partial"),IF(AND(H1706="W4",F1706="predictive",OR(J1706="P2",J1706="P3",J1706="P4")),IF(OR(U1706=1,U1706="1"),"adequate","partial"),INDEX(Fit_Matrix!$B:$B,MATCH(P1706,Fit_Matrix!$A:$A,0)))),"CHECK KEY"))</f>
        <v/>
      </c>
      <c r="U1706" s="10" t="n"/>
      <c r="V1706" s="10" t="n"/>
      <c r="W1706" s="10" t="n"/>
      <c r="X1706" s="10" t="n"/>
      <c r="Y1706" s="10" t="n"/>
      <c r="Z1706" s="10" t="n"/>
      <c r="AA1706" s="11">
        <f>IF(A1706="","",IF(AND(J1706="P4",F1706="causal"),"P4-CAUSAL",""))</f>
        <v/>
      </c>
    </row>
    <row r="1707" ht="15" customHeight="1" s="1">
      <c r="P1707">
        <f>IF(OR(F1707="",H1707="",J1707=""),"",J1707&amp;"|"&amp;F1707&amp;"|"&amp;IF(H1707="W3","W3_"&amp;IF(I1707="","unknown",I1707),H1707))</f>
        <v/>
      </c>
      <c r="Q1707">
        <f>IF(P1707="","",IFERROR(IF(AND(H1707="W7",OR(F1707="causal",F1707="predictive")),IF(AND(OR(K1707=1,K1707="1"),OR(L1707=1,L1707="1"),OR(M1707=1,M1707="1")),"adequate","partial"),IF(AND(H1707="W4",F1707="predictive",OR(J1707="P2",J1707="P3",J1707="P4")),IF(OR(U1707=1,U1707="1"),"adequate","partial"),INDEX(Fit_Matrix!$B:$B,MATCH(P1707,Fit_Matrix!$A:$A,0)))),"CHECK KEY"))</f>
        <v/>
      </c>
      <c r="U1707" s="10" t="n"/>
      <c r="V1707" s="10" t="n"/>
      <c r="W1707" s="10" t="n"/>
      <c r="X1707" s="10" t="n"/>
      <c r="Y1707" s="10" t="n"/>
      <c r="Z1707" s="10" t="n"/>
      <c r="AA1707" s="11">
        <f>IF(A1707="","",IF(AND(J1707="P4",F1707="causal"),"P4-CAUSAL",""))</f>
        <v/>
      </c>
    </row>
    <row r="1708" ht="15" customHeight="1" s="1">
      <c r="P1708">
        <f>IF(OR(F1708="",H1708="",J1708=""),"",J1708&amp;"|"&amp;F1708&amp;"|"&amp;IF(H1708="W3","W3_"&amp;IF(I1708="","unknown",I1708),H1708))</f>
        <v/>
      </c>
      <c r="Q1708">
        <f>IF(P1708="","",IFERROR(IF(AND(H1708="W7",OR(F1708="causal",F1708="predictive")),IF(AND(OR(K1708=1,K1708="1"),OR(L1708=1,L1708="1"),OR(M1708=1,M1708="1")),"adequate","partial"),IF(AND(H1708="W4",F1708="predictive",OR(J1708="P2",J1708="P3",J1708="P4")),IF(OR(U1708=1,U1708="1"),"adequate","partial"),INDEX(Fit_Matrix!$B:$B,MATCH(P1708,Fit_Matrix!$A:$A,0)))),"CHECK KEY"))</f>
        <v/>
      </c>
      <c r="U1708" s="10" t="n"/>
      <c r="V1708" s="10" t="n"/>
      <c r="W1708" s="10" t="n"/>
      <c r="X1708" s="10" t="n"/>
      <c r="Y1708" s="10" t="n"/>
      <c r="Z1708" s="10" t="n"/>
      <c r="AA1708" s="11">
        <f>IF(A1708="","",IF(AND(J1708="P4",F1708="causal"),"P4-CAUSAL",""))</f>
        <v/>
      </c>
    </row>
    <row r="1709" ht="15" customHeight="1" s="1">
      <c r="P1709">
        <f>IF(OR(F1709="",H1709="",J1709=""),"",J1709&amp;"|"&amp;F1709&amp;"|"&amp;IF(H1709="W3","W3_"&amp;IF(I1709="","unknown",I1709),H1709))</f>
        <v/>
      </c>
      <c r="Q1709">
        <f>IF(P1709="","",IFERROR(IF(AND(H1709="W7",OR(F1709="causal",F1709="predictive")),IF(AND(OR(K1709=1,K1709="1"),OR(L1709=1,L1709="1"),OR(M1709=1,M1709="1")),"adequate","partial"),IF(AND(H1709="W4",F1709="predictive",OR(J1709="P2",J1709="P3",J1709="P4")),IF(OR(U1709=1,U1709="1"),"adequate","partial"),INDEX(Fit_Matrix!$B:$B,MATCH(P1709,Fit_Matrix!$A:$A,0)))),"CHECK KEY"))</f>
        <v/>
      </c>
      <c r="U1709" s="10" t="n"/>
      <c r="V1709" s="10" t="n"/>
      <c r="W1709" s="10" t="n"/>
      <c r="X1709" s="10" t="n"/>
      <c r="Y1709" s="10" t="n"/>
      <c r="Z1709" s="10" t="n"/>
      <c r="AA1709" s="11">
        <f>IF(A1709="","",IF(AND(J1709="P4",F1709="causal"),"P4-CAUSAL",""))</f>
        <v/>
      </c>
    </row>
    <row r="1710" ht="15" customHeight="1" s="1">
      <c r="P1710">
        <f>IF(OR(F1710="",H1710="",J1710=""),"",J1710&amp;"|"&amp;F1710&amp;"|"&amp;IF(H1710="W3","W3_"&amp;IF(I1710="","unknown",I1710),H1710))</f>
        <v/>
      </c>
      <c r="Q1710">
        <f>IF(P1710="","",IFERROR(IF(AND(H1710="W7",OR(F1710="causal",F1710="predictive")),IF(AND(OR(K1710=1,K1710="1"),OR(L1710=1,L1710="1"),OR(M1710=1,M1710="1")),"adequate","partial"),IF(AND(H1710="W4",F1710="predictive",OR(J1710="P2",J1710="P3",J1710="P4")),IF(OR(U1710=1,U1710="1"),"adequate","partial"),INDEX(Fit_Matrix!$B:$B,MATCH(P1710,Fit_Matrix!$A:$A,0)))),"CHECK KEY"))</f>
        <v/>
      </c>
      <c r="U1710" s="10" t="n"/>
      <c r="V1710" s="10" t="n"/>
      <c r="W1710" s="10" t="n"/>
      <c r="X1710" s="10" t="n"/>
      <c r="Y1710" s="10" t="n"/>
      <c r="Z1710" s="10" t="n"/>
      <c r="AA1710" s="11">
        <f>IF(A1710="","",IF(AND(J1710="P4",F1710="causal"),"P4-CAUSAL",""))</f>
        <v/>
      </c>
    </row>
    <row r="1711" ht="15" customHeight="1" s="1">
      <c r="P1711">
        <f>IF(OR(F1711="",H1711="",J1711=""),"",J1711&amp;"|"&amp;F1711&amp;"|"&amp;IF(H1711="W3","W3_"&amp;IF(I1711="","unknown",I1711),H1711))</f>
        <v/>
      </c>
      <c r="Q1711">
        <f>IF(P1711="","",IFERROR(IF(AND(H1711="W7",OR(F1711="causal",F1711="predictive")),IF(AND(OR(K1711=1,K1711="1"),OR(L1711=1,L1711="1"),OR(M1711=1,M1711="1")),"adequate","partial"),IF(AND(H1711="W4",F1711="predictive",OR(J1711="P2",J1711="P3",J1711="P4")),IF(OR(U1711=1,U1711="1"),"adequate","partial"),INDEX(Fit_Matrix!$B:$B,MATCH(P1711,Fit_Matrix!$A:$A,0)))),"CHECK KEY"))</f>
        <v/>
      </c>
      <c r="U1711" s="10" t="n"/>
      <c r="V1711" s="10" t="n"/>
      <c r="W1711" s="10" t="n"/>
      <c r="X1711" s="10" t="n"/>
      <c r="Y1711" s="10" t="n"/>
      <c r="Z1711" s="10" t="n"/>
      <c r="AA1711" s="11">
        <f>IF(A1711="","",IF(AND(J1711="P4",F1711="causal"),"P4-CAUSAL",""))</f>
        <v/>
      </c>
    </row>
    <row r="1712" ht="15" customHeight="1" s="1">
      <c r="P1712">
        <f>IF(OR(F1712="",H1712="",J1712=""),"",J1712&amp;"|"&amp;F1712&amp;"|"&amp;IF(H1712="W3","W3_"&amp;IF(I1712="","unknown",I1712),H1712))</f>
        <v/>
      </c>
      <c r="Q1712">
        <f>IF(P1712="","",IFERROR(IF(AND(H1712="W7",OR(F1712="causal",F1712="predictive")),IF(AND(OR(K1712=1,K1712="1"),OR(L1712=1,L1712="1"),OR(M1712=1,M1712="1")),"adequate","partial"),IF(AND(H1712="W4",F1712="predictive",OR(J1712="P2",J1712="P3",J1712="P4")),IF(OR(U1712=1,U1712="1"),"adequate","partial"),INDEX(Fit_Matrix!$B:$B,MATCH(P1712,Fit_Matrix!$A:$A,0)))),"CHECK KEY"))</f>
        <v/>
      </c>
      <c r="U1712" s="10" t="n"/>
      <c r="V1712" s="10" t="n"/>
      <c r="W1712" s="10" t="n"/>
      <c r="X1712" s="10" t="n"/>
      <c r="Y1712" s="10" t="n"/>
      <c r="Z1712" s="10" t="n"/>
      <c r="AA1712" s="11">
        <f>IF(A1712="","",IF(AND(J1712="P4",F1712="causal"),"P4-CAUSAL",""))</f>
        <v/>
      </c>
    </row>
    <row r="1713" ht="15" customHeight="1" s="1">
      <c r="P1713">
        <f>IF(OR(F1713="",H1713="",J1713=""),"",J1713&amp;"|"&amp;F1713&amp;"|"&amp;IF(H1713="W3","W3_"&amp;IF(I1713="","unknown",I1713),H1713))</f>
        <v/>
      </c>
      <c r="Q1713">
        <f>IF(P1713="","",IFERROR(IF(AND(H1713="W7",OR(F1713="causal",F1713="predictive")),IF(AND(OR(K1713=1,K1713="1"),OR(L1713=1,L1713="1"),OR(M1713=1,M1713="1")),"adequate","partial"),IF(AND(H1713="W4",F1713="predictive",OR(J1713="P2",J1713="P3",J1713="P4")),IF(OR(U1713=1,U1713="1"),"adequate","partial"),INDEX(Fit_Matrix!$B:$B,MATCH(P1713,Fit_Matrix!$A:$A,0)))),"CHECK KEY"))</f>
        <v/>
      </c>
      <c r="U1713" s="10" t="n"/>
      <c r="V1713" s="10" t="n"/>
      <c r="W1713" s="10" t="n"/>
      <c r="X1713" s="10" t="n"/>
      <c r="Y1713" s="10" t="n"/>
      <c r="Z1713" s="10" t="n"/>
      <c r="AA1713" s="11">
        <f>IF(A1713="","",IF(AND(J1713="P4",F1713="causal"),"P4-CAUSAL",""))</f>
        <v/>
      </c>
    </row>
    <row r="1714" ht="15" customHeight="1" s="1">
      <c r="P1714">
        <f>IF(OR(F1714="",H1714="",J1714=""),"",J1714&amp;"|"&amp;F1714&amp;"|"&amp;IF(H1714="W3","W3_"&amp;IF(I1714="","unknown",I1714),H1714))</f>
        <v/>
      </c>
      <c r="Q1714">
        <f>IF(P1714="","",IFERROR(IF(AND(H1714="W7",OR(F1714="causal",F1714="predictive")),IF(AND(OR(K1714=1,K1714="1"),OR(L1714=1,L1714="1"),OR(M1714=1,M1714="1")),"adequate","partial"),IF(AND(H1714="W4",F1714="predictive",OR(J1714="P2",J1714="P3",J1714="P4")),IF(OR(U1714=1,U1714="1"),"adequate","partial"),INDEX(Fit_Matrix!$B:$B,MATCH(P1714,Fit_Matrix!$A:$A,0)))),"CHECK KEY"))</f>
        <v/>
      </c>
      <c r="U1714" s="10" t="n"/>
      <c r="V1714" s="10" t="n"/>
      <c r="W1714" s="10" t="n"/>
      <c r="X1714" s="10" t="n"/>
      <c r="Y1714" s="10" t="n"/>
      <c r="Z1714" s="10" t="n"/>
      <c r="AA1714" s="11">
        <f>IF(A1714="","",IF(AND(J1714="P4",F1714="causal"),"P4-CAUSAL",""))</f>
        <v/>
      </c>
    </row>
    <row r="1715" ht="15" customHeight="1" s="1">
      <c r="P1715">
        <f>IF(OR(F1715="",H1715="",J1715=""),"",J1715&amp;"|"&amp;F1715&amp;"|"&amp;IF(H1715="W3","W3_"&amp;IF(I1715="","unknown",I1715),H1715))</f>
        <v/>
      </c>
      <c r="Q1715">
        <f>IF(P1715="","",IFERROR(IF(AND(H1715="W7",OR(F1715="causal",F1715="predictive")),IF(AND(OR(K1715=1,K1715="1"),OR(L1715=1,L1715="1"),OR(M1715=1,M1715="1")),"adequate","partial"),IF(AND(H1715="W4",F1715="predictive",OR(J1715="P2",J1715="P3",J1715="P4")),IF(OR(U1715=1,U1715="1"),"adequate","partial"),INDEX(Fit_Matrix!$B:$B,MATCH(P1715,Fit_Matrix!$A:$A,0)))),"CHECK KEY"))</f>
        <v/>
      </c>
      <c r="U1715" s="10" t="n"/>
      <c r="V1715" s="10" t="n"/>
      <c r="W1715" s="10" t="n"/>
      <c r="X1715" s="10" t="n"/>
      <c r="Y1715" s="10" t="n"/>
      <c r="Z1715" s="10" t="n"/>
      <c r="AA1715" s="11">
        <f>IF(A1715="","",IF(AND(J1715="P4",F1715="causal"),"P4-CAUSAL",""))</f>
        <v/>
      </c>
    </row>
    <row r="1716" ht="15" customHeight="1" s="1">
      <c r="P1716">
        <f>IF(OR(F1716="",H1716="",J1716=""),"",J1716&amp;"|"&amp;F1716&amp;"|"&amp;IF(H1716="W3","W3_"&amp;IF(I1716="","unknown",I1716),H1716))</f>
        <v/>
      </c>
      <c r="Q1716">
        <f>IF(P1716="","",IFERROR(IF(AND(H1716="W7",OR(F1716="causal",F1716="predictive")),IF(AND(OR(K1716=1,K1716="1"),OR(L1716=1,L1716="1"),OR(M1716=1,M1716="1")),"adequate","partial"),IF(AND(H1716="W4",F1716="predictive",OR(J1716="P2",J1716="P3",J1716="P4")),IF(OR(U1716=1,U1716="1"),"adequate","partial"),INDEX(Fit_Matrix!$B:$B,MATCH(P1716,Fit_Matrix!$A:$A,0)))),"CHECK KEY"))</f>
        <v/>
      </c>
      <c r="U1716" s="10" t="n"/>
      <c r="V1716" s="10" t="n"/>
      <c r="W1716" s="10" t="n"/>
      <c r="X1716" s="10" t="n"/>
      <c r="Y1716" s="10" t="n"/>
      <c r="Z1716" s="10" t="n"/>
      <c r="AA1716" s="11">
        <f>IF(A1716="","",IF(AND(J1716="P4",F1716="causal"),"P4-CAUSAL",""))</f>
        <v/>
      </c>
    </row>
    <row r="1717" ht="15" customHeight="1" s="1">
      <c r="P1717">
        <f>IF(OR(F1717="",H1717="",J1717=""),"",J1717&amp;"|"&amp;F1717&amp;"|"&amp;IF(H1717="W3","W3_"&amp;IF(I1717="","unknown",I1717),H1717))</f>
        <v/>
      </c>
      <c r="Q1717">
        <f>IF(P1717="","",IFERROR(IF(AND(H1717="W7",OR(F1717="causal",F1717="predictive")),IF(AND(OR(K1717=1,K1717="1"),OR(L1717=1,L1717="1"),OR(M1717=1,M1717="1")),"adequate","partial"),IF(AND(H1717="W4",F1717="predictive",OR(J1717="P2",J1717="P3",J1717="P4")),IF(OR(U1717=1,U1717="1"),"adequate","partial"),INDEX(Fit_Matrix!$B:$B,MATCH(P1717,Fit_Matrix!$A:$A,0)))),"CHECK KEY"))</f>
        <v/>
      </c>
      <c r="U1717" s="10" t="n"/>
      <c r="V1717" s="10" t="n"/>
      <c r="W1717" s="10" t="n"/>
      <c r="X1717" s="10" t="n"/>
      <c r="Y1717" s="10" t="n"/>
      <c r="Z1717" s="10" t="n"/>
      <c r="AA1717" s="11">
        <f>IF(A1717="","",IF(AND(J1717="P4",F1717="causal"),"P4-CAUSAL",""))</f>
        <v/>
      </c>
    </row>
    <row r="1718" ht="15" customHeight="1" s="1">
      <c r="P1718">
        <f>IF(OR(F1718="",H1718="",J1718=""),"",J1718&amp;"|"&amp;F1718&amp;"|"&amp;IF(H1718="W3","W3_"&amp;IF(I1718="","unknown",I1718),H1718))</f>
        <v/>
      </c>
      <c r="Q1718">
        <f>IF(P1718="","",IFERROR(IF(AND(H1718="W7",OR(F1718="causal",F1718="predictive")),IF(AND(OR(K1718=1,K1718="1"),OR(L1718=1,L1718="1"),OR(M1718=1,M1718="1")),"adequate","partial"),IF(AND(H1718="W4",F1718="predictive",OR(J1718="P2",J1718="P3",J1718="P4")),IF(OR(U1718=1,U1718="1"),"adequate","partial"),INDEX(Fit_Matrix!$B:$B,MATCH(P1718,Fit_Matrix!$A:$A,0)))),"CHECK KEY"))</f>
        <v/>
      </c>
      <c r="U1718" s="10" t="n"/>
      <c r="V1718" s="10" t="n"/>
      <c r="W1718" s="10" t="n"/>
      <c r="X1718" s="10" t="n"/>
      <c r="Y1718" s="10" t="n"/>
      <c r="Z1718" s="10" t="n"/>
      <c r="AA1718" s="11">
        <f>IF(A1718="","",IF(AND(J1718="P4",F1718="causal"),"P4-CAUSAL",""))</f>
        <v/>
      </c>
    </row>
    <row r="1719" ht="15" customHeight="1" s="1">
      <c r="P1719">
        <f>IF(OR(F1719="",H1719="",J1719=""),"",J1719&amp;"|"&amp;F1719&amp;"|"&amp;IF(H1719="W3","W3_"&amp;IF(I1719="","unknown",I1719),H1719))</f>
        <v/>
      </c>
      <c r="Q1719">
        <f>IF(P1719="","",IFERROR(IF(AND(H1719="W7",OR(F1719="causal",F1719="predictive")),IF(AND(OR(K1719=1,K1719="1"),OR(L1719=1,L1719="1"),OR(M1719=1,M1719="1")),"adequate","partial"),IF(AND(H1719="W4",F1719="predictive",OR(J1719="P2",J1719="P3",J1719="P4")),IF(OR(U1719=1,U1719="1"),"adequate","partial"),INDEX(Fit_Matrix!$B:$B,MATCH(P1719,Fit_Matrix!$A:$A,0)))),"CHECK KEY"))</f>
        <v/>
      </c>
      <c r="U1719" s="10" t="n"/>
      <c r="V1719" s="10" t="n"/>
      <c r="W1719" s="10" t="n"/>
      <c r="X1719" s="10" t="n"/>
      <c r="Y1719" s="10" t="n"/>
      <c r="Z1719" s="10" t="n"/>
      <c r="AA1719" s="11">
        <f>IF(A1719="","",IF(AND(J1719="P4",F1719="causal"),"P4-CAUSAL",""))</f>
        <v/>
      </c>
    </row>
    <row r="1720" ht="15" customHeight="1" s="1">
      <c r="P1720">
        <f>IF(OR(F1720="",H1720="",J1720=""),"",J1720&amp;"|"&amp;F1720&amp;"|"&amp;IF(H1720="W3","W3_"&amp;IF(I1720="","unknown",I1720),H1720))</f>
        <v/>
      </c>
      <c r="Q1720">
        <f>IF(P1720="","",IFERROR(IF(AND(H1720="W7",OR(F1720="causal",F1720="predictive")),IF(AND(OR(K1720=1,K1720="1"),OR(L1720=1,L1720="1"),OR(M1720=1,M1720="1")),"adequate","partial"),IF(AND(H1720="W4",F1720="predictive",OR(J1720="P2",J1720="P3",J1720="P4")),IF(OR(U1720=1,U1720="1"),"adequate","partial"),INDEX(Fit_Matrix!$B:$B,MATCH(P1720,Fit_Matrix!$A:$A,0)))),"CHECK KEY"))</f>
        <v/>
      </c>
      <c r="U1720" s="10" t="n"/>
      <c r="V1720" s="10" t="n"/>
      <c r="W1720" s="10" t="n"/>
      <c r="X1720" s="10" t="n"/>
      <c r="Y1720" s="10" t="n"/>
      <c r="Z1720" s="10" t="n"/>
      <c r="AA1720" s="11">
        <f>IF(A1720="","",IF(AND(J1720="P4",F1720="causal"),"P4-CAUSAL",""))</f>
        <v/>
      </c>
    </row>
    <row r="1721" ht="15" customHeight="1" s="1">
      <c r="P1721">
        <f>IF(OR(F1721="",H1721="",J1721=""),"",J1721&amp;"|"&amp;F1721&amp;"|"&amp;IF(H1721="W3","W3_"&amp;IF(I1721="","unknown",I1721),H1721))</f>
        <v/>
      </c>
      <c r="Q1721">
        <f>IF(P1721="","",IFERROR(IF(AND(H1721="W7",OR(F1721="causal",F1721="predictive")),IF(AND(OR(K1721=1,K1721="1"),OR(L1721=1,L1721="1"),OR(M1721=1,M1721="1")),"adequate","partial"),IF(AND(H1721="W4",F1721="predictive",OR(J1721="P2",J1721="P3",J1721="P4")),IF(OR(U1721=1,U1721="1"),"adequate","partial"),INDEX(Fit_Matrix!$B:$B,MATCH(P1721,Fit_Matrix!$A:$A,0)))),"CHECK KEY"))</f>
        <v/>
      </c>
      <c r="U1721" s="10" t="n"/>
      <c r="V1721" s="10" t="n"/>
      <c r="W1721" s="10" t="n"/>
      <c r="X1721" s="10" t="n"/>
      <c r="Y1721" s="10" t="n"/>
      <c r="Z1721" s="10" t="n"/>
      <c r="AA1721" s="11">
        <f>IF(A1721="","",IF(AND(J1721="P4",F1721="causal"),"P4-CAUSAL",""))</f>
        <v/>
      </c>
    </row>
    <row r="1722" ht="15" customHeight="1" s="1">
      <c r="P1722">
        <f>IF(OR(F1722="",H1722="",J1722=""),"",J1722&amp;"|"&amp;F1722&amp;"|"&amp;IF(H1722="W3","W3_"&amp;IF(I1722="","unknown",I1722),H1722))</f>
        <v/>
      </c>
      <c r="Q1722">
        <f>IF(P1722="","",IFERROR(IF(AND(H1722="W7",OR(F1722="causal",F1722="predictive")),IF(AND(OR(K1722=1,K1722="1"),OR(L1722=1,L1722="1"),OR(M1722=1,M1722="1")),"adequate","partial"),IF(AND(H1722="W4",F1722="predictive",OR(J1722="P2",J1722="P3",J1722="P4")),IF(OR(U1722=1,U1722="1"),"adequate","partial"),INDEX(Fit_Matrix!$B:$B,MATCH(P1722,Fit_Matrix!$A:$A,0)))),"CHECK KEY"))</f>
        <v/>
      </c>
      <c r="U1722" s="10" t="n"/>
      <c r="V1722" s="10" t="n"/>
      <c r="W1722" s="10" t="n"/>
      <c r="X1722" s="10" t="n"/>
      <c r="Y1722" s="10" t="n"/>
      <c r="Z1722" s="10" t="n"/>
      <c r="AA1722" s="11">
        <f>IF(A1722="","",IF(AND(J1722="P4",F1722="causal"),"P4-CAUSAL",""))</f>
        <v/>
      </c>
    </row>
    <row r="1723" ht="15" customHeight="1" s="1">
      <c r="P1723">
        <f>IF(OR(F1723="",H1723="",J1723=""),"",J1723&amp;"|"&amp;F1723&amp;"|"&amp;IF(H1723="W3","W3_"&amp;IF(I1723="","unknown",I1723),H1723))</f>
        <v/>
      </c>
      <c r="Q1723">
        <f>IF(P1723="","",IFERROR(IF(AND(H1723="W7",OR(F1723="causal",F1723="predictive")),IF(AND(OR(K1723=1,K1723="1"),OR(L1723=1,L1723="1"),OR(M1723=1,M1723="1")),"adequate","partial"),IF(AND(H1723="W4",F1723="predictive",OR(J1723="P2",J1723="P3",J1723="P4")),IF(OR(U1723=1,U1723="1"),"adequate","partial"),INDEX(Fit_Matrix!$B:$B,MATCH(P1723,Fit_Matrix!$A:$A,0)))),"CHECK KEY"))</f>
        <v/>
      </c>
      <c r="U1723" s="10" t="n"/>
      <c r="V1723" s="10" t="n"/>
      <c r="W1723" s="10" t="n"/>
      <c r="X1723" s="10" t="n"/>
      <c r="Y1723" s="10" t="n"/>
      <c r="Z1723" s="10" t="n"/>
      <c r="AA1723" s="11">
        <f>IF(A1723="","",IF(AND(J1723="P4",F1723="causal"),"P4-CAUSAL",""))</f>
        <v/>
      </c>
    </row>
    <row r="1724" ht="15" customHeight="1" s="1">
      <c r="P1724">
        <f>IF(OR(F1724="",H1724="",J1724=""),"",J1724&amp;"|"&amp;F1724&amp;"|"&amp;IF(H1724="W3","W3_"&amp;IF(I1724="","unknown",I1724),H1724))</f>
        <v/>
      </c>
      <c r="Q1724">
        <f>IF(P1724="","",IFERROR(IF(AND(H1724="W7",OR(F1724="causal",F1724="predictive")),IF(AND(OR(K1724=1,K1724="1"),OR(L1724=1,L1724="1"),OR(M1724=1,M1724="1")),"adequate","partial"),IF(AND(H1724="W4",F1724="predictive",OR(J1724="P2",J1724="P3",J1724="P4")),IF(OR(U1724=1,U1724="1"),"adequate","partial"),INDEX(Fit_Matrix!$B:$B,MATCH(P1724,Fit_Matrix!$A:$A,0)))),"CHECK KEY"))</f>
        <v/>
      </c>
      <c r="U1724" s="10" t="n"/>
      <c r="V1724" s="10" t="n"/>
      <c r="W1724" s="10" t="n"/>
      <c r="X1724" s="10" t="n"/>
      <c r="Y1724" s="10" t="n"/>
      <c r="Z1724" s="10" t="n"/>
      <c r="AA1724" s="11">
        <f>IF(A1724="","",IF(AND(J1724="P4",F1724="causal"),"P4-CAUSAL",""))</f>
        <v/>
      </c>
    </row>
    <row r="1725" ht="15" customHeight="1" s="1">
      <c r="P1725">
        <f>IF(OR(F1725="",H1725="",J1725=""),"",J1725&amp;"|"&amp;F1725&amp;"|"&amp;IF(H1725="W3","W3_"&amp;IF(I1725="","unknown",I1725),H1725))</f>
        <v/>
      </c>
      <c r="Q1725">
        <f>IF(P1725="","",IFERROR(IF(AND(H1725="W7",OR(F1725="causal",F1725="predictive")),IF(AND(OR(K1725=1,K1725="1"),OR(L1725=1,L1725="1"),OR(M1725=1,M1725="1")),"adequate","partial"),IF(AND(H1725="W4",F1725="predictive",OR(J1725="P2",J1725="P3",J1725="P4")),IF(OR(U1725=1,U1725="1"),"adequate","partial"),INDEX(Fit_Matrix!$B:$B,MATCH(P1725,Fit_Matrix!$A:$A,0)))),"CHECK KEY"))</f>
        <v/>
      </c>
      <c r="U1725" s="10" t="n"/>
      <c r="V1725" s="10" t="n"/>
      <c r="W1725" s="10" t="n"/>
      <c r="X1725" s="10" t="n"/>
      <c r="Y1725" s="10" t="n"/>
      <c r="Z1725" s="10" t="n"/>
      <c r="AA1725" s="11">
        <f>IF(A1725="","",IF(AND(J1725="P4",F1725="causal"),"P4-CAUSAL",""))</f>
        <v/>
      </c>
    </row>
    <row r="1726" ht="15" customHeight="1" s="1">
      <c r="P1726">
        <f>IF(OR(F1726="",H1726="",J1726=""),"",J1726&amp;"|"&amp;F1726&amp;"|"&amp;IF(H1726="W3","W3_"&amp;IF(I1726="","unknown",I1726),H1726))</f>
        <v/>
      </c>
      <c r="Q1726">
        <f>IF(P1726="","",IFERROR(IF(AND(H1726="W7",OR(F1726="causal",F1726="predictive")),IF(AND(OR(K1726=1,K1726="1"),OR(L1726=1,L1726="1"),OR(M1726=1,M1726="1")),"adequate","partial"),IF(AND(H1726="W4",F1726="predictive",OR(J1726="P2",J1726="P3",J1726="P4")),IF(OR(U1726=1,U1726="1"),"adequate","partial"),INDEX(Fit_Matrix!$B:$B,MATCH(P1726,Fit_Matrix!$A:$A,0)))),"CHECK KEY"))</f>
        <v/>
      </c>
      <c r="U1726" s="10" t="n"/>
      <c r="V1726" s="10" t="n"/>
      <c r="W1726" s="10" t="n"/>
      <c r="X1726" s="10" t="n"/>
      <c r="Y1726" s="10" t="n"/>
      <c r="Z1726" s="10" t="n"/>
      <c r="AA1726" s="11">
        <f>IF(A1726="","",IF(AND(J1726="P4",F1726="causal"),"P4-CAUSAL",""))</f>
        <v/>
      </c>
    </row>
    <row r="1727" ht="15" customHeight="1" s="1">
      <c r="P1727">
        <f>IF(OR(F1727="",H1727="",J1727=""),"",J1727&amp;"|"&amp;F1727&amp;"|"&amp;IF(H1727="W3","W3_"&amp;IF(I1727="","unknown",I1727),H1727))</f>
        <v/>
      </c>
      <c r="Q1727">
        <f>IF(P1727="","",IFERROR(IF(AND(H1727="W7",OR(F1727="causal",F1727="predictive")),IF(AND(OR(K1727=1,K1727="1"),OR(L1727=1,L1727="1"),OR(M1727=1,M1727="1")),"adequate","partial"),IF(AND(H1727="W4",F1727="predictive",OR(J1727="P2",J1727="P3",J1727="P4")),IF(OR(U1727=1,U1727="1"),"adequate","partial"),INDEX(Fit_Matrix!$B:$B,MATCH(P1727,Fit_Matrix!$A:$A,0)))),"CHECK KEY"))</f>
        <v/>
      </c>
      <c r="U1727" s="10" t="n"/>
      <c r="V1727" s="10" t="n"/>
      <c r="W1727" s="10" t="n"/>
      <c r="X1727" s="10" t="n"/>
      <c r="Y1727" s="10" t="n"/>
      <c r="Z1727" s="10" t="n"/>
      <c r="AA1727" s="11">
        <f>IF(A1727="","",IF(AND(J1727="P4",F1727="causal"),"P4-CAUSAL",""))</f>
        <v/>
      </c>
    </row>
    <row r="1728" ht="15" customHeight="1" s="1">
      <c r="P1728">
        <f>IF(OR(F1728="",H1728="",J1728=""),"",J1728&amp;"|"&amp;F1728&amp;"|"&amp;IF(H1728="W3","W3_"&amp;IF(I1728="","unknown",I1728),H1728))</f>
        <v/>
      </c>
      <c r="Q1728">
        <f>IF(P1728="","",IFERROR(IF(AND(H1728="W7",OR(F1728="causal",F1728="predictive")),IF(AND(OR(K1728=1,K1728="1"),OR(L1728=1,L1728="1"),OR(M1728=1,M1728="1")),"adequate","partial"),IF(AND(H1728="W4",F1728="predictive",OR(J1728="P2",J1728="P3",J1728="P4")),IF(OR(U1728=1,U1728="1"),"adequate","partial"),INDEX(Fit_Matrix!$B:$B,MATCH(P1728,Fit_Matrix!$A:$A,0)))),"CHECK KEY"))</f>
        <v/>
      </c>
      <c r="U1728" s="10" t="n"/>
      <c r="V1728" s="10" t="n"/>
      <c r="W1728" s="10" t="n"/>
      <c r="X1728" s="10" t="n"/>
      <c r="Y1728" s="10" t="n"/>
      <c r="Z1728" s="10" t="n"/>
      <c r="AA1728" s="11">
        <f>IF(A1728="","",IF(AND(J1728="P4",F1728="causal"),"P4-CAUSAL",""))</f>
        <v/>
      </c>
    </row>
    <row r="1729" ht="15" customHeight="1" s="1">
      <c r="P1729">
        <f>IF(OR(F1729="",H1729="",J1729=""),"",J1729&amp;"|"&amp;F1729&amp;"|"&amp;IF(H1729="W3","W3_"&amp;IF(I1729="","unknown",I1729),H1729))</f>
        <v/>
      </c>
      <c r="Q1729">
        <f>IF(P1729="","",IFERROR(IF(AND(H1729="W7",OR(F1729="causal",F1729="predictive")),IF(AND(OR(K1729=1,K1729="1"),OR(L1729=1,L1729="1"),OR(M1729=1,M1729="1")),"adequate","partial"),IF(AND(H1729="W4",F1729="predictive",OR(J1729="P2",J1729="P3",J1729="P4")),IF(OR(U1729=1,U1729="1"),"adequate","partial"),INDEX(Fit_Matrix!$B:$B,MATCH(P1729,Fit_Matrix!$A:$A,0)))),"CHECK KEY"))</f>
        <v/>
      </c>
      <c r="U1729" s="10" t="n"/>
      <c r="V1729" s="10" t="n"/>
      <c r="W1729" s="10" t="n"/>
      <c r="X1729" s="10" t="n"/>
      <c r="Y1729" s="10" t="n"/>
      <c r="Z1729" s="10" t="n"/>
      <c r="AA1729" s="11">
        <f>IF(A1729="","",IF(AND(J1729="P4",F1729="causal"),"P4-CAUSAL",""))</f>
        <v/>
      </c>
    </row>
    <row r="1730" ht="15" customHeight="1" s="1">
      <c r="P1730">
        <f>IF(OR(F1730="",H1730="",J1730=""),"",J1730&amp;"|"&amp;F1730&amp;"|"&amp;IF(H1730="W3","W3_"&amp;IF(I1730="","unknown",I1730),H1730))</f>
        <v/>
      </c>
      <c r="Q1730">
        <f>IF(P1730="","",IFERROR(IF(AND(H1730="W7",OR(F1730="causal",F1730="predictive")),IF(AND(OR(K1730=1,K1730="1"),OR(L1730=1,L1730="1"),OR(M1730=1,M1730="1")),"adequate","partial"),IF(AND(H1730="W4",F1730="predictive",OR(J1730="P2",J1730="P3",J1730="P4")),IF(OR(U1730=1,U1730="1"),"adequate","partial"),INDEX(Fit_Matrix!$B:$B,MATCH(P1730,Fit_Matrix!$A:$A,0)))),"CHECK KEY"))</f>
        <v/>
      </c>
      <c r="U1730" s="10" t="n"/>
      <c r="V1730" s="10" t="n"/>
      <c r="W1730" s="10" t="n"/>
      <c r="X1730" s="10" t="n"/>
      <c r="Y1730" s="10" t="n"/>
      <c r="Z1730" s="10" t="n"/>
      <c r="AA1730" s="11">
        <f>IF(A1730="","",IF(AND(J1730="P4",F1730="causal"),"P4-CAUSAL",""))</f>
        <v/>
      </c>
    </row>
    <row r="1731" ht="15" customHeight="1" s="1">
      <c r="P1731">
        <f>IF(OR(F1731="",H1731="",J1731=""),"",J1731&amp;"|"&amp;F1731&amp;"|"&amp;IF(H1731="W3","W3_"&amp;IF(I1731="","unknown",I1731),H1731))</f>
        <v/>
      </c>
      <c r="Q1731">
        <f>IF(P1731="","",IFERROR(IF(AND(H1731="W7",OR(F1731="causal",F1731="predictive")),IF(AND(OR(K1731=1,K1731="1"),OR(L1731=1,L1731="1"),OR(M1731=1,M1731="1")),"adequate","partial"),IF(AND(H1731="W4",F1731="predictive",OR(J1731="P2",J1731="P3",J1731="P4")),IF(OR(U1731=1,U1731="1"),"adequate","partial"),INDEX(Fit_Matrix!$B:$B,MATCH(P1731,Fit_Matrix!$A:$A,0)))),"CHECK KEY"))</f>
        <v/>
      </c>
      <c r="U1731" s="10" t="n"/>
      <c r="V1731" s="10" t="n"/>
      <c r="W1731" s="10" t="n"/>
      <c r="X1731" s="10" t="n"/>
      <c r="Y1731" s="10" t="n"/>
      <c r="Z1731" s="10" t="n"/>
      <c r="AA1731" s="11">
        <f>IF(A1731="","",IF(AND(J1731="P4",F1731="causal"),"P4-CAUSAL",""))</f>
        <v/>
      </c>
    </row>
    <row r="1732" ht="15" customHeight="1" s="1">
      <c r="P1732">
        <f>IF(OR(F1732="",H1732="",J1732=""),"",J1732&amp;"|"&amp;F1732&amp;"|"&amp;IF(H1732="W3","W3_"&amp;IF(I1732="","unknown",I1732),H1732))</f>
        <v/>
      </c>
      <c r="Q1732">
        <f>IF(P1732="","",IFERROR(IF(AND(H1732="W7",OR(F1732="causal",F1732="predictive")),IF(AND(OR(K1732=1,K1732="1"),OR(L1732=1,L1732="1"),OR(M1732=1,M1732="1")),"adequate","partial"),IF(AND(H1732="W4",F1732="predictive",OR(J1732="P2",J1732="P3",J1732="P4")),IF(OR(U1732=1,U1732="1"),"adequate","partial"),INDEX(Fit_Matrix!$B:$B,MATCH(P1732,Fit_Matrix!$A:$A,0)))),"CHECK KEY"))</f>
        <v/>
      </c>
      <c r="U1732" s="10" t="n"/>
      <c r="V1732" s="10" t="n"/>
      <c r="W1732" s="10" t="n"/>
      <c r="X1732" s="10" t="n"/>
      <c r="Y1732" s="10" t="n"/>
      <c r="Z1732" s="10" t="n"/>
      <c r="AA1732" s="11">
        <f>IF(A1732="","",IF(AND(J1732="P4",F1732="causal"),"P4-CAUSAL",""))</f>
        <v/>
      </c>
    </row>
    <row r="1733" ht="15" customHeight="1" s="1">
      <c r="P1733">
        <f>IF(OR(F1733="",H1733="",J1733=""),"",J1733&amp;"|"&amp;F1733&amp;"|"&amp;IF(H1733="W3","W3_"&amp;IF(I1733="","unknown",I1733),H1733))</f>
        <v/>
      </c>
      <c r="Q1733">
        <f>IF(P1733="","",IFERROR(IF(AND(H1733="W7",OR(F1733="causal",F1733="predictive")),IF(AND(OR(K1733=1,K1733="1"),OR(L1733=1,L1733="1"),OR(M1733=1,M1733="1")),"adequate","partial"),IF(AND(H1733="W4",F1733="predictive",OR(J1733="P2",J1733="P3",J1733="P4")),IF(OR(U1733=1,U1733="1"),"adequate","partial"),INDEX(Fit_Matrix!$B:$B,MATCH(P1733,Fit_Matrix!$A:$A,0)))),"CHECK KEY"))</f>
        <v/>
      </c>
      <c r="U1733" s="10" t="n"/>
      <c r="V1733" s="10" t="n"/>
      <c r="W1733" s="10" t="n"/>
      <c r="X1733" s="10" t="n"/>
      <c r="Y1733" s="10" t="n"/>
      <c r="Z1733" s="10" t="n"/>
      <c r="AA1733" s="11">
        <f>IF(A1733="","",IF(AND(J1733="P4",F1733="causal"),"P4-CAUSAL",""))</f>
        <v/>
      </c>
    </row>
    <row r="1734" ht="15" customHeight="1" s="1">
      <c r="P1734">
        <f>IF(OR(F1734="",H1734="",J1734=""),"",J1734&amp;"|"&amp;F1734&amp;"|"&amp;IF(H1734="W3","W3_"&amp;IF(I1734="","unknown",I1734),H1734))</f>
        <v/>
      </c>
      <c r="Q1734">
        <f>IF(P1734="","",IFERROR(IF(AND(H1734="W7",OR(F1734="causal",F1734="predictive")),IF(AND(OR(K1734=1,K1734="1"),OR(L1734=1,L1734="1"),OR(M1734=1,M1734="1")),"adequate","partial"),IF(AND(H1734="W4",F1734="predictive",OR(J1734="P2",J1734="P3",J1734="P4")),IF(OR(U1734=1,U1734="1"),"adequate","partial"),INDEX(Fit_Matrix!$B:$B,MATCH(P1734,Fit_Matrix!$A:$A,0)))),"CHECK KEY"))</f>
        <v/>
      </c>
      <c r="U1734" s="10" t="n"/>
      <c r="V1734" s="10" t="n"/>
      <c r="W1734" s="10" t="n"/>
      <c r="X1734" s="10" t="n"/>
      <c r="Y1734" s="10" t="n"/>
      <c r="Z1734" s="10" t="n"/>
      <c r="AA1734" s="11">
        <f>IF(A1734="","",IF(AND(J1734="P4",F1734="causal"),"P4-CAUSAL",""))</f>
        <v/>
      </c>
    </row>
    <row r="1735" ht="15" customHeight="1" s="1">
      <c r="P1735">
        <f>IF(OR(F1735="",H1735="",J1735=""),"",J1735&amp;"|"&amp;F1735&amp;"|"&amp;IF(H1735="W3","W3_"&amp;IF(I1735="","unknown",I1735),H1735))</f>
        <v/>
      </c>
      <c r="Q1735">
        <f>IF(P1735="","",IFERROR(IF(AND(H1735="W7",OR(F1735="causal",F1735="predictive")),IF(AND(OR(K1735=1,K1735="1"),OR(L1735=1,L1735="1"),OR(M1735=1,M1735="1")),"adequate","partial"),IF(AND(H1735="W4",F1735="predictive",OR(J1735="P2",J1735="P3",J1735="P4")),IF(OR(U1735=1,U1735="1"),"adequate","partial"),INDEX(Fit_Matrix!$B:$B,MATCH(P1735,Fit_Matrix!$A:$A,0)))),"CHECK KEY"))</f>
        <v/>
      </c>
      <c r="U1735" s="10" t="n"/>
      <c r="V1735" s="10" t="n"/>
      <c r="W1735" s="10" t="n"/>
      <c r="X1735" s="10" t="n"/>
      <c r="Y1735" s="10" t="n"/>
      <c r="Z1735" s="10" t="n"/>
      <c r="AA1735" s="11">
        <f>IF(A1735="","",IF(AND(J1735="P4",F1735="causal"),"P4-CAUSAL",""))</f>
        <v/>
      </c>
    </row>
    <row r="1736" ht="15" customHeight="1" s="1">
      <c r="P1736">
        <f>IF(OR(F1736="",H1736="",J1736=""),"",J1736&amp;"|"&amp;F1736&amp;"|"&amp;IF(H1736="W3","W3_"&amp;IF(I1736="","unknown",I1736),H1736))</f>
        <v/>
      </c>
      <c r="Q1736">
        <f>IF(P1736="","",IFERROR(IF(AND(H1736="W7",OR(F1736="causal",F1736="predictive")),IF(AND(OR(K1736=1,K1736="1"),OR(L1736=1,L1736="1"),OR(M1736=1,M1736="1")),"adequate","partial"),IF(AND(H1736="W4",F1736="predictive",OR(J1736="P2",J1736="P3",J1736="P4")),IF(OR(U1736=1,U1736="1"),"adequate","partial"),INDEX(Fit_Matrix!$B:$B,MATCH(P1736,Fit_Matrix!$A:$A,0)))),"CHECK KEY"))</f>
        <v/>
      </c>
      <c r="U1736" s="10" t="n"/>
      <c r="V1736" s="10" t="n"/>
      <c r="W1736" s="10" t="n"/>
      <c r="X1736" s="10" t="n"/>
      <c r="Y1736" s="10" t="n"/>
      <c r="Z1736" s="10" t="n"/>
      <c r="AA1736" s="11">
        <f>IF(A1736="","",IF(AND(J1736="P4",F1736="causal"),"P4-CAUSAL",""))</f>
        <v/>
      </c>
    </row>
    <row r="1737" ht="15" customHeight="1" s="1">
      <c r="P1737">
        <f>IF(OR(F1737="",H1737="",J1737=""),"",J1737&amp;"|"&amp;F1737&amp;"|"&amp;IF(H1737="W3","W3_"&amp;IF(I1737="","unknown",I1737),H1737))</f>
        <v/>
      </c>
      <c r="Q1737">
        <f>IF(P1737="","",IFERROR(IF(AND(H1737="W7",OR(F1737="causal",F1737="predictive")),IF(AND(OR(K1737=1,K1737="1"),OR(L1737=1,L1737="1"),OR(M1737=1,M1737="1")),"adequate","partial"),IF(AND(H1737="W4",F1737="predictive",OR(J1737="P2",J1737="P3",J1737="P4")),IF(OR(U1737=1,U1737="1"),"adequate","partial"),INDEX(Fit_Matrix!$B:$B,MATCH(P1737,Fit_Matrix!$A:$A,0)))),"CHECK KEY"))</f>
        <v/>
      </c>
      <c r="U1737" s="10" t="n"/>
      <c r="V1737" s="10" t="n"/>
      <c r="W1737" s="10" t="n"/>
      <c r="X1737" s="10" t="n"/>
      <c r="Y1737" s="10" t="n"/>
      <c r="Z1737" s="10" t="n"/>
      <c r="AA1737" s="11">
        <f>IF(A1737="","",IF(AND(J1737="P4",F1737="causal"),"P4-CAUSAL",""))</f>
        <v/>
      </c>
    </row>
    <row r="1738" ht="15" customHeight="1" s="1">
      <c r="P1738">
        <f>IF(OR(F1738="",H1738="",J1738=""),"",J1738&amp;"|"&amp;F1738&amp;"|"&amp;IF(H1738="W3","W3_"&amp;IF(I1738="","unknown",I1738),H1738))</f>
        <v/>
      </c>
      <c r="Q1738">
        <f>IF(P1738="","",IFERROR(IF(AND(H1738="W7",OR(F1738="causal",F1738="predictive")),IF(AND(OR(K1738=1,K1738="1"),OR(L1738=1,L1738="1"),OR(M1738=1,M1738="1")),"adequate","partial"),IF(AND(H1738="W4",F1738="predictive",OR(J1738="P2",J1738="P3",J1738="P4")),IF(OR(U1738=1,U1738="1"),"adequate","partial"),INDEX(Fit_Matrix!$B:$B,MATCH(P1738,Fit_Matrix!$A:$A,0)))),"CHECK KEY"))</f>
        <v/>
      </c>
      <c r="U1738" s="10" t="n"/>
      <c r="V1738" s="10" t="n"/>
      <c r="W1738" s="10" t="n"/>
      <c r="X1738" s="10" t="n"/>
      <c r="Y1738" s="10" t="n"/>
      <c r="Z1738" s="10" t="n"/>
      <c r="AA1738" s="11">
        <f>IF(A1738="","",IF(AND(J1738="P4",F1738="causal"),"P4-CAUSAL",""))</f>
        <v/>
      </c>
    </row>
    <row r="1739" ht="15" customHeight="1" s="1">
      <c r="P1739">
        <f>IF(OR(F1739="",H1739="",J1739=""),"",J1739&amp;"|"&amp;F1739&amp;"|"&amp;IF(H1739="W3","W3_"&amp;IF(I1739="","unknown",I1739),H1739))</f>
        <v/>
      </c>
      <c r="Q1739">
        <f>IF(P1739="","",IFERROR(IF(AND(H1739="W7",OR(F1739="causal",F1739="predictive")),IF(AND(OR(K1739=1,K1739="1"),OR(L1739=1,L1739="1"),OR(M1739=1,M1739="1")),"adequate","partial"),IF(AND(H1739="W4",F1739="predictive",OR(J1739="P2",J1739="P3",J1739="P4")),IF(OR(U1739=1,U1739="1"),"adequate","partial"),INDEX(Fit_Matrix!$B:$B,MATCH(P1739,Fit_Matrix!$A:$A,0)))),"CHECK KEY"))</f>
        <v/>
      </c>
      <c r="U1739" s="10" t="n"/>
      <c r="V1739" s="10" t="n"/>
      <c r="W1739" s="10" t="n"/>
      <c r="X1739" s="10" t="n"/>
      <c r="Y1739" s="10" t="n"/>
      <c r="Z1739" s="10" t="n"/>
      <c r="AA1739" s="11">
        <f>IF(A1739="","",IF(AND(J1739="P4",F1739="causal"),"P4-CAUSAL",""))</f>
        <v/>
      </c>
    </row>
    <row r="1740" ht="15" customHeight="1" s="1">
      <c r="P1740">
        <f>IF(OR(F1740="",H1740="",J1740=""),"",J1740&amp;"|"&amp;F1740&amp;"|"&amp;IF(H1740="W3","W3_"&amp;IF(I1740="","unknown",I1740),H1740))</f>
        <v/>
      </c>
      <c r="Q1740">
        <f>IF(P1740="","",IFERROR(IF(AND(H1740="W7",OR(F1740="causal",F1740="predictive")),IF(AND(OR(K1740=1,K1740="1"),OR(L1740=1,L1740="1"),OR(M1740=1,M1740="1")),"adequate","partial"),IF(AND(H1740="W4",F1740="predictive",OR(J1740="P2",J1740="P3",J1740="P4")),IF(OR(U1740=1,U1740="1"),"adequate","partial"),INDEX(Fit_Matrix!$B:$B,MATCH(P1740,Fit_Matrix!$A:$A,0)))),"CHECK KEY"))</f>
        <v/>
      </c>
      <c r="U1740" s="10" t="n"/>
      <c r="V1740" s="10" t="n"/>
      <c r="W1740" s="10" t="n"/>
      <c r="X1740" s="10" t="n"/>
      <c r="Y1740" s="10" t="n"/>
      <c r="Z1740" s="10" t="n"/>
      <c r="AA1740" s="11">
        <f>IF(A1740="","",IF(AND(J1740="P4",F1740="causal"),"P4-CAUSAL",""))</f>
        <v/>
      </c>
    </row>
    <row r="1741" ht="15" customHeight="1" s="1">
      <c r="P1741">
        <f>IF(OR(F1741="",H1741="",J1741=""),"",J1741&amp;"|"&amp;F1741&amp;"|"&amp;IF(H1741="W3","W3_"&amp;IF(I1741="","unknown",I1741),H1741))</f>
        <v/>
      </c>
      <c r="Q1741">
        <f>IF(P1741="","",IFERROR(IF(AND(H1741="W7",OR(F1741="causal",F1741="predictive")),IF(AND(OR(K1741=1,K1741="1"),OR(L1741=1,L1741="1"),OR(M1741=1,M1741="1")),"adequate","partial"),IF(AND(H1741="W4",F1741="predictive",OR(J1741="P2",J1741="P3",J1741="P4")),IF(OR(U1741=1,U1741="1"),"adequate","partial"),INDEX(Fit_Matrix!$B:$B,MATCH(P1741,Fit_Matrix!$A:$A,0)))),"CHECK KEY"))</f>
        <v/>
      </c>
      <c r="U1741" s="10" t="n"/>
      <c r="V1741" s="10" t="n"/>
      <c r="W1741" s="10" t="n"/>
      <c r="X1741" s="10" t="n"/>
      <c r="Y1741" s="10" t="n"/>
      <c r="Z1741" s="10" t="n"/>
      <c r="AA1741" s="11">
        <f>IF(A1741="","",IF(AND(J1741="P4",F1741="causal"),"P4-CAUSAL",""))</f>
        <v/>
      </c>
    </row>
    <row r="1742" ht="15" customHeight="1" s="1">
      <c r="P1742">
        <f>IF(OR(F1742="",H1742="",J1742=""),"",J1742&amp;"|"&amp;F1742&amp;"|"&amp;IF(H1742="W3","W3_"&amp;IF(I1742="","unknown",I1742),H1742))</f>
        <v/>
      </c>
      <c r="Q1742">
        <f>IF(P1742="","",IFERROR(IF(AND(H1742="W7",OR(F1742="causal",F1742="predictive")),IF(AND(OR(K1742=1,K1742="1"),OR(L1742=1,L1742="1"),OR(M1742=1,M1742="1")),"adequate","partial"),IF(AND(H1742="W4",F1742="predictive",OR(J1742="P2",J1742="P3",J1742="P4")),IF(OR(U1742=1,U1742="1"),"adequate","partial"),INDEX(Fit_Matrix!$B:$B,MATCH(P1742,Fit_Matrix!$A:$A,0)))),"CHECK KEY"))</f>
        <v/>
      </c>
      <c r="U1742" s="10" t="n"/>
      <c r="V1742" s="10" t="n"/>
      <c r="W1742" s="10" t="n"/>
      <c r="X1742" s="10" t="n"/>
      <c r="Y1742" s="10" t="n"/>
      <c r="Z1742" s="10" t="n"/>
      <c r="AA1742" s="11">
        <f>IF(A1742="","",IF(AND(J1742="P4",F1742="causal"),"P4-CAUSAL",""))</f>
        <v/>
      </c>
    </row>
    <row r="1743" ht="15" customHeight="1" s="1">
      <c r="P1743">
        <f>IF(OR(F1743="",H1743="",J1743=""),"",J1743&amp;"|"&amp;F1743&amp;"|"&amp;IF(H1743="W3","W3_"&amp;IF(I1743="","unknown",I1743),H1743))</f>
        <v/>
      </c>
      <c r="Q1743">
        <f>IF(P1743="","",IFERROR(IF(AND(H1743="W7",OR(F1743="causal",F1743="predictive")),IF(AND(OR(K1743=1,K1743="1"),OR(L1743=1,L1743="1"),OR(M1743=1,M1743="1")),"adequate","partial"),IF(AND(H1743="W4",F1743="predictive",OR(J1743="P2",J1743="P3",J1743="P4")),IF(OR(U1743=1,U1743="1"),"adequate","partial"),INDEX(Fit_Matrix!$B:$B,MATCH(P1743,Fit_Matrix!$A:$A,0)))),"CHECK KEY"))</f>
        <v/>
      </c>
      <c r="U1743" s="10" t="n"/>
      <c r="V1743" s="10" t="n"/>
      <c r="W1743" s="10" t="n"/>
      <c r="X1743" s="10" t="n"/>
      <c r="Y1743" s="10" t="n"/>
      <c r="Z1743" s="10" t="n"/>
      <c r="AA1743" s="11">
        <f>IF(A1743="","",IF(AND(J1743="P4",F1743="causal"),"P4-CAUSAL",""))</f>
        <v/>
      </c>
    </row>
    <row r="1744" ht="15" customHeight="1" s="1">
      <c r="P1744">
        <f>IF(OR(F1744="",H1744="",J1744=""),"",J1744&amp;"|"&amp;F1744&amp;"|"&amp;IF(H1744="W3","W3_"&amp;IF(I1744="","unknown",I1744),H1744))</f>
        <v/>
      </c>
      <c r="Q1744">
        <f>IF(P1744="","",IFERROR(IF(AND(H1744="W7",OR(F1744="causal",F1744="predictive")),IF(AND(OR(K1744=1,K1744="1"),OR(L1744=1,L1744="1"),OR(M1744=1,M1744="1")),"adequate","partial"),IF(AND(H1744="W4",F1744="predictive",OR(J1744="P2",J1744="P3",J1744="P4")),IF(OR(U1744=1,U1744="1"),"adequate","partial"),INDEX(Fit_Matrix!$B:$B,MATCH(P1744,Fit_Matrix!$A:$A,0)))),"CHECK KEY"))</f>
        <v/>
      </c>
      <c r="U1744" s="10" t="n"/>
      <c r="V1744" s="10" t="n"/>
      <c r="W1744" s="10" t="n"/>
      <c r="X1744" s="10" t="n"/>
      <c r="Y1744" s="10" t="n"/>
      <c r="Z1744" s="10" t="n"/>
      <c r="AA1744" s="11">
        <f>IF(A1744="","",IF(AND(J1744="P4",F1744="causal"),"P4-CAUSAL",""))</f>
        <v/>
      </c>
    </row>
    <row r="1745" ht="15" customHeight="1" s="1">
      <c r="P1745">
        <f>IF(OR(F1745="",H1745="",J1745=""),"",J1745&amp;"|"&amp;F1745&amp;"|"&amp;IF(H1745="W3","W3_"&amp;IF(I1745="","unknown",I1745),H1745))</f>
        <v/>
      </c>
      <c r="Q1745">
        <f>IF(P1745="","",IFERROR(IF(AND(H1745="W7",OR(F1745="causal",F1745="predictive")),IF(AND(OR(K1745=1,K1745="1"),OR(L1745=1,L1745="1"),OR(M1745=1,M1745="1")),"adequate","partial"),IF(AND(H1745="W4",F1745="predictive",OR(J1745="P2",J1745="P3",J1745="P4")),IF(OR(U1745=1,U1745="1"),"adequate","partial"),INDEX(Fit_Matrix!$B:$B,MATCH(P1745,Fit_Matrix!$A:$A,0)))),"CHECK KEY"))</f>
        <v/>
      </c>
      <c r="U1745" s="10" t="n"/>
      <c r="V1745" s="10" t="n"/>
      <c r="W1745" s="10" t="n"/>
      <c r="X1745" s="10" t="n"/>
      <c r="Y1745" s="10" t="n"/>
      <c r="Z1745" s="10" t="n"/>
      <c r="AA1745" s="11">
        <f>IF(A1745="","",IF(AND(J1745="P4",F1745="causal"),"P4-CAUSAL",""))</f>
        <v/>
      </c>
    </row>
    <row r="1746" ht="15" customHeight="1" s="1">
      <c r="P1746">
        <f>IF(OR(F1746="",H1746="",J1746=""),"",J1746&amp;"|"&amp;F1746&amp;"|"&amp;IF(H1746="W3","W3_"&amp;IF(I1746="","unknown",I1746),H1746))</f>
        <v/>
      </c>
      <c r="Q1746">
        <f>IF(P1746="","",IFERROR(IF(AND(H1746="W7",OR(F1746="causal",F1746="predictive")),IF(AND(OR(K1746=1,K1746="1"),OR(L1746=1,L1746="1"),OR(M1746=1,M1746="1")),"adequate","partial"),IF(AND(H1746="W4",F1746="predictive",OR(J1746="P2",J1746="P3",J1746="P4")),IF(OR(U1746=1,U1746="1"),"adequate","partial"),INDEX(Fit_Matrix!$B:$B,MATCH(P1746,Fit_Matrix!$A:$A,0)))),"CHECK KEY"))</f>
        <v/>
      </c>
      <c r="U1746" s="10" t="n"/>
      <c r="V1746" s="10" t="n"/>
      <c r="W1746" s="10" t="n"/>
      <c r="X1746" s="10" t="n"/>
      <c r="Y1746" s="10" t="n"/>
      <c r="Z1746" s="10" t="n"/>
      <c r="AA1746" s="11">
        <f>IF(A1746="","",IF(AND(J1746="P4",F1746="causal"),"P4-CAUSAL",""))</f>
        <v/>
      </c>
    </row>
    <row r="1747" ht="15" customHeight="1" s="1">
      <c r="P1747">
        <f>IF(OR(F1747="",H1747="",J1747=""),"",J1747&amp;"|"&amp;F1747&amp;"|"&amp;IF(H1747="W3","W3_"&amp;IF(I1747="","unknown",I1747),H1747))</f>
        <v/>
      </c>
      <c r="Q1747">
        <f>IF(P1747="","",IFERROR(IF(AND(H1747="W7",OR(F1747="causal",F1747="predictive")),IF(AND(OR(K1747=1,K1747="1"),OR(L1747=1,L1747="1"),OR(M1747=1,M1747="1")),"adequate","partial"),IF(AND(H1747="W4",F1747="predictive",OR(J1747="P2",J1747="P3",J1747="P4")),IF(OR(U1747=1,U1747="1"),"adequate","partial"),INDEX(Fit_Matrix!$B:$B,MATCH(P1747,Fit_Matrix!$A:$A,0)))),"CHECK KEY"))</f>
        <v/>
      </c>
      <c r="U1747" s="10" t="n"/>
      <c r="V1747" s="10" t="n"/>
      <c r="W1747" s="10" t="n"/>
      <c r="X1747" s="10" t="n"/>
      <c r="Y1747" s="10" t="n"/>
      <c r="Z1747" s="10" t="n"/>
      <c r="AA1747" s="11">
        <f>IF(A1747="","",IF(AND(J1747="P4",F1747="causal"),"P4-CAUSAL",""))</f>
        <v/>
      </c>
    </row>
    <row r="1748" ht="15" customHeight="1" s="1">
      <c r="P1748">
        <f>IF(OR(F1748="",H1748="",J1748=""),"",J1748&amp;"|"&amp;F1748&amp;"|"&amp;IF(H1748="W3","W3_"&amp;IF(I1748="","unknown",I1748),H1748))</f>
        <v/>
      </c>
      <c r="Q1748">
        <f>IF(P1748="","",IFERROR(IF(AND(H1748="W7",OR(F1748="causal",F1748="predictive")),IF(AND(OR(K1748=1,K1748="1"),OR(L1748=1,L1748="1"),OR(M1748=1,M1748="1")),"adequate","partial"),IF(AND(H1748="W4",F1748="predictive",OR(J1748="P2",J1748="P3",J1748="P4")),IF(OR(U1748=1,U1748="1"),"adequate","partial"),INDEX(Fit_Matrix!$B:$B,MATCH(P1748,Fit_Matrix!$A:$A,0)))),"CHECK KEY"))</f>
        <v/>
      </c>
      <c r="U1748" s="10" t="n"/>
      <c r="V1748" s="10" t="n"/>
      <c r="W1748" s="10" t="n"/>
      <c r="X1748" s="10" t="n"/>
      <c r="Y1748" s="10" t="n"/>
      <c r="Z1748" s="10" t="n"/>
      <c r="AA1748" s="11">
        <f>IF(A1748="","",IF(AND(J1748="P4",F1748="causal"),"P4-CAUSAL",""))</f>
        <v/>
      </c>
    </row>
    <row r="1749" ht="15" customHeight="1" s="1">
      <c r="P1749">
        <f>IF(OR(F1749="",H1749="",J1749=""),"",J1749&amp;"|"&amp;F1749&amp;"|"&amp;IF(H1749="W3","W3_"&amp;IF(I1749="","unknown",I1749),H1749))</f>
        <v/>
      </c>
      <c r="Q1749">
        <f>IF(P1749="","",IFERROR(IF(AND(H1749="W7",OR(F1749="causal",F1749="predictive")),IF(AND(OR(K1749=1,K1749="1"),OR(L1749=1,L1749="1"),OR(M1749=1,M1749="1")),"adequate","partial"),IF(AND(H1749="W4",F1749="predictive",OR(J1749="P2",J1749="P3",J1749="P4")),IF(OR(U1749=1,U1749="1"),"adequate","partial"),INDEX(Fit_Matrix!$B:$B,MATCH(P1749,Fit_Matrix!$A:$A,0)))),"CHECK KEY"))</f>
        <v/>
      </c>
      <c r="U1749" s="10" t="n"/>
      <c r="V1749" s="10" t="n"/>
      <c r="W1749" s="10" t="n"/>
      <c r="X1749" s="10" t="n"/>
      <c r="Y1749" s="10" t="n"/>
      <c r="Z1749" s="10" t="n"/>
      <c r="AA1749" s="11">
        <f>IF(A1749="","",IF(AND(J1749="P4",F1749="causal"),"P4-CAUSAL",""))</f>
        <v/>
      </c>
    </row>
    <row r="1750" ht="15" customHeight="1" s="1">
      <c r="P1750">
        <f>IF(OR(F1750="",H1750="",J1750=""),"",J1750&amp;"|"&amp;F1750&amp;"|"&amp;IF(H1750="W3","W3_"&amp;IF(I1750="","unknown",I1750),H1750))</f>
        <v/>
      </c>
      <c r="Q1750">
        <f>IF(P1750="","",IFERROR(IF(AND(H1750="W7",OR(F1750="causal",F1750="predictive")),IF(AND(OR(K1750=1,K1750="1"),OR(L1750=1,L1750="1"),OR(M1750=1,M1750="1")),"adequate","partial"),IF(AND(H1750="W4",F1750="predictive",OR(J1750="P2",J1750="P3",J1750="P4")),IF(OR(U1750=1,U1750="1"),"adequate","partial"),INDEX(Fit_Matrix!$B:$B,MATCH(P1750,Fit_Matrix!$A:$A,0)))),"CHECK KEY"))</f>
        <v/>
      </c>
      <c r="U1750" s="10" t="n"/>
      <c r="V1750" s="10" t="n"/>
      <c r="W1750" s="10" t="n"/>
      <c r="X1750" s="10" t="n"/>
      <c r="Y1750" s="10" t="n"/>
      <c r="Z1750" s="10" t="n"/>
      <c r="AA1750" s="11">
        <f>IF(A1750="","",IF(AND(J1750="P4",F1750="causal"),"P4-CAUSAL",""))</f>
        <v/>
      </c>
    </row>
    <row r="1751" ht="15" customHeight="1" s="1">
      <c r="P1751">
        <f>IF(OR(F1751="",H1751="",J1751=""),"",J1751&amp;"|"&amp;F1751&amp;"|"&amp;IF(H1751="W3","W3_"&amp;IF(I1751="","unknown",I1751),H1751))</f>
        <v/>
      </c>
      <c r="Q1751">
        <f>IF(P1751="","",IFERROR(IF(AND(H1751="W7",OR(F1751="causal",F1751="predictive")),IF(AND(OR(K1751=1,K1751="1"),OR(L1751=1,L1751="1"),OR(M1751=1,M1751="1")),"adequate","partial"),IF(AND(H1751="W4",F1751="predictive",OR(J1751="P2",J1751="P3",J1751="P4")),IF(OR(U1751=1,U1751="1"),"adequate","partial"),INDEX(Fit_Matrix!$B:$B,MATCH(P1751,Fit_Matrix!$A:$A,0)))),"CHECK KEY"))</f>
        <v/>
      </c>
      <c r="U1751" s="10" t="n"/>
      <c r="V1751" s="10" t="n"/>
      <c r="W1751" s="10" t="n"/>
      <c r="X1751" s="10" t="n"/>
      <c r="Y1751" s="10" t="n"/>
      <c r="Z1751" s="10" t="n"/>
      <c r="AA1751" s="11">
        <f>IF(A1751="","",IF(AND(J1751="P4",F1751="causal"),"P4-CAUSAL",""))</f>
        <v/>
      </c>
    </row>
    <row r="1752" ht="15" customHeight="1" s="1">
      <c r="P1752">
        <f>IF(OR(F1752="",H1752="",J1752=""),"",J1752&amp;"|"&amp;F1752&amp;"|"&amp;IF(H1752="W3","W3_"&amp;IF(I1752="","unknown",I1752),H1752))</f>
        <v/>
      </c>
      <c r="Q1752">
        <f>IF(P1752="","",IFERROR(IF(AND(H1752="W7",OR(F1752="causal",F1752="predictive")),IF(AND(OR(K1752=1,K1752="1"),OR(L1752=1,L1752="1"),OR(M1752=1,M1752="1")),"adequate","partial"),IF(AND(H1752="W4",F1752="predictive",OR(J1752="P2",J1752="P3",J1752="P4")),IF(OR(U1752=1,U1752="1"),"adequate","partial"),INDEX(Fit_Matrix!$B:$B,MATCH(P1752,Fit_Matrix!$A:$A,0)))),"CHECK KEY"))</f>
        <v/>
      </c>
      <c r="U1752" s="10" t="n"/>
      <c r="V1752" s="10" t="n"/>
      <c r="W1752" s="10" t="n"/>
      <c r="X1752" s="10" t="n"/>
      <c r="Y1752" s="10" t="n"/>
      <c r="Z1752" s="10" t="n"/>
      <c r="AA1752" s="11">
        <f>IF(A1752="","",IF(AND(J1752="P4",F1752="causal"),"P4-CAUSAL",""))</f>
        <v/>
      </c>
    </row>
    <row r="1753" ht="15" customHeight="1" s="1">
      <c r="P1753">
        <f>IF(OR(F1753="",H1753="",J1753=""),"",J1753&amp;"|"&amp;F1753&amp;"|"&amp;IF(H1753="W3","W3_"&amp;IF(I1753="","unknown",I1753),H1753))</f>
        <v/>
      </c>
      <c r="Q1753">
        <f>IF(P1753="","",IFERROR(IF(AND(H1753="W7",OR(F1753="causal",F1753="predictive")),IF(AND(OR(K1753=1,K1753="1"),OR(L1753=1,L1753="1"),OR(M1753=1,M1753="1")),"adequate","partial"),IF(AND(H1753="W4",F1753="predictive",OR(J1753="P2",J1753="P3",J1753="P4")),IF(OR(U1753=1,U1753="1"),"adequate","partial"),INDEX(Fit_Matrix!$B:$B,MATCH(P1753,Fit_Matrix!$A:$A,0)))),"CHECK KEY"))</f>
        <v/>
      </c>
      <c r="U1753" s="10" t="n"/>
      <c r="V1753" s="10" t="n"/>
      <c r="W1753" s="10" t="n"/>
      <c r="X1753" s="10" t="n"/>
      <c r="Y1753" s="10" t="n"/>
      <c r="Z1753" s="10" t="n"/>
      <c r="AA1753" s="11">
        <f>IF(A1753="","",IF(AND(J1753="P4",F1753="causal"),"P4-CAUSAL",""))</f>
        <v/>
      </c>
    </row>
    <row r="1754" ht="15" customHeight="1" s="1">
      <c r="P1754">
        <f>IF(OR(F1754="",H1754="",J1754=""),"",J1754&amp;"|"&amp;F1754&amp;"|"&amp;IF(H1754="W3","W3_"&amp;IF(I1754="","unknown",I1754),H1754))</f>
        <v/>
      </c>
      <c r="Q1754">
        <f>IF(P1754="","",IFERROR(IF(AND(H1754="W7",OR(F1754="causal",F1754="predictive")),IF(AND(OR(K1754=1,K1754="1"),OR(L1754=1,L1754="1"),OR(M1754=1,M1754="1")),"adequate","partial"),IF(AND(H1754="W4",F1754="predictive",OR(J1754="P2",J1754="P3",J1754="P4")),IF(OR(U1754=1,U1754="1"),"adequate","partial"),INDEX(Fit_Matrix!$B:$B,MATCH(P1754,Fit_Matrix!$A:$A,0)))),"CHECK KEY"))</f>
        <v/>
      </c>
      <c r="U1754" s="10" t="n"/>
      <c r="V1754" s="10" t="n"/>
      <c r="W1754" s="10" t="n"/>
      <c r="X1754" s="10" t="n"/>
      <c r="Y1754" s="10" t="n"/>
      <c r="Z1754" s="10" t="n"/>
      <c r="AA1754" s="11">
        <f>IF(A1754="","",IF(AND(J1754="P4",F1754="causal"),"P4-CAUSAL",""))</f>
        <v/>
      </c>
    </row>
    <row r="1755" ht="15" customHeight="1" s="1">
      <c r="P1755">
        <f>IF(OR(F1755="",H1755="",J1755=""),"",J1755&amp;"|"&amp;F1755&amp;"|"&amp;IF(H1755="W3","W3_"&amp;IF(I1755="","unknown",I1755),H1755))</f>
        <v/>
      </c>
      <c r="Q1755">
        <f>IF(P1755="","",IFERROR(IF(AND(H1755="W7",OR(F1755="causal",F1755="predictive")),IF(AND(OR(K1755=1,K1755="1"),OR(L1755=1,L1755="1"),OR(M1755=1,M1755="1")),"adequate","partial"),IF(AND(H1755="W4",F1755="predictive",OR(J1755="P2",J1755="P3",J1755="P4")),IF(OR(U1755=1,U1755="1"),"adequate","partial"),INDEX(Fit_Matrix!$B:$B,MATCH(P1755,Fit_Matrix!$A:$A,0)))),"CHECK KEY"))</f>
        <v/>
      </c>
      <c r="U1755" s="10" t="n"/>
      <c r="V1755" s="10" t="n"/>
      <c r="W1755" s="10" t="n"/>
      <c r="X1755" s="10" t="n"/>
      <c r="Y1755" s="10" t="n"/>
      <c r="Z1755" s="10" t="n"/>
      <c r="AA1755" s="11">
        <f>IF(A1755="","",IF(AND(J1755="P4",F1755="causal"),"P4-CAUSAL",""))</f>
        <v/>
      </c>
    </row>
    <row r="1756" ht="15" customHeight="1" s="1">
      <c r="P1756">
        <f>IF(OR(F1756="",H1756="",J1756=""),"",J1756&amp;"|"&amp;F1756&amp;"|"&amp;IF(H1756="W3","W3_"&amp;IF(I1756="","unknown",I1756),H1756))</f>
        <v/>
      </c>
      <c r="Q1756">
        <f>IF(P1756="","",IFERROR(IF(AND(H1756="W7",OR(F1756="causal",F1756="predictive")),IF(AND(OR(K1756=1,K1756="1"),OR(L1756=1,L1756="1"),OR(M1756=1,M1756="1")),"adequate","partial"),IF(AND(H1756="W4",F1756="predictive",OR(J1756="P2",J1756="P3",J1756="P4")),IF(OR(U1756=1,U1756="1"),"adequate","partial"),INDEX(Fit_Matrix!$B:$B,MATCH(P1756,Fit_Matrix!$A:$A,0)))),"CHECK KEY"))</f>
        <v/>
      </c>
      <c r="U1756" s="10" t="n"/>
      <c r="V1756" s="10" t="n"/>
      <c r="W1756" s="10" t="n"/>
      <c r="X1756" s="10" t="n"/>
      <c r="Y1756" s="10" t="n"/>
      <c r="Z1756" s="10" t="n"/>
      <c r="AA1756" s="11">
        <f>IF(A1756="","",IF(AND(J1756="P4",F1756="causal"),"P4-CAUSAL",""))</f>
        <v/>
      </c>
    </row>
    <row r="1757" ht="15" customHeight="1" s="1">
      <c r="P1757">
        <f>IF(OR(F1757="",H1757="",J1757=""),"",J1757&amp;"|"&amp;F1757&amp;"|"&amp;IF(H1757="W3","W3_"&amp;IF(I1757="","unknown",I1757),H1757))</f>
        <v/>
      </c>
      <c r="Q1757">
        <f>IF(P1757="","",IFERROR(IF(AND(H1757="W7",OR(F1757="causal",F1757="predictive")),IF(AND(OR(K1757=1,K1757="1"),OR(L1757=1,L1757="1"),OR(M1757=1,M1757="1")),"adequate","partial"),IF(AND(H1757="W4",F1757="predictive",OR(J1757="P2",J1757="P3",J1757="P4")),IF(OR(U1757=1,U1757="1"),"adequate","partial"),INDEX(Fit_Matrix!$B:$B,MATCH(P1757,Fit_Matrix!$A:$A,0)))),"CHECK KEY"))</f>
        <v/>
      </c>
      <c r="U1757" s="10" t="n"/>
      <c r="V1757" s="10" t="n"/>
      <c r="W1757" s="10" t="n"/>
      <c r="X1757" s="10" t="n"/>
      <c r="Y1757" s="10" t="n"/>
      <c r="Z1757" s="10" t="n"/>
      <c r="AA1757" s="11">
        <f>IF(A1757="","",IF(AND(J1757="P4",F1757="causal"),"P4-CAUSAL",""))</f>
        <v/>
      </c>
    </row>
    <row r="1758" ht="15" customHeight="1" s="1">
      <c r="P1758">
        <f>IF(OR(F1758="",H1758="",J1758=""),"",J1758&amp;"|"&amp;F1758&amp;"|"&amp;IF(H1758="W3","W3_"&amp;IF(I1758="","unknown",I1758),H1758))</f>
        <v/>
      </c>
      <c r="Q1758">
        <f>IF(P1758="","",IFERROR(IF(AND(H1758="W7",OR(F1758="causal",F1758="predictive")),IF(AND(OR(K1758=1,K1758="1"),OR(L1758=1,L1758="1"),OR(M1758=1,M1758="1")),"adequate","partial"),IF(AND(H1758="W4",F1758="predictive",OR(J1758="P2",J1758="P3",J1758="P4")),IF(OR(U1758=1,U1758="1"),"adequate","partial"),INDEX(Fit_Matrix!$B:$B,MATCH(P1758,Fit_Matrix!$A:$A,0)))),"CHECK KEY"))</f>
        <v/>
      </c>
      <c r="U1758" s="10" t="n"/>
      <c r="V1758" s="10" t="n"/>
      <c r="W1758" s="10" t="n"/>
      <c r="X1758" s="10" t="n"/>
      <c r="Y1758" s="10" t="n"/>
      <c r="Z1758" s="10" t="n"/>
      <c r="AA1758" s="11">
        <f>IF(A1758="","",IF(AND(J1758="P4",F1758="causal"),"P4-CAUSAL",""))</f>
        <v/>
      </c>
    </row>
    <row r="1759" ht="15" customHeight="1" s="1">
      <c r="P1759">
        <f>IF(OR(F1759="",H1759="",J1759=""),"",J1759&amp;"|"&amp;F1759&amp;"|"&amp;IF(H1759="W3","W3_"&amp;IF(I1759="","unknown",I1759),H1759))</f>
        <v/>
      </c>
      <c r="Q1759">
        <f>IF(P1759="","",IFERROR(IF(AND(H1759="W7",OR(F1759="causal",F1759="predictive")),IF(AND(OR(K1759=1,K1759="1"),OR(L1759=1,L1759="1"),OR(M1759=1,M1759="1")),"adequate","partial"),IF(AND(H1759="W4",F1759="predictive",OR(J1759="P2",J1759="P3",J1759="P4")),IF(OR(U1759=1,U1759="1"),"adequate","partial"),INDEX(Fit_Matrix!$B:$B,MATCH(P1759,Fit_Matrix!$A:$A,0)))),"CHECK KEY"))</f>
        <v/>
      </c>
      <c r="U1759" s="10" t="n"/>
      <c r="V1759" s="10" t="n"/>
      <c r="W1759" s="10" t="n"/>
      <c r="X1759" s="10" t="n"/>
      <c r="Y1759" s="10" t="n"/>
      <c r="Z1759" s="10" t="n"/>
      <c r="AA1759" s="11">
        <f>IF(A1759="","",IF(AND(J1759="P4",F1759="causal"),"P4-CAUSAL",""))</f>
        <v/>
      </c>
    </row>
    <row r="1760" ht="15" customHeight="1" s="1">
      <c r="P1760">
        <f>IF(OR(F1760="",H1760="",J1760=""),"",J1760&amp;"|"&amp;F1760&amp;"|"&amp;IF(H1760="W3","W3_"&amp;IF(I1760="","unknown",I1760),H1760))</f>
        <v/>
      </c>
      <c r="Q1760">
        <f>IF(P1760="","",IFERROR(IF(AND(H1760="W7",OR(F1760="causal",F1760="predictive")),IF(AND(OR(K1760=1,K1760="1"),OR(L1760=1,L1760="1"),OR(M1760=1,M1760="1")),"adequate","partial"),IF(AND(H1760="W4",F1760="predictive",OR(J1760="P2",J1760="P3",J1760="P4")),IF(OR(U1760=1,U1760="1"),"adequate","partial"),INDEX(Fit_Matrix!$B:$B,MATCH(P1760,Fit_Matrix!$A:$A,0)))),"CHECK KEY"))</f>
        <v/>
      </c>
      <c r="U1760" s="10" t="n"/>
      <c r="V1760" s="10" t="n"/>
      <c r="W1760" s="10" t="n"/>
      <c r="X1760" s="10" t="n"/>
      <c r="Y1760" s="10" t="n"/>
      <c r="Z1760" s="10" t="n"/>
      <c r="AA1760" s="11">
        <f>IF(A1760="","",IF(AND(J1760="P4",F1760="causal"),"P4-CAUSAL",""))</f>
        <v/>
      </c>
    </row>
    <row r="1761" ht="15" customHeight="1" s="1">
      <c r="P1761">
        <f>IF(OR(F1761="",H1761="",J1761=""),"",J1761&amp;"|"&amp;F1761&amp;"|"&amp;IF(H1761="W3","W3_"&amp;IF(I1761="","unknown",I1761),H1761))</f>
        <v/>
      </c>
      <c r="Q1761">
        <f>IF(P1761="","",IFERROR(IF(AND(H1761="W7",OR(F1761="causal",F1761="predictive")),IF(AND(OR(K1761=1,K1761="1"),OR(L1761=1,L1761="1"),OR(M1761=1,M1761="1")),"adequate","partial"),IF(AND(H1761="W4",F1761="predictive",OR(J1761="P2",J1761="P3",J1761="P4")),IF(OR(U1761=1,U1761="1"),"adequate","partial"),INDEX(Fit_Matrix!$B:$B,MATCH(P1761,Fit_Matrix!$A:$A,0)))),"CHECK KEY"))</f>
        <v/>
      </c>
      <c r="U1761" s="10" t="n"/>
      <c r="V1761" s="10" t="n"/>
      <c r="W1761" s="10" t="n"/>
      <c r="X1761" s="10" t="n"/>
      <c r="Y1761" s="10" t="n"/>
      <c r="Z1761" s="10" t="n"/>
      <c r="AA1761" s="11">
        <f>IF(A1761="","",IF(AND(J1761="P4",F1761="causal"),"P4-CAUSAL",""))</f>
        <v/>
      </c>
    </row>
    <row r="1762" ht="15" customHeight="1" s="1">
      <c r="P1762">
        <f>IF(OR(F1762="",H1762="",J1762=""),"",J1762&amp;"|"&amp;F1762&amp;"|"&amp;IF(H1762="W3","W3_"&amp;IF(I1762="","unknown",I1762),H1762))</f>
        <v/>
      </c>
      <c r="Q1762">
        <f>IF(P1762="","",IFERROR(IF(AND(H1762="W7",OR(F1762="causal",F1762="predictive")),IF(AND(OR(K1762=1,K1762="1"),OR(L1762=1,L1762="1"),OR(M1762=1,M1762="1")),"adequate","partial"),IF(AND(H1762="W4",F1762="predictive",OR(J1762="P2",J1762="P3",J1762="P4")),IF(OR(U1762=1,U1762="1"),"adequate","partial"),INDEX(Fit_Matrix!$B:$B,MATCH(P1762,Fit_Matrix!$A:$A,0)))),"CHECK KEY"))</f>
        <v/>
      </c>
      <c r="U1762" s="10" t="n"/>
      <c r="V1762" s="10" t="n"/>
      <c r="W1762" s="10" t="n"/>
      <c r="X1762" s="10" t="n"/>
      <c r="Y1762" s="10" t="n"/>
      <c r="Z1762" s="10" t="n"/>
      <c r="AA1762" s="11">
        <f>IF(A1762="","",IF(AND(J1762="P4",F1762="causal"),"P4-CAUSAL",""))</f>
        <v/>
      </c>
    </row>
    <row r="1763" ht="15" customHeight="1" s="1">
      <c r="P1763">
        <f>IF(OR(F1763="",H1763="",J1763=""),"",J1763&amp;"|"&amp;F1763&amp;"|"&amp;IF(H1763="W3","W3_"&amp;IF(I1763="","unknown",I1763),H1763))</f>
        <v/>
      </c>
      <c r="Q1763">
        <f>IF(P1763="","",IFERROR(IF(AND(H1763="W7",OR(F1763="causal",F1763="predictive")),IF(AND(OR(K1763=1,K1763="1"),OR(L1763=1,L1763="1"),OR(M1763=1,M1763="1")),"adequate","partial"),IF(AND(H1763="W4",F1763="predictive",OR(J1763="P2",J1763="P3",J1763="P4")),IF(OR(U1763=1,U1763="1"),"adequate","partial"),INDEX(Fit_Matrix!$B:$B,MATCH(P1763,Fit_Matrix!$A:$A,0)))),"CHECK KEY"))</f>
        <v/>
      </c>
      <c r="U1763" s="10" t="n"/>
      <c r="V1763" s="10" t="n"/>
      <c r="W1763" s="10" t="n"/>
      <c r="X1763" s="10" t="n"/>
      <c r="Y1763" s="10" t="n"/>
      <c r="Z1763" s="10" t="n"/>
      <c r="AA1763" s="11">
        <f>IF(A1763="","",IF(AND(J1763="P4",F1763="causal"),"P4-CAUSAL",""))</f>
        <v/>
      </c>
    </row>
    <row r="1764" ht="15" customHeight="1" s="1">
      <c r="P1764">
        <f>IF(OR(F1764="",H1764="",J1764=""),"",J1764&amp;"|"&amp;F1764&amp;"|"&amp;IF(H1764="W3","W3_"&amp;IF(I1764="","unknown",I1764),H1764))</f>
        <v/>
      </c>
      <c r="Q1764">
        <f>IF(P1764="","",IFERROR(IF(AND(H1764="W7",OR(F1764="causal",F1764="predictive")),IF(AND(OR(K1764=1,K1764="1"),OR(L1764=1,L1764="1"),OR(M1764=1,M1764="1")),"adequate","partial"),IF(AND(H1764="W4",F1764="predictive",OR(J1764="P2",J1764="P3",J1764="P4")),IF(OR(U1764=1,U1764="1"),"adequate","partial"),INDEX(Fit_Matrix!$B:$B,MATCH(P1764,Fit_Matrix!$A:$A,0)))),"CHECK KEY"))</f>
        <v/>
      </c>
      <c r="U1764" s="10" t="n"/>
      <c r="V1764" s="10" t="n"/>
      <c r="W1764" s="10" t="n"/>
      <c r="X1764" s="10" t="n"/>
      <c r="Y1764" s="10" t="n"/>
      <c r="Z1764" s="10" t="n"/>
      <c r="AA1764" s="11">
        <f>IF(A1764="","",IF(AND(J1764="P4",F1764="causal"),"P4-CAUSAL",""))</f>
        <v/>
      </c>
    </row>
    <row r="1765" ht="15" customHeight="1" s="1">
      <c r="P1765">
        <f>IF(OR(F1765="",H1765="",J1765=""),"",J1765&amp;"|"&amp;F1765&amp;"|"&amp;IF(H1765="W3","W3_"&amp;IF(I1765="","unknown",I1765),H1765))</f>
        <v/>
      </c>
      <c r="Q1765">
        <f>IF(P1765="","",IFERROR(IF(AND(H1765="W7",OR(F1765="causal",F1765="predictive")),IF(AND(OR(K1765=1,K1765="1"),OR(L1765=1,L1765="1"),OR(M1765=1,M1765="1")),"adequate","partial"),IF(AND(H1765="W4",F1765="predictive",OR(J1765="P2",J1765="P3",J1765="P4")),IF(OR(U1765=1,U1765="1"),"adequate","partial"),INDEX(Fit_Matrix!$B:$B,MATCH(P1765,Fit_Matrix!$A:$A,0)))),"CHECK KEY"))</f>
        <v/>
      </c>
      <c r="U1765" s="10" t="n"/>
      <c r="V1765" s="10" t="n"/>
      <c r="W1765" s="10" t="n"/>
      <c r="X1765" s="10" t="n"/>
      <c r="Y1765" s="10" t="n"/>
      <c r="Z1765" s="10" t="n"/>
      <c r="AA1765" s="11">
        <f>IF(A1765="","",IF(AND(J1765="P4",F1765="causal"),"P4-CAUSAL",""))</f>
        <v/>
      </c>
    </row>
    <row r="1766" ht="15" customHeight="1" s="1">
      <c r="P1766">
        <f>IF(OR(F1766="",H1766="",J1766=""),"",J1766&amp;"|"&amp;F1766&amp;"|"&amp;IF(H1766="W3","W3_"&amp;IF(I1766="","unknown",I1766),H1766))</f>
        <v/>
      </c>
      <c r="Q1766">
        <f>IF(P1766="","",IFERROR(IF(AND(H1766="W7",OR(F1766="causal",F1766="predictive")),IF(AND(OR(K1766=1,K1766="1"),OR(L1766=1,L1766="1"),OR(M1766=1,M1766="1")),"adequate","partial"),IF(AND(H1766="W4",F1766="predictive",OR(J1766="P2",J1766="P3",J1766="P4")),IF(OR(U1766=1,U1766="1"),"adequate","partial"),INDEX(Fit_Matrix!$B:$B,MATCH(P1766,Fit_Matrix!$A:$A,0)))),"CHECK KEY"))</f>
        <v/>
      </c>
      <c r="U1766" s="10" t="n"/>
      <c r="V1766" s="10" t="n"/>
      <c r="W1766" s="10" t="n"/>
      <c r="X1766" s="10" t="n"/>
      <c r="Y1766" s="10" t="n"/>
      <c r="Z1766" s="10" t="n"/>
      <c r="AA1766" s="11">
        <f>IF(A1766="","",IF(AND(J1766="P4",F1766="causal"),"P4-CAUSAL",""))</f>
        <v/>
      </c>
    </row>
    <row r="1767" ht="15" customHeight="1" s="1">
      <c r="P1767">
        <f>IF(OR(F1767="",H1767="",J1767=""),"",J1767&amp;"|"&amp;F1767&amp;"|"&amp;IF(H1767="W3","W3_"&amp;IF(I1767="","unknown",I1767),H1767))</f>
        <v/>
      </c>
      <c r="Q1767">
        <f>IF(P1767="","",IFERROR(IF(AND(H1767="W7",OR(F1767="causal",F1767="predictive")),IF(AND(OR(K1767=1,K1767="1"),OR(L1767=1,L1767="1"),OR(M1767=1,M1767="1")),"adequate","partial"),IF(AND(H1767="W4",F1767="predictive",OR(J1767="P2",J1767="P3",J1767="P4")),IF(OR(U1767=1,U1767="1"),"adequate","partial"),INDEX(Fit_Matrix!$B:$B,MATCH(P1767,Fit_Matrix!$A:$A,0)))),"CHECK KEY"))</f>
        <v/>
      </c>
      <c r="U1767" s="10" t="n"/>
      <c r="V1767" s="10" t="n"/>
      <c r="W1767" s="10" t="n"/>
      <c r="X1767" s="10" t="n"/>
      <c r="Y1767" s="10" t="n"/>
      <c r="Z1767" s="10" t="n"/>
      <c r="AA1767" s="11">
        <f>IF(A1767="","",IF(AND(J1767="P4",F1767="causal"),"P4-CAUSAL",""))</f>
        <v/>
      </c>
    </row>
    <row r="1768" ht="15" customHeight="1" s="1">
      <c r="P1768">
        <f>IF(OR(F1768="",H1768="",J1768=""),"",J1768&amp;"|"&amp;F1768&amp;"|"&amp;IF(H1768="W3","W3_"&amp;IF(I1768="","unknown",I1768),H1768))</f>
        <v/>
      </c>
      <c r="Q1768">
        <f>IF(P1768="","",IFERROR(IF(AND(H1768="W7",OR(F1768="causal",F1768="predictive")),IF(AND(OR(K1768=1,K1768="1"),OR(L1768=1,L1768="1"),OR(M1768=1,M1768="1")),"adequate","partial"),IF(AND(H1768="W4",F1768="predictive",OR(J1768="P2",J1768="P3",J1768="P4")),IF(OR(U1768=1,U1768="1"),"adequate","partial"),INDEX(Fit_Matrix!$B:$B,MATCH(P1768,Fit_Matrix!$A:$A,0)))),"CHECK KEY"))</f>
        <v/>
      </c>
      <c r="U1768" s="10" t="n"/>
      <c r="V1768" s="10" t="n"/>
      <c r="W1768" s="10" t="n"/>
      <c r="X1768" s="10" t="n"/>
      <c r="Y1768" s="10" t="n"/>
      <c r="Z1768" s="10" t="n"/>
      <c r="AA1768" s="11">
        <f>IF(A1768="","",IF(AND(J1768="P4",F1768="causal"),"P4-CAUSAL",""))</f>
        <v/>
      </c>
    </row>
    <row r="1769" ht="15" customHeight="1" s="1">
      <c r="P1769">
        <f>IF(OR(F1769="",H1769="",J1769=""),"",J1769&amp;"|"&amp;F1769&amp;"|"&amp;IF(H1769="W3","W3_"&amp;IF(I1769="","unknown",I1769),H1769))</f>
        <v/>
      </c>
      <c r="Q1769">
        <f>IF(P1769="","",IFERROR(IF(AND(H1769="W7",OR(F1769="causal",F1769="predictive")),IF(AND(OR(K1769=1,K1769="1"),OR(L1769=1,L1769="1"),OR(M1769=1,M1769="1")),"adequate","partial"),IF(AND(H1769="W4",F1769="predictive",OR(J1769="P2",J1769="P3",J1769="P4")),IF(OR(U1769=1,U1769="1"),"adequate","partial"),INDEX(Fit_Matrix!$B:$B,MATCH(P1769,Fit_Matrix!$A:$A,0)))),"CHECK KEY"))</f>
        <v/>
      </c>
      <c r="U1769" s="10" t="n"/>
      <c r="V1769" s="10" t="n"/>
      <c r="W1769" s="10" t="n"/>
      <c r="X1769" s="10" t="n"/>
      <c r="Y1769" s="10" t="n"/>
      <c r="Z1769" s="10" t="n"/>
      <c r="AA1769" s="11">
        <f>IF(A1769="","",IF(AND(J1769="P4",F1769="causal"),"P4-CAUSAL",""))</f>
        <v/>
      </c>
    </row>
    <row r="1770" ht="15" customHeight="1" s="1">
      <c r="P1770">
        <f>IF(OR(F1770="",H1770="",J1770=""),"",J1770&amp;"|"&amp;F1770&amp;"|"&amp;IF(H1770="W3","W3_"&amp;IF(I1770="","unknown",I1770),H1770))</f>
        <v/>
      </c>
      <c r="Q1770">
        <f>IF(P1770="","",IFERROR(IF(AND(H1770="W7",OR(F1770="causal",F1770="predictive")),IF(AND(OR(K1770=1,K1770="1"),OR(L1770=1,L1770="1"),OR(M1770=1,M1770="1")),"adequate","partial"),IF(AND(H1770="W4",F1770="predictive",OR(J1770="P2",J1770="P3",J1770="P4")),IF(OR(U1770=1,U1770="1"),"adequate","partial"),INDEX(Fit_Matrix!$B:$B,MATCH(P1770,Fit_Matrix!$A:$A,0)))),"CHECK KEY"))</f>
        <v/>
      </c>
      <c r="U1770" s="10" t="n"/>
      <c r="V1770" s="10" t="n"/>
      <c r="W1770" s="10" t="n"/>
      <c r="X1770" s="10" t="n"/>
      <c r="Y1770" s="10" t="n"/>
      <c r="Z1770" s="10" t="n"/>
      <c r="AA1770" s="11">
        <f>IF(A1770="","",IF(AND(J1770="P4",F1770="causal"),"P4-CAUSAL",""))</f>
        <v/>
      </c>
    </row>
    <row r="1771" ht="15" customHeight="1" s="1">
      <c r="P1771">
        <f>IF(OR(F1771="",H1771="",J1771=""),"",J1771&amp;"|"&amp;F1771&amp;"|"&amp;IF(H1771="W3","W3_"&amp;IF(I1771="","unknown",I1771),H1771))</f>
        <v/>
      </c>
      <c r="Q1771">
        <f>IF(P1771="","",IFERROR(IF(AND(H1771="W7",OR(F1771="causal",F1771="predictive")),IF(AND(OR(K1771=1,K1771="1"),OR(L1771=1,L1771="1"),OR(M1771=1,M1771="1")),"adequate","partial"),IF(AND(H1771="W4",F1771="predictive",OR(J1771="P2",J1771="P3",J1771="P4")),IF(OR(U1771=1,U1771="1"),"adequate","partial"),INDEX(Fit_Matrix!$B:$B,MATCH(P1771,Fit_Matrix!$A:$A,0)))),"CHECK KEY"))</f>
        <v/>
      </c>
      <c r="U1771" s="10" t="n"/>
      <c r="V1771" s="10" t="n"/>
      <c r="W1771" s="10" t="n"/>
      <c r="X1771" s="10" t="n"/>
      <c r="Y1771" s="10" t="n"/>
      <c r="Z1771" s="10" t="n"/>
      <c r="AA1771" s="11">
        <f>IF(A1771="","",IF(AND(J1771="P4",F1771="causal"),"P4-CAUSAL",""))</f>
        <v/>
      </c>
    </row>
    <row r="1772" ht="15" customHeight="1" s="1">
      <c r="P1772">
        <f>IF(OR(F1772="",H1772="",J1772=""),"",J1772&amp;"|"&amp;F1772&amp;"|"&amp;IF(H1772="W3","W3_"&amp;IF(I1772="","unknown",I1772),H1772))</f>
        <v/>
      </c>
      <c r="Q1772">
        <f>IF(P1772="","",IFERROR(IF(AND(H1772="W7",OR(F1772="causal",F1772="predictive")),IF(AND(OR(K1772=1,K1772="1"),OR(L1772=1,L1772="1"),OR(M1772=1,M1772="1")),"adequate","partial"),IF(AND(H1772="W4",F1772="predictive",OR(J1772="P2",J1772="P3",J1772="P4")),IF(OR(U1772=1,U1772="1"),"adequate","partial"),INDEX(Fit_Matrix!$B:$B,MATCH(P1772,Fit_Matrix!$A:$A,0)))),"CHECK KEY"))</f>
        <v/>
      </c>
      <c r="U1772" s="10" t="n"/>
      <c r="V1772" s="10" t="n"/>
      <c r="W1772" s="10" t="n"/>
      <c r="X1772" s="10" t="n"/>
      <c r="Y1772" s="10" t="n"/>
      <c r="Z1772" s="10" t="n"/>
      <c r="AA1772" s="11">
        <f>IF(A1772="","",IF(AND(J1772="P4",F1772="causal"),"P4-CAUSAL",""))</f>
        <v/>
      </c>
    </row>
    <row r="1773" ht="15" customHeight="1" s="1">
      <c r="P1773">
        <f>IF(OR(F1773="",H1773="",J1773=""),"",J1773&amp;"|"&amp;F1773&amp;"|"&amp;IF(H1773="W3","W3_"&amp;IF(I1773="","unknown",I1773),H1773))</f>
        <v/>
      </c>
      <c r="Q1773">
        <f>IF(P1773="","",IFERROR(IF(AND(H1773="W7",OR(F1773="causal",F1773="predictive")),IF(AND(OR(K1773=1,K1773="1"),OR(L1773=1,L1773="1"),OR(M1773=1,M1773="1")),"adequate","partial"),IF(AND(H1773="W4",F1773="predictive",OR(J1773="P2",J1773="P3",J1773="P4")),IF(OR(U1773=1,U1773="1"),"adequate","partial"),INDEX(Fit_Matrix!$B:$B,MATCH(P1773,Fit_Matrix!$A:$A,0)))),"CHECK KEY"))</f>
        <v/>
      </c>
      <c r="U1773" s="10" t="n"/>
      <c r="V1773" s="10" t="n"/>
      <c r="W1773" s="10" t="n"/>
      <c r="X1773" s="10" t="n"/>
      <c r="Y1773" s="10" t="n"/>
      <c r="Z1773" s="10" t="n"/>
      <c r="AA1773" s="11">
        <f>IF(A1773="","",IF(AND(J1773="P4",F1773="causal"),"P4-CAUSAL",""))</f>
        <v/>
      </c>
    </row>
    <row r="1774" ht="15" customHeight="1" s="1">
      <c r="P1774">
        <f>IF(OR(F1774="",H1774="",J1774=""),"",J1774&amp;"|"&amp;F1774&amp;"|"&amp;IF(H1774="W3","W3_"&amp;IF(I1774="","unknown",I1774),H1774))</f>
        <v/>
      </c>
      <c r="Q1774">
        <f>IF(P1774="","",IFERROR(IF(AND(H1774="W7",OR(F1774="causal",F1774="predictive")),IF(AND(OR(K1774=1,K1774="1"),OR(L1774=1,L1774="1"),OR(M1774=1,M1774="1")),"adequate","partial"),IF(AND(H1774="W4",F1774="predictive",OR(J1774="P2",J1774="P3",J1774="P4")),IF(OR(U1774=1,U1774="1"),"adequate","partial"),INDEX(Fit_Matrix!$B:$B,MATCH(P1774,Fit_Matrix!$A:$A,0)))),"CHECK KEY"))</f>
        <v/>
      </c>
      <c r="U1774" s="10" t="n"/>
      <c r="V1774" s="10" t="n"/>
      <c r="W1774" s="10" t="n"/>
      <c r="X1774" s="10" t="n"/>
      <c r="Y1774" s="10" t="n"/>
      <c r="Z1774" s="10" t="n"/>
      <c r="AA1774" s="11">
        <f>IF(A1774="","",IF(AND(J1774="P4",F1774="causal"),"P4-CAUSAL",""))</f>
        <v/>
      </c>
    </row>
    <row r="1775" ht="15" customHeight="1" s="1">
      <c r="P1775">
        <f>IF(OR(F1775="",H1775="",J1775=""),"",J1775&amp;"|"&amp;F1775&amp;"|"&amp;IF(H1775="W3","W3_"&amp;IF(I1775="","unknown",I1775),H1775))</f>
        <v/>
      </c>
      <c r="Q1775">
        <f>IF(P1775="","",IFERROR(IF(AND(H1775="W7",OR(F1775="causal",F1775="predictive")),IF(AND(OR(K1775=1,K1775="1"),OR(L1775=1,L1775="1"),OR(M1775=1,M1775="1")),"adequate","partial"),IF(AND(H1775="W4",F1775="predictive",OR(J1775="P2",J1775="P3",J1775="P4")),IF(OR(U1775=1,U1775="1"),"adequate","partial"),INDEX(Fit_Matrix!$B:$B,MATCH(P1775,Fit_Matrix!$A:$A,0)))),"CHECK KEY"))</f>
        <v/>
      </c>
      <c r="U1775" s="10" t="n"/>
      <c r="V1775" s="10" t="n"/>
      <c r="W1775" s="10" t="n"/>
      <c r="X1775" s="10" t="n"/>
      <c r="Y1775" s="10" t="n"/>
      <c r="Z1775" s="10" t="n"/>
      <c r="AA1775" s="11">
        <f>IF(A1775="","",IF(AND(J1775="P4",F1775="causal"),"P4-CAUSAL",""))</f>
        <v/>
      </c>
    </row>
    <row r="1776" ht="15" customHeight="1" s="1">
      <c r="P1776">
        <f>IF(OR(F1776="",H1776="",J1776=""),"",J1776&amp;"|"&amp;F1776&amp;"|"&amp;IF(H1776="W3","W3_"&amp;IF(I1776="","unknown",I1776),H1776))</f>
        <v/>
      </c>
      <c r="Q1776">
        <f>IF(P1776="","",IFERROR(IF(AND(H1776="W7",OR(F1776="causal",F1776="predictive")),IF(AND(OR(K1776=1,K1776="1"),OR(L1776=1,L1776="1"),OR(M1776=1,M1776="1")),"adequate","partial"),IF(AND(H1776="W4",F1776="predictive",OR(J1776="P2",J1776="P3",J1776="P4")),IF(OR(U1776=1,U1776="1"),"adequate","partial"),INDEX(Fit_Matrix!$B:$B,MATCH(P1776,Fit_Matrix!$A:$A,0)))),"CHECK KEY"))</f>
        <v/>
      </c>
      <c r="U1776" s="10" t="n"/>
      <c r="V1776" s="10" t="n"/>
      <c r="W1776" s="10" t="n"/>
      <c r="X1776" s="10" t="n"/>
      <c r="Y1776" s="10" t="n"/>
      <c r="Z1776" s="10" t="n"/>
      <c r="AA1776" s="11">
        <f>IF(A1776="","",IF(AND(J1776="P4",F1776="causal"),"P4-CAUSAL",""))</f>
        <v/>
      </c>
    </row>
    <row r="1777" ht="15" customHeight="1" s="1">
      <c r="P1777">
        <f>IF(OR(F1777="",H1777="",J1777=""),"",J1777&amp;"|"&amp;F1777&amp;"|"&amp;IF(H1777="W3","W3_"&amp;IF(I1777="","unknown",I1777),H1777))</f>
        <v/>
      </c>
      <c r="Q1777">
        <f>IF(P1777="","",IFERROR(IF(AND(H1777="W7",OR(F1777="causal",F1777="predictive")),IF(AND(OR(K1777=1,K1777="1"),OR(L1777=1,L1777="1"),OR(M1777=1,M1777="1")),"adequate","partial"),IF(AND(H1777="W4",F1777="predictive",OR(J1777="P2",J1777="P3",J1777="P4")),IF(OR(U1777=1,U1777="1"),"adequate","partial"),INDEX(Fit_Matrix!$B:$B,MATCH(P1777,Fit_Matrix!$A:$A,0)))),"CHECK KEY"))</f>
        <v/>
      </c>
      <c r="U1777" s="10" t="n"/>
      <c r="V1777" s="10" t="n"/>
      <c r="W1777" s="10" t="n"/>
      <c r="X1777" s="10" t="n"/>
      <c r="Y1777" s="10" t="n"/>
      <c r="Z1777" s="10" t="n"/>
      <c r="AA1777" s="11">
        <f>IF(A1777="","",IF(AND(J1777="P4",F1777="causal"),"P4-CAUSAL",""))</f>
        <v/>
      </c>
    </row>
    <row r="1778" ht="15" customHeight="1" s="1">
      <c r="P1778">
        <f>IF(OR(F1778="",H1778="",J1778=""),"",J1778&amp;"|"&amp;F1778&amp;"|"&amp;IF(H1778="W3","W3_"&amp;IF(I1778="","unknown",I1778),H1778))</f>
        <v/>
      </c>
      <c r="Q1778">
        <f>IF(P1778="","",IFERROR(IF(AND(H1778="W7",OR(F1778="causal",F1778="predictive")),IF(AND(OR(K1778=1,K1778="1"),OR(L1778=1,L1778="1"),OR(M1778=1,M1778="1")),"adequate","partial"),IF(AND(H1778="W4",F1778="predictive",OR(J1778="P2",J1778="P3",J1778="P4")),IF(OR(U1778=1,U1778="1"),"adequate","partial"),INDEX(Fit_Matrix!$B:$B,MATCH(P1778,Fit_Matrix!$A:$A,0)))),"CHECK KEY"))</f>
        <v/>
      </c>
      <c r="U1778" s="10" t="n"/>
      <c r="V1778" s="10" t="n"/>
      <c r="W1778" s="10" t="n"/>
      <c r="X1778" s="10" t="n"/>
      <c r="Y1778" s="10" t="n"/>
      <c r="Z1778" s="10" t="n"/>
      <c r="AA1778" s="11">
        <f>IF(A1778="","",IF(AND(J1778="P4",F1778="causal"),"P4-CAUSAL",""))</f>
        <v/>
      </c>
    </row>
    <row r="1779" ht="15" customHeight="1" s="1">
      <c r="P1779">
        <f>IF(OR(F1779="",H1779="",J1779=""),"",J1779&amp;"|"&amp;F1779&amp;"|"&amp;IF(H1779="W3","W3_"&amp;IF(I1779="","unknown",I1779),H1779))</f>
        <v/>
      </c>
      <c r="Q1779">
        <f>IF(P1779="","",IFERROR(IF(AND(H1779="W7",OR(F1779="causal",F1779="predictive")),IF(AND(OR(K1779=1,K1779="1"),OR(L1779=1,L1779="1"),OR(M1779=1,M1779="1")),"adequate","partial"),IF(AND(H1779="W4",F1779="predictive",OR(J1779="P2",J1779="P3",J1779="P4")),IF(OR(U1779=1,U1779="1"),"adequate","partial"),INDEX(Fit_Matrix!$B:$B,MATCH(P1779,Fit_Matrix!$A:$A,0)))),"CHECK KEY"))</f>
        <v/>
      </c>
      <c r="U1779" s="10" t="n"/>
      <c r="V1779" s="10" t="n"/>
      <c r="W1779" s="10" t="n"/>
      <c r="X1779" s="10" t="n"/>
      <c r="Y1779" s="10" t="n"/>
      <c r="Z1779" s="10" t="n"/>
      <c r="AA1779" s="11">
        <f>IF(A1779="","",IF(AND(J1779="P4",F1779="causal"),"P4-CAUSAL",""))</f>
        <v/>
      </c>
    </row>
    <row r="1780" ht="15" customHeight="1" s="1">
      <c r="P1780">
        <f>IF(OR(F1780="",H1780="",J1780=""),"",J1780&amp;"|"&amp;F1780&amp;"|"&amp;IF(H1780="W3","W3_"&amp;IF(I1780="","unknown",I1780),H1780))</f>
        <v/>
      </c>
      <c r="Q1780">
        <f>IF(P1780="","",IFERROR(IF(AND(H1780="W7",OR(F1780="causal",F1780="predictive")),IF(AND(OR(K1780=1,K1780="1"),OR(L1780=1,L1780="1"),OR(M1780=1,M1780="1")),"adequate","partial"),IF(AND(H1780="W4",F1780="predictive",OR(J1780="P2",J1780="P3",J1780="P4")),IF(OR(U1780=1,U1780="1"),"adequate","partial"),INDEX(Fit_Matrix!$B:$B,MATCH(P1780,Fit_Matrix!$A:$A,0)))),"CHECK KEY"))</f>
        <v/>
      </c>
      <c r="U1780" s="10" t="n"/>
      <c r="V1780" s="10" t="n"/>
      <c r="W1780" s="10" t="n"/>
      <c r="X1780" s="10" t="n"/>
      <c r="Y1780" s="10" t="n"/>
      <c r="Z1780" s="10" t="n"/>
      <c r="AA1780" s="11">
        <f>IF(A1780="","",IF(AND(J1780="P4",F1780="causal"),"P4-CAUSAL",""))</f>
        <v/>
      </c>
    </row>
    <row r="1781" ht="15" customHeight="1" s="1">
      <c r="P1781">
        <f>IF(OR(F1781="",H1781="",J1781=""),"",J1781&amp;"|"&amp;F1781&amp;"|"&amp;IF(H1781="W3","W3_"&amp;IF(I1781="","unknown",I1781),H1781))</f>
        <v/>
      </c>
      <c r="Q1781">
        <f>IF(P1781="","",IFERROR(IF(AND(H1781="W7",OR(F1781="causal",F1781="predictive")),IF(AND(OR(K1781=1,K1781="1"),OR(L1781=1,L1781="1"),OR(M1781=1,M1781="1")),"adequate","partial"),IF(AND(H1781="W4",F1781="predictive",OR(J1781="P2",J1781="P3",J1781="P4")),IF(OR(U1781=1,U1781="1"),"adequate","partial"),INDEX(Fit_Matrix!$B:$B,MATCH(P1781,Fit_Matrix!$A:$A,0)))),"CHECK KEY"))</f>
        <v/>
      </c>
      <c r="U1781" s="10" t="n"/>
      <c r="V1781" s="10" t="n"/>
      <c r="W1781" s="10" t="n"/>
      <c r="X1781" s="10" t="n"/>
      <c r="Y1781" s="10" t="n"/>
      <c r="Z1781" s="10" t="n"/>
      <c r="AA1781" s="11">
        <f>IF(A1781="","",IF(AND(J1781="P4",F1781="causal"),"P4-CAUSAL",""))</f>
        <v/>
      </c>
    </row>
    <row r="1782" ht="15" customHeight="1" s="1">
      <c r="P1782">
        <f>IF(OR(F1782="",H1782="",J1782=""),"",J1782&amp;"|"&amp;F1782&amp;"|"&amp;IF(H1782="W3","W3_"&amp;IF(I1782="","unknown",I1782),H1782))</f>
        <v/>
      </c>
      <c r="Q1782">
        <f>IF(P1782="","",IFERROR(IF(AND(H1782="W7",OR(F1782="causal",F1782="predictive")),IF(AND(OR(K1782=1,K1782="1"),OR(L1782=1,L1782="1"),OR(M1782=1,M1782="1")),"adequate","partial"),IF(AND(H1782="W4",F1782="predictive",OR(J1782="P2",J1782="P3",J1782="P4")),IF(OR(U1782=1,U1782="1"),"adequate","partial"),INDEX(Fit_Matrix!$B:$B,MATCH(P1782,Fit_Matrix!$A:$A,0)))),"CHECK KEY"))</f>
        <v/>
      </c>
      <c r="U1782" s="10" t="n"/>
      <c r="V1782" s="10" t="n"/>
      <c r="W1782" s="10" t="n"/>
      <c r="X1782" s="10" t="n"/>
      <c r="Y1782" s="10" t="n"/>
      <c r="Z1782" s="10" t="n"/>
      <c r="AA1782" s="11">
        <f>IF(A1782="","",IF(AND(J1782="P4",F1782="causal"),"P4-CAUSAL",""))</f>
        <v/>
      </c>
    </row>
    <row r="1783" ht="15" customHeight="1" s="1">
      <c r="P1783">
        <f>IF(OR(F1783="",H1783="",J1783=""),"",J1783&amp;"|"&amp;F1783&amp;"|"&amp;IF(H1783="W3","W3_"&amp;IF(I1783="","unknown",I1783),H1783))</f>
        <v/>
      </c>
      <c r="Q1783">
        <f>IF(P1783="","",IFERROR(IF(AND(H1783="W7",OR(F1783="causal",F1783="predictive")),IF(AND(OR(K1783=1,K1783="1"),OR(L1783=1,L1783="1"),OR(M1783=1,M1783="1")),"adequate","partial"),IF(AND(H1783="W4",F1783="predictive",OR(J1783="P2",J1783="P3",J1783="P4")),IF(OR(U1783=1,U1783="1"),"adequate","partial"),INDEX(Fit_Matrix!$B:$B,MATCH(P1783,Fit_Matrix!$A:$A,0)))),"CHECK KEY"))</f>
        <v/>
      </c>
      <c r="U1783" s="10" t="n"/>
      <c r="V1783" s="10" t="n"/>
      <c r="W1783" s="10" t="n"/>
      <c r="X1783" s="10" t="n"/>
      <c r="Y1783" s="10" t="n"/>
      <c r="Z1783" s="10" t="n"/>
      <c r="AA1783" s="11">
        <f>IF(A1783="","",IF(AND(J1783="P4",F1783="causal"),"P4-CAUSAL",""))</f>
        <v/>
      </c>
    </row>
    <row r="1784" ht="15" customHeight="1" s="1">
      <c r="P1784">
        <f>IF(OR(F1784="",H1784="",J1784=""),"",J1784&amp;"|"&amp;F1784&amp;"|"&amp;IF(H1784="W3","W3_"&amp;IF(I1784="","unknown",I1784),H1784))</f>
        <v/>
      </c>
      <c r="Q1784">
        <f>IF(P1784="","",IFERROR(IF(AND(H1784="W7",OR(F1784="causal",F1784="predictive")),IF(AND(OR(K1784=1,K1784="1"),OR(L1784=1,L1784="1"),OR(M1784=1,M1784="1")),"adequate","partial"),IF(AND(H1784="W4",F1784="predictive",OR(J1784="P2",J1784="P3",J1784="P4")),IF(OR(U1784=1,U1784="1"),"adequate","partial"),INDEX(Fit_Matrix!$B:$B,MATCH(P1784,Fit_Matrix!$A:$A,0)))),"CHECK KEY"))</f>
        <v/>
      </c>
      <c r="U1784" s="10" t="n"/>
      <c r="V1784" s="10" t="n"/>
      <c r="W1784" s="10" t="n"/>
      <c r="X1784" s="10" t="n"/>
      <c r="Y1784" s="10" t="n"/>
      <c r="Z1784" s="10" t="n"/>
      <c r="AA1784" s="11">
        <f>IF(A1784="","",IF(AND(J1784="P4",F1784="causal"),"P4-CAUSAL",""))</f>
        <v/>
      </c>
    </row>
    <row r="1785" ht="15" customHeight="1" s="1">
      <c r="P1785">
        <f>IF(OR(F1785="",H1785="",J1785=""),"",J1785&amp;"|"&amp;F1785&amp;"|"&amp;IF(H1785="W3","W3_"&amp;IF(I1785="","unknown",I1785),H1785))</f>
        <v/>
      </c>
      <c r="Q1785">
        <f>IF(P1785="","",IFERROR(IF(AND(H1785="W7",OR(F1785="causal",F1785="predictive")),IF(AND(OR(K1785=1,K1785="1"),OR(L1785=1,L1785="1"),OR(M1785=1,M1785="1")),"adequate","partial"),IF(AND(H1785="W4",F1785="predictive",OR(J1785="P2",J1785="P3",J1785="P4")),IF(OR(U1785=1,U1785="1"),"adequate","partial"),INDEX(Fit_Matrix!$B:$B,MATCH(P1785,Fit_Matrix!$A:$A,0)))),"CHECK KEY"))</f>
        <v/>
      </c>
      <c r="U1785" s="10" t="n"/>
      <c r="V1785" s="10" t="n"/>
      <c r="W1785" s="10" t="n"/>
      <c r="X1785" s="10" t="n"/>
      <c r="Y1785" s="10" t="n"/>
      <c r="Z1785" s="10" t="n"/>
      <c r="AA1785" s="11">
        <f>IF(A1785="","",IF(AND(J1785="P4",F1785="causal"),"P4-CAUSAL",""))</f>
        <v/>
      </c>
    </row>
    <row r="1786" ht="15" customHeight="1" s="1">
      <c r="P1786">
        <f>IF(OR(F1786="",H1786="",J1786=""),"",J1786&amp;"|"&amp;F1786&amp;"|"&amp;IF(H1786="W3","W3_"&amp;IF(I1786="","unknown",I1786),H1786))</f>
        <v/>
      </c>
      <c r="Q1786">
        <f>IF(P1786="","",IFERROR(IF(AND(H1786="W7",OR(F1786="causal",F1786="predictive")),IF(AND(OR(K1786=1,K1786="1"),OR(L1786=1,L1786="1"),OR(M1786=1,M1786="1")),"adequate","partial"),IF(AND(H1786="W4",F1786="predictive",OR(J1786="P2",J1786="P3",J1786="P4")),IF(OR(U1786=1,U1786="1"),"adequate","partial"),INDEX(Fit_Matrix!$B:$B,MATCH(P1786,Fit_Matrix!$A:$A,0)))),"CHECK KEY"))</f>
        <v/>
      </c>
      <c r="U1786" s="10" t="n"/>
      <c r="V1786" s="10" t="n"/>
      <c r="W1786" s="10" t="n"/>
      <c r="X1786" s="10" t="n"/>
      <c r="Y1786" s="10" t="n"/>
      <c r="Z1786" s="10" t="n"/>
      <c r="AA1786" s="11">
        <f>IF(A1786="","",IF(AND(J1786="P4",F1786="causal"),"P4-CAUSAL",""))</f>
        <v/>
      </c>
    </row>
    <row r="1787" ht="15" customHeight="1" s="1">
      <c r="P1787">
        <f>IF(OR(F1787="",H1787="",J1787=""),"",J1787&amp;"|"&amp;F1787&amp;"|"&amp;IF(H1787="W3","W3_"&amp;IF(I1787="","unknown",I1787),H1787))</f>
        <v/>
      </c>
      <c r="Q1787">
        <f>IF(P1787="","",IFERROR(IF(AND(H1787="W7",OR(F1787="causal",F1787="predictive")),IF(AND(OR(K1787=1,K1787="1"),OR(L1787=1,L1787="1"),OR(M1787=1,M1787="1")),"adequate","partial"),IF(AND(H1787="W4",F1787="predictive",OR(J1787="P2",J1787="P3",J1787="P4")),IF(OR(U1787=1,U1787="1"),"adequate","partial"),INDEX(Fit_Matrix!$B:$B,MATCH(P1787,Fit_Matrix!$A:$A,0)))),"CHECK KEY"))</f>
        <v/>
      </c>
      <c r="U1787" s="10" t="n"/>
      <c r="V1787" s="10" t="n"/>
      <c r="W1787" s="10" t="n"/>
      <c r="X1787" s="10" t="n"/>
      <c r="Y1787" s="10" t="n"/>
      <c r="Z1787" s="10" t="n"/>
      <c r="AA1787" s="11">
        <f>IF(A1787="","",IF(AND(J1787="P4",F1787="causal"),"P4-CAUSAL",""))</f>
        <v/>
      </c>
    </row>
    <row r="1788" ht="15" customHeight="1" s="1">
      <c r="P1788">
        <f>IF(OR(F1788="",H1788="",J1788=""),"",J1788&amp;"|"&amp;F1788&amp;"|"&amp;IF(H1788="W3","W3_"&amp;IF(I1788="","unknown",I1788),H1788))</f>
        <v/>
      </c>
      <c r="Q1788">
        <f>IF(P1788="","",IFERROR(IF(AND(H1788="W7",OR(F1788="causal",F1788="predictive")),IF(AND(OR(K1788=1,K1788="1"),OR(L1788=1,L1788="1"),OR(M1788=1,M1788="1")),"adequate","partial"),IF(AND(H1788="W4",F1788="predictive",OR(J1788="P2",J1788="P3",J1788="P4")),IF(OR(U1788=1,U1788="1"),"adequate","partial"),INDEX(Fit_Matrix!$B:$B,MATCH(P1788,Fit_Matrix!$A:$A,0)))),"CHECK KEY"))</f>
        <v/>
      </c>
      <c r="U1788" s="10" t="n"/>
      <c r="V1788" s="10" t="n"/>
      <c r="W1788" s="10" t="n"/>
      <c r="X1788" s="10" t="n"/>
      <c r="Y1788" s="10" t="n"/>
      <c r="Z1788" s="10" t="n"/>
      <c r="AA1788" s="11">
        <f>IF(A1788="","",IF(AND(J1788="P4",F1788="causal"),"P4-CAUSAL",""))</f>
        <v/>
      </c>
    </row>
    <row r="1789" ht="15" customHeight="1" s="1">
      <c r="P1789">
        <f>IF(OR(F1789="",H1789="",J1789=""),"",J1789&amp;"|"&amp;F1789&amp;"|"&amp;IF(H1789="W3","W3_"&amp;IF(I1789="","unknown",I1789),H1789))</f>
        <v/>
      </c>
      <c r="Q1789">
        <f>IF(P1789="","",IFERROR(IF(AND(H1789="W7",OR(F1789="causal",F1789="predictive")),IF(AND(OR(K1789=1,K1789="1"),OR(L1789=1,L1789="1"),OR(M1789=1,M1789="1")),"adequate","partial"),IF(AND(H1789="W4",F1789="predictive",OR(J1789="P2",J1789="P3",J1789="P4")),IF(OR(U1789=1,U1789="1"),"adequate","partial"),INDEX(Fit_Matrix!$B:$B,MATCH(P1789,Fit_Matrix!$A:$A,0)))),"CHECK KEY"))</f>
        <v/>
      </c>
      <c r="U1789" s="10" t="n"/>
      <c r="V1789" s="10" t="n"/>
      <c r="W1789" s="10" t="n"/>
      <c r="X1789" s="10" t="n"/>
      <c r="Y1789" s="10" t="n"/>
      <c r="Z1789" s="10" t="n"/>
      <c r="AA1789" s="11">
        <f>IF(A1789="","",IF(AND(J1789="P4",F1789="causal"),"P4-CAUSAL",""))</f>
        <v/>
      </c>
    </row>
    <row r="1790" ht="15" customHeight="1" s="1">
      <c r="P1790">
        <f>IF(OR(F1790="",H1790="",J1790=""),"",J1790&amp;"|"&amp;F1790&amp;"|"&amp;IF(H1790="W3","W3_"&amp;IF(I1790="","unknown",I1790),H1790))</f>
        <v/>
      </c>
      <c r="Q1790">
        <f>IF(P1790="","",IFERROR(IF(AND(H1790="W7",OR(F1790="causal",F1790="predictive")),IF(AND(OR(K1790=1,K1790="1"),OR(L1790=1,L1790="1"),OR(M1790=1,M1790="1")),"adequate","partial"),IF(AND(H1790="W4",F1790="predictive",OR(J1790="P2",J1790="P3",J1790="P4")),IF(OR(U1790=1,U1790="1"),"adequate","partial"),INDEX(Fit_Matrix!$B:$B,MATCH(P1790,Fit_Matrix!$A:$A,0)))),"CHECK KEY"))</f>
        <v/>
      </c>
      <c r="U1790" s="10" t="n"/>
      <c r="V1790" s="10" t="n"/>
      <c r="W1790" s="10" t="n"/>
      <c r="X1790" s="10" t="n"/>
      <c r="Y1790" s="10" t="n"/>
      <c r="Z1790" s="10" t="n"/>
      <c r="AA1790" s="11">
        <f>IF(A1790="","",IF(AND(J1790="P4",F1790="causal"),"P4-CAUSAL",""))</f>
        <v/>
      </c>
    </row>
    <row r="1791" ht="15" customHeight="1" s="1">
      <c r="P1791">
        <f>IF(OR(F1791="",H1791="",J1791=""),"",J1791&amp;"|"&amp;F1791&amp;"|"&amp;IF(H1791="W3","W3_"&amp;IF(I1791="","unknown",I1791),H1791))</f>
        <v/>
      </c>
      <c r="Q1791">
        <f>IF(P1791="","",IFERROR(IF(AND(H1791="W7",OR(F1791="causal",F1791="predictive")),IF(AND(OR(K1791=1,K1791="1"),OR(L1791=1,L1791="1"),OR(M1791=1,M1791="1")),"adequate","partial"),IF(AND(H1791="W4",F1791="predictive",OR(J1791="P2",J1791="P3",J1791="P4")),IF(OR(U1791=1,U1791="1"),"adequate","partial"),INDEX(Fit_Matrix!$B:$B,MATCH(P1791,Fit_Matrix!$A:$A,0)))),"CHECK KEY"))</f>
        <v/>
      </c>
      <c r="U1791" s="10" t="n"/>
      <c r="V1791" s="10" t="n"/>
      <c r="W1791" s="10" t="n"/>
      <c r="X1791" s="10" t="n"/>
      <c r="Y1791" s="10" t="n"/>
      <c r="Z1791" s="10" t="n"/>
      <c r="AA1791" s="11">
        <f>IF(A1791="","",IF(AND(J1791="P4",F1791="causal"),"P4-CAUSAL",""))</f>
        <v/>
      </c>
    </row>
    <row r="1792" ht="15" customHeight="1" s="1">
      <c r="P1792">
        <f>IF(OR(F1792="",H1792="",J1792=""),"",J1792&amp;"|"&amp;F1792&amp;"|"&amp;IF(H1792="W3","W3_"&amp;IF(I1792="","unknown",I1792),H1792))</f>
        <v/>
      </c>
      <c r="Q1792">
        <f>IF(P1792="","",IFERROR(IF(AND(H1792="W7",OR(F1792="causal",F1792="predictive")),IF(AND(OR(K1792=1,K1792="1"),OR(L1792=1,L1792="1"),OR(M1792=1,M1792="1")),"adequate","partial"),IF(AND(H1792="W4",F1792="predictive",OR(J1792="P2",J1792="P3",J1792="P4")),IF(OR(U1792=1,U1792="1"),"adequate","partial"),INDEX(Fit_Matrix!$B:$B,MATCH(P1792,Fit_Matrix!$A:$A,0)))),"CHECK KEY"))</f>
        <v/>
      </c>
      <c r="U1792" s="10" t="n"/>
      <c r="V1792" s="10" t="n"/>
      <c r="W1792" s="10" t="n"/>
      <c r="X1792" s="10" t="n"/>
      <c r="Y1792" s="10" t="n"/>
      <c r="Z1792" s="10" t="n"/>
      <c r="AA1792" s="11">
        <f>IF(A1792="","",IF(AND(J1792="P4",F1792="causal"),"P4-CAUSAL",""))</f>
        <v/>
      </c>
    </row>
    <row r="1793" ht="15" customHeight="1" s="1">
      <c r="P1793">
        <f>IF(OR(F1793="",H1793="",J1793=""),"",J1793&amp;"|"&amp;F1793&amp;"|"&amp;IF(H1793="W3","W3_"&amp;IF(I1793="","unknown",I1793),H1793))</f>
        <v/>
      </c>
      <c r="Q1793">
        <f>IF(P1793="","",IFERROR(IF(AND(H1793="W7",OR(F1793="causal",F1793="predictive")),IF(AND(OR(K1793=1,K1793="1"),OR(L1793=1,L1793="1"),OR(M1793=1,M1793="1")),"adequate","partial"),IF(AND(H1793="W4",F1793="predictive",OR(J1793="P2",J1793="P3",J1793="P4")),IF(OR(U1793=1,U1793="1"),"adequate","partial"),INDEX(Fit_Matrix!$B:$B,MATCH(P1793,Fit_Matrix!$A:$A,0)))),"CHECK KEY"))</f>
        <v/>
      </c>
      <c r="U1793" s="10" t="n"/>
      <c r="V1793" s="10" t="n"/>
      <c r="W1793" s="10" t="n"/>
      <c r="X1793" s="10" t="n"/>
      <c r="Y1793" s="10" t="n"/>
      <c r="Z1793" s="10" t="n"/>
      <c r="AA1793" s="11">
        <f>IF(A1793="","",IF(AND(J1793="P4",F1793="causal"),"P4-CAUSAL",""))</f>
        <v/>
      </c>
    </row>
    <row r="1794" ht="15" customHeight="1" s="1">
      <c r="P1794">
        <f>IF(OR(F1794="",H1794="",J1794=""),"",J1794&amp;"|"&amp;F1794&amp;"|"&amp;IF(H1794="W3","W3_"&amp;IF(I1794="","unknown",I1794),H1794))</f>
        <v/>
      </c>
      <c r="Q1794">
        <f>IF(P1794="","",IFERROR(IF(AND(H1794="W7",OR(F1794="causal",F1794="predictive")),IF(AND(OR(K1794=1,K1794="1"),OR(L1794=1,L1794="1"),OR(M1794=1,M1794="1")),"adequate","partial"),IF(AND(H1794="W4",F1794="predictive",OR(J1794="P2",J1794="P3",J1794="P4")),IF(OR(U1794=1,U1794="1"),"adequate","partial"),INDEX(Fit_Matrix!$B:$B,MATCH(P1794,Fit_Matrix!$A:$A,0)))),"CHECK KEY"))</f>
        <v/>
      </c>
      <c r="U1794" s="10" t="n"/>
      <c r="V1794" s="10" t="n"/>
      <c r="W1794" s="10" t="n"/>
      <c r="X1794" s="10" t="n"/>
      <c r="Y1794" s="10" t="n"/>
      <c r="Z1794" s="10" t="n"/>
      <c r="AA1794" s="11">
        <f>IF(A1794="","",IF(AND(J1794="P4",F1794="causal"),"P4-CAUSAL",""))</f>
        <v/>
      </c>
    </row>
    <row r="1795" ht="15" customHeight="1" s="1">
      <c r="P1795">
        <f>IF(OR(F1795="",H1795="",J1795=""),"",J1795&amp;"|"&amp;F1795&amp;"|"&amp;IF(H1795="W3","W3_"&amp;IF(I1795="","unknown",I1795),H1795))</f>
        <v/>
      </c>
      <c r="Q1795">
        <f>IF(P1795="","",IFERROR(IF(AND(H1795="W7",OR(F1795="causal",F1795="predictive")),IF(AND(OR(K1795=1,K1795="1"),OR(L1795=1,L1795="1"),OR(M1795=1,M1795="1")),"adequate","partial"),IF(AND(H1795="W4",F1795="predictive",OR(J1795="P2",J1795="P3",J1795="P4")),IF(OR(U1795=1,U1795="1"),"adequate","partial"),INDEX(Fit_Matrix!$B:$B,MATCH(P1795,Fit_Matrix!$A:$A,0)))),"CHECK KEY"))</f>
        <v/>
      </c>
      <c r="U1795" s="10" t="n"/>
      <c r="V1795" s="10" t="n"/>
      <c r="W1795" s="10" t="n"/>
      <c r="X1795" s="10" t="n"/>
      <c r="Y1795" s="10" t="n"/>
      <c r="Z1795" s="10" t="n"/>
      <c r="AA1795" s="11">
        <f>IF(A1795="","",IF(AND(J1795="P4",F1795="causal"),"P4-CAUSAL",""))</f>
        <v/>
      </c>
    </row>
    <row r="1796" ht="15" customHeight="1" s="1">
      <c r="P1796">
        <f>IF(OR(F1796="",H1796="",J1796=""),"",J1796&amp;"|"&amp;F1796&amp;"|"&amp;IF(H1796="W3","W3_"&amp;IF(I1796="","unknown",I1796),H1796))</f>
        <v/>
      </c>
      <c r="Q1796">
        <f>IF(P1796="","",IFERROR(IF(AND(H1796="W7",OR(F1796="causal",F1796="predictive")),IF(AND(OR(K1796=1,K1796="1"),OR(L1796=1,L1796="1"),OR(M1796=1,M1796="1")),"adequate","partial"),IF(AND(H1796="W4",F1796="predictive",OR(J1796="P2",J1796="P3",J1796="P4")),IF(OR(U1796=1,U1796="1"),"adequate","partial"),INDEX(Fit_Matrix!$B:$B,MATCH(P1796,Fit_Matrix!$A:$A,0)))),"CHECK KEY"))</f>
        <v/>
      </c>
      <c r="U1796" s="10" t="n"/>
      <c r="V1796" s="10" t="n"/>
      <c r="W1796" s="10" t="n"/>
      <c r="X1796" s="10" t="n"/>
      <c r="Y1796" s="10" t="n"/>
      <c r="Z1796" s="10" t="n"/>
      <c r="AA1796" s="11">
        <f>IF(A1796="","",IF(AND(J1796="P4",F1796="causal"),"P4-CAUSAL",""))</f>
        <v/>
      </c>
    </row>
    <row r="1797" ht="15" customHeight="1" s="1">
      <c r="P1797">
        <f>IF(OR(F1797="",H1797="",J1797=""),"",J1797&amp;"|"&amp;F1797&amp;"|"&amp;IF(H1797="W3","W3_"&amp;IF(I1797="","unknown",I1797),H1797))</f>
        <v/>
      </c>
      <c r="Q1797">
        <f>IF(P1797="","",IFERROR(IF(AND(H1797="W7",OR(F1797="causal",F1797="predictive")),IF(AND(OR(K1797=1,K1797="1"),OR(L1797=1,L1797="1"),OR(M1797=1,M1797="1")),"adequate","partial"),IF(AND(H1797="W4",F1797="predictive",OR(J1797="P2",J1797="P3",J1797="P4")),IF(OR(U1797=1,U1797="1"),"adequate","partial"),INDEX(Fit_Matrix!$B:$B,MATCH(P1797,Fit_Matrix!$A:$A,0)))),"CHECK KEY"))</f>
        <v/>
      </c>
      <c r="U1797" s="10" t="n"/>
      <c r="V1797" s="10" t="n"/>
      <c r="W1797" s="10" t="n"/>
      <c r="X1797" s="10" t="n"/>
      <c r="Y1797" s="10" t="n"/>
      <c r="Z1797" s="10" t="n"/>
      <c r="AA1797" s="11">
        <f>IF(A1797="","",IF(AND(J1797="P4",F1797="causal"),"P4-CAUSAL",""))</f>
        <v/>
      </c>
    </row>
    <row r="1798" ht="15" customHeight="1" s="1">
      <c r="P1798">
        <f>IF(OR(F1798="",H1798="",J1798=""),"",J1798&amp;"|"&amp;F1798&amp;"|"&amp;IF(H1798="W3","W3_"&amp;IF(I1798="","unknown",I1798),H1798))</f>
        <v/>
      </c>
      <c r="Q1798">
        <f>IF(P1798="","",IFERROR(IF(AND(H1798="W7",OR(F1798="causal",F1798="predictive")),IF(AND(OR(K1798=1,K1798="1"),OR(L1798=1,L1798="1"),OR(M1798=1,M1798="1")),"adequate","partial"),IF(AND(H1798="W4",F1798="predictive",OR(J1798="P2",J1798="P3",J1798="P4")),IF(OR(U1798=1,U1798="1"),"adequate","partial"),INDEX(Fit_Matrix!$B:$B,MATCH(P1798,Fit_Matrix!$A:$A,0)))),"CHECK KEY"))</f>
        <v/>
      </c>
      <c r="U1798" s="10" t="n"/>
      <c r="V1798" s="10" t="n"/>
      <c r="W1798" s="10" t="n"/>
      <c r="X1798" s="10" t="n"/>
      <c r="Y1798" s="10" t="n"/>
      <c r="Z1798" s="10" t="n"/>
      <c r="AA1798" s="11">
        <f>IF(A1798="","",IF(AND(J1798="P4",F1798="causal"),"P4-CAUSAL",""))</f>
        <v/>
      </c>
    </row>
    <row r="1799" ht="15" customHeight="1" s="1">
      <c r="P1799">
        <f>IF(OR(F1799="",H1799="",J1799=""),"",J1799&amp;"|"&amp;F1799&amp;"|"&amp;IF(H1799="W3","W3_"&amp;IF(I1799="","unknown",I1799),H1799))</f>
        <v/>
      </c>
      <c r="Q1799">
        <f>IF(P1799="","",IFERROR(IF(AND(H1799="W7",OR(F1799="causal",F1799="predictive")),IF(AND(OR(K1799=1,K1799="1"),OR(L1799=1,L1799="1"),OR(M1799=1,M1799="1")),"adequate","partial"),IF(AND(H1799="W4",F1799="predictive",OR(J1799="P2",J1799="P3",J1799="P4")),IF(OR(U1799=1,U1799="1"),"adequate","partial"),INDEX(Fit_Matrix!$B:$B,MATCH(P1799,Fit_Matrix!$A:$A,0)))),"CHECK KEY"))</f>
        <v/>
      </c>
      <c r="U1799" s="10" t="n"/>
      <c r="V1799" s="10" t="n"/>
      <c r="W1799" s="10" t="n"/>
      <c r="X1799" s="10" t="n"/>
      <c r="Y1799" s="10" t="n"/>
      <c r="Z1799" s="10" t="n"/>
      <c r="AA1799" s="11">
        <f>IF(A1799="","",IF(AND(J1799="P4",F1799="causal"),"P4-CAUSAL",""))</f>
        <v/>
      </c>
    </row>
    <row r="1800" ht="15" customHeight="1" s="1">
      <c r="P1800">
        <f>IF(OR(F1800="",H1800="",J1800=""),"",J1800&amp;"|"&amp;F1800&amp;"|"&amp;IF(H1800="W3","W3_"&amp;IF(I1800="","unknown",I1800),H1800))</f>
        <v/>
      </c>
      <c r="Q1800">
        <f>IF(P1800="","",IFERROR(IF(AND(H1800="W7",OR(F1800="causal",F1800="predictive")),IF(AND(OR(K1800=1,K1800="1"),OR(L1800=1,L1800="1"),OR(M1800=1,M1800="1")),"adequate","partial"),IF(AND(H1800="W4",F1800="predictive",OR(J1800="P2",J1800="P3",J1800="P4")),IF(OR(U1800=1,U1800="1"),"adequate","partial"),INDEX(Fit_Matrix!$B:$B,MATCH(P1800,Fit_Matrix!$A:$A,0)))),"CHECK KEY"))</f>
        <v/>
      </c>
      <c r="U1800" s="10" t="n"/>
      <c r="V1800" s="10" t="n"/>
      <c r="W1800" s="10" t="n"/>
      <c r="X1800" s="10" t="n"/>
      <c r="Y1800" s="10" t="n"/>
      <c r="Z1800" s="10" t="n"/>
      <c r="AA1800" s="11">
        <f>IF(A1800="","",IF(AND(J1800="P4",F1800="causal"),"P4-CAUSAL",""))</f>
        <v/>
      </c>
    </row>
    <row r="1801" ht="15" customHeight="1" s="1">
      <c r="P1801">
        <f>IF(OR(F1801="",H1801="",J1801=""),"",J1801&amp;"|"&amp;F1801&amp;"|"&amp;IF(H1801="W3","W3_"&amp;IF(I1801="","unknown",I1801),H1801))</f>
        <v/>
      </c>
      <c r="Q1801">
        <f>IF(P1801="","",IFERROR(IF(AND(H1801="W7",OR(F1801="causal",F1801="predictive")),IF(AND(OR(K1801=1,K1801="1"),OR(L1801=1,L1801="1"),OR(M1801=1,M1801="1")),"adequate","partial"),IF(AND(H1801="W4",F1801="predictive",OR(J1801="P2",J1801="P3",J1801="P4")),IF(OR(U1801=1,U1801="1"),"adequate","partial"),INDEX(Fit_Matrix!$B:$B,MATCH(P1801,Fit_Matrix!$A:$A,0)))),"CHECK KEY"))</f>
        <v/>
      </c>
      <c r="U1801" s="10" t="n"/>
      <c r="V1801" s="10" t="n"/>
      <c r="W1801" s="10" t="n"/>
      <c r="X1801" s="10" t="n"/>
      <c r="Y1801" s="10" t="n"/>
      <c r="Z1801" s="10" t="n"/>
      <c r="AA1801" s="11">
        <f>IF(A1801="","",IF(AND(J1801="P4",F1801="causal"),"P4-CAUSAL",""))</f>
        <v/>
      </c>
    </row>
    <row r="1802" ht="15" customHeight="1" s="1">
      <c r="P1802">
        <f>IF(OR(F1802="",H1802="",J1802=""),"",J1802&amp;"|"&amp;F1802&amp;"|"&amp;IF(H1802="W3","W3_"&amp;IF(I1802="","unknown",I1802),H1802))</f>
        <v/>
      </c>
      <c r="Q1802">
        <f>IF(P1802="","",IFERROR(IF(AND(H1802="W7",OR(F1802="causal",F1802="predictive")),IF(AND(OR(K1802=1,K1802="1"),OR(L1802=1,L1802="1"),OR(M1802=1,M1802="1")),"adequate","partial"),IF(AND(H1802="W4",F1802="predictive",OR(J1802="P2",J1802="P3",J1802="P4")),IF(OR(U1802=1,U1802="1"),"adequate","partial"),INDEX(Fit_Matrix!$B:$B,MATCH(P1802,Fit_Matrix!$A:$A,0)))),"CHECK KEY"))</f>
        <v/>
      </c>
      <c r="U1802" s="10" t="n"/>
      <c r="V1802" s="10" t="n"/>
      <c r="W1802" s="10" t="n"/>
      <c r="X1802" s="10" t="n"/>
      <c r="Y1802" s="10" t="n"/>
      <c r="Z1802" s="10" t="n"/>
      <c r="AA1802" s="11">
        <f>IF(A1802="","",IF(AND(J1802="P4",F1802="causal"),"P4-CAUSAL",""))</f>
        <v/>
      </c>
    </row>
    <row r="1803" ht="15" customHeight="1" s="1">
      <c r="P1803">
        <f>IF(OR(F1803="",H1803="",J1803=""),"",J1803&amp;"|"&amp;F1803&amp;"|"&amp;IF(H1803="W3","W3_"&amp;IF(I1803="","unknown",I1803),H1803))</f>
        <v/>
      </c>
      <c r="Q1803">
        <f>IF(P1803="","",IFERROR(IF(AND(H1803="W7",OR(F1803="causal",F1803="predictive")),IF(AND(OR(K1803=1,K1803="1"),OR(L1803=1,L1803="1"),OR(M1803=1,M1803="1")),"adequate","partial"),IF(AND(H1803="W4",F1803="predictive",OR(J1803="P2",J1803="P3",J1803="P4")),IF(OR(U1803=1,U1803="1"),"adequate","partial"),INDEX(Fit_Matrix!$B:$B,MATCH(P1803,Fit_Matrix!$A:$A,0)))),"CHECK KEY"))</f>
        <v/>
      </c>
      <c r="U1803" s="10" t="n"/>
      <c r="V1803" s="10" t="n"/>
      <c r="W1803" s="10" t="n"/>
      <c r="X1803" s="10" t="n"/>
      <c r="Y1803" s="10" t="n"/>
      <c r="Z1803" s="10" t="n"/>
      <c r="AA1803" s="11">
        <f>IF(A1803="","",IF(AND(J1803="P4",F1803="causal"),"P4-CAUSAL",""))</f>
        <v/>
      </c>
    </row>
    <row r="1804" ht="15" customHeight="1" s="1">
      <c r="P1804">
        <f>IF(OR(F1804="",H1804="",J1804=""),"",J1804&amp;"|"&amp;F1804&amp;"|"&amp;IF(H1804="W3","W3_"&amp;IF(I1804="","unknown",I1804),H1804))</f>
        <v/>
      </c>
      <c r="Q1804">
        <f>IF(P1804="","",IFERROR(IF(AND(H1804="W7",OR(F1804="causal",F1804="predictive")),IF(AND(OR(K1804=1,K1804="1"),OR(L1804=1,L1804="1"),OR(M1804=1,M1804="1")),"adequate","partial"),IF(AND(H1804="W4",F1804="predictive",OR(J1804="P2",J1804="P3",J1804="P4")),IF(OR(U1804=1,U1804="1"),"adequate","partial"),INDEX(Fit_Matrix!$B:$B,MATCH(P1804,Fit_Matrix!$A:$A,0)))),"CHECK KEY"))</f>
        <v/>
      </c>
      <c r="U1804" s="10" t="n"/>
      <c r="V1804" s="10" t="n"/>
      <c r="W1804" s="10" t="n"/>
      <c r="X1804" s="10" t="n"/>
      <c r="Y1804" s="10" t="n"/>
      <c r="Z1804" s="10" t="n"/>
      <c r="AA1804" s="11">
        <f>IF(A1804="","",IF(AND(J1804="P4",F1804="causal"),"P4-CAUSAL",""))</f>
        <v/>
      </c>
    </row>
    <row r="1805" ht="15" customHeight="1" s="1">
      <c r="P1805">
        <f>IF(OR(F1805="",H1805="",J1805=""),"",J1805&amp;"|"&amp;F1805&amp;"|"&amp;IF(H1805="W3","W3_"&amp;IF(I1805="","unknown",I1805),H1805))</f>
        <v/>
      </c>
      <c r="Q1805">
        <f>IF(P1805="","",IFERROR(IF(AND(H1805="W7",OR(F1805="causal",F1805="predictive")),IF(AND(OR(K1805=1,K1805="1"),OR(L1805=1,L1805="1"),OR(M1805=1,M1805="1")),"adequate","partial"),IF(AND(H1805="W4",F1805="predictive",OR(J1805="P2",J1805="P3",J1805="P4")),IF(OR(U1805=1,U1805="1"),"adequate","partial"),INDEX(Fit_Matrix!$B:$B,MATCH(P1805,Fit_Matrix!$A:$A,0)))),"CHECK KEY"))</f>
        <v/>
      </c>
      <c r="U1805" s="10" t="n"/>
      <c r="V1805" s="10" t="n"/>
      <c r="W1805" s="10" t="n"/>
      <c r="X1805" s="10" t="n"/>
      <c r="Y1805" s="10" t="n"/>
      <c r="Z1805" s="10" t="n"/>
      <c r="AA1805" s="11">
        <f>IF(A1805="","",IF(AND(J1805="P4",F1805="causal"),"P4-CAUSAL",""))</f>
        <v/>
      </c>
    </row>
    <row r="1806" ht="15" customHeight="1" s="1">
      <c r="P1806">
        <f>IF(OR(F1806="",H1806="",J1806=""),"",J1806&amp;"|"&amp;F1806&amp;"|"&amp;IF(H1806="W3","W3_"&amp;IF(I1806="","unknown",I1806),H1806))</f>
        <v/>
      </c>
      <c r="Q1806">
        <f>IF(P1806="","",IFERROR(IF(AND(H1806="W7",OR(F1806="causal",F1806="predictive")),IF(AND(OR(K1806=1,K1806="1"),OR(L1806=1,L1806="1"),OR(M1806=1,M1806="1")),"adequate","partial"),IF(AND(H1806="W4",F1806="predictive",OR(J1806="P2",J1806="P3",J1806="P4")),IF(OR(U1806=1,U1806="1"),"adequate","partial"),INDEX(Fit_Matrix!$B:$B,MATCH(P1806,Fit_Matrix!$A:$A,0)))),"CHECK KEY"))</f>
        <v/>
      </c>
      <c r="U1806" s="10" t="n"/>
      <c r="V1806" s="10" t="n"/>
      <c r="W1806" s="10" t="n"/>
      <c r="X1806" s="10" t="n"/>
      <c r="Y1806" s="10" t="n"/>
      <c r="Z1806" s="10" t="n"/>
      <c r="AA1806" s="11">
        <f>IF(A1806="","",IF(AND(J1806="P4",F1806="causal"),"P4-CAUSAL",""))</f>
        <v/>
      </c>
    </row>
    <row r="1807" ht="15" customHeight="1" s="1">
      <c r="P1807">
        <f>IF(OR(F1807="",H1807="",J1807=""),"",J1807&amp;"|"&amp;F1807&amp;"|"&amp;IF(H1807="W3","W3_"&amp;IF(I1807="","unknown",I1807),H1807))</f>
        <v/>
      </c>
      <c r="Q1807">
        <f>IF(P1807="","",IFERROR(IF(AND(H1807="W7",OR(F1807="causal",F1807="predictive")),IF(AND(OR(K1807=1,K1807="1"),OR(L1807=1,L1807="1"),OR(M1807=1,M1807="1")),"adequate","partial"),IF(AND(H1807="W4",F1807="predictive",OR(J1807="P2",J1807="P3",J1807="P4")),IF(OR(U1807=1,U1807="1"),"adequate","partial"),INDEX(Fit_Matrix!$B:$B,MATCH(P1807,Fit_Matrix!$A:$A,0)))),"CHECK KEY"))</f>
        <v/>
      </c>
      <c r="U1807" s="10" t="n"/>
      <c r="V1807" s="10" t="n"/>
      <c r="W1807" s="10" t="n"/>
      <c r="X1807" s="10" t="n"/>
      <c r="Y1807" s="10" t="n"/>
      <c r="Z1807" s="10" t="n"/>
      <c r="AA1807" s="11">
        <f>IF(A1807="","",IF(AND(J1807="P4",F1807="causal"),"P4-CAUSAL",""))</f>
        <v/>
      </c>
    </row>
    <row r="1808" ht="15" customHeight="1" s="1">
      <c r="P1808">
        <f>IF(OR(F1808="",H1808="",J1808=""),"",J1808&amp;"|"&amp;F1808&amp;"|"&amp;IF(H1808="W3","W3_"&amp;IF(I1808="","unknown",I1808),H1808))</f>
        <v/>
      </c>
      <c r="Q1808">
        <f>IF(P1808="","",IFERROR(IF(AND(H1808="W7",OR(F1808="causal",F1808="predictive")),IF(AND(OR(K1808=1,K1808="1"),OR(L1808=1,L1808="1"),OR(M1808=1,M1808="1")),"adequate","partial"),IF(AND(H1808="W4",F1808="predictive",OR(J1808="P2",J1808="P3",J1808="P4")),IF(OR(U1808=1,U1808="1"),"adequate","partial"),INDEX(Fit_Matrix!$B:$B,MATCH(P1808,Fit_Matrix!$A:$A,0)))),"CHECK KEY"))</f>
        <v/>
      </c>
      <c r="U1808" s="10" t="n"/>
      <c r="V1808" s="10" t="n"/>
      <c r="W1808" s="10" t="n"/>
      <c r="X1808" s="10" t="n"/>
      <c r="Y1808" s="10" t="n"/>
      <c r="Z1808" s="10" t="n"/>
      <c r="AA1808" s="11">
        <f>IF(A1808="","",IF(AND(J1808="P4",F1808="causal"),"P4-CAUSAL",""))</f>
        <v/>
      </c>
    </row>
    <row r="1809" ht="15" customHeight="1" s="1">
      <c r="P1809">
        <f>IF(OR(F1809="",H1809="",J1809=""),"",J1809&amp;"|"&amp;F1809&amp;"|"&amp;IF(H1809="W3","W3_"&amp;IF(I1809="","unknown",I1809),H1809))</f>
        <v/>
      </c>
      <c r="Q1809">
        <f>IF(P1809="","",IFERROR(IF(AND(H1809="W7",OR(F1809="causal",F1809="predictive")),IF(AND(OR(K1809=1,K1809="1"),OR(L1809=1,L1809="1"),OR(M1809=1,M1809="1")),"adequate","partial"),IF(AND(H1809="W4",F1809="predictive",OR(J1809="P2",J1809="P3",J1809="P4")),IF(OR(U1809=1,U1809="1"),"adequate","partial"),INDEX(Fit_Matrix!$B:$B,MATCH(P1809,Fit_Matrix!$A:$A,0)))),"CHECK KEY"))</f>
        <v/>
      </c>
      <c r="U1809" s="10" t="n"/>
      <c r="V1809" s="10" t="n"/>
      <c r="W1809" s="10" t="n"/>
      <c r="X1809" s="10" t="n"/>
      <c r="Y1809" s="10" t="n"/>
      <c r="Z1809" s="10" t="n"/>
      <c r="AA1809" s="11">
        <f>IF(A1809="","",IF(AND(J1809="P4",F1809="causal"),"P4-CAUSAL",""))</f>
        <v/>
      </c>
    </row>
    <row r="1810" ht="15" customHeight="1" s="1">
      <c r="P1810">
        <f>IF(OR(F1810="",H1810="",J1810=""),"",J1810&amp;"|"&amp;F1810&amp;"|"&amp;IF(H1810="W3","W3_"&amp;IF(I1810="","unknown",I1810),H1810))</f>
        <v/>
      </c>
      <c r="Q1810">
        <f>IF(P1810="","",IFERROR(IF(AND(H1810="W7",OR(F1810="causal",F1810="predictive")),IF(AND(OR(K1810=1,K1810="1"),OR(L1810=1,L1810="1"),OR(M1810=1,M1810="1")),"adequate","partial"),IF(AND(H1810="W4",F1810="predictive",OR(J1810="P2",J1810="P3",J1810="P4")),IF(OR(U1810=1,U1810="1"),"adequate","partial"),INDEX(Fit_Matrix!$B:$B,MATCH(P1810,Fit_Matrix!$A:$A,0)))),"CHECK KEY"))</f>
        <v/>
      </c>
      <c r="U1810" s="10" t="n"/>
      <c r="V1810" s="10" t="n"/>
      <c r="W1810" s="10" t="n"/>
      <c r="X1810" s="10" t="n"/>
      <c r="Y1810" s="10" t="n"/>
      <c r="Z1810" s="10" t="n"/>
      <c r="AA1810" s="11">
        <f>IF(A1810="","",IF(AND(J1810="P4",F1810="causal"),"P4-CAUSAL",""))</f>
        <v/>
      </c>
    </row>
    <row r="1811" ht="15" customHeight="1" s="1">
      <c r="P1811">
        <f>IF(OR(F1811="",H1811="",J1811=""),"",J1811&amp;"|"&amp;F1811&amp;"|"&amp;IF(H1811="W3","W3_"&amp;IF(I1811="","unknown",I1811),H1811))</f>
        <v/>
      </c>
      <c r="Q1811">
        <f>IF(P1811="","",IFERROR(IF(AND(H1811="W7",OR(F1811="causal",F1811="predictive")),IF(AND(OR(K1811=1,K1811="1"),OR(L1811=1,L1811="1"),OR(M1811=1,M1811="1")),"adequate","partial"),IF(AND(H1811="W4",F1811="predictive",OR(J1811="P2",J1811="P3",J1811="P4")),IF(OR(U1811=1,U1811="1"),"adequate","partial"),INDEX(Fit_Matrix!$B:$B,MATCH(P1811,Fit_Matrix!$A:$A,0)))),"CHECK KEY"))</f>
        <v/>
      </c>
      <c r="U1811" s="10" t="n"/>
      <c r="V1811" s="10" t="n"/>
      <c r="W1811" s="10" t="n"/>
      <c r="X1811" s="10" t="n"/>
      <c r="Y1811" s="10" t="n"/>
      <c r="Z1811" s="10" t="n"/>
      <c r="AA1811" s="11">
        <f>IF(A1811="","",IF(AND(J1811="P4",F1811="causal"),"P4-CAUSAL",""))</f>
        <v/>
      </c>
    </row>
    <row r="1812" ht="15" customHeight="1" s="1">
      <c r="P1812">
        <f>IF(OR(F1812="",H1812="",J1812=""),"",J1812&amp;"|"&amp;F1812&amp;"|"&amp;IF(H1812="W3","W3_"&amp;IF(I1812="","unknown",I1812),H1812))</f>
        <v/>
      </c>
      <c r="Q1812">
        <f>IF(P1812="","",IFERROR(IF(AND(H1812="W7",OR(F1812="causal",F1812="predictive")),IF(AND(OR(K1812=1,K1812="1"),OR(L1812=1,L1812="1"),OR(M1812=1,M1812="1")),"adequate","partial"),IF(AND(H1812="W4",F1812="predictive",OR(J1812="P2",J1812="P3",J1812="P4")),IF(OR(U1812=1,U1812="1"),"adequate","partial"),INDEX(Fit_Matrix!$B:$B,MATCH(P1812,Fit_Matrix!$A:$A,0)))),"CHECK KEY"))</f>
        <v/>
      </c>
      <c r="U1812" s="10" t="n"/>
      <c r="V1812" s="10" t="n"/>
      <c r="W1812" s="10" t="n"/>
      <c r="X1812" s="10" t="n"/>
      <c r="Y1812" s="10" t="n"/>
      <c r="Z1812" s="10" t="n"/>
      <c r="AA1812" s="11">
        <f>IF(A1812="","",IF(AND(J1812="P4",F1812="causal"),"P4-CAUSAL",""))</f>
        <v/>
      </c>
    </row>
    <row r="1813" ht="15" customHeight="1" s="1">
      <c r="P1813">
        <f>IF(OR(F1813="",H1813="",J1813=""),"",J1813&amp;"|"&amp;F1813&amp;"|"&amp;IF(H1813="W3","W3_"&amp;IF(I1813="","unknown",I1813),H1813))</f>
        <v/>
      </c>
      <c r="Q1813">
        <f>IF(P1813="","",IFERROR(IF(AND(H1813="W7",OR(F1813="causal",F1813="predictive")),IF(AND(OR(K1813=1,K1813="1"),OR(L1813=1,L1813="1"),OR(M1813=1,M1813="1")),"adequate","partial"),IF(AND(H1813="W4",F1813="predictive",OR(J1813="P2",J1813="P3",J1813="P4")),IF(OR(U1813=1,U1813="1"),"adequate","partial"),INDEX(Fit_Matrix!$B:$B,MATCH(P1813,Fit_Matrix!$A:$A,0)))),"CHECK KEY"))</f>
        <v/>
      </c>
      <c r="U1813" s="10" t="n"/>
      <c r="V1813" s="10" t="n"/>
      <c r="W1813" s="10" t="n"/>
      <c r="X1813" s="10" t="n"/>
      <c r="Y1813" s="10" t="n"/>
      <c r="Z1813" s="10" t="n"/>
      <c r="AA1813" s="11">
        <f>IF(A1813="","",IF(AND(J1813="P4",F1813="causal"),"P4-CAUSAL",""))</f>
        <v/>
      </c>
    </row>
    <row r="1814" ht="15" customHeight="1" s="1">
      <c r="P1814">
        <f>IF(OR(F1814="",H1814="",J1814=""),"",J1814&amp;"|"&amp;F1814&amp;"|"&amp;IF(H1814="W3","W3_"&amp;IF(I1814="","unknown",I1814),H1814))</f>
        <v/>
      </c>
      <c r="Q1814">
        <f>IF(P1814="","",IFERROR(IF(AND(H1814="W7",OR(F1814="causal",F1814="predictive")),IF(AND(OR(K1814=1,K1814="1"),OR(L1814=1,L1814="1"),OR(M1814=1,M1814="1")),"adequate","partial"),IF(AND(H1814="W4",F1814="predictive",OR(J1814="P2",J1814="P3",J1814="P4")),IF(OR(U1814=1,U1814="1"),"adequate","partial"),INDEX(Fit_Matrix!$B:$B,MATCH(P1814,Fit_Matrix!$A:$A,0)))),"CHECK KEY"))</f>
        <v/>
      </c>
      <c r="U1814" s="10" t="n"/>
      <c r="V1814" s="10" t="n"/>
      <c r="W1814" s="10" t="n"/>
      <c r="X1814" s="10" t="n"/>
      <c r="Y1814" s="10" t="n"/>
      <c r="Z1814" s="10" t="n"/>
      <c r="AA1814" s="11">
        <f>IF(A1814="","",IF(AND(J1814="P4",F1814="causal"),"P4-CAUSAL",""))</f>
        <v/>
      </c>
    </row>
    <row r="1815" ht="15" customHeight="1" s="1">
      <c r="P1815">
        <f>IF(OR(F1815="",H1815="",J1815=""),"",J1815&amp;"|"&amp;F1815&amp;"|"&amp;IF(H1815="W3","W3_"&amp;IF(I1815="","unknown",I1815),H1815))</f>
        <v/>
      </c>
      <c r="Q1815">
        <f>IF(P1815="","",IFERROR(IF(AND(H1815="W7",OR(F1815="causal",F1815="predictive")),IF(AND(OR(K1815=1,K1815="1"),OR(L1815=1,L1815="1"),OR(M1815=1,M1815="1")),"adequate","partial"),IF(AND(H1815="W4",F1815="predictive",OR(J1815="P2",J1815="P3",J1815="P4")),IF(OR(U1815=1,U1815="1"),"adequate","partial"),INDEX(Fit_Matrix!$B:$B,MATCH(P1815,Fit_Matrix!$A:$A,0)))),"CHECK KEY"))</f>
        <v/>
      </c>
      <c r="U1815" s="10" t="n"/>
      <c r="V1815" s="10" t="n"/>
      <c r="W1815" s="10" t="n"/>
      <c r="X1815" s="10" t="n"/>
      <c r="Y1815" s="10" t="n"/>
      <c r="Z1815" s="10" t="n"/>
      <c r="AA1815" s="11">
        <f>IF(A1815="","",IF(AND(J1815="P4",F1815="causal"),"P4-CAUSAL",""))</f>
        <v/>
      </c>
    </row>
    <row r="1816" ht="15" customHeight="1" s="1">
      <c r="P1816">
        <f>IF(OR(F1816="",H1816="",J1816=""),"",J1816&amp;"|"&amp;F1816&amp;"|"&amp;IF(H1816="W3","W3_"&amp;IF(I1816="","unknown",I1816),H1816))</f>
        <v/>
      </c>
      <c r="Q1816">
        <f>IF(P1816="","",IFERROR(IF(AND(H1816="W7",OR(F1816="causal",F1816="predictive")),IF(AND(OR(K1816=1,K1816="1"),OR(L1816=1,L1816="1"),OR(M1816=1,M1816="1")),"adequate","partial"),IF(AND(H1816="W4",F1816="predictive",OR(J1816="P2",J1816="P3",J1816="P4")),IF(OR(U1816=1,U1816="1"),"adequate","partial"),INDEX(Fit_Matrix!$B:$B,MATCH(P1816,Fit_Matrix!$A:$A,0)))),"CHECK KEY"))</f>
        <v/>
      </c>
      <c r="U1816" s="10" t="n"/>
      <c r="V1816" s="10" t="n"/>
      <c r="W1816" s="10" t="n"/>
      <c r="X1816" s="10" t="n"/>
      <c r="Y1816" s="10" t="n"/>
      <c r="Z1816" s="10" t="n"/>
      <c r="AA1816" s="11">
        <f>IF(A1816="","",IF(AND(J1816="P4",F1816="causal"),"P4-CAUSAL",""))</f>
        <v/>
      </c>
    </row>
    <row r="1817" ht="15" customHeight="1" s="1">
      <c r="P1817">
        <f>IF(OR(F1817="",H1817="",J1817=""),"",J1817&amp;"|"&amp;F1817&amp;"|"&amp;IF(H1817="W3","W3_"&amp;IF(I1817="","unknown",I1817),H1817))</f>
        <v/>
      </c>
      <c r="Q1817">
        <f>IF(P1817="","",IFERROR(IF(AND(H1817="W7",OR(F1817="causal",F1817="predictive")),IF(AND(OR(K1817=1,K1817="1"),OR(L1817=1,L1817="1"),OR(M1817=1,M1817="1")),"adequate","partial"),IF(AND(H1817="W4",F1817="predictive",OR(J1817="P2",J1817="P3",J1817="P4")),IF(OR(U1817=1,U1817="1"),"adequate","partial"),INDEX(Fit_Matrix!$B:$B,MATCH(P1817,Fit_Matrix!$A:$A,0)))),"CHECK KEY"))</f>
        <v/>
      </c>
      <c r="U1817" s="10" t="n"/>
      <c r="V1817" s="10" t="n"/>
      <c r="W1817" s="10" t="n"/>
      <c r="X1817" s="10" t="n"/>
      <c r="Y1817" s="10" t="n"/>
      <c r="Z1817" s="10" t="n"/>
      <c r="AA1817" s="11">
        <f>IF(A1817="","",IF(AND(J1817="P4",F1817="causal"),"P4-CAUSAL",""))</f>
        <v/>
      </c>
    </row>
    <row r="1818" ht="15" customHeight="1" s="1">
      <c r="P1818">
        <f>IF(OR(F1818="",H1818="",J1818=""),"",J1818&amp;"|"&amp;F1818&amp;"|"&amp;IF(H1818="W3","W3_"&amp;IF(I1818="","unknown",I1818),H1818))</f>
        <v/>
      </c>
      <c r="Q1818">
        <f>IF(P1818="","",IFERROR(IF(AND(H1818="W7",OR(F1818="causal",F1818="predictive")),IF(AND(OR(K1818=1,K1818="1"),OR(L1818=1,L1818="1"),OR(M1818=1,M1818="1")),"adequate","partial"),IF(AND(H1818="W4",F1818="predictive",OR(J1818="P2",J1818="P3",J1818="P4")),IF(OR(U1818=1,U1818="1"),"adequate","partial"),INDEX(Fit_Matrix!$B:$B,MATCH(P1818,Fit_Matrix!$A:$A,0)))),"CHECK KEY"))</f>
        <v/>
      </c>
      <c r="U1818" s="10" t="n"/>
      <c r="V1818" s="10" t="n"/>
      <c r="W1818" s="10" t="n"/>
      <c r="X1818" s="10" t="n"/>
      <c r="Y1818" s="10" t="n"/>
      <c r="Z1818" s="10" t="n"/>
      <c r="AA1818" s="11">
        <f>IF(A1818="","",IF(AND(J1818="P4",F1818="causal"),"P4-CAUSAL",""))</f>
        <v/>
      </c>
    </row>
    <row r="1819" ht="15" customHeight="1" s="1">
      <c r="P1819">
        <f>IF(OR(F1819="",H1819="",J1819=""),"",J1819&amp;"|"&amp;F1819&amp;"|"&amp;IF(H1819="W3","W3_"&amp;IF(I1819="","unknown",I1819),H1819))</f>
        <v/>
      </c>
      <c r="Q1819">
        <f>IF(P1819="","",IFERROR(IF(AND(H1819="W7",OR(F1819="causal",F1819="predictive")),IF(AND(OR(K1819=1,K1819="1"),OR(L1819=1,L1819="1"),OR(M1819=1,M1819="1")),"adequate","partial"),IF(AND(H1819="W4",F1819="predictive",OR(J1819="P2",J1819="P3",J1819="P4")),IF(OR(U1819=1,U1819="1"),"adequate","partial"),INDEX(Fit_Matrix!$B:$B,MATCH(P1819,Fit_Matrix!$A:$A,0)))),"CHECK KEY"))</f>
        <v/>
      </c>
      <c r="U1819" s="10" t="n"/>
      <c r="V1819" s="10" t="n"/>
      <c r="W1819" s="10" t="n"/>
      <c r="X1819" s="10" t="n"/>
      <c r="Y1819" s="10" t="n"/>
      <c r="Z1819" s="10" t="n"/>
      <c r="AA1819" s="11">
        <f>IF(A1819="","",IF(AND(J1819="P4",F1819="causal"),"P4-CAUSAL",""))</f>
        <v/>
      </c>
    </row>
    <row r="1820" ht="15" customHeight="1" s="1">
      <c r="P1820">
        <f>IF(OR(F1820="",H1820="",J1820=""),"",J1820&amp;"|"&amp;F1820&amp;"|"&amp;IF(H1820="W3","W3_"&amp;IF(I1820="","unknown",I1820),H1820))</f>
        <v/>
      </c>
      <c r="Q1820">
        <f>IF(P1820="","",IFERROR(IF(AND(H1820="W7",OR(F1820="causal",F1820="predictive")),IF(AND(OR(K1820=1,K1820="1"),OR(L1820=1,L1820="1"),OR(M1820=1,M1820="1")),"adequate","partial"),IF(AND(H1820="W4",F1820="predictive",OR(J1820="P2",J1820="P3",J1820="P4")),IF(OR(U1820=1,U1820="1"),"adequate","partial"),INDEX(Fit_Matrix!$B:$B,MATCH(P1820,Fit_Matrix!$A:$A,0)))),"CHECK KEY"))</f>
        <v/>
      </c>
      <c r="U1820" s="10" t="n"/>
      <c r="V1820" s="10" t="n"/>
      <c r="W1820" s="10" t="n"/>
      <c r="X1820" s="10" t="n"/>
      <c r="Y1820" s="10" t="n"/>
      <c r="Z1820" s="10" t="n"/>
      <c r="AA1820" s="11">
        <f>IF(A1820="","",IF(AND(J1820="P4",F1820="causal"),"P4-CAUSAL",""))</f>
        <v/>
      </c>
    </row>
    <row r="1821" ht="15" customHeight="1" s="1">
      <c r="P1821">
        <f>IF(OR(F1821="",H1821="",J1821=""),"",J1821&amp;"|"&amp;F1821&amp;"|"&amp;IF(H1821="W3","W3_"&amp;IF(I1821="","unknown",I1821),H1821))</f>
        <v/>
      </c>
      <c r="Q1821">
        <f>IF(P1821="","",IFERROR(IF(AND(H1821="W7",OR(F1821="causal",F1821="predictive")),IF(AND(OR(K1821=1,K1821="1"),OR(L1821=1,L1821="1"),OR(M1821=1,M1821="1")),"adequate","partial"),IF(AND(H1821="W4",F1821="predictive",OR(J1821="P2",J1821="P3",J1821="P4")),IF(OR(U1821=1,U1821="1"),"adequate","partial"),INDEX(Fit_Matrix!$B:$B,MATCH(P1821,Fit_Matrix!$A:$A,0)))),"CHECK KEY"))</f>
        <v/>
      </c>
      <c r="U1821" s="10" t="n"/>
      <c r="V1821" s="10" t="n"/>
      <c r="W1821" s="10" t="n"/>
      <c r="X1821" s="10" t="n"/>
      <c r="Y1821" s="10" t="n"/>
      <c r="Z1821" s="10" t="n"/>
      <c r="AA1821" s="11">
        <f>IF(A1821="","",IF(AND(J1821="P4",F1821="causal"),"P4-CAUSAL",""))</f>
        <v/>
      </c>
    </row>
    <row r="1822" ht="15" customHeight="1" s="1">
      <c r="P1822">
        <f>IF(OR(F1822="",H1822="",J1822=""),"",J1822&amp;"|"&amp;F1822&amp;"|"&amp;IF(H1822="W3","W3_"&amp;IF(I1822="","unknown",I1822),H1822))</f>
        <v/>
      </c>
      <c r="Q1822">
        <f>IF(P1822="","",IFERROR(IF(AND(H1822="W7",OR(F1822="causal",F1822="predictive")),IF(AND(OR(K1822=1,K1822="1"),OR(L1822=1,L1822="1"),OR(M1822=1,M1822="1")),"adequate","partial"),IF(AND(H1822="W4",F1822="predictive",OR(J1822="P2",J1822="P3",J1822="P4")),IF(OR(U1822=1,U1822="1"),"adequate","partial"),INDEX(Fit_Matrix!$B:$B,MATCH(P1822,Fit_Matrix!$A:$A,0)))),"CHECK KEY"))</f>
        <v/>
      </c>
      <c r="U1822" s="10" t="n"/>
      <c r="V1822" s="10" t="n"/>
      <c r="W1822" s="10" t="n"/>
      <c r="X1822" s="10" t="n"/>
      <c r="Y1822" s="10" t="n"/>
      <c r="Z1822" s="10" t="n"/>
      <c r="AA1822" s="11">
        <f>IF(A1822="","",IF(AND(J1822="P4",F1822="causal"),"P4-CAUSAL",""))</f>
        <v/>
      </c>
    </row>
    <row r="1823" ht="15" customHeight="1" s="1">
      <c r="P1823">
        <f>IF(OR(F1823="",H1823="",J1823=""),"",J1823&amp;"|"&amp;F1823&amp;"|"&amp;IF(H1823="W3","W3_"&amp;IF(I1823="","unknown",I1823),H1823))</f>
        <v/>
      </c>
      <c r="Q1823">
        <f>IF(P1823="","",IFERROR(IF(AND(H1823="W7",OR(F1823="causal",F1823="predictive")),IF(AND(OR(K1823=1,K1823="1"),OR(L1823=1,L1823="1"),OR(M1823=1,M1823="1")),"adequate","partial"),IF(AND(H1823="W4",F1823="predictive",OR(J1823="P2",J1823="P3",J1823="P4")),IF(OR(U1823=1,U1823="1"),"adequate","partial"),INDEX(Fit_Matrix!$B:$B,MATCH(P1823,Fit_Matrix!$A:$A,0)))),"CHECK KEY"))</f>
        <v/>
      </c>
      <c r="U1823" s="10" t="n"/>
      <c r="V1823" s="10" t="n"/>
      <c r="W1823" s="10" t="n"/>
      <c r="X1823" s="10" t="n"/>
      <c r="Y1823" s="10" t="n"/>
      <c r="Z1823" s="10" t="n"/>
      <c r="AA1823" s="11">
        <f>IF(A1823="","",IF(AND(J1823="P4",F1823="causal"),"P4-CAUSAL",""))</f>
        <v/>
      </c>
    </row>
    <row r="1824" ht="15" customHeight="1" s="1">
      <c r="P1824">
        <f>IF(OR(F1824="",H1824="",J1824=""),"",J1824&amp;"|"&amp;F1824&amp;"|"&amp;IF(H1824="W3","W3_"&amp;IF(I1824="","unknown",I1824),H1824))</f>
        <v/>
      </c>
      <c r="Q1824">
        <f>IF(P1824="","",IFERROR(IF(AND(H1824="W7",OR(F1824="causal",F1824="predictive")),IF(AND(OR(K1824=1,K1824="1"),OR(L1824=1,L1824="1"),OR(M1824=1,M1824="1")),"adequate","partial"),IF(AND(H1824="W4",F1824="predictive",OR(J1824="P2",J1824="P3",J1824="P4")),IF(OR(U1824=1,U1824="1"),"adequate","partial"),INDEX(Fit_Matrix!$B:$B,MATCH(P1824,Fit_Matrix!$A:$A,0)))),"CHECK KEY"))</f>
        <v/>
      </c>
      <c r="U1824" s="10" t="n"/>
      <c r="V1824" s="10" t="n"/>
      <c r="W1824" s="10" t="n"/>
      <c r="X1824" s="10" t="n"/>
      <c r="Y1824" s="10" t="n"/>
      <c r="Z1824" s="10" t="n"/>
      <c r="AA1824" s="11">
        <f>IF(A1824="","",IF(AND(J1824="P4",F1824="causal"),"P4-CAUSAL",""))</f>
        <v/>
      </c>
    </row>
    <row r="1825" ht="15" customHeight="1" s="1">
      <c r="P1825">
        <f>IF(OR(F1825="",H1825="",J1825=""),"",J1825&amp;"|"&amp;F1825&amp;"|"&amp;IF(H1825="W3","W3_"&amp;IF(I1825="","unknown",I1825),H1825))</f>
        <v/>
      </c>
      <c r="Q1825">
        <f>IF(P1825="","",IFERROR(IF(AND(H1825="W7",OR(F1825="causal",F1825="predictive")),IF(AND(OR(K1825=1,K1825="1"),OR(L1825=1,L1825="1"),OR(M1825=1,M1825="1")),"adequate","partial"),IF(AND(H1825="W4",F1825="predictive",OR(J1825="P2",J1825="P3",J1825="P4")),IF(OR(U1825=1,U1825="1"),"adequate","partial"),INDEX(Fit_Matrix!$B:$B,MATCH(P1825,Fit_Matrix!$A:$A,0)))),"CHECK KEY"))</f>
        <v/>
      </c>
      <c r="U1825" s="10" t="n"/>
      <c r="V1825" s="10" t="n"/>
      <c r="W1825" s="10" t="n"/>
      <c r="X1825" s="10" t="n"/>
      <c r="Y1825" s="10" t="n"/>
      <c r="Z1825" s="10" t="n"/>
      <c r="AA1825" s="11">
        <f>IF(A1825="","",IF(AND(J1825="P4",F1825="causal"),"P4-CAUSAL",""))</f>
        <v/>
      </c>
    </row>
    <row r="1826" ht="15" customHeight="1" s="1">
      <c r="P1826">
        <f>IF(OR(F1826="",H1826="",J1826=""),"",J1826&amp;"|"&amp;F1826&amp;"|"&amp;IF(H1826="W3","W3_"&amp;IF(I1826="","unknown",I1826),H1826))</f>
        <v/>
      </c>
      <c r="Q1826">
        <f>IF(P1826="","",IFERROR(IF(AND(H1826="W7",OR(F1826="causal",F1826="predictive")),IF(AND(OR(K1826=1,K1826="1"),OR(L1826=1,L1826="1"),OR(M1826=1,M1826="1")),"adequate","partial"),IF(AND(H1826="W4",F1826="predictive",OR(J1826="P2",J1826="P3",J1826="P4")),IF(OR(U1826=1,U1826="1"),"adequate","partial"),INDEX(Fit_Matrix!$B:$B,MATCH(P1826,Fit_Matrix!$A:$A,0)))),"CHECK KEY"))</f>
        <v/>
      </c>
      <c r="U1826" s="10" t="n"/>
      <c r="V1826" s="10" t="n"/>
      <c r="W1826" s="10" t="n"/>
      <c r="X1826" s="10" t="n"/>
      <c r="Y1826" s="10" t="n"/>
      <c r="Z1826" s="10" t="n"/>
      <c r="AA1826" s="11">
        <f>IF(A1826="","",IF(AND(J1826="P4",F1826="causal"),"P4-CAUSAL",""))</f>
        <v/>
      </c>
    </row>
    <row r="1827" ht="15" customHeight="1" s="1">
      <c r="P1827">
        <f>IF(OR(F1827="",H1827="",J1827=""),"",J1827&amp;"|"&amp;F1827&amp;"|"&amp;IF(H1827="W3","W3_"&amp;IF(I1827="","unknown",I1827),H1827))</f>
        <v/>
      </c>
      <c r="Q1827">
        <f>IF(P1827="","",IFERROR(IF(AND(H1827="W7",OR(F1827="causal",F1827="predictive")),IF(AND(OR(K1827=1,K1827="1"),OR(L1827=1,L1827="1"),OR(M1827=1,M1827="1")),"adequate","partial"),IF(AND(H1827="W4",F1827="predictive",OR(J1827="P2",J1827="P3",J1827="P4")),IF(OR(U1827=1,U1827="1"),"adequate","partial"),INDEX(Fit_Matrix!$B:$B,MATCH(P1827,Fit_Matrix!$A:$A,0)))),"CHECK KEY"))</f>
        <v/>
      </c>
      <c r="U1827" s="10" t="n"/>
      <c r="V1827" s="10" t="n"/>
      <c r="W1827" s="10" t="n"/>
      <c r="X1827" s="10" t="n"/>
      <c r="Y1827" s="10" t="n"/>
      <c r="Z1827" s="10" t="n"/>
      <c r="AA1827" s="11">
        <f>IF(A1827="","",IF(AND(J1827="P4",F1827="causal"),"P4-CAUSAL",""))</f>
        <v/>
      </c>
    </row>
    <row r="1828" ht="15" customHeight="1" s="1">
      <c r="P1828">
        <f>IF(OR(F1828="",H1828="",J1828=""),"",J1828&amp;"|"&amp;F1828&amp;"|"&amp;IF(H1828="W3","W3_"&amp;IF(I1828="","unknown",I1828),H1828))</f>
        <v/>
      </c>
      <c r="Q1828">
        <f>IF(P1828="","",IFERROR(IF(AND(H1828="W7",OR(F1828="causal",F1828="predictive")),IF(AND(OR(K1828=1,K1828="1"),OR(L1828=1,L1828="1"),OR(M1828=1,M1828="1")),"adequate","partial"),IF(AND(H1828="W4",F1828="predictive",OR(J1828="P2",J1828="P3",J1828="P4")),IF(OR(U1828=1,U1828="1"),"adequate","partial"),INDEX(Fit_Matrix!$B:$B,MATCH(P1828,Fit_Matrix!$A:$A,0)))),"CHECK KEY"))</f>
        <v/>
      </c>
      <c r="U1828" s="10" t="n"/>
      <c r="V1828" s="10" t="n"/>
      <c r="W1828" s="10" t="n"/>
      <c r="X1828" s="10" t="n"/>
      <c r="Y1828" s="10" t="n"/>
      <c r="Z1828" s="10" t="n"/>
      <c r="AA1828" s="11">
        <f>IF(A1828="","",IF(AND(J1828="P4",F1828="causal"),"P4-CAUSAL",""))</f>
        <v/>
      </c>
    </row>
    <row r="1829" ht="15" customHeight="1" s="1">
      <c r="P1829">
        <f>IF(OR(F1829="",H1829="",J1829=""),"",J1829&amp;"|"&amp;F1829&amp;"|"&amp;IF(H1829="W3","W3_"&amp;IF(I1829="","unknown",I1829),H1829))</f>
        <v/>
      </c>
      <c r="Q1829">
        <f>IF(P1829="","",IFERROR(IF(AND(H1829="W7",OR(F1829="causal",F1829="predictive")),IF(AND(OR(K1829=1,K1829="1"),OR(L1829=1,L1829="1"),OR(M1829=1,M1829="1")),"adequate","partial"),IF(AND(H1829="W4",F1829="predictive",OR(J1829="P2",J1829="P3",J1829="P4")),IF(OR(U1829=1,U1829="1"),"adequate","partial"),INDEX(Fit_Matrix!$B:$B,MATCH(P1829,Fit_Matrix!$A:$A,0)))),"CHECK KEY"))</f>
        <v/>
      </c>
      <c r="U1829" s="10" t="n"/>
      <c r="V1829" s="10" t="n"/>
      <c r="W1829" s="10" t="n"/>
      <c r="X1829" s="10" t="n"/>
      <c r="Y1829" s="10" t="n"/>
      <c r="Z1829" s="10" t="n"/>
      <c r="AA1829" s="11">
        <f>IF(A1829="","",IF(AND(J1829="P4",F1829="causal"),"P4-CAUSAL",""))</f>
        <v/>
      </c>
    </row>
    <row r="1830" ht="15" customHeight="1" s="1">
      <c r="P1830">
        <f>IF(OR(F1830="",H1830="",J1830=""),"",J1830&amp;"|"&amp;F1830&amp;"|"&amp;IF(H1830="W3","W3_"&amp;IF(I1830="","unknown",I1830),H1830))</f>
        <v/>
      </c>
      <c r="Q1830">
        <f>IF(P1830="","",IFERROR(IF(AND(H1830="W7",OR(F1830="causal",F1830="predictive")),IF(AND(OR(K1830=1,K1830="1"),OR(L1830=1,L1830="1"),OR(M1830=1,M1830="1")),"adequate","partial"),IF(AND(H1830="W4",F1830="predictive",OR(J1830="P2",J1830="P3",J1830="P4")),IF(OR(U1830=1,U1830="1"),"adequate","partial"),INDEX(Fit_Matrix!$B:$B,MATCH(P1830,Fit_Matrix!$A:$A,0)))),"CHECK KEY"))</f>
        <v/>
      </c>
      <c r="U1830" s="10" t="n"/>
      <c r="V1830" s="10" t="n"/>
      <c r="W1830" s="10" t="n"/>
      <c r="X1830" s="10" t="n"/>
      <c r="Y1830" s="10" t="n"/>
      <c r="Z1830" s="10" t="n"/>
      <c r="AA1830" s="11">
        <f>IF(A1830="","",IF(AND(J1830="P4",F1830="causal"),"P4-CAUSAL",""))</f>
        <v/>
      </c>
    </row>
    <row r="1831" ht="15" customHeight="1" s="1">
      <c r="P1831">
        <f>IF(OR(F1831="",H1831="",J1831=""),"",J1831&amp;"|"&amp;F1831&amp;"|"&amp;IF(H1831="W3","W3_"&amp;IF(I1831="","unknown",I1831),H1831))</f>
        <v/>
      </c>
      <c r="Q1831">
        <f>IF(P1831="","",IFERROR(IF(AND(H1831="W7",OR(F1831="causal",F1831="predictive")),IF(AND(OR(K1831=1,K1831="1"),OR(L1831=1,L1831="1"),OR(M1831=1,M1831="1")),"adequate","partial"),IF(AND(H1831="W4",F1831="predictive",OR(J1831="P2",J1831="P3",J1831="P4")),IF(OR(U1831=1,U1831="1"),"adequate","partial"),INDEX(Fit_Matrix!$B:$B,MATCH(P1831,Fit_Matrix!$A:$A,0)))),"CHECK KEY"))</f>
        <v/>
      </c>
      <c r="U1831" s="10" t="n"/>
      <c r="V1831" s="10" t="n"/>
      <c r="W1831" s="10" t="n"/>
      <c r="X1831" s="10" t="n"/>
      <c r="Y1831" s="10" t="n"/>
      <c r="Z1831" s="10" t="n"/>
      <c r="AA1831" s="11">
        <f>IF(A1831="","",IF(AND(J1831="P4",F1831="causal"),"P4-CAUSAL",""))</f>
        <v/>
      </c>
    </row>
    <row r="1832" ht="15" customHeight="1" s="1">
      <c r="P1832">
        <f>IF(OR(F1832="",H1832="",J1832=""),"",J1832&amp;"|"&amp;F1832&amp;"|"&amp;IF(H1832="W3","W3_"&amp;IF(I1832="","unknown",I1832),H1832))</f>
        <v/>
      </c>
      <c r="Q1832">
        <f>IF(P1832="","",IFERROR(IF(AND(H1832="W7",OR(F1832="causal",F1832="predictive")),IF(AND(OR(K1832=1,K1832="1"),OR(L1832=1,L1832="1"),OR(M1832=1,M1832="1")),"adequate","partial"),IF(AND(H1832="W4",F1832="predictive",OR(J1832="P2",J1832="P3",J1832="P4")),IF(OR(U1832=1,U1832="1"),"adequate","partial"),INDEX(Fit_Matrix!$B:$B,MATCH(P1832,Fit_Matrix!$A:$A,0)))),"CHECK KEY"))</f>
        <v/>
      </c>
      <c r="U1832" s="10" t="n"/>
      <c r="V1832" s="10" t="n"/>
      <c r="W1832" s="10" t="n"/>
      <c r="X1832" s="10" t="n"/>
      <c r="Y1832" s="10" t="n"/>
      <c r="Z1832" s="10" t="n"/>
      <c r="AA1832" s="11">
        <f>IF(A1832="","",IF(AND(J1832="P4",F1832="causal"),"P4-CAUSAL",""))</f>
        <v/>
      </c>
    </row>
    <row r="1833" ht="15" customHeight="1" s="1">
      <c r="P1833">
        <f>IF(OR(F1833="",H1833="",J1833=""),"",J1833&amp;"|"&amp;F1833&amp;"|"&amp;IF(H1833="W3","W3_"&amp;IF(I1833="","unknown",I1833),H1833))</f>
        <v/>
      </c>
      <c r="Q1833">
        <f>IF(P1833="","",IFERROR(IF(AND(H1833="W7",OR(F1833="causal",F1833="predictive")),IF(AND(OR(K1833=1,K1833="1"),OR(L1833=1,L1833="1"),OR(M1833=1,M1833="1")),"adequate","partial"),IF(AND(H1833="W4",F1833="predictive",OR(J1833="P2",J1833="P3",J1833="P4")),IF(OR(U1833=1,U1833="1"),"adequate","partial"),INDEX(Fit_Matrix!$B:$B,MATCH(P1833,Fit_Matrix!$A:$A,0)))),"CHECK KEY"))</f>
        <v/>
      </c>
      <c r="U1833" s="10" t="n"/>
      <c r="V1833" s="10" t="n"/>
      <c r="W1833" s="10" t="n"/>
      <c r="X1833" s="10" t="n"/>
      <c r="Y1833" s="10" t="n"/>
      <c r="Z1833" s="10" t="n"/>
      <c r="AA1833" s="11">
        <f>IF(A1833="","",IF(AND(J1833="P4",F1833="causal"),"P4-CAUSAL",""))</f>
        <v/>
      </c>
    </row>
    <row r="1834" ht="15" customHeight="1" s="1">
      <c r="P1834">
        <f>IF(OR(F1834="",H1834="",J1834=""),"",J1834&amp;"|"&amp;F1834&amp;"|"&amp;IF(H1834="W3","W3_"&amp;IF(I1834="","unknown",I1834),H1834))</f>
        <v/>
      </c>
      <c r="Q1834">
        <f>IF(P1834="","",IFERROR(IF(AND(H1834="W7",OR(F1834="causal",F1834="predictive")),IF(AND(OR(K1834=1,K1834="1"),OR(L1834=1,L1834="1"),OR(M1834=1,M1834="1")),"adequate","partial"),IF(AND(H1834="W4",F1834="predictive",OR(J1834="P2",J1834="P3",J1834="P4")),IF(OR(U1834=1,U1834="1"),"adequate","partial"),INDEX(Fit_Matrix!$B:$B,MATCH(P1834,Fit_Matrix!$A:$A,0)))),"CHECK KEY"))</f>
        <v/>
      </c>
      <c r="U1834" s="10" t="n"/>
      <c r="V1834" s="10" t="n"/>
      <c r="W1834" s="10" t="n"/>
      <c r="X1834" s="10" t="n"/>
      <c r="Y1834" s="10" t="n"/>
      <c r="Z1834" s="10" t="n"/>
      <c r="AA1834" s="11">
        <f>IF(A1834="","",IF(AND(J1834="P4",F1834="causal"),"P4-CAUSAL",""))</f>
        <v/>
      </c>
    </row>
    <row r="1835" ht="15" customHeight="1" s="1">
      <c r="P1835">
        <f>IF(OR(F1835="",H1835="",J1835=""),"",J1835&amp;"|"&amp;F1835&amp;"|"&amp;IF(H1835="W3","W3_"&amp;IF(I1835="","unknown",I1835),H1835))</f>
        <v/>
      </c>
      <c r="Q1835">
        <f>IF(P1835="","",IFERROR(IF(AND(H1835="W7",OR(F1835="causal",F1835="predictive")),IF(AND(OR(K1835=1,K1835="1"),OR(L1835=1,L1835="1"),OR(M1835=1,M1835="1")),"adequate","partial"),IF(AND(H1835="W4",F1835="predictive",OR(J1835="P2",J1835="P3",J1835="P4")),IF(OR(U1835=1,U1835="1"),"adequate","partial"),INDEX(Fit_Matrix!$B:$B,MATCH(P1835,Fit_Matrix!$A:$A,0)))),"CHECK KEY"))</f>
        <v/>
      </c>
      <c r="U1835" s="10" t="n"/>
      <c r="V1835" s="10" t="n"/>
      <c r="W1835" s="10" t="n"/>
      <c r="X1835" s="10" t="n"/>
      <c r="Y1835" s="10" t="n"/>
      <c r="Z1835" s="10" t="n"/>
      <c r="AA1835" s="11">
        <f>IF(A1835="","",IF(AND(J1835="P4",F1835="causal"),"P4-CAUSAL",""))</f>
        <v/>
      </c>
    </row>
    <row r="1836" ht="15" customHeight="1" s="1">
      <c r="P1836">
        <f>IF(OR(F1836="",H1836="",J1836=""),"",J1836&amp;"|"&amp;F1836&amp;"|"&amp;IF(H1836="W3","W3_"&amp;IF(I1836="","unknown",I1836),H1836))</f>
        <v/>
      </c>
      <c r="Q1836">
        <f>IF(P1836="","",IFERROR(IF(AND(H1836="W7",OR(F1836="causal",F1836="predictive")),IF(AND(OR(K1836=1,K1836="1"),OR(L1836=1,L1836="1"),OR(M1836=1,M1836="1")),"adequate","partial"),IF(AND(H1836="W4",F1836="predictive",OR(J1836="P2",J1836="P3",J1836="P4")),IF(OR(U1836=1,U1836="1"),"adequate","partial"),INDEX(Fit_Matrix!$B:$B,MATCH(P1836,Fit_Matrix!$A:$A,0)))),"CHECK KEY"))</f>
        <v/>
      </c>
      <c r="U1836" s="10" t="n"/>
      <c r="V1836" s="10" t="n"/>
      <c r="W1836" s="10" t="n"/>
      <c r="X1836" s="10" t="n"/>
      <c r="Y1836" s="10" t="n"/>
      <c r="Z1836" s="10" t="n"/>
      <c r="AA1836" s="11">
        <f>IF(A1836="","",IF(AND(J1836="P4",F1836="causal"),"P4-CAUSAL",""))</f>
        <v/>
      </c>
    </row>
    <row r="1837" ht="15" customHeight="1" s="1">
      <c r="P1837">
        <f>IF(OR(F1837="",H1837="",J1837=""),"",J1837&amp;"|"&amp;F1837&amp;"|"&amp;IF(H1837="W3","W3_"&amp;IF(I1837="","unknown",I1837),H1837))</f>
        <v/>
      </c>
      <c r="Q1837">
        <f>IF(P1837="","",IFERROR(IF(AND(H1837="W7",OR(F1837="causal",F1837="predictive")),IF(AND(OR(K1837=1,K1837="1"),OR(L1837=1,L1837="1"),OR(M1837=1,M1837="1")),"adequate","partial"),IF(AND(H1837="W4",F1837="predictive",OR(J1837="P2",J1837="P3",J1837="P4")),IF(OR(U1837=1,U1837="1"),"adequate","partial"),INDEX(Fit_Matrix!$B:$B,MATCH(P1837,Fit_Matrix!$A:$A,0)))),"CHECK KEY"))</f>
        <v/>
      </c>
      <c r="U1837" s="10" t="n"/>
      <c r="V1837" s="10" t="n"/>
      <c r="W1837" s="10" t="n"/>
      <c r="X1837" s="10" t="n"/>
      <c r="Y1837" s="10" t="n"/>
      <c r="Z1837" s="10" t="n"/>
      <c r="AA1837" s="11">
        <f>IF(A1837="","",IF(AND(J1837="P4",F1837="causal"),"P4-CAUSAL",""))</f>
        <v/>
      </c>
    </row>
    <row r="1838" ht="15" customHeight="1" s="1">
      <c r="P1838">
        <f>IF(OR(F1838="",H1838="",J1838=""),"",J1838&amp;"|"&amp;F1838&amp;"|"&amp;IF(H1838="W3","W3_"&amp;IF(I1838="","unknown",I1838),H1838))</f>
        <v/>
      </c>
      <c r="Q1838">
        <f>IF(P1838="","",IFERROR(IF(AND(H1838="W7",OR(F1838="causal",F1838="predictive")),IF(AND(OR(K1838=1,K1838="1"),OR(L1838=1,L1838="1"),OR(M1838=1,M1838="1")),"adequate","partial"),IF(AND(H1838="W4",F1838="predictive",OR(J1838="P2",J1838="P3",J1838="P4")),IF(OR(U1838=1,U1838="1"),"adequate","partial"),INDEX(Fit_Matrix!$B:$B,MATCH(P1838,Fit_Matrix!$A:$A,0)))),"CHECK KEY"))</f>
        <v/>
      </c>
      <c r="U1838" s="10" t="n"/>
      <c r="V1838" s="10" t="n"/>
      <c r="W1838" s="10" t="n"/>
      <c r="X1838" s="10" t="n"/>
      <c r="Y1838" s="10" t="n"/>
      <c r="Z1838" s="10" t="n"/>
      <c r="AA1838" s="11">
        <f>IF(A1838="","",IF(AND(J1838="P4",F1838="causal"),"P4-CAUSAL",""))</f>
        <v/>
      </c>
    </row>
    <row r="1839" ht="15" customHeight="1" s="1">
      <c r="P1839">
        <f>IF(OR(F1839="",H1839="",J1839=""),"",J1839&amp;"|"&amp;F1839&amp;"|"&amp;IF(H1839="W3","W3_"&amp;IF(I1839="","unknown",I1839),H1839))</f>
        <v/>
      </c>
      <c r="Q1839">
        <f>IF(P1839="","",IFERROR(IF(AND(H1839="W7",OR(F1839="causal",F1839="predictive")),IF(AND(OR(K1839=1,K1839="1"),OR(L1839=1,L1839="1"),OR(M1839=1,M1839="1")),"adequate","partial"),IF(AND(H1839="W4",F1839="predictive",OR(J1839="P2",J1839="P3",J1839="P4")),IF(OR(U1839=1,U1839="1"),"adequate","partial"),INDEX(Fit_Matrix!$B:$B,MATCH(P1839,Fit_Matrix!$A:$A,0)))),"CHECK KEY"))</f>
        <v/>
      </c>
      <c r="U1839" s="10" t="n"/>
      <c r="V1839" s="10" t="n"/>
      <c r="W1839" s="10" t="n"/>
      <c r="X1839" s="10" t="n"/>
      <c r="Y1839" s="10" t="n"/>
      <c r="Z1839" s="10" t="n"/>
      <c r="AA1839" s="11">
        <f>IF(A1839="","",IF(AND(J1839="P4",F1839="causal"),"P4-CAUSAL",""))</f>
        <v/>
      </c>
    </row>
    <row r="1840" ht="15" customHeight="1" s="1">
      <c r="P1840">
        <f>IF(OR(F1840="",H1840="",J1840=""),"",J1840&amp;"|"&amp;F1840&amp;"|"&amp;IF(H1840="W3","W3_"&amp;IF(I1840="","unknown",I1840),H1840))</f>
        <v/>
      </c>
      <c r="Q1840">
        <f>IF(P1840="","",IFERROR(IF(AND(H1840="W7",OR(F1840="causal",F1840="predictive")),IF(AND(OR(K1840=1,K1840="1"),OR(L1840=1,L1840="1"),OR(M1840=1,M1840="1")),"adequate","partial"),IF(AND(H1840="W4",F1840="predictive",OR(J1840="P2",J1840="P3",J1840="P4")),IF(OR(U1840=1,U1840="1"),"adequate","partial"),INDEX(Fit_Matrix!$B:$B,MATCH(P1840,Fit_Matrix!$A:$A,0)))),"CHECK KEY"))</f>
        <v/>
      </c>
      <c r="U1840" s="10" t="n"/>
      <c r="V1840" s="10" t="n"/>
      <c r="W1840" s="10" t="n"/>
      <c r="X1840" s="10" t="n"/>
      <c r="Y1840" s="10" t="n"/>
      <c r="Z1840" s="10" t="n"/>
      <c r="AA1840" s="11">
        <f>IF(A1840="","",IF(AND(J1840="P4",F1840="causal"),"P4-CAUSAL",""))</f>
        <v/>
      </c>
    </row>
    <row r="1841" ht="15" customHeight="1" s="1">
      <c r="P1841">
        <f>IF(OR(F1841="",H1841="",J1841=""),"",J1841&amp;"|"&amp;F1841&amp;"|"&amp;IF(H1841="W3","W3_"&amp;IF(I1841="","unknown",I1841),H1841))</f>
        <v/>
      </c>
      <c r="Q1841">
        <f>IF(P1841="","",IFERROR(IF(AND(H1841="W7",OR(F1841="causal",F1841="predictive")),IF(AND(OR(K1841=1,K1841="1"),OR(L1841=1,L1841="1"),OR(M1841=1,M1841="1")),"adequate","partial"),IF(AND(H1841="W4",F1841="predictive",OR(J1841="P2",J1841="P3",J1841="P4")),IF(OR(U1841=1,U1841="1"),"adequate","partial"),INDEX(Fit_Matrix!$B:$B,MATCH(P1841,Fit_Matrix!$A:$A,0)))),"CHECK KEY"))</f>
        <v/>
      </c>
      <c r="U1841" s="10" t="n"/>
      <c r="V1841" s="10" t="n"/>
      <c r="W1841" s="10" t="n"/>
      <c r="X1841" s="10" t="n"/>
      <c r="Y1841" s="10" t="n"/>
      <c r="Z1841" s="10" t="n"/>
      <c r="AA1841" s="11">
        <f>IF(A1841="","",IF(AND(J1841="P4",F1841="causal"),"P4-CAUSAL",""))</f>
        <v/>
      </c>
    </row>
    <row r="1842" ht="15" customHeight="1" s="1">
      <c r="P1842">
        <f>IF(OR(F1842="",H1842="",J1842=""),"",J1842&amp;"|"&amp;F1842&amp;"|"&amp;IF(H1842="W3","W3_"&amp;IF(I1842="","unknown",I1842),H1842))</f>
        <v/>
      </c>
      <c r="Q1842">
        <f>IF(P1842="","",IFERROR(IF(AND(H1842="W7",OR(F1842="causal",F1842="predictive")),IF(AND(OR(K1842=1,K1842="1"),OR(L1842=1,L1842="1"),OR(M1842=1,M1842="1")),"adequate","partial"),IF(AND(H1842="W4",F1842="predictive",OR(J1842="P2",J1842="P3",J1842="P4")),IF(OR(U1842=1,U1842="1"),"adequate","partial"),INDEX(Fit_Matrix!$B:$B,MATCH(P1842,Fit_Matrix!$A:$A,0)))),"CHECK KEY"))</f>
        <v/>
      </c>
      <c r="U1842" s="10" t="n"/>
      <c r="V1842" s="10" t="n"/>
      <c r="W1842" s="10" t="n"/>
      <c r="X1842" s="10" t="n"/>
      <c r="Y1842" s="10" t="n"/>
      <c r="Z1842" s="10" t="n"/>
      <c r="AA1842" s="11">
        <f>IF(A1842="","",IF(AND(J1842="P4",F1842="causal"),"P4-CAUSAL",""))</f>
        <v/>
      </c>
    </row>
    <row r="1843" ht="15" customHeight="1" s="1">
      <c r="P1843">
        <f>IF(OR(F1843="",H1843="",J1843=""),"",J1843&amp;"|"&amp;F1843&amp;"|"&amp;IF(H1843="W3","W3_"&amp;IF(I1843="","unknown",I1843),H1843))</f>
        <v/>
      </c>
      <c r="Q1843">
        <f>IF(P1843="","",IFERROR(IF(AND(H1843="W7",OR(F1843="causal",F1843="predictive")),IF(AND(OR(K1843=1,K1843="1"),OR(L1843=1,L1843="1"),OR(M1843=1,M1843="1")),"adequate","partial"),IF(AND(H1843="W4",F1843="predictive",OR(J1843="P2",J1843="P3",J1843="P4")),IF(OR(U1843=1,U1843="1"),"adequate","partial"),INDEX(Fit_Matrix!$B:$B,MATCH(P1843,Fit_Matrix!$A:$A,0)))),"CHECK KEY"))</f>
        <v/>
      </c>
      <c r="U1843" s="10" t="n"/>
      <c r="V1843" s="10" t="n"/>
      <c r="W1843" s="10" t="n"/>
      <c r="X1843" s="10" t="n"/>
      <c r="Y1843" s="10" t="n"/>
      <c r="Z1843" s="10" t="n"/>
      <c r="AA1843" s="11">
        <f>IF(A1843="","",IF(AND(J1843="P4",F1843="causal"),"P4-CAUSAL",""))</f>
        <v/>
      </c>
    </row>
    <row r="1844" ht="15" customHeight="1" s="1">
      <c r="P1844">
        <f>IF(OR(F1844="",H1844="",J1844=""),"",J1844&amp;"|"&amp;F1844&amp;"|"&amp;IF(H1844="W3","W3_"&amp;IF(I1844="","unknown",I1844),H1844))</f>
        <v/>
      </c>
      <c r="Q1844">
        <f>IF(P1844="","",IFERROR(IF(AND(H1844="W7",OR(F1844="causal",F1844="predictive")),IF(AND(OR(K1844=1,K1844="1"),OR(L1844=1,L1844="1"),OR(M1844=1,M1844="1")),"adequate","partial"),IF(AND(H1844="W4",F1844="predictive",OR(J1844="P2",J1844="P3",J1844="P4")),IF(OR(U1844=1,U1844="1"),"adequate","partial"),INDEX(Fit_Matrix!$B:$B,MATCH(P1844,Fit_Matrix!$A:$A,0)))),"CHECK KEY"))</f>
        <v/>
      </c>
      <c r="U1844" s="10" t="n"/>
      <c r="V1844" s="10" t="n"/>
      <c r="W1844" s="10" t="n"/>
      <c r="X1844" s="10" t="n"/>
      <c r="Y1844" s="10" t="n"/>
      <c r="Z1844" s="10" t="n"/>
      <c r="AA1844" s="11">
        <f>IF(A1844="","",IF(AND(J1844="P4",F1844="causal"),"P4-CAUSAL",""))</f>
        <v/>
      </c>
    </row>
    <row r="1845" ht="15" customHeight="1" s="1">
      <c r="P1845">
        <f>IF(OR(F1845="",H1845="",J1845=""),"",J1845&amp;"|"&amp;F1845&amp;"|"&amp;IF(H1845="W3","W3_"&amp;IF(I1845="","unknown",I1845),H1845))</f>
        <v/>
      </c>
      <c r="Q1845">
        <f>IF(P1845="","",IFERROR(IF(AND(H1845="W7",OR(F1845="causal",F1845="predictive")),IF(AND(OR(K1845=1,K1845="1"),OR(L1845=1,L1845="1"),OR(M1845=1,M1845="1")),"adequate","partial"),IF(AND(H1845="W4",F1845="predictive",OR(J1845="P2",J1845="P3",J1845="P4")),IF(OR(U1845=1,U1845="1"),"adequate","partial"),INDEX(Fit_Matrix!$B:$B,MATCH(P1845,Fit_Matrix!$A:$A,0)))),"CHECK KEY"))</f>
        <v/>
      </c>
      <c r="U1845" s="10" t="n"/>
      <c r="V1845" s="10" t="n"/>
      <c r="W1845" s="10" t="n"/>
      <c r="X1845" s="10" t="n"/>
      <c r="Y1845" s="10" t="n"/>
      <c r="Z1845" s="10" t="n"/>
      <c r="AA1845" s="11">
        <f>IF(A1845="","",IF(AND(J1845="P4",F1845="causal"),"P4-CAUSAL",""))</f>
        <v/>
      </c>
    </row>
    <row r="1846" ht="15" customHeight="1" s="1">
      <c r="P1846">
        <f>IF(OR(F1846="",H1846="",J1846=""),"",J1846&amp;"|"&amp;F1846&amp;"|"&amp;IF(H1846="W3","W3_"&amp;IF(I1846="","unknown",I1846),H1846))</f>
        <v/>
      </c>
      <c r="Q1846">
        <f>IF(P1846="","",IFERROR(IF(AND(H1846="W7",OR(F1846="causal",F1846="predictive")),IF(AND(OR(K1846=1,K1846="1"),OR(L1846=1,L1846="1"),OR(M1846=1,M1846="1")),"adequate","partial"),IF(AND(H1846="W4",F1846="predictive",OR(J1846="P2",J1846="P3",J1846="P4")),IF(OR(U1846=1,U1846="1"),"adequate","partial"),INDEX(Fit_Matrix!$B:$B,MATCH(P1846,Fit_Matrix!$A:$A,0)))),"CHECK KEY"))</f>
        <v/>
      </c>
      <c r="U1846" s="10" t="n"/>
      <c r="V1846" s="10" t="n"/>
      <c r="W1846" s="10" t="n"/>
      <c r="X1846" s="10" t="n"/>
      <c r="Y1846" s="10" t="n"/>
      <c r="Z1846" s="10" t="n"/>
      <c r="AA1846" s="11">
        <f>IF(A1846="","",IF(AND(J1846="P4",F1846="causal"),"P4-CAUSAL",""))</f>
        <v/>
      </c>
    </row>
    <row r="1847" ht="15" customHeight="1" s="1">
      <c r="P1847">
        <f>IF(OR(F1847="",H1847="",J1847=""),"",J1847&amp;"|"&amp;F1847&amp;"|"&amp;IF(H1847="W3","W3_"&amp;IF(I1847="","unknown",I1847),H1847))</f>
        <v/>
      </c>
      <c r="Q1847">
        <f>IF(P1847="","",IFERROR(IF(AND(H1847="W7",OR(F1847="causal",F1847="predictive")),IF(AND(OR(K1847=1,K1847="1"),OR(L1847=1,L1847="1"),OR(M1847=1,M1847="1")),"adequate","partial"),IF(AND(H1847="W4",F1847="predictive",OR(J1847="P2",J1847="P3",J1847="P4")),IF(OR(U1847=1,U1847="1"),"adequate","partial"),INDEX(Fit_Matrix!$B:$B,MATCH(P1847,Fit_Matrix!$A:$A,0)))),"CHECK KEY"))</f>
        <v/>
      </c>
      <c r="U1847" s="10" t="n"/>
      <c r="V1847" s="10" t="n"/>
      <c r="W1847" s="10" t="n"/>
      <c r="X1847" s="10" t="n"/>
      <c r="Y1847" s="10" t="n"/>
      <c r="Z1847" s="10" t="n"/>
      <c r="AA1847" s="11">
        <f>IF(A1847="","",IF(AND(J1847="P4",F1847="causal"),"P4-CAUSAL",""))</f>
        <v/>
      </c>
    </row>
    <row r="1848" ht="15" customHeight="1" s="1">
      <c r="P1848">
        <f>IF(OR(F1848="",H1848="",J1848=""),"",J1848&amp;"|"&amp;F1848&amp;"|"&amp;IF(H1848="W3","W3_"&amp;IF(I1848="","unknown",I1848),H1848))</f>
        <v/>
      </c>
      <c r="Q1848">
        <f>IF(P1848="","",IFERROR(IF(AND(H1848="W7",OR(F1848="causal",F1848="predictive")),IF(AND(OR(K1848=1,K1848="1"),OR(L1848=1,L1848="1"),OR(M1848=1,M1848="1")),"adequate","partial"),IF(AND(H1848="W4",F1848="predictive",OR(J1848="P2",J1848="P3",J1848="P4")),IF(OR(U1848=1,U1848="1"),"adequate","partial"),INDEX(Fit_Matrix!$B:$B,MATCH(P1848,Fit_Matrix!$A:$A,0)))),"CHECK KEY"))</f>
        <v/>
      </c>
      <c r="U1848" s="10" t="n"/>
      <c r="V1848" s="10" t="n"/>
      <c r="W1848" s="10" t="n"/>
      <c r="X1848" s="10" t="n"/>
      <c r="Y1848" s="10" t="n"/>
      <c r="Z1848" s="10" t="n"/>
      <c r="AA1848" s="11">
        <f>IF(A1848="","",IF(AND(J1848="P4",F1848="causal"),"P4-CAUSAL",""))</f>
        <v/>
      </c>
    </row>
    <row r="1849" ht="15" customHeight="1" s="1">
      <c r="P1849">
        <f>IF(OR(F1849="",H1849="",J1849=""),"",J1849&amp;"|"&amp;F1849&amp;"|"&amp;IF(H1849="W3","W3_"&amp;IF(I1849="","unknown",I1849),H1849))</f>
        <v/>
      </c>
      <c r="Q1849">
        <f>IF(P1849="","",IFERROR(IF(AND(H1849="W7",OR(F1849="causal",F1849="predictive")),IF(AND(OR(K1849=1,K1849="1"),OR(L1849=1,L1849="1"),OR(M1849=1,M1849="1")),"adequate","partial"),IF(AND(H1849="W4",F1849="predictive",OR(J1849="P2",J1849="P3",J1849="P4")),IF(OR(U1849=1,U1849="1"),"adequate","partial"),INDEX(Fit_Matrix!$B:$B,MATCH(P1849,Fit_Matrix!$A:$A,0)))),"CHECK KEY"))</f>
        <v/>
      </c>
      <c r="U1849" s="10" t="n"/>
      <c r="V1849" s="10" t="n"/>
      <c r="W1849" s="10" t="n"/>
      <c r="X1849" s="10" t="n"/>
      <c r="Y1849" s="10" t="n"/>
      <c r="Z1849" s="10" t="n"/>
      <c r="AA1849" s="11">
        <f>IF(A1849="","",IF(AND(J1849="P4",F1849="causal"),"P4-CAUSAL",""))</f>
        <v/>
      </c>
    </row>
    <row r="1850" ht="15" customHeight="1" s="1">
      <c r="P1850">
        <f>IF(OR(F1850="",H1850="",J1850=""),"",J1850&amp;"|"&amp;F1850&amp;"|"&amp;IF(H1850="W3","W3_"&amp;IF(I1850="","unknown",I1850),H1850))</f>
        <v/>
      </c>
      <c r="Q1850">
        <f>IF(P1850="","",IFERROR(IF(AND(H1850="W7",OR(F1850="causal",F1850="predictive")),IF(AND(OR(K1850=1,K1850="1"),OR(L1850=1,L1850="1"),OR(M1850=1,M1850="1")),"adequate","partial"),IF(AND(H1850="W4",F1850="predictive",OR(J1850="P2",J1850="P3",J1850="P4")),IF(OR(U1850=1,U1850="1"),"adequate","partial"),INDEX(Fit_Matrix!$B:$B,MATCH(P1850,Fit_Matrix!$A:$A,0)))),"CHECK KEY"))</f>
        <v/>
      </c>
      <c r="U1850" s="10" t="n"/>
      <c r="V1850" s="10" t="n"/>
      <c r="W1850" s="10" t="n"/>
      <c r="X1850" s="10" t="n"/>
      <c r="Y1850" s="10" t="n"/>
      <c r="Z1850" s="10" t="n"/>
      <c r="AA1850" s="11">
        <f>IF(A1850="","",IF(AND(J1850="P4",F1850="causal"),"P4-CAUSAL",""))</f>
        <v/>
      </c>
    </row>
    <row r="1851" ht="15" customHeight="1" s="1">
      <c r="P1851">
        <f>IF(OR(F1851="",H1851="",J1851=""),"",J1851&amp;"|"&amp;F1851&amp;"|"&amp;IF(H1851="W3","W3_"&amp;IF(I1851="","unknown",I1851),H1851))</f>
        <v/>
      </c>
      <c r="Q1851">
        <f>IF(P1851="","",IFERROR(IF(AND(H1851="W7",OR(F1851="causal",F1851="predictive")),IF(AND(OR(K1851=1,K1851="1"),OR(L1851=1,L1851="1"),OR(M1851=1,M1851="1")),"adequate","partial"),IF(AND(H1851="W4",F1851="predictive",OR(J1851="P2",J1851="P3",J1851="P4")),IF(OR(U1851=1,U1851="1"),"adequate","partial"),INDEX(Fit_Matrix!$B:$B,MATCH(P1851,Fit_Matrix!$A:$A,0)))),"CHECK KEY"))</f>
        <v/>
      </c>
      <c r="U1851" s="10" t="n"/>
      <c r="V1851" s="10" t="n"/>
      <c r="W1851" s="10" t="n"/>
      <c r="X1851" s="10" t="n"/>
      <c r="Y1851" s="10" t="n"/>
      <c r="Z1851" s="10" t="n"/>
      <c r="AA1851" s="11">
        <f>IF(A1851="","",IF(AND(J1851="P4",F1851="causal"),"P4-CAUSAL",""))</f>
        <v/>
      </c>
    </row>
    <row r="1852" ht="15" customHeight="1" s="1">
      <c r="P1852">
        <f>IF(OR(F1852="",H1852="",J1852=""),"",J1852&amp;"|"&amp;F1852&amp;"|"&amp;IF(H1852="W3","W3_"&amp;IF(I1852="","unknown",I1852),H1852))</f>
        <v/>
      </c>
      <c r="Q1852">
        <f>IF(P1852="","",IFERROR(IF(AND(H1852="W7",OR(F1852="causal",F1852="predictive")),IF(AND(OR(K1852=1,K1852="1"),OR(L1852=1,L1852="1"),OR(M1852=1,M1852="1")),"adequate","partial"),IF(AND(H1852="W4",F1852="predictive",OR(J1852="P2",J1852="P3",J1852="P4")),IF(OR(U1852=1,U1852="1"),"adequate","partial"),INDEX(Fit_Matrix!$B:$B,MATCH(P1852,Fit_Matrix!$A:$A,0)))),"CHECK KEY"))</f>
        <v/>
      </c>
      <c r="U1852" s="10" t="n"/>
      <c r="V1852" s="10" t="n"/>
      <c r="W1852" s="10" t="n"/>
      <c r="X1852" s="10" t="n"/>
      <c r="Y1852" s="10" t="n"/>
      <c r="Z1852" s="10" t="n"/>
      <c r="AA1852" s="11">
        <f>IF(A1852="","",IF(AND(J1852="P4",F1852="causal"),"P4-CAUSAL",""))</f>
        <v/>
      </c>
    </row>
    <row r="1853" ht="15" customHeight="1" s="1">
      <c r="P1853">
        <f>IF(OR(F1853="",H1853="",J1853=""),"",J1853&amp;"|"&amp;F1853&amp;"|"&amp;IF(H1853="W3","W3_"&amp;IF(I1853="","unknown",I1853),H1853))</f>
        <v/>
      </c>
      <c r="Q1853">
        <f>IF(P1853="","",IFERROR(IF(AND(H1853="W7",OR(F1853="causal",F1853="predictive")),IF(AND(OR(K1853=1,K1853="1"),OR(L1853=1,L1853="1"),OR(M1853=1,M1853="1")),"adequate","partial"),IF(AND(H1853="W4",F1853="predictive",OR(J1853="P2",J1853="P3",J1853="P4")),IF(OR(U1853=1,U1853="1"),"adequate","partial"),INDEX(Fit_Matrix!$B:$B,MATCH(P1853,Fit_Matrix!$A:$A,0)))),"CHECK KEY"))</f>
        <v/>
      </c>
      <c r="U1853" s="10" t="n"/>
      <c r="V1853" s="10" t="n"/>
      <c r="W1853" s="10" t="n"/>
      <c r="X1853" s="10" t="n"/>
      <c r="Y1853" s="10" t="n"/>
      <c r="Z1853" s="10" t="n"/>
      <c r="AA1853" s="11">
        <f>IF(A1853="","",IF(AND(J1853="P4",F1853="causal"),"P4-CAUSAL",""))</f>
        <v/>
      </c>
    </row>
    <row r="1854" ht="15" customHeight="1" s="1">
      <c r="P1854">
        <f>IF(OR(F1854="",H1854="",J1854=""),"",J1854&amp;"|"&amp;F1854&amp;"|"&amp;IF(H1854="W3","W3_"&amp;IF(I1854="","unknown",I1854),H1854))</f>
        <v/>
      </c>
      <c r="Q1854">
        <f>IF(P1854="","",IFERROR(IF(AND(H1854="W7",OR(F1854="causal",F1854="predictive")),IF(AND(OR(K1854=1,K1854="1"),OR(L1854=1,L1854="1"),OR(M1854=1,M1854="1")),"adequate","partial"),IF(AND(H1854="W4",F1854="predictive",OR(J1854="P2",J1854="P3",J1854="P4")),IF(OR(U1854=1,U1854="1"),"adequate","partial"),INDEX(Fit_Matrix!$B:$B,MATCH(P1854,Fit_Matrix!$A:$A,0)))),"CHECK KEY"))</f>
        <v/>
      </c>
      <c r="U1854" s="10" t="n"/>
      <c r="V1854" s="10" t="n"/>
      <c r="W1854" s="10" t="n"/>
      <c r="X1854" s="10" t="n"/>
      <c r="Y1854" s="10" t="n"/>
      <c r="Z1854" s="10" t="n"/>
      <c r="AA1854" s="11">
        <f>IF(A1854="","",IF(AND(J1854="P4",F1854="causal"),"P4-CAUSAL",""))</f>
        <v/>
      </c>
    </row>
    <row r="1855" ht="15" customHeight="1" s="1">
      <c r="P1855">
        <f>IF(OR(F1855="",H1855="",J1855=""),"",J1855&amp;"|"&amp;F1855&amp;"|"&amp;IF(H1855="W3","W3_"&amp;IF(I1855="","unknown",I1855),H1855))</f>
        <v/>
      </c>
      <c r="Q1855">
        <f>IF(P1855="","",IFERROR(IF(AND(H1855="W7",OR(F1855="causal",F1855="predictive")),IF(AND(OR(K1855=1,K1855="1"),OR(L1855=1,L1855="1"),OR(M1855=1,M1855="1")),"adequate","partial"),IF(AND(H1855="W4",F1855="predictive",OR(J1855="P2",J1855="P3",J1855="P4")),IF(OR(U1855=1,U1855="1"),"adequate","partial"),INDEX(Fit_Matrix!$B:$B,MATCH(P1855,Fit_Matrix!$A:$A,0)))),"CHECK KEY"))</f>
        <v/>
      </c>
      <c r="U1855" s="10" t="n"/>
      <c r="V1855" s="10" t="n"/>
      <c r="W1855" s="10" t="n"/>
      <c r="X1855" s="10" t="n"/>
      <c r="Y1855" s="10" t="n"/>
      <c r="Z1855" s="10" t="n"/>
      <c r="AA1855" s="11">
        <f>IF(A1855="","",IF(AND(J1855="P4",F1855="causal"),"P4-CAUSAL",""))</f>
        <v/>
      </c>
    </row>
    <row r="1856" ht="15" customHeight="1" s="1">
      <c r="P1856">
        <f>IF(OR(F1856="",H1856="",J1856=""),"",J1856&amp;"|"&amp;F1856&amp;"|"&amp;IF(H1856="W3","W3_"&amp;IF(I1856="","unknown",I1856),H1856))</f>
        <v/>
      </c>
      <c r="Q1856">
        <f>IF(P1856="","",IFERROR(IF(AND(H1856="W7",OR(F1856="causal",F1856="predictive")),IF(AND(OR(K1856=1,K1856="1"),OR(L1856=1,L1856="1"),OR(M1856=1,M1856="1")),"adequate","partial"),IF(AND(H1856="W4",F1856="predictive",OR(J1856="P2",J1856="P3",J1856="P4")),IF(OR(U1856=1,U1856="1"),"adequate","partial"),INDEX(Fit_Matrix!$B:$B,MATCH(P1856,Fit_Matrix!$A:$A,0)))),"CHECK KEY"))</f>
        <v/>
      </c>
      <c r="U1856" s="10" t="n"/>
      <c r="V1856" s="10" t="n"/>
      <c r="W1856" s="10" t="n"/>
      <c r="X1856" s="10" t="n"/>
      <c r="Y1856" s="10" t="n"/>
      <c r="Z1856" s="10" t="n"/>
      <c r="AA1856" s="11">
        <f>IF(A1856="","",IF(AND(J1856="P4",F1856="causal"),"P4-CAUSAL",""))</f>
        <v/>
      </c>
    </row>
    <row r="1857" ht="15" customHeight="1" s="1">
      <c r="P1857">
        <f>IF(OR(F1857="",H1857="",J1857=""),"",J1857&amp;"|"&amp;F1857&amp;"|"&amp;IF(H1857="W3","W3_"&amp;IF(I1857="","unknown",I1857),H1857))</f>
        <v/>
      </c>
      <c r="Q1857">
        <f>IF(P1857="","",IFERROR(IF(AND(H1857="W7",OR(F1857="causal",F1857="predictive")),IF(AND(OR(K1857=1,K1857="1"),OR(L1857=1,L1857="1"),OR(M1857=1,M1857="1")),"adequate","partial"),IF(AND(H1857="W4",F1857="predictive",OR(J1857="P2",J1857="P3",J1857="P4")),IF(OR(U1857=1,U1857="1"),"adequate","partial"),INDEX(Fit_Matrix!$B:$B,MATCH(P1857,Fit_Matrix!$A:$A,0)))),"CHECK KEY"))</f>
        <v/>
      </c>
      <c r="U1857" s="10" t="n"/>
      <c r="V1857" s="10" t="n"/>
      <c r="W1857" s="10" t="n"/>
      <c r="X1857" s="10" t="n"/>
      <c r="Y1857" s="10" t="n"/>
      <c r="Z1857" s="10" t="n"/>
      <c r="AA1857" s="11">
        <f>IF(A1857="","",IF(AND(J1857="P4",F1857="causal"),"P4-CAUSAL",""))</f>
        <v/>
      </c>
    </row>
    <row r="1858" ht="15" customHeight="1" s="1">
      <c r="P1858">
        <f>IF(OR(F1858="",H1858="",J1858=""),"",J1858&amp;"|"&amp;F1858&amp;"|"&amp;IF(H1858="W3","W3_"&amp;IF(I1858="","unknown",I1858),H1858))</f>
        <v/>
      </c>
      <c r="Q1858">
        <f>IF(P1858="","",IFERROR(IF(AND(H1858="W7",OR(F1858="causal",F1858="predictive")),IF(AND(OR(K1858=1,K1858="1"),OR(L1858=1,L1858="1"),OR(M1858=1,M1858="1")),"adequate","partial"),IF(AND(H1858="W4",F1858="predictive",OR(J1858="P2",J1858="P3",J1858="P4")),IF(OR(U1858=1,U1858="1"),"adequate","partial"),INDEX(Fit_Matrix!$B:$B,MATCH(P1858,Fit_Matrix!$A:$A,0)))),"CHECK KEY"))</f>
        <v/>
      </c>
      <c r="U1858" s="10" t="n"/>
      <c r="V1858" s="10" t="n"/>
      <c r="W1858" s="10" t="n"/>
      <c r="X1858" s="10" t="n"/>
      <c r="Y1858" s="10" t="n"/>
      <c r="Z1858" s="10" t="n"/>
      <c r="AA1858" s="11">
        <f>IF(A1858="","",IF(AND(J1858="P4",F1858="causal"),"P4-CAUSAL",""))</f>
        <v/>
      </c>
    </row>
    <row r="1859" ht="15" customHeight="1" s="1">
      <c r="P1859">
        <f>IF(OR(F1859="",H1859="",J1859=""),"",J1859&amp;"|"&amp;F1859&amp;"|"&amp;IF(H1859="W3","W3_"&amp;IF(I1859="","unknown",I1859),H1859))</f>
        <v/>
      </c>
      <c r="Q1859">
        <f>IF(P1859="","",IFERROR(IF(AND(H1859="W7",OR(F1859="causal",F1859="predictive")),IF(AND(OR(K1859=1,K1859="1"),OR(L1859=1,L1859="1"),OR(M1859=1,M1859="1")),"adequate","partial"),IF(AND(H1859="W4",F1859="predictive",OR(J1859="P2",J1859="P3",J1859="P4")),IF(OR(U1859=1,U1859="1"),"adequate","partial"),INDEX(Fit_Matrix!$B:$B,MATCH(P1859,Fit_Matrix!$A:$A,0)))),"CHECK KEY"))</f>
        <v/>
      </c>
      <c r="U1859" s="10" t="n"/>
      <c r="V1859" s="10" t="n"/>
      <c r="W1859" s="10" t="n"/>
      <c r="X1859" s="10" t="n"/>
      <c r="Y1859" s="10" t="n"/>
      <c r="Z1859" s="10" t="n"/>
      <c r="AA1859" s="11">
        <f>IF(A1859="","",IF(AND(J1859="P4",F1859="causal"),"P4-CAUSAL",""))</f>
        <v/>
      </c>
    </row>
    <row r="1860" ht="15" customHeight="1" s="1">
      <c r="P1860">
        <f>IF(OR(F1860="",H1860="",J1860=""),"",J1860&amp;"|"&amp;F1860&amp;"|"&amp;IF(H1860="W3","W3_"&amp;IF(I1860="","unknown",I1860),H1860))</f>
        <v/>
      </c>
      <c r="Q1860">
        <f>IF(P1860="","",IFERROR(IF(AND(H1860="W7",OR(F1860="causal",F1860="predictive")),IF(AND(OR(K1860=1,K1860="1"),OR(L1860=1,L1860="1"),OR(M1860=1,M1860="1")),"adequate","partial"),IF(AND(H1860="W4",F1860="predictive",OR(J1860="P2",J1860="P3",J1860="P4")),IF(OR(U1860=1,U1860="1"),"adequate","partial"),INDEX(Fit_Matrix!$B:$B,MATCH(P1860,Fit_Matrix!$A:$A,0)))),"CHECK KEY"))</f>
        <v/>
      </c>
      <c r="U1860" s="10" t="n"/>
      <c r="V1860" s="10" t="n"/>
      <c r="W1860" s="10" t="n"/>
      <c r="X1860" s="10" t="n"/>
      <c r="Y1860" s="10" t="n"/>
      <c r="Z1860" s="10" t="n"/>
      <c r="AA1860" s="11">
        <f>IF(A1860="","",IF(AND(J1860="P4",F1860="causal"),"P4-CAUSAL",""))</f>
        <v/>
      </c>
    </row>
    <row r="1861" ht="15" customHeight="1" s="1">
      <c r="P1861">
        <f>IF(OR(F1861="",H1861="",J1861=""),"",J1861&amp;"|"&amp;F1861&amp;"|"&amp;IF(H1861="W3","W3_"&amp;IF(I1861="","unknown",I1861),H1861))</f>
        <v/>
      </c>
      <c r="Q1861">
        <f>IF(P1861="","",IFERROR(IF(AND(H1861="W7",OR(F1861="causal",F1861="predictive")),IF(AND(OR(K1861=1,K1861="1"),OR(L1861=1,L1861="1"),OR(M1861=1,M1861="1")),"adequate","partial"),IF(AND(H1861="W4",F1861="predictive",OR(J1861="P2",J1861="P3",J1861="P4")),IF(OR(U1861=1,U1861="1"),"adequate","partial"),INDEX(Fit_Matrix!$B:$B,MATCH(P1861,Fit_Matrix!$A:$A,0)))),"CHECK KEY"))</f>
        <v/>
      </c>
      <c r="U1861" s="10" t="n"/>
      <c r="V1861" s="10" t="n"/>
      <c r="W1861" s="10" t="n"/>
      <c r="X1861" s="10" t="n"/>
      <c r="Y1861" s="10" t="n"/>
      <c r="Z1861" s="10" t="n"/>
      <c r="AA1861" s="11">
        <f>IF(A1861="","",IF(AND(J1861="P4",F1861="causal"),"P4-CAUSAL",""))</f>
        <v/>
      </c>
    </row>
    <row r="1862" ht="15" customHeight="1" s="1">
      <c r="P1862">
        <f>IF(OR(F1862="",H1862="",J1862=""),"",J1862&amp;"|"&amp;F1862&amp;"|"&amp;IF(H1862="W3","W3_"&amp;IF(I1862="","unknown",I1862),H1862))</f>
        <v/>
      </c>
      <c r="Q1862">
        <f>IF(P1862="","",IFERROR(IF(AND(H1862="W7",OR(F1862="causal",F1862="predictive")),IF(AND(OR(K1862=1,K1862="1"),OR(L1862=1,L1862="1"),OR(M1862=1,M1862="1")),"adequate","partial"),IF(AND(H1862="W4",F1862="predictive",OR(J1862="P2",J1862="P3",J1862="P4")),IF(OR(U1862=1,U1862="1"),"adequate","partial"),INDEX(Fit_Matrix!$B:$B,MATCH(P1862,Fit_Matrix!$A:$A,0)))),"CHECK KEY"))</f>
        <v/>
      </c>
      <c r="U1862" s="10" t="n"/>
      <c r="V1862" s="10" t="n"/>
      <c r="W1862" s="10" t="n"/>
      <c r="X1862" s="10" t="n"/>
      <c r="Y1862" s="10" t="n"/>
      <c r="Z1862" s="10" t="n"/>
      <c r="AA1862" s="11">
        <f>IF(A1862="","",IF(AND(J1862="P4",F1862="causal"),"P4-CAUSAL",""))</f>
        <v/>
      </c>
    </row>
    <row r="1863" ht="15" customHeight="1" s="1">
      <c r="P1863">
        <f>IF(OR(F1863="",H1863="",J1863=""),"",J1863&amp;"|"&amp;F1863&amp;"|"&amp;IF(H1863="W3","W3_"&amp;IF(I1863="","unknown",I1863),H1863))</f>
        <v/>
      </c>
      <c r="Q1863">
        <f>IF(P1863="","",IFERROR(IF(AND(H1863="W7",OR(F1863="causal",F1863="predictive")),IF(AND(OR(K1863=1,K1863="1"),OR(L1863=1,L1863="1"),OR(M1863=1,M1863="1")),"adequate","partial"),IF(AND(H1863="W4",F1863="predictive",OR(J1863="P2",J1863="P3",J1863="P4")),IF(OR(U1863=1,U1863="1"),"adequate","partial"),INDEX(Fit_Matrix!$B:$B,MATCH(P1863,Fit_Matrix!$A:$A,0)))),"CHECK KEY"))</f>
        <v/>
      </c>
      <c r="U1863" s="10" t="n"/>
      <c r="V1863" s="10" t="n"/>
      <c r="W1863" s="10" t="n"/>
      <c r="X1863" s="10" t="n"/>
      <c r="Y1863" s="10" t="n"/>
      <c r="Z1863" s="10" t="n"/>
      <c r="AA1863" s="11">
        <f>IF(A1863="","",IF(AND(J1863="P4",F1863="causal"),"P4-CAUSAL",""))</f>
        <v/>
      </c>
    </row>
    <row r="1864" ht="15" customHeight="1" s="1">
      <c r="P1864">
        <f>IF(OR(F1864="",H1864="",J1864=""),"",J1864&amp;"|"&amp;F1864&amp;"|"&amp;IF(H1864="W3","W3_"&amp;IF(I1864="","unknown",I1864),H1864))</f>
        <v/>
      </c>
      <c r="Q1864">
        <f>IF(P1864="","",IFERROR(IF(AND(H1864="W7",OR(F1864="causal",F1864="predictive")),IF(AND(OR(K1864=1,K1864="1"),OR(L1864=1,L1864="1"),OR(M1864=1,M1864="1")),"adequate","partial"),IF(AND(H1864="W4",F1864="predictive",OR(J1864="P2",J1864="P3",J1864="P4")),IF(OR(U1864=1,U1864="1"),"adequate","partial"),INDEX(Fit_Matrix!$B:$B,MATCH(P1864,Fit_Matrix!$A:$A,0)))),"CHECK KEY"))</f>
        <v/>
      </c>
      <c r="U1864" s="10" t="n"/>
      <c r="V1864" s="10" t="n"/>
      <c r="W1864" s="10" t="n"/>
      <c r="X1864" s="10" t="n"/>
      <c r="Y1864" s="10" t="n"/>
      <c r="Z1864" s="10" t="n"/>
      <c r="AA1864" s="11">
        <f>IF(A1864="","",IF(AND(J1864="P4",F1864="causal"),"P4-CAUSAL",""))</f>
        <v/>
      </c>
    </row>
    <row r="1865" ht="15" customHeight="1" s="1">
      <c r="P1865">
        <f>IF(OR(F1865="",H1865="",J1865=""),"",J1865&amp;"|"&amp;F1865&amp;"|"&amp;IF(H1865="W3","W3_"&amp;IF(I1865="","unknown",I1865),H1865))</f>
        <v/>
      </c>
      <c r="Q1865">
        <f>IF(P1865="","",IFERROR(IF(AND(H1865="W7",OR(F1865="causal",F1865="predictive")),IF(AND(OR(K1865=1,K1865="1"),OR(L1865=1,L1865="1"),OR(M1865=1,M1865="1")),"adequate","partial"),IF(AND(H1865="W4",F1865="predictive",OR(J1865="P2",J1865="P3",J1865="P4")),IF(OR(U1865=1,U1865="1"),"adequate","partial"),INDEX(Fit_Matrix!$B:$B,MATCH(P1865,Fit_Matrix!$A:$A,0)))),"CHECK KEY"))</f>
        <v/>
      </c>
      <c r="U1865" s="10" t="n"/>
      <c r="V1865" s="10" t="n"/>
      <c r="W1865" s="10" t="n"/>
      <c r="X1865" s="10" t="n"/>
      <c r="Y1865" s="10" t="n"/>
      <c r="Z1865" s="10" t="n"/>
      <c r="AA1865" s="11">
        <f>IF(A1865="","",IF(AND(J1865="P4",F1865="causal"),"P4-CAUSAL",""))</f>
        <v/>
      </c>
    </row>
    <row r="1866" ht="15" customHeight="1" s="1">
      <c r="P1866">
        <f>IF(OR(F1866="",H1866="",J1866=""),"",J1866&amp;"|"&amp;F1866&amp;"|"&amp;IF(H1866="W3","W3_"&amp;IF(I1866="","unknown",I1866),H1866))</f>
        <v/>
      </c>
      <c r="Q1866">
        <f>IF(P1866="","",IFERROR(IF(AND(H1866="W7",OR(F1866="causal",F1866="predictive")),IF(AND(OR(K1866=1,K1866="1"),OR(L1866=1,L1866="1"),OR(M1866=1,M1866="1")),"adequate","partial"),IF(AND(H1866="W4",F1866="predictive",OR(J1866="P2",J1866="P3",J1866="P4")),IF(OR(U1866=1,U1866="1"),"adequate","partial"),INDEX(Fit_Matrix!$B:$B,MATCH(P1866,Fit_Matrix!$A:$A,0)))),"CHECK KEY"))</f>
        <v/>
      </c>
      <c r="U1866" s="10" t="n"/>
      <c r="V1866" s="10" t="n"/>
      <c r="W1866" s="10" t="n"/>
      <c r="X1866" s="10" t="n"/>
      <c r="Y1866" s="10" t="n"/>
      <c r="Z1866" s="10" t="n"/>
      <c r="AA1866" s="11">
        <f>IF(A1866="","",IF(AND(J1866="P4",F1866="causal"),"P4-CAUSAL",""))</f>
        <v/>
      </c>
    </row>
    <row r="1867" ht="15" customHeight="1" s="1">
      <c r="P1867">
        <f>IF(OR(F1867="",H1867="",J1867=""),"",J1867&amp;"|"&amp;F1867&amp;"|"&amp;IF(H1867="W3","W3_"&amp;IF(I1867="","unknown",I1867),H1867))</f>
        <v/>
      </c>
      <c r="Q1867">
        <f>IF(P1867="","",IFERROR(IF(AND(H1867="W7",OR(F1867="causal",F1867="predictive")),IF(AND(OR(K1867=1,K1867="1"),OR(L1867=1,L1867="1"),OR(M1867=1,M1867="1")),"adequate","partial"),IF(AND(H1867="W4",F1867="predictive",OR(J1867="P2",J1867="P3",J1867="P4")),IF(OR(U1867=1,U1867="1"),"adequate","partial"),INDEX(Fit_Matrix!$B:$B,MATCH(P1867,Fit_Matrix!$A:$A,0)))),"CHECK KEY"))</f>
        <v/>
      </c>
      <c r="U1867" s="10" t="n"/>
      <c r="V1867" s="10" t="n"/>
      <c r="W1867" s="10" t="n"/>
      <c r="X1867" s="10" t="n"/>
      <c r="Y1867" s="10" t="n"/>
      <c r="Z1867" s="10" t="n"/>
      <c r="AA1867" s="11">
        <f>IF(A1867="","",IF(AND(J1867="P4",F1867="causal"),"P4-CAUSAL",""))</f>
        <v/>
      </c>
    </row>
    <row r="1868" ht="15" customHeight="1" s="1">
      <c r="P1868">
        <f>IF(OR(F1868="",H1868="",J1868=""),"",J1868&amp;"|"&amp;F1868&amp;"|"&amp;IF(H1868="W3","W3_"&amp;IF(I1868="","unknown",I1868),H1868))</f>
        <v/>
      </c>
      <c r="Q1868">
        <f>IF(P1868="","",IFERROR(IF(AND(H1868="W7",OR(F1868="causal",F1868="predictive")),IF(AND(OR(K1868=1,K1868="1"),OR(L1868=1,L1868="1"),OR(M1868=1,M1868="1")),"adequate","partial"),IF(AND(H1868="W4",F1868="predictive",OR(J1868="P2",J1868="P3",J1868="P4")),IF(OR(U1868=1,U1868="1"),"adequate","partial"),INDEX(Fit_Matrix!$B:$B,MATCH(P1868,Fit_Matrix!$A:$A,0)))),"CHECK KEY"))</f>
        <v/>
      </c>
      <c r="U1868" s="10" t="n"/>
      <c r="V1868" s="10" t="n"/>
      <c r="W1868" s="10" t="n"/>
      <c r="X1868" s="10" t="n"/>
      <c r="Y1868" s="10" t="n"/>
      <c r="Z1868" s="10" t="n"/>
      <c r="AA1868" s="11">
        <f>IF(A1868="","",IF(AND(J1868="P4",F1868="causal"),"P4-CAUSAL",""))</f>
        <v/>
      </c>
    </row>
    <row r="1869" ht="15" customHeight="1" s="1">
      <c r="P1869">
        <f>IF(OR(F1869="",H1869="",J1869=""),"",J1869&amp;"|"&amp;F1869&amp;"|"&amp;IF(H1869="W3","W3_"&amp;IF(I1869="","unknown",I1869),H1869))</f>
        <v/>
      </c>
      <c r="Q1869">
        <f>IF(P1869="","",IFERROR(IF(AND(H1869="W7",OR(F1869="causal",F1869="predictive")),IF(AND(OR(K1869=1,K1869="1"),OR(L1869=1,L1869="1"),OR(M1869=1,M1869="1")),"adequate","partial"),IF(AND(H1869="W4",F1869="predictive",OR(J1869="P2",J1869="P3",J1869="P4")),IF(OR(U1869=1,U1869="1"),"adequate","partial"),INDEX(Fit_Matrix!$B:$B,MATCH(P1869,Fit_Matrix!$A:$A,0)))),"CHECK KEY"))</f>
        <v/>
      </c>
      <c r="U1869" s="10" t="n"/>
      <c r="V1869" s="10" t="n"/>
      <c r="W1869" s="10" t="n"/>
      <c r="X1869" s="10" t="n"/>
      <c r="Y1869" s="10" t="n"/>
      <c r="Z1869" s="10" t="n"/>
      <c r="AA1869" s="11">
        <f>IF(A1869="","",IF(AND(J1869="P4",F1869="causal"),"P4-CAUSAL",""))</f>
        <v/>
      </c>
    </row>
    <row r="1870" ht="15" customHeight="1" s="1">
      <c r="P1870">
        <f>IF(OR(F1870="",H1870="",J1870=""),"",J1870&amp;"|"&amp;F1870&amp;"|"&amp;IF(H1870="W3","W3_"&amp;IF(I1870="","unknown",I1870),H1870))</f>
        <v/>
      </c>
      <c r="Q1870">
        <f>IF(P1870="","",IFERROR(IF(AND(H1870="W7",OR(F1870="causal",F1870="predictive")),IF(AND(OR(K1870=1,K1870="1"),OR(L1870=1,L1870="1"),OR(M1870=1,M1870="1")),"adequate","partial"),IF(AND(H1870="W4",F1870="predictive",OR(J1870="P2",J1870="P3",J1870="P4")),IF(OR(U1870=1,U1870="1"),"adequate","partial"),INDEX(Fit_Matrix!$B:$B,MATCH(P1870,Fit_Matrix!$A:$A,0)))),"CHECK KEY"))</f>
        <v/>
      </c>
      <c r="U1870" s="10" t="n"/>
      <c r="V1870" s="10" t="n"/>
      <c r="W1870" s="10" t="n"/>
      <c r="X1870" s="10" t="n"/>
      <c r="Y1870" s="10" t="n"/>
      <c r="Z1870" s="10" t="n"/>
      <c r="AA1870" s="11">
        <f>IF(A1870="","",IF(AND(J1870="P4",F1870="causal"),"P4-CAUSAL",""))</f>
        <v/>
      </c>
    </row>
    <row r="1871" ht="15" customHeight="1" s="1">
      <c r="P1871">
        <f>IF(OR(F1871="",H1871="",J1871=""),"",J1871&amp;"|"&amp;F1871&amp;"|"&amp;IF(H1871="W3","W3_"&amp;IF(I1871="","unknown",I1871),H1871))</f>
        <v/>
      </c>
      <c r="Q1871">
        <f>IF(P1871="","",IFERROR(IF(AND(H1871="W7",OR(F1871="causal",F1871="predictive")),IF(AND(OR(K1871=1,K1871="1"),OR(L1871=1,L1871="1"),OR(M1871=1,M1871="1")),"adequate","partial"),IF(AND(H1871="W4",F1871="predictive",OR(J1871="P2",J1871="P3",J1871="P4")),IF(OR(U1871=1,U1871="1"),"adequate","partial"),INDEX(Fit_Matrix!$B:$B,MATCH(P1871,Fit_Matrix!$A:$A,0)))),"CHECK KEY"))</f>
        <v/>
      </c>
      <c r="U1871" s="10" t="n"/>
      <c r="V1871" s="10" t="n"/>
      <c r="W1871" s="10" t="n"/>
      <c r="X1871" s="10" t="n"/>
      <c r="Y1871" s="10" t="n"/>
      <c r="Z1871" s="10" t="n"/>
      <c r="AA1871" s="11">
        <f>IF(A1871="","",IF(AND(J1871="P4",F1871="causal"),"P4-CAUSAL",""))</f>
        <v/>
      </c>
    </row>
    <row r="1872" ht="15" customHeight="1" s="1">
      <c r="P1872">
        <f>IF(OR(F1872="",H1872="",J1872=""),"",J1872&amp;"|"&amp;F1872&amp;"|"&amp;IF(H1872="W3","W3_"&amp;IF(I1872="","unknown",I1872),H1872))</f>
        <v/>
      </c>
      <c r="Q1872">
        <f>IF(P1872="","",IFERROR(IF(AND(H1872="W7",OR(F1872="causal",F1872="predictive")),IF(AND(OR(K1872=1,K1872="1"),OR(L1872=1,L1872="1"),OR(M1872=1,M1872="1")),"adequate","partial"),IF(AND(H1872="W4",F1872="predictive",OR(J1872="P2",J1872="P3",J1872="P4")),IF(OR(U1872=1,U1872="1"),"adequate","partial"),INDEX(Fit_Matrix!$B:$B,MATCH(P1872,Fit_Matrix!$A:$A,0)))),"CHECK KEY"))</f>
        <v/>
      </c>
      <c r="U1872" s="10" t="n"/>
      <c r="V1872" s="10" t="n"/>
      <c r="W1872" s="10" t="n"/>
      <c r="X1872" s="10" t="n"/>
      <c r="Y1872" s="10" t="n"/>
      <c r="Z1872" s="10" t="n"/>
      <c r="AA1872" s="11">
        <f>IF(A1872="","",IF(AND(J1872="P4",F1872="causal"),"P4-CAUSAL",""))</f>
        <v/>
      </c>
    </row>
    <row r="1873" ht="15" customHeight="1" s="1">
      <c r="P1873">
        <f>IF(OR(F1873="",H1873="",J1873=""),"",J1873&amp;"|"&amp;F1873&amp;"|"&amp;IF(H1873="W3","W3_"&amp;IF(I1873="","unknown",I1873),H1873))</f>
        <v/>
      </c>
      <c r="Q1873">
        <f>IF(P1873="","",IFERROR(IF(AND(H1873="W7",OR(F1873="causal",F1873="predictive")),IF(AND(OR(K1873=1,K1873="1"),OR(L1873=1,L1873="1"),OR(M1873=1,M1873="1")),"adequate","partial"),IF(AND(H1873="W4",F1873="predictive",OR(J1873="P2",J1873="P3",J1873="P4")),IF(OR(U1873=1,U1873="1"),"adequate","partial"),INDEX(Fit_Matrix!$B:$B,MATCH(P1873,Fit_Matrix!$A:$A,0)))),"CHECK KEY"))</f>
        <v/>
      </c>
      <c r="U1873" s="10" t="n"/>
      <c r="V1873" s="10" t="n"/>
      <c r="W1873" s="10" t="n"/>
      <c r="X1873" s="10" t="n"/>
      <c r="Y1873" s="10" t="n"/>
      <c r="Z1873" s="10" t="n"/>
      <c r="AA1873" s="11">
        <f>IF(A1873="","",IF(AND(J1873="P4",F1873="causal"),"P4-CAUSAL",""))</f>
        <v/>
      </c>
    </row>
    <row r="1874" ht="15" customHeight="1" s="1">
      <c r="P1874">
        <f>IF(OR(F1874="",H1874="",J1874=""),"",J1874&amp;"|"&amp;F1874&amp;"|"&amp;IF(H1874="W3","W3_"&amp;IF(I1874="","unknown",I1874),H1874))</f>
        <v/>
      </c>
      <c r="Q1874">
        <f>IF(P1874="","",IFERROR(IF(AND(H1874="W7",OR(F1874="causal",F1874="predictive")),IF(AND(OR(K1874=1,K1874="1"),OR(L1874=1,L1874="1"),OR(M1874=1,M1874="1")),"adequate","partial"),IF(AND(H1874="W4",F1874="predictive",OR(J1874="P2",J1874="P3",J1874="P4")),IF(OR(U1874=1,U1874="1"),"adequate","partial"),INDEX(Fit_Matrix!$B:$B,MATCH(P1874,Fit_Matrix!$A:$A,0)))),"CHECK KEY"))</f>
        <v/>
      </c>
      <c r="U1874" s="10" t="n"/>
      <c r="V1874" s="10" t="n"/>
      <c r="W1874" s="10" t="n"/>
      <c r="X1874" s="10" t="n"/>
      <c r="Y1874" s="10" t="n"/>
      <c r="Z1874" s="10" t="n"/>
      <c r="AA1874" s="11">
        <f>IF(A1874="","",IF(AND(J1874="P4",F1874="causal"),"P4-CAUSAL",""))</f>
        <v/>
      </c>
    </row>
    <row r="1875" ht="15" customHeight="1" s="1">
      <c r="P1875">
        <f>IF(OR(F1875="",H1875="",J1875=""),"",J1875&amp;"|"&amp;F1875&amp;"|"&amp;IF(H1875="W3","W3_"&amp;IF(I1875="","unknown",I1875),H1875))</f>
        <v/>
      </c>
      <c r="Q1875">
        <f>IF(P1875="","",IFERROR(IF(AND(H1875="W7",OR(F1875="causal",F1875="predictive")),IF(AND(OR(K1875=1,K1875="1"),OR(L1875=1,L1875="1"),OR(M1875=1,M1875="1")),"adequate","partial"),IF(AND(H1875="W4",F1875="predictive",OR(J1875="P2",J1875="P3",J1875="P4")),IF(OR(U1875=1,U1875="1"),"adequate","partial"),INDEX(Fit_Matrix!$B:$B,MATCH(P1875,Fit_Matrix!$A:$A,0)))),"CHECK KEY"))</f>
        <v/>
      </c>
      <c r="U1875" s="10" t="n"/>
      <c r="V1875" s="10" t="n"/>
      <c r="W1875" s="10" t="n"/>
      <c r="X1875" s="10" t="n"/>
      <c r="Y1875" s="10" t="n"/>
      <c r="Z1875" s="10" t="n"/>
      <c r="AA1875" s="11">
        <f>IF(A1875="","",IF(AND(J1875="P4",F1875="causal"),"P4-CAUSAL",""))</f>
        <v/>
      </c>
    </row>
    <row r="1876" ht="15" customHeight="1" s="1">
      <c r="P1876">
        <f>IF(OR(F1876="",H1876="",J1876=""),"",J1876&amp;"|"&amp;F1876&amp;"|"&amp;IF(H1876="W3","W3_"&amp;IF(I1876="","unknown",I1876),H1876))</f>
        <v/>
      </c>
      <c r="Q1876">
        <f>IF(P1876="","",IFERROR(IF(AND(H1876="W7",OR(F1876="causal",F1876="predictive")),IF(AND(OR(K1876=1,K1876="1"),OR(L1876=1,L1876="1"),OR(M1876=1,M1876="1")),"adequate","partial"),IF(AND(H1876="W4",F1876="predictive",OR(J1876="P2",J1876="P3",J1876="P4")),IF(OR(U1876=1,U1876="1"),"adequate","partial"),INDEX(Fit_Matrix!$B:$B,MATCH(P1876,Fit_Matrix!$A:$A,0)))),"CHECK KEY"))</f>
        <v/>
      </c>
      <c r="U1876" s="10" t="n"/>
      <c r="V1876" s="10" t="n"/>
      <c r="W1876" s="10" t="n"/>
      <c r="X1876" s="10" t="n"/>
      <c r="Y1876" s="10" t="n"/>
      <c r="Z1876" s="10" t="n"/>
      <c r="AA1876" s="11">
        <f>IF(A1876="","",IF(AND(J1876="P4",F1876="causal"),"P4-CAUSAL",""))</f>
        <v/>
      </c>
    </row>
    <row r="1877" ht="15" customHeight="1" s="1">
      <c r="P1877">
        <f>IF(OR(F1877="",H1877="",J1877=""),"",J1877&amp;"|"&amp;F1877&amp;"|"&amp;IF(H1877="W3","W3_"&amp;IF(I1877="","unknown",I1877),H1877))</f>
        <v/>
      </c>
      <c r="Q1877">
        <f>IF(P1877="","",IFERROR(IF(AND(H1877="W7",OR(F1877="causal",F1877="predictive")),IF(AND(OR(K1877=1,K1877="1"),OR(L1877=1,L1877="1"),OR(M1877=1,M1877="1")),"adequate","partial"),IF(AND(H1877="W4",F1877="predictive",OR(J1877="P2",J1877="P3",J1877="P4")),IF(OR(U1877=1,U1877="1"),"adequate","partial"),INDEX(Fit_Matrix!$B:$B,MATCH(P1877,Fit_Matrix!$A:$A,0)))),"CHECK KEY"))</f>
        <v/>
      </c>
      <c r="U1877" s="10" t="n"/>
      <c r="V1877" s="10" t="n"/>
      <c r="W1877" s="10" t="n"/>
      <c r="X1877" s="10" t="n"/>
      <c r="Y1877" s="10" t="n"/>
      <c r="Z1877" s="10" t="n"/>
      <c r="AA1877" s="11">
        <f>IF(A1877="","",IF(AND(J1877="P4",F1877="causal"),"P4-CAUSAL",""))</f>
        <v/>
      </c>
    </row>
    <row r="1878" ht="15" customHeight="1" s="1">
      <c r="P1878">
        <f>IF(OR(F1878="",H1878="",J1878=""),"",J1878&amp;"|"&amp;F1878&amp;"|"&amp;IF(H1878="W3","W3_"&amp;IF(I1878="","unknown",I1878),H1878))</f>
        <v/>
      </c>
      <c r="Q1878">
        <f>IF(P1878="","",IFERROR(IF(AND(H1878="W7",OR(F1878="causal",F1878="predictive")),IF(AND(OR(K1878=1,K1878="1"),OR(L1878=1,L1878="1"),OR(M1878=1,M1878="1")),"adequate","partial"),IF(AND(H1878="W4",F1878="predictive",OR(J1878="P2",J1878="P3",J1878="P4")),IF(OR(U1878=1,U1878="1"),"adequate","partial"),INDEX(Fit_Matrix!$B:$B,MATCH(P1878,Fit_Matrix!$A:$A,0)))),"CHECK KEY"))</f>
        <v/>
      </c>
      <c r="U1878" s="10" t="n"/>
      <c r="V1878" s="10" t="n"/>
      <c r="W1878" s="10" t="n"/>
      <c r="X1878" s="10" t="n"/>
      <c r="Y1878" s="10" t="n"/>
      <c r="Z1878" s="10" t="n"/>
      <c r="AA1878" s="11">
        <f>IF(A1878="","",IF(AND(J1878="P4",F1878="causal"),"P4-CAUSAL",""))</f>
        <v/>
      </c>
    </row>
    <row r="1879" ht="15" customHeight="1" s="1">
      <c r="P1879">
        <f>IF(OR(F1879="",H1879="",J1879=""),"",J1879&amp;"|"&amp;F1879&amp;"|"&amp;IF(H1879="W3","W3_"&amp;IF(I1879="","unknown",I1879),H1879))</f>
        <v/>
      </c>
      <c r="Q1879">
        <f>IF(P1879="","",IFERROR(IF(AND(H1879="W7",OR(F1879="causal",F1879="predictive")),IF(AND(OR(K1879=1,K1879="1"),OR(L1879=1,L1879="1"),OR(M1879=1,M1879="1")),"adequate","partial"),IF(AND(H1879="W4",F1879="predictive",OR(J1879="P2",J1879="P3",J1879="P4")),IF(OR(U1879=1,U1879="1"),"adequate","partial"),INDEX(Fit_Matrix!$B:$B,MATCH(P1879,Fit_Matrix!$A:$A,0)))),"CHECK KEY"))</f>
        <v/>
      </c>
      <c r="U1879" s="10" t="n"/>
      <c r="V1879" s="10" t="n"/>
      <c r="W1879" s="10" t="n"/>
      <c r="X1879" s="10" t="n"/>
      <c r="Y1879" s="10" t="n"/>
      <c r="Z1879" s="10" t="n"/>
      <c r="AA1879" s="11">
        <f>IF(A1879="","",IF(AND(J1879="P4",F1879="causal"),"P4-CAUSAL",""))</f>
        <v/>
      </c>
    </row>
    <row r="1880" ht="15" customHeight="1" s="1">
      <c r="P1880">
        <f>IF(OR(F1880="",H1880="",J1880=""),"",J1880&amp;"|"&amp;F1880&amp;"|"&amp;IF(H1880="W3","W3_"&amp;IF(I1880="","unknown",I1880),H1880))</f>
        <v/>
      </c>
      <c r="Q1880">
        <f>IF(P1880="","",IFERROR(IF(AND(H1880="W7",OR(F1880="causal",F1880="predictive")),IF(AND(OR(K1880=1,K1880="1"),OR(L1880=1,L1880="1"),OR(M1880=1,M1880="1")),"adequate","partial"),IF(AND(H1880="W4",F1880="predictive",OR(J1880="P2",J1880="P3",J1880="P4")),IF(OR(U1880=1,U1880="1"),"adequate","partial"),INDEX(Fit_Matrix!$B:$B,MATCH(P1880,Fit_Matrix!$A:$A,0)))),"CHECK KEY"))</f>
        <v/>
      </c>
      <c r="U1880" s="10" t="n"/>
      <c r="V1880" s="10" t="n"/>
      <c r="W1880" s="10" t="n"/>
      <c r="X1880" s="10" t="n"/>
      <c r="Y1880" s="10" t="n"/>
      <c r="Z1880" s="10" t="n"/>
      <c r="AA1880" s="11">
        <f>IF(A1880="","",IF(AND(J1880="P4",F1880="causal"),"P4-CAUSAL",""))</f>
        <v/>
      </c>
    </row>
    <row r="1881" ht="15" customHeight="1" s="1">
      <c r="P1881">
        <f>IF(OR(F1881="",H1881="",J1881=""),"",J1881&amp;"|"&amp;F1881&amp;"|"&amp;IF(H1881="W3","W3_"&amp;IF(I1881="","unknown",I1881),H1881))</f>
        <v/>
      </c>
      <c r="Q1881">
        <f>IF(P1881="","",IFERROR(IF(AND(H1881="W7",OR(F1881="causal",F1881="predictive")),IF(AND(OR(K1881=1,K1881="1"),OR(L1881=1,L1881="1"),OR(M1881=1,M1881="1")),"adequate","partial"),IF(AND(H1881="W4",F1881="predictive",OR(J1881="P2",J1881="P3",J1881="P4")),IF(OR(U1881=1,U1881="1"),"adequate","partial"),INDEX(Fit_Matrix!$B:$B,MATCH(P1881,Fit_Matrix!$A:$A,0)))),"CHECK KEY"))</f>
        <v/>
      </c>
      <c r="U1881" s="10" t="n"/>
      <c r="V1881" s="10" t="n"/>
      <c r="W1881" s="10" t="n"/>
      <c r="X1881" s="10" t="n"/>
      <c r="Y1881" s="10" t="n"/>
      <c r="Z1881" s="10" t="n"/>
      <c r="AA1881" s="11">
        <f>IF(A1881="","",IF(AND(J1881="P4",F1881="causal"),"P4-CAUSAL",""))</f>
        <v/>
      </c>
    </row>
    <row r="1882" ht="15" customHeight="1" s="1">
      <c r="P1882">
        <f>IF(OR(F1882="",H1882="",J1882=""),"",J1882&amp;"|"&amp;F1882&amp;"|"&amp;IF(H1882="W3","W3_"&amp;IF(I1882="","unknown",I1882),H1882))</f>
        <v/>
      </c>
      <c r="Q1882">
        <f>IF(P1882="","",IFERROR(IF(AND(H1882="W7",OR(F1882="causal",F1882="predictive")),IF(AND(OR(K1882=1,K1882="1"),OR(L1882=1,L1882="1"),OR(M1882=1,M1882="1")),"adequate","partial"),IF(AND(H1882="W4",F1882="predictive",OR(J1882="P2",J1882="P3",J1882="P4")),IF(OR(U1882=1,U1882="1"),"adequate","partial"),INDEX(Fit_Matrix!$B:$B,MATCH(P1882,Fit_Matrix!$A:$A,0)))),"CHECK KEY"))</f>
        <v/>
      </c>
      <c r="U1882" s="10" t="n"/>
      <c r="V1882" s="10" t="n"/>
      <c r="W1882" s="10" t="n"/>
      <c r="X1882" s="10" t="n"/>
      <c r="Y1882" s="10" t="n"/>
      <c r="Z1882" s="10" t="n"/>
      <c r="AA1882" s="11">
        <f>IF(A1882="","",IF(AND(J1882="P4",F1882="causal"),"P4-CAUSAL",""))</f>
        <v/>
      </c>
    </row>
    <row r="1883" ht="15" customHeight="1" s="1">
      <c r="P1883">
        <f>IF(OR(F1883="",H1883="",J1883=""),"",J1883&amp;"|"&amp;F1883&amp;"|"&amp;IF(H1883="W3","W3_"&amp;IF(I1883="","unknown",I1883),H1883))</f>
        <v/>
      </c>
      <c r="Q1883">
        <f>IF(P1883="","",IFERROR(IF(AND(H1883="W7",OR(F1883="causal",F1883="predictive")),IF(AND(OR(K1883=1,K1883="1"),OR(L1883=1,L1883="1"),OR(M1883=1,M1883="1")),"adequate","partial"),IF(AND(H1883="W4",F1883="predictive",OR(J1883="P2",J1883="P3",J1883="P4")),IF(OR(U1883=1,U1883="1"),"adequate","partial"),INDEX(Fit_Matrix!$B:$B,MATCH(P1883,Fit_Matrix!$A:$A,0)))),"CHECK KEY"))</f>
        <v/>
      </c>
      <c r="U1883" s="10" t="n"/>
      <c r="V1883" s="10" t="n"/>
      <c r="W1883" s="10" t="n"/>
      <c r="X1883" s="10" t="n"/>
      <c r="Y1883" s="10" t="n"/>
      <c r="Z1883" s="10" t="n"/>
      <c r="AA1883" s="11">
        <f>IF(A1883="","",IF(AND(J1883="P4",F1883="causal"),"P4-CAUSAL",""))</f>
        <v/>
      </c>
    </row>
    <row r="1884" ht="15" customHeight="1" s="1">
      <c r="P1884">
        <f>IF(OR(F1884="",H1884="",J1884=""),"",J1884&amp;"|"&amp;F1884&amp;"|"&amp;IF(H1884="W3","W3_"&amp;IF(I1884="","unknown",I1884),H1884))</f>
        <v/>
      </c>
      <c r="Q1884">
        <f>IF(P1884="","",IFERROR(IF(AND(H1884="W7",OR(F1884="causal",F1884="predictive")),IF(AND(OR(K1884=1,K1884="1"),OR(L1884=1,L1884="1"),OR(M1884=1,M1884="1")),"adequate","partial"),IF(AND(H1884="W4",F1884="predictive",OR(J1884="P2",J1884="P3",J1884="P4")),IF(OR(U1884=1,U1884="1"),"adequate","partial"),INDEX(Fit_Matrix!$B:$B,MATCH(P1884,Fit_Matrix!$A:$A,0)))),"CHECK KEY"))</f>
        <v/>
      </c>
      <c r="U1884" s="10" t="n"/>
      <c r="V1884" s="10" t="n"/>
      <c r="W1884" s="10" t="n"/>
      <c r="X1884" s="10" t="n"/>
      <c r="Y1884" s="10" t="n"/>
      <c r="Z1884" s="10" t="n"/>
      <c r="AA1884" s="11">
        <f>IF(A1884="","",IF(AND(J1884="P4",F1884="causal"),"P4-CAUSAL",""))</f>
        <v/>
      </c>
    </row>
    <row r="1885" ht="15" customHeight="1" s="1">
      <c r="P1885">
        <f>IF(OR(F1885="",H1885="",J1885=""),"",J1885&amp;"|"&amp;F1885&amp;"|"&amp;IF(H1885="W3","W3_"&amp;IF(I1885="","unknown",I1885),H1885))</f>
        <v/>
      </c>
      <c r="Q1885">
        <f>IF(P1885="","",IFERROR(IF(AND(H1885="W7",OR(F1885="causal",F1885="predictive")),IF(AND(OR(K1885=1,K1885="1"),OR(L1885=1,L1885="1"),OR(M1885=1,M1885="1")),"adequate","partial"),IF(AND(H1885="W4",F1885="predictive",OR(J1885="P2",J1885="P3",J1885="P4")),IF(OR(U1885=1,U1885="1"),"adequate","partial"),INDEX(Fit_Matrix!$B:$B,MATCH(P1885,Fit_Matrix!$A:$A,0)))),"CHECK KEY"))</f>
        <v/>
      </c>
      <c r="U1885" s="10" t="n"/>
      <c r="V1885" s="10" t="n"/>
      <c r="W1885" s="10" t="n"/>
      <c r="X1885" s="10" t="n"/>
      <c r="Y1885" s="10" t="n"/>
      <c r="Z1885" s="10" t="n"/>
      <c r="AA1885" s="11">
        <f>IF(A1885="","",IF(AND(J1885="P4",F1885="causal"),"P4-CAUSAL",""))</f>
        <v/>
      </c>
    </row>
    <row r="1886" ht="15" customHeight="1" s="1">
      <c r="P1886">
        <f>IF(OR(F1886="",H1886="",J1886=""),"",J1886&amp;"|"&amp;F1886&amp;"|"&amp;IF(H1886="W3","W3_"&amp;IF(I1886="","unknown",I1886),H1886))</f>
        <v/>
      </c>
      <c r="Q1886">
        <f>IF(P1886="","",IFERROR(IF(AND(H1886="W7",OR(F1886="causal",F1886="predictive")),IF(AND(OR(K1886=1,K1886="1"),OR(L1886=1,L1886="1"),OR(M1886=1,M1886="1")),"adequate","partial"),IF(AND(H1886="W4",F1886="predictive",OR(J1886="P2",J1886="P3",J1886="P4")),IF(OR(U1886=1,U1886="1"),"adequate","partial"),INDEX(Fit_Matrix!$B:$B,MATCH(P1886,Fit_Matrix!$A:$A,0)))),"CHECK KEY"))</f>
        <v/>
      </c>
      <c r="U1886" s="10" t="n"/>
      <c r="V1886" s="10" t="n"/>
      <c r="W1886" s="10" t="n"/>
      <c r="X1886" s="10" t="n"/>
      <c r="Y1886" s="10" t="n"/>
      <c r="Z1886" s="10" t="n"/>
      <c r="AA1886" s="11">
        <f>IF(A1886="","",IF(AND(J1886="P4",F1886="causal"),"P4-CAUSAL",""))</f>
        <v/>
      </c>
    </row>
    <row r="1887" ht="15" customHeight="1" s="1">
      <c r="P1887">
        <f>IF(OR(F1887="",H1887="",J1887=""),"",J1887&amp;"|"&amp;F1887&amp;"|"&amp;IF(H1887="W3","W3_"&amp;IF(I1887="","unknown",I1887),H1887))</f>
        <v/>
      </c>
      <c r="Q1887">
        <f>IF(P1887="","",IFERROR(IF(AND(H1887="W7",OR(F1887="causal",F1887="predictive")),IF(AND(OR(K1887=1,K1887="1"),OR(L1887=1,L1887="1"),OR(M1887=1,M1887="1")),"adequate","partial"),IF(AND(H1887="W4",F1887="predictive",OR(J1887="P2",J1887="P3",J1887="P4")),IF(OR(U1887=1,U1887="1"),"adequate","partial"),INDEX(Fit_Matrix!$B:$B,MATCH(P1887,Fit_Matrix!$A:$A,0)))),"CHECK KEY"))</f>
        <v/>
      </c>
      <c r="U1887" s="10" t="n"/>
      <c r="V1887" s="10" t="n"/>
      <c r="W1887" s="10" t="n"/>
      <c r="X1887" s="10" t="n"/>
      <c r="Y1887" s="10" t="n"/>
      <c r="Z1887" s="10" t="n"/>
      <c r="AA1887" s="11">
        <f>IF(A1887="","",IF(AND(J1887="P4",F1887="causal"),"P4-CAUSAL",""))</f>
        <v/>
      </c>
    </row>
    <row r="1888" ht="15" customHeight="1" s="1">
      <c r="P1888">
        <f>IF(OR(F1888="",H1888="",J1888=""),"",J1888&amp;"|"&amp;F1888&amp;"|"&amp;IF(H1888="W3","W3_"&amp;IF(I1888="","unknown",I1888),H1888))</f>
        <v/>
      </c>
      <c r="Q1888">
        <f>IF(P1888="","",IFERROR(IF(AND(H1888="W7",OR(F1888="causal",F1888="predictive")),IF(AND(OR(K1888=1,K1888="1"),OR(L1888=1,L1888="1"),OR(M1888=1,M1888="1")),"adequate","partial"),IF(AND(H1888="W4",F1888="predictive",OR(J1888="P2",J1888="P3",J1888="P4")),IF(OR(U1888=1,U1888="1"),"adequate","partial"),INDEX(Fit_Matrix!$B:$B,MATCH(P1888,Fit_Matrix!$A:$A,0)))),"CHECK KEY"))</f>
        <v/>
      </c>
      <c r="U1888" s="10" t="n"/>
      <c r="V1888" s="10" t="n"/>
      <c r="W1888" s="10" t="n"/>
      <c r="X1888" s="10" t="n"/>
      <c r="Y1888" s="10" t="n"/>
      <c r="Z1888" s="10" t="n"/>
      <c r="AA1888" s="11">
        <f>IF(A1888="","",IF(AND(J1888="P4",F1888="causal"),"P4-CAUSAL",""))</f>
        <v/>
      </c>
    </row>
    <row r="1889" ht="15" customHeight="1" s="1">
      <c r="P1889">
        <f>IF(OR(F1889="",H1889="",J1889=""),"",J1889&amp;"|"&amp;F1889&amp;"|"&amp;IF(H1889="W3","W3_"&amp;IF(I1889="","unknown",I1889),H1889))</f>
        <v/>
      </c>
      <c r="Q1889">
        <f>IF(P1889="","",IFERROR(IF(AND(H1889="W7",OR(F1889="causal",F1889="predictive")),IF(AND(OR(K1889=1,K1889="1"),OR(L1889=1,L1889="1"),OR(M1889=1,M1889="1")),"adequate","partial"),IF(AND(H1889="W4",F1889="predictive",OR(J1889="P2",J1889="P3",J1889="P4")),IF(OR(U1889=1,U1889="1"),"adequate","partial"),INDEX(Fit_Matrix!$B:$B,MATCH(P1889,Fit_Matrix!$A:$A,0)))),"CHECK KEY"))</f>
        <v/>
      </c>
      <c r="U1889" s="10" t="n"/>
      <c r="V1889" s="10" t="n"/>
      <c r="W1889" s="10" t="n"/>
      <c r="X1889" s="10" t="n"/>
      <c r="Y1889" s="10" t="n"/>
      <c r="Z1889" s="10" t="n"/>
      <c r="AA1889" s="11">
        <f>IF(A1889="","",IF(AND(J1889="P4",F1889="causal"),"P4-CAUSAL",""))</f>
        <v/>
      </c>
    </row>
    <row r="1890" ht="15" customHeight="1" s="1">
      <c r="P1890">
        <f>IF(OR(F1890="",H1890="",J1890=""),"",J1890&amp;"|"&amp;F1890&amp;"|"&amp;IF(H1890="W3","W3_"&amp;IF(I1890="","unknown",I1890),H1890))</f>
        <v/>
      </c>
      <c r="Q1890">
        <f>IF(P1890="","",IFERROR(IF(AND(H1890="W7",OR(F1890="causal",F1890="predictive")),IF(AND(OR(K1890=1,K1890="1"),OR(L1890=1,L1890="1"),OR(M1890=1,M1890="1")),"adequate","partial"),IF(AND(H1890="W4",F1890="predictive",OR(J1890="P2",J1890="P3",J1890="P4")),IF(OR(U1890=1,U1890="1"),"adequate","partial"),INDEX(Fit_Matrix!$B:$B,MATCH(P1890,Fit_Matrix!$A:$A,0)))),"CHECK KEY"))</f>
        <v/>
      </c>
      <c r="U1890" s="10" t="n"/>
      <c r="V1890" s="10" t="n"/>
      <c r="W1890" s="10" t="n"/>
      <c r="X1890" s="10" t="n"/>
      <c r="Y1890" s="10" t="n"/>
      <c r="Z1890" s="10" t="n"/>
      <c r="AA1890" s="11">
        <f>IF(A1890="","",IF(AND(J1890="P4",F1890="causal"),"P4-CAUSAL",""))</f>
        <v/>
      </c>
    </row>
    <row r="1891" ht="15" customHeight="1" s="1">
      <c r="P1891">
        <f>IF(OR(F1891="",H1891="",J1891=""),"",J1891&amp;"|"&amp;F1891&amp;"|"&amp;IF(H1891="W3","W3_"&amp;IF(I1891="","unknown",I1891),H1891))</f>
        <v/>
      </c>
      <c r="Q1891">
        <f>IF(P1891="","",IFERROR(IF(AND(H1891="W7",OR(F1891="causal",F1891="predictive")),IF(AND(OR(K1891=1,K1891="1"),OR(L1891=1,L1891="1"),OR(M1891=1,M1891="1")),"adequate","partial"),IF(AND(H1891="W4",F1891="predictive",OR(J1891="P2",J1891="P3",J1891="P4")),IF(OR(U1891=1,U1891="1"),"adequate","partial"),INDEX(Fit_Matrix!$B:$B,MATCH(P1891,Fit_Matrix!$A:$A,0)))),"CHECK KEY"))</f>
        <v/>
      </c>
      <c r="U1891" s="10" t="n"/>
      <c r="V1891" s="10" t="n"/>
      <c r="W1891" s="10" t="n"/>
      <c r="X1891" s="10" t="n"/>
      <c r="Y1891" s="10" t="n"/>
      <c r="Z1891" s="10" t="n"/>
      <c r="AA1891" s="11">
        <f>IF(A1891="","",IF(AND(J1891="P4",F1891="causal"),"P4-CAUSAL",""))</f>
        <v/>
      </c>
    </row>
    <row r="1892" ht="15" customHeight="1" s="1">
      <c r="P1892">
        <f>IF(OR(F1892="",H1892="",J1892=""),"",J1892&amp;"|"&amp;F1892&amp;"|"&amp;IF(H1892="W3","W3_"&amp;IF(I1892="","unknown",I1892),H1892))</f>
        <v/>
      </c>
      <c r="Q1892">
        <f>IF(P1892="","",IFERROR(IF(AND(H1892="W7",OR(F1892="causal",F1892="predictive")),IF(AND(OR(K1892=1,K1892="1"),OR(L1892=1,L1892="1"),OR(M1892=1,M1892="1")),"adequate","partial"),IF(AND(H1892="W4",F1892="predictive",OR(J1892="P2",J1892="P3",J1892="P4")),IF(OR(U1892=1,U1892="1"),"adequate","partial"),INDEX(Fit_Matrix!$B:$B,MATCH(P1892,Fit_Matrix!$A:$A,0)))),"CHECK KEY"))</f>
        <v/>
      </c>
      <c r="U1892" s="10" t="n"/>
      <c r="V1892" s="10" t="n"/>
      <c r="W1892" s="10" t="n"/>
      <c r="X1892" s="10" t="n"/>
      <c r="Y1892" s="10" t="n"/>
      <c r="Z1892" s="10" t="n"/>
      <c r="AA1892" s="11">
        <f>IF(A1892="","",IF(AND(J1892="P4",F1892="causal"),"P4-CAUSAL",""))</f>
        <v/>
      </c>
    </row>
    <row r="1893" ht="15" customHeight="1" s="1">
      <c r="P1893">
        <f>IF(OR(F1893="",H1893="",J1893=""),"",J1893&amp;"|"&amp;F1893&amp;"|"&amp;IF(H1893="W3","W3_"&amp;IF(I1893="","unknown",I1893),H1893))</f>
        <v/>
      </c>
      <c r="Q1893">
        <f>IF(P1893="","",IFERROR(IF(AND(H1893="W7",OR(F1893="causal",F1893="predictive")),IF(AND(OR(K1893=1,K1893="1"),OR(L1893=1,L1893="1"),OR(M1893=1,M1893="1")),"adequate","partial"),IF(AND(H1893="W4",F1893="predictive",OR(J1893="P2",J1893="P3",J1893="P4")),IF(OR(U1893=1,U1893="1"),"adequate","partial"),INDEX(Fit_Matrix!$B:$B,MATCH(P1893,Fit_Matrix!$A:$A,0)))),"CHECK KEY"))</f>
        <v/>
      </c>
      <c r="U1893" s="10" t="n"/>
      <c r="V1893" s="10" t="n"/>
      <c r="W1893" s="10" t="n"/>
      <c r="X1893" s="10" t="n"/>
      <c r="Y1893" s="10" t="n"/>
      <c r="Z1893" s="10" t="n"/>
      <c r="AA1893" s="11">
        <f>IF(A1893="","",IF(AND(J1893="P4",F1893="causal"),"P4-CAUSAL",""))</f>
        <v/>
      </c>
    </row>
    <row r="1894" ht="15" customHeight="1" s="1">
      <c r="P1894">
        <f>IF(OR(F1894="",H1894="",J1894=""),"",J1894&amp;"|"&amp;F1894&amp;"|"&amp;IF(H1894="W3","W3_"&amp;IF(I1894="","unknown",I1894),H1894))</f>
        <v/>
      </c>
      <c r="Q1894">
        <f>IF(P1894="","",IFERROR(IF(AND(H1894="W7",OR(F1894="causal",F1894="predictive")),IF(AND(OR(K1894=1,K1894="1"),OR(L1894=1,L1894="1"),OR(M1894=1,M1894="1")),"adequate","partial"),IF(AND(H1894="W4",F1894="predictive",OR(J1894="P2",J1894="P3",J1894="P4")),IF(OR(U1894=1,U1894="1"),"adequate","partial"),INDEX(Fit_Matrix!$B:$B,MATCH(P1894,Fit_Matrix!$A:$A,0)))),"CHECK KEY"))</f>
        <v/>
      </c>
      <c r="U1894" s="10" t="n"/>
      <c r="V1894" s="10" t="n"/>
      <c r="W1894" s="10" t="n"/>
      <c r="X1894" s="10" t="n"/>
      <c r="Y1894" s="10" t="n"/>
      <c r="Z1894" s="10" t="n"/>
      <c r="AA1894" s="11">
        <f>IF(A1894="","",IF(AND(J1894="P4",F1894="causal"),"P4-CAUSAL",""))</f>
        <v/>
      </c>
    </row>
    <row r="1895" ht="15" customHeight="1" s="1">
      <c r="P1895">
        <f>IF(OR(F1895="",H1895="",J1895=""),"",J1895&amp;"|"&amp;F1895&amp;"|"&amp;IF(H1895="W3","W3_"&amp;IF(I1895="","unknown",I1895),H1895))</f>
        <v/>
      </c>
      <c r="Q1895">
        <f>IF(P1895="","",IFERROR(IF(AND(H1895="W7",OR(F1895="causal",F1895="predictive")),IF(AND(OR(K1895=1,K1895="1"),OR(L1895=1,L1895="1"),OR(M1895=1,M1895="1")),"adequate","partial"),IF(AND(H1895="W4",F1895="predictive",OR(J1895="P2",J1895="P3",J1895="P4")),IF(OR(U1895=1,U1895="1"),"adequate","partial"),INDEX(Fit_Matrix!$B:$B,MATCH(P1895,Fit_Matrix!$A:$A,0)))),"CHECK KEY"))</f>
        <v/>
      </c>
      <c r="U1895" s="10" t="n"/>
      <c r="V1895" s="10" t="n"/>
      <c r="W1895" s="10" t="n"/>
      <c r="X1895" s="10" t="n"/>
      <c r="Y1895" s="10" t="n"/>
      <c r="Z1895" s="10" t="n"/>
      <c r="AA1895" s="11">
        <f>IF(A1895="","",IF(AND(J1895="P4",F1895="causal"),"P4-CAUSAL",""))</f>
        <v/>
      </c>
    </row>
    <row r="1896" ht="15" customHeight="1" s="1">
      <c r="P1896">
        <f>IF(OR(F1896="",H1896="",J1896=""),"",J1896&amp;"|"&amp;F1896&amp;"|"&amp;IF(H1896="W3","W3_"&amp;IF(I1896="","unknown",I1896),H1896))</f>
        <v/>
      </c>
      <c r="Q1896">
        <f>IF(P1896="","",IFERROR(IF(AND(H1896="W7",OR(F1896="causal",F1896="predictive")),IF(AND(OR(K1896=1,K1896="1"),OR(L1896=1,L1896="1"),OR(M1896=1,M1896="1")),"adequate","partial"),IF(AND(H1896="W4",F1896="predictive",OR(J1896="P2",J1896="P3",J1896="P4")),IF(OR(U1896=1,U1896="1"),"adequate","partial"),INDEX(Fit_Matrix!$B:$B,MATCH(P1896,Fit_Matrix!$A:$A,0)))),"CHECK KEY"))</f>
        <v/>
      </c>
      <c r="U1896" s="10" t="n"/>
      <c r="V1896" s="10" t="n"/>
      <c r="W1896" s="10" t="n"/>
      <c r="X1896" s="10" t="n"/>
      <c r="Y1896" s="10" t="n"/>
      <c r="Z1896" s="10" t="n"/>
      <c r="AA1896" s="11">
        <f>IF(A1896="","",IF(AND(J1896="P4",F1896="causal"),"P4-CAUSAL",""))</f>
        <v/>
      </c>
    </row>
    <row r="1897" ht="15" customHeight="1" s="1">
      <c r="P1897">
        <f>IF(OR(F1897="",H1897="",J1897=""),"",J1897&amp;"|"&amp;F1897&amp;"|"&amp;IF(H1897="W3","W3_"&amp;IF(I1897="","unknown",I1897),H1897))</f>
        <v/>
      </c>
      <c r="Q1897">
        <f>IF(P1897="","",IFERROR(IF(AND(H1897="W7",OR(F1897="causal",F1897="predictive")),IF(AND(OR(K1897=1,K1897="1"),OR(L1897=1,L1897="1"),OR(M1897=1,M1897="1")),"adequate","partial"),IF(AND(H1897="W4",F1897="predictive",OR(J1897="P2",J1897="P3",J1897="P4")),IF(OR(U1897=1,U1897="1"),"adequate","partial"),INDEX(Fit_Matrix!$B:$B,MATCH(P1897,Fit_Matrix!$A:$A,0)))),"CHECK KEY"))</f>
        <v/>
      </c>
      <c r="U1897" s="10" t="n"/>
      <c r="V1897" s="10" t="n"/>
      <c r="W1897" s="10" t="n"/>
      <c r="X1897" s="10" t="n"/>
      <c r="Y1897" s="10" t="n"/>
      <c r="Z1897" s="10" t="n"/>
      <c r="AA1897" s="11">
        <f>IF(A1897="","",IF(AND(J1897="P4",F1897="causal"),"P4-CAUSAL",""))</f>
        <v/>
      </c>
    </row>
    <row r="1898" ht="15" customHeight="1" s="1">
      <c r="P1898">
        <f>IF(OR(F1898="",H1898="",J1898=""),"",J1898&amp;"|"&amp;F1898&amp;"|"&amp;IF(H1898="W3","W3_"&amp;IF(I1898="","unknown",I1898),H1898))</f>
        <v/>
      </c>
      <c r="Q1898">
        <f>IF(P1898="","",IFERROR(IF(AND(H1898="W7",OR(F1898="causal",F1898="predictive")),IF(AND(OR(K1898=1,K1898="1"),OR(L1898=1,L1898="1"),OR(M1898=1,M1898="1")),"adequate","partial"),IF(AND(H1898="W4",F1898="predictive",OR(J1898="P2",J1898="P3",J1898="P4")),IF(OR(U1898=1,U1898="1"),"adequate","partial"),INDEX(Fit_Matrix!$B:$B,MATCH(P1898,Fit_Matrix!$A:$A,0)))),"CHECK KEY"))</f>
        <v/>
      </c>
      <c r="U1898" s="10" t="n"/>
      <c r="V1898" s="10" t="n"/>
      <c r="W1898" s="10" t="n"/>
      <c r="X1898" s="10" t="n"/>
      <c r="Y1898" s="10" t="n"/>
      <c r="Z1898" s="10" t="n"/>
      <c r="AA1898" s="11">
        <f>IF(A1898="","",IF(AND(J1898="P4",F1898="causal"),"P4-CAUSAL",""))</f>
        <v/>
      </c>
    </row>
    <row r="1899" ht="15" customHeight="1" s="1">
      <c r="P1899">
        <f>IF(OR(F1899="",H1899="",J1899=""),"",J1899&amp;"|"&amp;F1899&amp;"|"&amp;IF(H1899="W3","W3_"&amp;IF(I1899="","unknown",I1899),H1899))</f>
        <v/>
      </c>
      <c r="Q1899">
        <f>IF(P1899="","",IFERROR(IF(AND(H1899="W7",OR(F1899="causal",F1899="predictive")),IF(AND(OR(K1899=1,K1899="1"),OR(L1899=1,L1899="1"),OR(M1899=1,M1899="1")),"adequate","partial"),IF(AND(H1899="W4",F1899="predictive",OR(J1899="P2",J1899="P3",J1899="P4")),IF(OR(U1899=1,U1899="1"),"adequate","partial"),INDEX(Fit_Matrix!$B:$B,MATCH(P1899,Fit_Matrix!$A:$A,0)))),"CHECK KEY"))</f>
        <v/>
      </c>
      <c r="U1899" s="10" t="n"/>
      <c r="V1899" s="10" t="n"/>
      <c r="W1899" s="10" t="n"/>
      <c r="X1899" s="10" t="n"/>
      <c r="Y1899" s="10" t="n"/>
      <c r="Z1899" s="10" t="n"/>
      <c r="AA1899" s="11">
        <f>IF(A1899="","",IF(AND(J1899="P4",F1899="causal"),"P4-CAUSAL",""))</f>
        <v/>
      </c>
    </row>
    <row r="1900" ht="15" customHeight="1" s="1">
      <c r="P1900">
        <f>IF(OR(F1900="",H1900="",J1900=""),"",J1900&amp;"|"&amp;F1900&amp;"|"&amp;IF(H1900="W3","W3_"&amp;IF(I1900="","unknown",I1900),H1900))</f>
        <v/>
      </c>
      <c r="Q1900">
        <f>IF(P1900="","",IFERROR(IF(AND(H1900="W7",OR(F1900="causal",F1900="predictive")),IF(AND(OR(K1900=1,K1900="1"),OR(L1900=1,L1900="1"),OR(M1900=1,M1900="1")),"adequate","partial"),IF(AND(H1900="W4",F1900="predictive",OR(J1900="P2",J1900="P3",J1900="P4")),IF(OR(U1900=1,U1900="1"),"adequate","partial"),INDEX(Fit_Matrix!$B:$B,MATCH(P1900,Fit_Matrix!$A:$A,0)))),"CHECK KEY"))</f>
        <v/>
      </c>
      <c r="U1900" s="10" t="n"/>
      <c r="V1900" s="10" t="n"/>
      <c r="W1900" s="10" t="n"/>
      <c r="X1900" s="10" t="n"/>
      <c r="Y1900" s="10" t="n"/>
      <c r="Z1900" s="10" t="n"/>
      <c r="AA1900" s="11">
        <f>IF(A1900="","",IF(AND(J1900="P4",F1900="causal"),"P4-CAUSAL",""))</f>
        <v/>
      </c>
    </row>
    <row r="1901" ht="15" customHeight="1" s="1">
      <c r="P1901">
        <f>IF(OR(F1901="",H1901="",J1901=""),"",J1901&amp;"|"&amp;F1901&amp;"|"&amp;IF(H1901="W3","W3_"&amp;IF(I1901="","unknown",I1901),H1901))</f>
        <v/>
      </c>
      <c r="Q1901">
        <f>IF(P1901="","",IFERROR(IF(AND(H1901="W7",OR(F1901="causal",F1901="predictive")),IF(AND(OR(K1901=1,K1901="1"),OR(L1901=1,L1901="1"),OR(M1901=1,M1901="1")),"adequate","partial"),IF(AND(H1901="W4",F1901="predictive",OR(J1901="P2",J1901="P3",J1901="P4")),IF(OR(U1901=1,U1901="1"),"adequate","partial"),INDEX(Fit_Matrix!$B:$B,MATCH(P1901,Fit_Matrix!$A:$A,0)))),"CHECK KEY"))</f>
        <v/>
      </c>
      <c r="U1901" s="10" t="n"/>
      <c r="V1901" s="10" t="n"/>
      <c r="W1901" s="10" t="n"/>
      <c r="X1901" s="10" t="n"/>
      <c r="Y1901" s="10" t="n"/>
      <c r="Z1901" s="10" t="n"/>
      <c r="AA1901" s="11">
        <f>IF(A1901="","",IF(AND(J1901="P4",F1901="causal"),"P4-CAUSAL",""))</f>
        <v/>
      </c>
    </row>
    <row r="1902" ht="15" customHeight="1" s="1">
      <c r="P1902">
        <f>IF(OR(F1902="",H1902="",J1902=""),"",J1902&amp;"|"&amp;F1902&amp;"|"&amp;IF(H1902="W3","W3_"&amp;IF(I1902="","unknown",I1902),H1902))</f>
        <v/>
      </c>
      <c r="Q1902">
        <f>IF(P1902="","",IFERROR(IF(AND(H1902="W7",OR(F1902="causal",F1902="predictive")),IF(AND(OR(K1902=1,K1902="1"),OR(L1902=1,L1902="1"),OR(M1902=1,M1902="1")),"adequate","partial"),IF(AND(H1902="W4",F1902="predictive",OR(J1902="P2",J1902="P3",J1902="P4")),IF(OR(U1902=1,U1902="1"),"adequate","partial"),INDEX(Fit_Matrix!$B:$B,MATCH(P1902,Fit_Matrix!$A:$A,0)))),"CHECK KEY"))</f>
        <v/>
      </c>
      <c r="U1902" s="10" t="n"/>
      <c r="V1902" s="10" t="n"/>
      <c r="W1902" s="10" t="n"/>
      <c r="X1902" s="10" t="n"/>
      <c r="Y1902" s="10" t="n"/>
      <c r="Z1902" s="10" t="n"/>
      <c r="AA1902" s="11">
        <f>IF(A1902="","",IF(AND(J1902="P4",F1902="causal"),"P4-CAUSAL",""))</f>
        <v/>
      </c>
    </row>
    <row r="1903" ht="15" customHeight="1" s="1">
      <c r="P1903">
        <f>IF(OR(F1903="",H1903="",J1903=""),"",J1903&amp;"|"&amp;F1903&amp;"|"&amp;IF(H1903="W3","W3_"&amp;IF(I1903="","unknown",I1903),H1903))</f>
        <v/>
      </c>
      <c r="Q1903">
        <f>IF(P1903="","",IFERROR(IF(AND(H1903="W7",OR(F1903="causal",F1903="predictive")),IF(AND(OR(K1903=1,K1903="1"),OR(L1903=1,L1903="1"),OR(M1903=1,M1903="1")),"adequate","partial"),IF(AND(H1903="W4",F1903="predictive",OR(J1903="P2",J1903="P3",J1903="P4")),IF(OR(U1903=1,U1903="1"),"adequate","partial"),INDEX(Fit_Matrix!$B:$B,MATCH(P1903,Fit_Matrix!$A:$A,0)))),"CHECK KEY"))</f>
        <v/>
      </c>
      <c r="U1903" s="10" t="n"/>
      <c r="V1903" s="10" t="n"/>
      <c r="W1903" s="10" t="n"/>
      <c r="X1903" s="10" t="n"/>
      <c r="Y1903" s="10" t="n"/>
      <c r="Z1903" s="10" t="n"/>
      <c r="AA1903" s="11">
        <f>IF(A1903="","",IF(AND(J1903="P4",F1903="causal"),"P4-CAUSAL",""))</f>
        <v/>
      </c>
    </row>
    <row r="1904" ht="15" customHeight="1" s="1">
      <c r="P1904">
        <f>IF(OR(F1904="",H1904="",J1904=""),"",J1904&amp;"|"&amp;F1904&amp;"|"&amp;IF(H1904="W3","W3_"&amp;IF(I1904="","unknown",I1904),H1904))</f>
        <v/>
      </c>
      <c r="Q1904">
        <f>IF(P1904="","",IFERROR(IF(AND(H1904="W7",OR(F1904="causal",F1904="predictive")),IF(AND(OR(K1904=1,K1904="1"),OR(L1904=1,L1904="1"),OR(M1904=1,M1904="1")),"adequate","partial"),IF(AND(H1904="W4",F1904="predictive",OR(J1904="P2",J1904="P3",J1904="P4")),IF(OR(U1904=1,U1904="1"),"adequate","partial"),INDEX(Fit_Matrix!$B:$B,MATCH(P1904,Fit_Matrix!$A:$A,0)))),"CHECK KEY"))</f>
        <v/>
      </c>
      <c r="U1904" s="10" t="n"/>
      <c r="V1904" s="10" t="n"/>
      <c r="W1904" s="10" t="n"/>
      <c r="X1904" s="10" t="n"/>
      <c r="Y1904" s="10" t="n"/>
      <c r="Z1904" s="10" t="n"/>
      <c r="AA1904" s="11">
        <f>IF(A1904="","",IF(AND(J1904="P4",F1904="causal"),"P4-CAUSAL",""))</f>
        <v/>
      </c>
    </row>
    <row r="1905" ht="15" customHeight="1" s="1">
      <c r="P1905">
        <f>IF(OR(F1905="",H1905="",J1905=""),"",J1905&amp;"|"&amp;F1905&amp;"|"&amp;IF(H1905="W3","W3_"&amp;IF(I1905="","unknown",I1905),H1905))</f>
        <v/>
      </c>
      <c r="Q1905">
        <f>IF(P1905="","",IFERROR(IF(AND(H1905="W7",OR(F1905="causal",F1905="predictive")),IF(AND(OR(K1905=1,K1905="1"),OR(L1905=1,L1905="1"),OR(M1905=1,M1905="1")),"adequate","partial"),IF(AND(H1905="W4",F1905="predictive",OR(J1905="P2",J1905="P3",J1905="P4")),IF(OR(U1905=1,U1905="1"),"adequate","partial"),INDEX(Fit_Matrix!$B:$B,MATCH(P1905,Fit_Matrix!$A:$A,0)))),"CHECK KEY"))</f>
        <v/>
      </c>
      <c r="U1905" s="10" t="n"/>
      <c r="V1905" s="10" t="n"/>
      <c r="W1905" s="10" t="n"/>
      <c r="X1905" s="10" t="n"/>
      <c r="Y1905" s="10" t="n"/>
      <c r="Z1905" s="10" t="n"/>
      <c r="AA1905" s="11">
        <f>IF(A1905="","",IF(AND(J1905="P4",F1905="causal"),"P4-CAUSAL",""))</f>
        <v/>
      </c>
    </row>
    <row r="1906" ht="15" customHeight="1" s="1">
      <c r="P1906">
        <f>IF(OR(F1906="",H1906="",J1906=""),"",J1906&amp;"|"&amp;F1906&amp;"|"&amp;IF(H1906="W3","W3_"&amp;IF(I1906="","unknown",I1906),H1906))</f>
        <v/>
      </c>
      <c r="Q1906">
        <f>IF(P1906="","",IFERROR(IF(AND(H1906="W7",OR(F1906="causal",F1906="predictive")),IF(AND(OR(K1906=1,K1906="1"),OR(L1906=1,L1906="1"),OR(M1906=1,M1906="1")),"adequate","partial"),IF(AND(H1906="W4",F1906="predictive",OR(J1906="P2",J1906="P3",J1906="P4")),IF(OR(U1906=1,U1906="1"),"adequate","partial"),INDEX(Fit_Matrix!$B:$B,MATCH(P1906,Fit_Matrix!$A:$A,0)))),"CHECK KEY"))</f>
        <v/>
      </c>
      <c r="U1906" s="10" t="n"/>
      <c r="V1906" s="10" t="n"/>
      <c r="W1906" s="10" t="n"/>
      <c r="X1906" s="10" t="n"/>
      <c r="Y1906" s="10" t="n"/>
      <c r="Z1906" s="10" t="n"/>
      <c r="AA1906" s="11">
        <f>IF(A1906="","",IF(AND(J1906="P4",F1906="causal"),"P4-CAUSAL",""))</f>
        <v/>
      </c>
    </row>
    <row r="1907" ht="15" customHeight="1" s="1">
      <c r="P1907">
        <f>IF(OR(F1907="",H1907="",J1907=""),"",J1907&amp;"|"&amp;F1907&amp;"|"&amp;IF(H1907="W3","W3_"&amp;IF(I1907="","unknown",I1907),H1907))</f>
        <v/>
      </c>
      <c r="Q1907">
        <f>IF(P1907="","",IFERROR(IF(AND(H1907="W7",OR(F1907="causal",F1907="predictive")),IF(AND(OR(K1907=1,K1907="1"),OR(L1907=1,L1907="1"),OR(M1907=1,M1907="1")),"adequate","partial"),IF(AND(H1907="W4",F1907="predictive",OR(J1907="P2",J1907="P3",J1907="P4")),IF(OR(U1907=1,U1907="1"),"adequate","partial"),INDEX(Fit_Matrix!$B:$B,MATCH(P1907,Fit_Matrix!$A:$A,0)))),"CHECK KEY"))</f>
        <v/>
      </c>
      <c r="U1907" s="10" t="n"/>
      <c r="V1907" s="10" t="n"/>
      <c r="W1907" s="10" t="n"/>
      <c r="X1907" s="10" t="n"/>
      <c r="Y1907" s="10" t="n"/>
      <c r="Z1907" s="10" t="n"/>
      <c r="AA1907" s="11">
        <f>IF(A1907="","",IF(AND(J1907="P4",F1907="causal"),"P4-CAUSAL",""))</f>
        <v/>
      </c>
    </row>
    <row r="1908" ht="15" customHeight="1" s="1">
      <c r="P1908">
        <f>IF(OR(F1908="",H1908="",J1908=""),"",J1908&amp;"|"&amp;F1908&amp;"|"&amp;IF(H1908="W3","W3_"&amp;IF(I1908="","unknown",I1908),H1908))</f>
        <v/>
      </c>
      <c r="Q1908">
        <f>IF(P1908="","",IFERROR(IF(AND(H1908="W7",OR(F1908="causal",F1908="predictive")),IF(AND(OR(K1908=1,K1908="1"),OR(L1908=1,L1908="1"),OR(M1908=1,M1908="1")),"adequate","partial"),IF(AND(H1908="W4",F1908="predictive",OR(J1908="P2",J1908="P3",J1908="P4")),IF(OR(U1908=1,U1908="1"),"adequate","partial"),INDEX(Fit_Matrix!$B:$B,MATCH(P1908,Fit_Matrix!$A:$A,0)))),"CHECK KEY"))</f>
        <v/>
      </c>
      <c r="U1908" s="10" t="n"/>
      <c r="V1908" s="10" t="n"/>
      <c r="W1908" s="10" t="n"/>
      <c r="X1908" s="10" t="n"/>
      <c r="Y1908" s="10" t="n"/>
      <c r="Z1908" s="10" t="n"/>
      <c r="AA1908" s="11">
        <f>IF(A1908="","",IF(AND(J1908="P4",F1908="causal"),"P4-CAUSAL",""))</f>
        <v/>
      </c>
    </row>
    <row r="1909" ht="15" customHeight="1" s="1">
      <c r="P1909">
        <f>IF(OR(F1909="",H1909="",J1909=""),"",J1909&amp;"|"&amp;F1909&amp;"|"&amp;IF(H1909="W3","W3_"&amp;IF(I1909="","unknown",I1909),H1909))</f>
        <v/>
      </c>
      <c r="Q1909">
        <f>IF(P1909="","",IFERROR(IF(AND(H1909="W7",OR(F1909="causal",F1909="predictive")),IF(AND(OR(K1909=1,K1909="1"),OR(L1909=1,L1909="1"),OR(M1909=1,M1909="1")),"adequate","partial"),IF(AND(H1909="W4",F1909="predictive",OR(J1909="P2",J1909="P3",J1909="P4")),IF(OR(U1909=1,U1909="1"),"adequate","partial"),INDEX(Fit_Matrix!$B:$B,MATCH(P1909,Fit_Matrix!$A:$A,0)))),"CHECK KEY"))</f>
        <v/>
      </c>
      <c r="U1909" s="10" t="n"/>
      <c r="V1909" s="10" t="n"/>
      <c r="W1909" s="10" t="n"/>
      <c r="X1909" s="10" t="n"/>
      <c r="Y1909" s="10" t="n"/>
      <c r="Z1909" s="10" t="n"/>
      <c r="AA1909" s="11">
        <f>IF(A1909="","",IF(AND(J1909="P4",F1909="causal"),"P4-CAUSAL",""))</f>
        <v/>
      </c>
    </row>
    <row r="1910" ht="15" customHeight="1" s="1">
      <c r="P1910">
        <f>IF(OR(F1910="",H1910="",J1910=""),"",J1910&amp;"|"&amp;F1910&amp;"|"&amp;IF(H1910="W3","W3_"&amp;IF(I1910="","unknown",I1910),H1910))</f>
        <v/>
      </c>
      <c r="Q1910">
        <f>IF(P1910="","",IFERROR(IF(AND(H1910="W7",OR(F1910="causal",F1910="predictive")),IF(AND(OR(K1910=1,K1910="1"),OR(L1910=1,L1910="1"),OR(M1910=1,M1910="1")),"adequate","partial"),IF(AND(H1910="W4",F1910="predictive",OR(J1910="P2",J1910="P3",J1910="P4")),IF(OR(U1910=1,U1910="1"),"adequate","partial"),INDEX(Fit_Matrix!$B:$B,MATCH(P1910,Fit_Matrix!$A:$A,0)))),"CHECK KEY"))</f>
        <v/>
      </c>
      <c r="U1910" s="10" t="n"/>
      <c r="V1910" s="10" t="n"/>
      <c r="W1910" s="10" t="n"/>
      <c r="X1910" s="10" t="n"/>
      <c r="Y1910" s="10" t="n"/>
      <c r="Z1910" s="10" t="n"/>
      <c r="AA1910" s="11">
        <f>IF(A1910="","",IF(AND(J1910="P4",F1910="causal"),"P4-CAUSAL",""))</f>
        <v/>
      </c>
    </row>
    <row r="1911" ht="15" customHeight="1" s="1">
      <c r="P1911">
        <f>IF(OR(F1911="",H1911="",J1911=""),"",J1911&amp;"|"&amp;F1911&amp;"|"&amp;IF(H1911="W3","W3_"&amp;IF(I1911="","unknown",I1911),H1911))</f>
        <v/>
      </c>
      <c r="Q1911">
        <f>IF(P1911="","",IFERROR(IF(AND(H1911="W7",OR(F1911="causal",F1911="predictive")),IF(AND(OR(K1911=1,K1911="1"),OR(L1911=1,L1911="1"),OR(M1911=1,M1911="1")),"adequate","partial"),IF(AND(H1911="W4",F1911="predictive",OR(J1911="P2",J1911="P3",J1911="P4")),IF(OR(U1911=1,U1911="1"),"adequate","partial"),INDEX(Fit_Matrix!$B:$B,MATCH(P1911,Fit_Matrix!$A:$A,0)))),"CHECK KEY"))</f>
        <v/>
      </c>
      <c r="U1911" s="10" t="n"/>
      <c r="V1911" s="10" t="n"/>
      <c r="W1911" s="10" t="n"/>
      <c r="X1911" s="10" t="n"/>
      <c r="Y1911" s="10" t="n"/>
      <c r="Z1911" s="10" t="n"/>
      <c r="AA1911" s="11">
        <f>IF(A1911="","",IF(AND(J1911="P4",F1911="causal"),"P4-CAUSAL",""))</f>
        <v/>
      </c>
    </row>
    <row r="1912" ht="15" customHeight="1" s="1">
      <c r="P1912">
        <f>IF(OR(F1912="",H1912="",J1912=""),"",J1912&amp;"|"&amp;F1912&amp;"|"&amp;IF(H1912="W3","W3_"&amp;IF(I1912="","unknown",I1912),H1912))</f>
        <v/>
      </c>
      <c r="Q1912">
        <f>IF(P1912="","",IFERROR(IF(AND(H1912="W7",OR(F1912="causal",F1912="predictive")),IF(AND(OR(K1912=1,K1912="1"),OR(L1912=1,L1912="1"),OR(M1912=1,M1912="1")),"adequate","partial"),IF(AND(H1912="W4",F1912="predictive",OR(J1912="P2",J1912="P3",J1912="P4")),IF(OR(U1912=1,U1912="1"),"adequate","partial"),INDEX(Fit_Matrix!$B:$B,MATCH(P1912,Fit_Matrix!$A:$A,0)))),"CHECK KEY"))</f>
        <v/>
      </c>
      <c r="U1912" s="10" t="n"/>
      <c r="V1912" s="10" t="n"/>
      <c r="W1912" s="10" t="n"/>
      <c r="X1912" s="10" t="n"/>
      <c r="Y1912" s="10" t="n"/>
      <c r="Z1912" s="10" t="n"/>
      <c r="AA1912" s="11">
        <f>IF(A1912="","",IF(AND(J1912="P4",F1912="causal"),"P4-CAUSAL",""))</f>
        <v/>
      </c>
    </row>
    <row r="1913" ht="15" customHeight="1" s="1">
      <c r="P1913">
        <f>IF(OR(F1913="",H1913="",J1913=""),"",J1913&amp;"|"&amp;F1913&amp;"|"&amp;IF(H1913="W3","W3_"&amp;IF(I1913="","unknown",I1913),H1913))</f>
        <v/>
      </c>
      <c r="Q1913">
        <f>IF(P1913="","",IFERROR(IF(AND(H1913="W7",OR(F1913="causal",F1913="predictive")),IF(AND(OR(K1913=1,K1913="1"),OR(L1913=1,L1913="1"),OR(M1913=1,M1913="1")),"adequate","partial"),IF(AND(H1913="W4",F1913="predictive",OR(J1913="P2",J1913="P3",J1913="P4")),IF(OR(U1913=1,U1913="1"),"adequate","partial"),INDEX(Fit_Matrix!$B:$B,MATCH(P1913,Fit_Matrix!$A:$A,0)))),"CHECK KEY"))</f>
        <v/>
      </c>
      <c r="U1913" s="10" t="n"/>
      <c r="V1913" s="10" t="n"/>
      <c r="W1913" s="10" t="n"/>
      <c r="X1913" s="10" t="n"/>
      <c r="Y1913" s="10" t="n"/>
      <c r="Z1913" s="10" t="n"/>
      <c r="AA1913" s="11">
        <f>IF(A1913="","",IF(AND(J1913="P4",F1913="causal"),"P4-CAUSAL",""))</f>
        <v/>
      </c>
    </row>
    <row r="1914" ht="15" customHeight="1" s="1">
      <c r="P1914">
        <f>IF(OR(F1914="",H1914="",J1914=""),"",J1914&amp;"|"&amp;F1914&amp;"|"&amp;IF(H1914="W3","W3_"&amp;IF(I1914="","unknown",I1914),H1914))</f>
        <v/>
      </c>
      <c r="Q1914">
        <f>IF(P1914="","",IFERROR(IF(AND(H1914="W7",OR(F1914="causal",F1914="predictive")),IF(AND(OR(K1914=1,K1914="1"),OR(L1914=1,L1914="1"),OR(M1914=1,M1914="1")),"adequate","partial"),IF(AND(H1914="W4",F1914="predictive",OR(J1914="P2",J1914="P3",J1914="P4")),IF(OR(U1914=1,U1914="1"),"adequate","partial"),INDEX(Fit_Matrix!$B:$B,MATCH(P1914,Fit_Matrix!$A:$A,0)))),"CHECK KEY"))</f>
        <v/>
      </c>
      <c r="U1914" s="10" t="n"/>
      <c r="V1914" s="10" t="n"/>
      <c r="W1914" s="10" t="n"/>
      <c r="X1914" s="10" t="n"/>
      <c r="Y1914" s="10" t="n"/>
      <c r="Z1914" s="10" t="n"/>
      <c r="AA1914" s="11">
        <f>IF(A1914="","",IF(AND(J1914="P4",F1914="causal"),"P4-CAUSAL",""))</f>
        <v/>
      </c>
    </row>
    <row r="1915" ht="15" customHeight="1" s="1">
      <c r="P1915">
        <f>IF(OR(F1915="",H1915="",J1915=""),"",J1915&amp;"|"&amp;F1915&amp;"|"&amp;IF(H1915="W3","W3_"&amp;IF(I1915="","unknown",I1915),H1915))</f>
        <v/>
      </c>
      <c r="Q1915">
        <f>IF(P1915="","",IFERROR(IF(AND(H1915="W7",OR(F1915="causal",F1915="predictive")),IF(AND(OR(K1915=1,K1915="1"),OR(L1915=1,L1915="1"),OR(M1915=1,M1915="1")),"adequate","partial"),IF(AND(H1915="W4",F1915="predictive",OR(J1915="P2",J1915="P3",J1915="P4")),IF(OR(U1915=1,U1915="1"),"adequate","partial"),INDEX(Fit_Matrix!$B:$B,MATCH(P1915,Fit_Matrix!$A:$A,0)))),"CHECK KEY"))</f>
        <v/>
      </c>
      <c r="U1915" s="10" t="n"/>
      <c r="V1915" s="10" t="n"/>
      <c r="W1915" s="10" t="n"/>
      <c r="X1915" s="10" t="n"/>
      <c r="Y1915" s="10" t="n"/>
      <c r="Z1915" s="10" t="n"/>
      <c r="AA1915" s="11">
        <f>IF(A1915="","",IF(AND(J1915="P4",F1915="causal"),"P4-CAUSAL",""))</f>
        <v/>
      </c>
    </row>
    <row r="1916" ht="15" customHeight="1" s="1">
      <c r="P1916">
        <f>IF(OR(F1916="",H1916="",J1916=""),"",J1916&amp;"|"&amp;F1916&amp;"|"&amp;IF(H1916="W3","W3_"&amp;IF(I1916="","unknown",I1916),H1916))</f>
        <v/>
      </c>
      <c r="Q1916">
        <f>IF(P1916="","",IFERROR(IF(AND(H1916="W7",OR(F1916="causal",F1916="predictive")),IF(AND(OR(K1916=1,K1916="1"),OR(L1916=1,L1916="1"),OR(M1916=1,M1916="1")),"adequate","partial"),IF(AND(H1916="W4",F1916="predictive",OR(J1916="P2",J1916="P3",J1916="P4")),IF(OR(U1916=1,U1916="1"),"adequate","partial"),INDEX(Fit_Matrix!$B:$B,MATCH(P1916,Fit_Matrix!$A:$A,0)))),"CHECK KEY"))</f>
        <v/>
      </c>
      <c r="U1916" s="10" t="n"/>
      <c r="V1916" s="10" t="n"/>
      <c r="W1916" s="10" t="n"/>
      <c r="X1916" s="10" t="n"/>
      <c r="Y1916" s="10" t="n"/>
      <c r="Z1916" s="10" t="n"/>
      <c r="AA1916" s="11">
        <f>IF(A1916="","",IF(AND(J1916="P4",F1916="causal"),"P4-CAUSAL",""))</f>
        <v/>
      </c>
    </row>
    <row r="1917" ht="15" customHeight="1" s="1">
      <c r="P1917">
        <f>IF(OR(F1917="",H1917="",J1917=""),"",J1917&amp;"|"&amp;F1917&amp;"|"&amp;IF(H1917="W3","W3_"&amp;IF(I1917="","unknown",I1917),H1917))</f>
        <v/>
      </c>
      <c r="Q1917">
        <f>IF(P1917="","",IFERROR(IF(AND(H1917="W7",OR(F1917="causal",F1917="predictive")),IF(AND(OR(K1917=1,K1917="1"),OR(L1917=1,L1917="1"),OR(M1917=1,M1917="1")),"adequate","partial"),IF(AND(H1917="W4",F1917="predictive",OR(J1917="P2",J1917="P3",J1917="P4")),IF(OR(U1917=1,U1917="1"),"adequate","partial"),INDEX(Fit_Matrix!$B:$B,MATCH(P1917,Fit_Matrix!$A:$A,0)))),"CHECK KEY"))</f>
        <v/>
      </c>
      <c r="U1917" s="10" t="n"/>
      <c r="V1917" s="10" t="n"/>
      <c r="W1917" s="10" t="n"/>
      <c r="X1917" s="10" t="n"/>
      <c r="Y1917" s="10" t="n"/>
      <c r="Z1917" s="10" t="n"/>
      <c r="AA1917" s="11">
        <f>IF(A1917="","",IF(AND(J1917="P4",F1917="causal"),"P4-CAUSAL",""))</f>
        <v/>
      </c>
    </row>
    <row r="1918" ht="15" customHeight="1" s="1">
      <c r="P1918">
        <f>IF(OR(F1918="",H1918="",J1918=""),"",J1918&amp;"|"&amp;F1918&amp;"|"&amp;IF(H1918="W3","W3_"&amp;IF(I1918="","unknown",I1918),H1918))</f>
        <v/>
      </c>
      <c r="Q1918">
        <f>IF(P1918="","",IFERROR(IF(AND(H1918="W7",OR(F1918="causal",F1918="predictive")),IF(AND(OR(K1918=1,K1918="1"),OR(L1918=1,L1918="1"),OR(M1918=1,M1918="1")),"adequate","partial"),IF(AND(H1918="W4",F1918="predictive",OR(J1918="P2",J1918="P3",J1918="P4")),IF(OR(U1918=1,U1918="1"),"adequate","partial"),INDEX(Fit_Matrix!$B:$B,MATCH(P1918,Fit_Matrix!$A:$A,0)))),"CHECK KEY"))</f>
        <v/>
      </c>
      <c r="U1918" s="10" t="n"/>
      <c r="V1918" s="10" t="n"/>
      <c r="W1918" s="10" t="n"/>
      <c r="X1918" s="10" t="n"/>
      <c r="Y1918" s="10" t="n"/>
      <c r="Z1918" s="10" t="n"/>
      <c r="AA1918" s="11">
        <f>IF(A1918="","",IF(AND(J1918="P4",F1918="causal"),"P4-CAUSAL",""))</f>
        <v/>
      </c>
    </row>
    <row r="1919" ht="15" customHeight="1" s="1">
      <c r="P1919">
        <f>IF(OR(F1919="",H1919="",J1919=""),"",J1919&amp;"|"&amp;F1919&amp;"|"&amp;IF(H1919="W3","W3_"&amp;IF(I1919="","unknown",I1919),H1919))</f>
        <v/>
      </c>
      <c r="Q1919">
        <f>IF(P1919="","",IFERROR(IF(AND(H1919="W7",OR(F1919="causal",F1919="predictive")),IF(AND(OR(K1919=1,K1919="1"),OR(L1919=1,L1919="1"),OR(M1919=1,M1919="1")),"adequate","partial"),IF(AND(H1919="W4",F1919="predictive",OR(J1919="P2",J1919="P3",J1919="P4")),IF(OR(U1919=1,U1919="1"),"adequate","partial"),INDEX(Fit_Matrix!$B:$B,MATCH(P1919,Fit_Matrix!$A:$A,0)))),"CHECK KEY"))</f>
        <v/>
      </c>
      <c r="U1919" s="10" t="n"/>
      <c r="V1919" s="10" t="n"/>
      <c r="W1919" s="10" t="n"/>
      <c r="X1919" s="10" t="n"/>
      <c r="Y1919" s="10" t="n"/>
      <c r="Z1919" s="10" t="n"/>
      <c r="AA1919" s="11">
        <f>IF(A1919="","",IF(AND(J1919="P4",F1919="causal"),"P4-CAUSAL",""))</f>
        <v/>
      </c>
    </row>
    <row r="1920" ht="15" customHeight="1" s="1">
      <c r="P1920">
        <f>IF(OR(F1920="",H1920="",J1920=""),"",J1920&amp;"|"&amp;F1920&amp;"|"&amp;IF(H1920="W3","W3_"&amp;IF(I1920="","unknown",I1920),H1920))</f>
        <v/>
      </c>
      <c r="Q1920">
        <f>IF(P1920="","",IFERROR(IF(AND(H1920="W7",OR(F1920="causal",F1920="predictive")),IF(AND(OR(K1920=1,K1920="1"),OR(L1920=1,L1920="1"),OR(M1920=1,M1920="1")),"adequate","partial"),IF(AND(H1920="W4",F1920="predictive",OR(J1920="P2",J1920="P3",J1920="P4")),IF(OR(U1920=1,U1920="1"),"adequate","partial"),INDEX(Fit_Matrix!$B:$B,MATCH(P1920,Fit_Matrix!$A:$A,0)))),"CHECK KEY"))</f>
        <v/>
      </c>
      <c r="U1920" s="10" t="n"/>
      <c r="V1920" s="10" t="n"/>
      <c r="W1920" s="10" t="n"/>
      <c r="X1920" s="10" t="n"/>
      <c r="Y1920" s="10" t="n"/>
      <c r="Z1920" s="10" t="n"/>
      <c r="AA1920" s="11">
        <f>IF(A1920="","",IF(AND(J1920="P4",F1920="causal"),"P4-CAUSAL",""))</f>
        <v/>
      </c>
    </row>
    <row r="1921" ht="15" customHeight="1" s="1">
      <c r="P1921">
        <f>IF(OR(F1921="",H1921="",J1921=""),"",J1921&amp;"|"&amp;F1921&amp;"|"&amp;IF(H1921="W3","W3_"&amp;IF(I1921="","unknown",I1921),H1921))</f>
        <v/>
      </c>
      <c r="Q1921">
        <f>IF(P1921="","",IFERROR(IF(AND(H1921="W7",OR(F1921="causal",F1921="predictive")),IF(AND(OR(K1921=1,K1921="1"),OR(L1921=1,L1921="1"),OR(M1921=1,M1921="1")),"adequate","partial"),IF(AND(H1921="W4",F1921="predictive",OR(J1921="P2",J1921="P3",J1921="P4")),IF(OR(U1921=1,U1921="1"),"adequate","partial"),INDEX(Fit_Matrix!$B:$B,MATCH(P1921,Fit_Matrix!$A:$A,0)))),"CHECK KEY"))</f>
        <v/>
      </c>
      <c r="U1921" s="10" t="n"/>
      <c r="V1921" s="10" t="n"/>
      <c r="W1921" s="10" t="n"/>
      <c r="X1921" s="10" t="n"/>
      <c r="Y1921" s="10" t="n"/>
      <c r="Z1921" s="10" t="n"/>
      <c r="AA1921" s="11">
        <f>IF(A1921="","",IF(AND(J1921="P4",F1921="causal"),"P4-CAUSAL",""))</f>
        <v/>
      </c>
    </row>
    <row r="1922" ht="15" customHeight="1" s="1">
      <c r="P1922">
        <f>IF(OR(F1922="",H1922="",J1922=""),"",J1922&amp;"|"&amp;F1922&amp;"|"&amp;IF(H1922="W3","W3_"&amp;IF(I1922="","unknown",I1922),H1922))</f>
        <v/>
      </c>
      <c r="Q1922">
        <f>IF(P1922="","",IFERROR(IF(AND(H1922="W7",OR(F1922="causal",F1922="predictive")),IF(AND(OR(K1922=1,K1922="1"),OR(L1922=1,L1922="1"),OR(M1922=1,M1922="1")),"adequate","partial"),IF(AND(H1922="W4",F1922="predictive",OR(J1922="P2",J1922="P3",J1922="P4")),IF(OR(U1922=1,U1922="1"),"adequate","partial"),INDEX(Fit_Matrix!$B:$B,MATCH(P1922,Fit_Matrix!$A:$A,0)))),"CHECK KEY"))</f>
        <v/>
      </c>
      <c r="U1922" s="10" t="n"/>
      <c r="V1922" s="10" t="n"/>
      <c r="W1922" s="10" t="n"/>
      <c r="X1922" s="10" t="n"/>
      <c r="Y1922" s="10" t="n"/>
      <c r="Z1922" s="10" t="n"/>
      <c r="AA1922" s="11">
        <f>IF(A1922="","",IF(AND(J1922="P4",F1922="causal"),"P4-CAUSAL",""))</f>
        <v/>
      </c>
    </row>
    <row r="1923" ht="15" customHeight="1" s="1">
      <c r="P1923">
        <f>IF(OR(F1923="",H1923="",J1923=""),"",J1923&amp;"|"&amp;F1923&amp;"|"&amp;IF(H1923="W3","W3_"&amp;IF(I1923="","unknown",I1923),H1923))</f>
        <v/>
      </c>
      <c r="Q1923">
        <f>IF(P1923="","",IFERROR(IF(AND(H1923="W7",OR(F1923="causal",F1923="predictive")),IF(AND(OR(K1923=1,K1923="1"),OR(L1923=1,L1923="1"),OR(M1923=1,M1923="1")),"adequate","partial"),IF(AND(H1923="W4",F1923="predictive",OR(J1923="P2",J1923="P3",J1923="P4")),IF(OR(U1923=1,U1923="1"),"adequate","partial"),INDEX(Fit_Matrix!$B:$B,MATCH(P1923,Fit_Matrix!$A:$A,0)))),"CHECK KEY"))</f>
        <v/>
      </c>
      <c r="U1923" s="10" t="n"/>
      <c r="V1923" s="10" t="n"/>
      <c r="W1923" s="10" t="n"/>
      <c r="X1923" s="10" t="n"/>
      <c r="Y1923" s="10" t="n"/>
      <c r="Z1923" s="10" t="n"/>
      <c r="AA1923" s="11">
        <f>IF(A1923="","",IF(AND(J1923="P4",F1923="causal"),"P4-CAUSAL",""))</f>
        <v/>
      </c>
    </row>
    <row r="1924" ht="15" customHeight="1" s="1">
      <c r="P1924">
        <f>IF(OR(F1924="",H1924="",J1924=""),"",J1924&amp;"|"&amp;F1924&amp;"|"&amp;IF(H1924="W3","W3_"&amp;IF(I1924="","unknown",I1924),H1924))</f>
        <v/>
      </c>
      <c r="Q1924">
        <f>IF(P1924="","",IFERROR(IF(AND(H1924="W7",OR(F1924="causal",F1924="predictive")),IF(AND(OR(K1924=1,K1924="1"),OR(L1924=1,L1924="1"),OR(M1924=1,M1924="1")),"adequate","partial"),IF(AND(H1924="W4",F1924="predictive",OR(J1924="P2",J1924="P3",J1924="P4")),IF(OR(U1924=1,U1924="1"),"adequate","partial"),INDEX(Fit_Matrix!$B:$B,MATCH(P1924,Fit_Matrix!$A:$A,0)))),"CHECK KEY"))</f>
        <v/>
      </c>
      <c r="U1924" s="10" t="n"/>
      <c r="V1924" s="10" t="n"/>
      <c r="W1924" s="10" t="n"/>
      <c r="X1924" s="10" t="n"/>
      <c r="Y1924" s="10" t="n"/>
      <c r="Z1924" s="10" t="n"/>
      <c r="AA1924" s="11">
        <f>IF(A1924="","",IF(AND(J1924="P4",F1924="causal"),"P4-CAUSAL",""))</f>
        <v/>
      </c>
    </row>
    <row r="1925" ht="15" customHeight="1" s="1">
      <c r="P1925">
        <f>IF(OR(F1925="",H1925="",J1925=""),"",J1925&amp;"|"&amp;F1925&amp;"|"&amp;IF(H1925="W3","W3_"&amp;IF(I1925="","unknown",I1925),H1925))</f>
        <v/>
      </c>
      <c r="Q1925">
        <f>IF(P1925="","",IFERROR(IF(AND(H1925="W7",OR(F1925="causal",F1925="predictive")),IF(AND(OR(K1925=1,K1925="1"),OR(L1925=1,L1925="1"),OR(M1925=1,M1925="1")),"adequate","partial"),IF(AND(H1925="W4",F1925="predictive",OR(J1925="P2",J1925="P3",J1925="P4")),IF(OR(U1925=1,U1925="1"),"adequate","partial"),INDEX(Fit_Matrix!$B:$B,MATCH(P1925,Fit_Matrix!$A:$A,0)))),"CHECK KEY"))</f>
        <v/>
      </c>
      <c r="U1925" s="10" t="n"/>
      <c r="V1925" s="10" t="n"/>
      <c r="W1925" s="10" t="n"/>
      <c r="X1925" s="10" t="n"/>
      <c r="Y1925" s="10" t="n"/>
      <c r="Z1925" s="10" t="n"/>
      <c r="AA1925" s="11">
        <f>IF(A1925="","",IF(AND(J1925="P4",F1925="causal"),"P4-CAUSAL",""))</f>
        <v/>
      </c>
    </row>
    <row r="1926" ht="15" customHeight="1" s="1">
      <c r="P1926">
        <f>IF(OR(F1926="",H1926="",J1926=""),"",J1926&amp;"|"&amp;F1926&amp;"|"&amp;IF(H1926="W3","W3_"&amp;IF(I1926="","unknown",I1926),H1926))</f>
        <v/>
      </c>
      <c r="Q1926">
        <f>IF(P1926="","",IFERROR(IF(AND(H1926="W7",OR(F1926="causal",F1926="predictive")),IF(AND(OR(K1926=1,K1926="1"),OR(L1926=1,L1926="1"),OR(M1926=1,M1926="1")),"adequate","partial"),IF(AND(H1926="W4",F1926="predictive",OR(J1926="P2",J1926="P3",J1926="P4")),IF(OR(U1926=1,U1926="1"),"adequate","partial"),INDEX(Fit_Matrix!$B:$B,MATCH(P1926,Fit_Matrix!$A:$A,0)))),"CHECK KEY"))</f>
        <v/>
      </c>
      <c r="U1926" s="10" t="n"/>
      <c r="V1926" s="10" t="n"/>
      <c r="W1926" s="10" t="n"/>
      <c r="X1926" s="10" t="n"/>
      <c r="Y1926" s="10" t="n"/>
      <c r="Z1926" s="10" t="n"/>
      <c r="AA1926" s="11">
        <f>IF(A1926="","",IF(AND(J1926="P4",F1926="causal"),"P4-CAUSAL",""))</f>
        <v/>
      </c>
    </row>
    <row r="1927" ht="15" customHeight="1" s="1">
      <c r="P1927">
        <f>IF(OR(F1927="",H1927="",J1927=""),"",J1927&amp;"|"&amp;F1927&amp;"|"&amp;IF(H1927="W3","W3_"&amp;IF(I1927="","unknown",I1927),H1927))</f>
        <v/>
      </c>
      <c r="Q1927">
        <f>IF(P1927="","",IFERROR(IF(AND(H1927="W7",OR(F1927="causal",F1927="predictive")),IF(AND(OR(K1927=1,K1927="1"),OR(L1927=1,L1927="1"),OR(M1927=1,M1927="1")),"adequate","partial"),IF(AND(H1927="W4",F1927="predictive",OR(J1927="P2",J1927="P3",J1927="P4")),IF(OR(U1927=1,U1927="1"),"adequate","partial"),INDEX(Fit_Matrix!$B:$B,MATCH(P1927,Fit_Matrix!$A:$A,0)))),"CHECK KEY"))</f>
        <v/>
      </c>
      <c r="U1927" s="10" t="n"/>
      <c r="V1927" s="10" t="n"/>
      <c r="W1927" s="10" t="n"/>
      <c r="X1927" s="10" t="n"/>
      <c r="Y1927" s="10" t="n"/>
      <c r="Z1927" s="10" t="n"/>
      <c r="AA1927" s="11">
        <f>IF(A1927="","",IF(AND(J1927="P4",F1927="causal"),"P4-CAUSAL",""))</f>
        <v/>
      </c>
    </row>
    <row r="1928" ht="15" customHeight="1" s="1">
      <c r="P1928">
        <f>IF(OR(F1928="",H1928="",J1928=""),"",J1928&amp;"|"&amp;F1928&amp;"|"&amp;IF(H1928="W3","W3_"&amp;IF(I1928="","unknown",I1928),H1928))</f>
        <v/>
      </c>
      <c r="Q1928">
        <f>IF(P1928="","",IFERROR(IF(AND(H1928="W7",OR(F1928="causal",F1928="predictive")),IF(AND(OR(K1928=1,K1928="1"),OR(L1928=1,L1928="1"),OR(M1928=1,M1928="1")),"adequate","partial"),IF(AND(H1928="W4",F1928="predictive",OR(J1928="P2",J1928="P3",J1928="P4")),IF(OR(U1928=1,U1928="1"),"adequate","partial"),INDEX(Fit_Matrix!$B:$B,MATCH(P1928,Fit_Matrix!$A:$A,0)))),"CHECK KEY"))</f>
        <v/>
      </c>
      <c r="U1928" s="10" t="n"/>
      <c r="V1928" s="10" t="n"/>
      <c r="W1928" s="10" t="n"/>
      <c r="X1928" s="10" t="n"/>
      <c r="Y1928" s="10" t="n"/>
      <c r="Z1928" s="10" t="n"/>
      <c r="AA1928" s="11">
        <f>IF(A1928="","",IF(AND(J1928="P4",F1928="causal"),"P4-CAUSAL",""))</f>
        <v/>
      </c>
    </row>
    <row r="1929" ht="15" customHeight="1" s="1">
      <c r="P1929">
        <f>IF(OR(F1929="",H1929="",J1929=""),"",J1929&amp;"|"&amp;F1929&amp;"|"&amp;IF(H1929="W3","W3_"&amp;IF(I1929="","unknown",I1929),H1929))</f>
        <v/>
      </c>
      <c r="Q1929">
        <f>IF(P1929="","",IFERROR(IF(AND(H1929="W7",OR(F1929="causal",F1929="predictive")),IF(AND(OR(K1929=1,K1929="1"),OR(L1929=1,L1929="1"),OR(M1929=1,M1929="1")),"adequate","partial"),IF(AND(H1929="W4",F1929="predictive",OR(J1929="P2",J1929="P3",J1929="P4")),IF(OR(U1929=1,U1929="1"),"adequate","partial"),INDEX(Fit_Matrix!$B:$B,MATCH(P1929,Fit_Matrix!$A:$A,0)))),"CHECK KEY"))</f>
        <v/>
      </c>
      <c r="U1929" s="10" t="n"/>
      <c r="V1929" s="10" t="n"/>
      <c r="W1929" s="10" t="n"/>
      <c r="X1929" s="10" t="n"/>
      <c r="Y1929" s="10" t="n"/>
      <c r="Z1929" s="10" t="n"/>
      <c r="AA1929" s="11">
        <f>IF(A1929="","",IF(AND(J1929="P4",F1929="causal"),"P4-CAUSAL",""))</f>
        <v/>
      </c>
    </row>
    <row r="1930" ht="15" customHeight="1" s="1">
      <c r="P1930">
        <f>IF(OR(F1930="",H1930="",J1930=""),"",J1930&amp;"|"&amp;F1930&amp;"|"&amp;IF(H1930="W3","W3_"&amp;IF(I1930="","unknown",I1930),H1930))</f>
        <v/>
      </c>
      <c r="Q1930">
        <f>IF(P1930="","",IFERROR(IF(AND(H1930="W7",OR(F1930="causal",F1930="predictive")),IF(AND(OR(K1930=1,K1930="1"),OR(L1930=1,L1930="1"),OR(M1930=1,M1930="1")),"adequate","partial"),IF(AND(H1930="W4",F1930="predictive",OR(J1930="P2",J1930="P3",J1930="P4")),IF(OR(U1930=1,U1930="1"),"adequate","partial"),INDEX(Fit_Matrix!$B:$B,MATCH(P1930,Fit_Matrix!$A:$A,0)))),"CHECK KEY"))</f>
        <v/>
      </c>
      <c r="U1930" s="10" t="n"/>
      <c r="V1930" s="10" t="n"/>
      <c r="W1930" s="10" t="n"/>
      <c r="X1930" s="10" t="n"/>
      <c r="Y1930" s="10" t="n"/>
      <c r="Z1930" s="10" t="n"/>
      <c r="AA1930" s="11">
        <f>IF(A1930="","",IF(AND(J1930="P4",F1930="causal"),"P4-CAUSAL",""))</f>
        <v/>
      </c>
    </row>
    <row r="1931" ht="15" customHeight="1" s="1">
      <c r="P1931">
        <f>IF(OR(F1931="",H1931="",J1931=""),"",J1931&amp;"|"&amp;F1931&amp;"|"&amp;IF(H1931="W3","W3_"&amp;IF(I1931="","unknown",I1931),H1931))</f>
        <v/>
      </c>
      <c r="Q1931">
        <f>IF(P1931="","",IFERROR(IF(AND(H1931="W7",OR(F1931="causal",F1931="predictive")),IF(AND(OR(K1931=1,K1931="1"),OR(L1931=1,L1931="1"),OR(M1931=1,M1931="1")),"adequate","partial"),IF(AND(H1931="W4",F1931="predictive",OR(J1931="P2",J1931="P3",J1931="P4")),IF(OR(U1931=1,U1931="1"),"adequate","partial"),INDEX(Fit_Matrix!$B:$B,MATCH(P1931,Fit_Matrix!$A:$A,0)))),"CHECK KEY"))</f>
        <v/>
      </c>
      <c r="U1931" s="10" t="n"/>
      <c r="V1931" s="10" t="n"/>
      <c r="W1931" s="10" t="n"/>
      <c r="X1931" s="10" t="n"/>
      <c r="Y1931" s="10" t="n"/>
      <c r="Z1931" s="10" t="n"/>
      <c r="AA1931" s="11">
        <f>IF(A1931="","",IF(AND(J1931="P4",F1931="causal"),"P4-CAUSAL",""))</f>
        <v/>
      </c>
    </row>
    <row r="1932" ht="15" customHeight="1" s="1">
      <c r="P1932">
        <f>IF(OR(F1932="",H1932="",J1932=""),"",J1932&amp;"|"&amp;F1932&amp;"|"&amp;IF(H1932="W3","W3_"&amp;IF(I1932="","unknown",I1932),H1932))</f>
        <v/>
      </c>
      <c r="Q1932">
        <f>IF(P1932="","",IFERROR(IF(AND(H1932="W7",OR(F1932="causal",F1932="predictive")),IF(AND(OR(K1932=1,K1932="1"),OR(L1932=1,L1932="1"),OR(M1932=1,M1932="1")),"adequate","partial"),IF(AND(H1932="W4",F1932="predictive",OR(J1932="P2",J1932="P3",J1932="P4")),IF(OR(U1932=1,U1932="1"),"adequate","partial"),INDEX(Fit_Matrix!$B:$B,MATCH(P1932,Fit_Matrix!$A:$A,0)))),"CHECK KEY"))</f>
        <v/>
      </c>
      <c r="U1932" s="10" t="n"/>
      <c r="V1932" s="10" t="n"/>
      <c r="W1932" s="10" t="n"/>
      <c r="X1932" s="10" t="n"/>
      <c r="Y1932" s="10" t="n"/>
      <c r="Z1932" s="10" t="n"/>
      <c r="AA1932" s="11">
        <f>IF(A1932="","",IF(AND(J1932="P4",F1932="causal"),"P4-CAUSAL",""))</f>
        <v/>
      </c>
    </row>
    <row r="1933" ht="15" customHeight="1" s="1">
      <c r="P1933">
        <f>IF(OR(F1933="",H1933="",J1933=""),"",J1933&amp;"|"&amp;F1933&amp;"|"&amp;IF(H1933="W3","W3_"&amp;IF(I1933="","unknown",I1933),H1933))</f>
        <v/>
      </c>
      <c r="Q1933">
        <f>IF(P1933="","",IFERROR(IF(AND(H1933="W7",OR(F1933="causal",F1933="predictive")),IF(AND(OR(K1933=1,K1933="1"),OR(L1933=1,L1933="1"),OR(M1933=1,M1933="1")),"adequate","partial"),IF(AND(H1933="W4",F1933="predictive",OR(J1933="P2",J1933="P3",J1933="P4")),IF(OR(U1933=1,U1933="1"),"adequate","partial"),INDEX(Fit_Matrix!$B:$B,MATCH(P1933,Fit_Matrix!$A:$A,0)))),"CHECK KEY"))</f>
        <v/>
      </c>
      <c r="U1933" s="10" t="n"/>
      <c r="V1933" s="10" t="n"/>
      <c r="W1933" s="10" t="n"/>
      <c r="X1933" s="10" t="n"/>
      <c r="Y1933" s="10" t="n"/>
      <c r="Z1933" s="10" t="n"/>
      <c r="AA1933" s="11">
        <f>IF(A1933="","",IF(AND(J1933="P4",F1933="causal"),"P4-CAUSAL",""))</f>
        <v/>
      </c>
    </row>
    <row r="1934" ht="15" customHeight="1" s="1">
      <c r="P1934">
        <f>IF(OR(F1934="",H1934="",J1934=""),"",J1934&amp;"|"&amp;F1934&amp;"|"&amp;IF(H1934="W3","W3_"&amp;IF(I1934="","unknown",I1934),H1934))</f>
        <v/>
      </c>
      <c r="Q1934">
        <f>IF(P1934="","",IFERROR(IF(AND(H1934="W7",OR(F1934="causal",F1934="predictive")),IF(AND(OR(K1934=1,K1934="1"),OR(L1934=1,L1934="1"),OR(M1934=1,M1934="1")),"adequate","partial"),IF(AND(H1934="W4",F1934="predictive",OR(J1934="P2",J1934="P3",J1934="P4")),IF(OR(U1934=1,U1934="1"),"adequate","partial"),INDEX(Fit_Matrix!$B:$B,MATCH(P1934,Fit_Matrix!$A:$A,0)))),"CHECK KEY"))</f>
        <v/>
      </c>
      <c r="U1934" s="10" t="n"/>
      <c r="V1934" s="10" t="n"/>
      <c r="W1934" s="10" t="n"/>
      <c r="X1934" s="10" t="n"/>
      <c r="Y1934" s="10" t="n"/>
      <c r="Z1934" s="10" t="n"/>
      <c r="AA1934" s="11">
        <f>IF(A1934="","",IF(AND(J1934="P4",F1934="causal"),"P4-CAUSAL",""))</f>
        <v/>
      </c>
    </row>
    <row r="1935" ht="15" customHeight="1" s="1">
      <c r="P1935">
        <f>IF(OR(F1935="",H1935="",J1935=""),"",J1935&amp;"|"&amp;F1935&amp;"|"&amp;IF(H1935="W3","W3_"&amp;IF(I1935="","unknown",I1935),H1935))</f>
        <v/>
      </c>
      <c r="Q1935">
        <f>IF(P1935="","",IFERROR(IF(AND(H1935="W7",OR(F1935="causal",F1935="predictive")),IF(AND(OR(K1935=1,K1935="1"),OR(L1935=1,L1935="1"),OR(M1935=1,M1935="1")),"adequate","partial"),IF(AND(H1935="W4",F1935="predictive",OR(J1935="P2",J1935="P3",J1935="P4")),IF(OR(U1935=1,U1935="1"),"adequate","partial"),INDEX(Fit_Matrix!$B:$B,MATCH(P1935,Fit_Matrix!$A:$A,0)))),"CHECK KEY"))</f>
        <v/>
      </c>
      <c r="U1935" s="10" t="n"/>
      <c r="V1935" s="10" t="n"/>
      <c r="W1935" s="10" t="n"/>
      <c r="X1935" s="10" t="n"/>
      <c r="Y1935" s="10" t="n"/>
      <c r="Z1935" s="10" t="n"/>
      <c r="AA1935" s="11">
        <f>IF(A1935="","",IF(AND(J1935="P4",F1935="causal"),"P4-CAUSAL",""))</f>
        <v/>
      </c>
    </row>
    <row r="1936" ht="15" customHeight="1" s="1">
      <c r="P1936">
        <f>IF(OR(F1936="",H1936="",J1936=""),"",J1936&amp;"|"&amp;F1936&amp;"|"&amp;IF(H1936="W3","W3_"&amp;IF(I1936="","unknown",I1936),H1936))</f>
        <v/>
      </c>
      <c r="Q1936">
        <f>IF(P1936="","",IFERROR(IF(AND(H1936="W7",OR(F1936="causal",F1936="predictive")),IF(AND(OR(K1936=1,K1936="1"),OR(L1936=1,L1936="1"),OR(M1936=1,M1936="1")),"adequate","partial"),IF(AND(H1936="W4",F1936="predictive",OR(J1936="P2",J1936="P3",J1936="P4")),IF(OR(U1936=1,U1936="1"),"adequate","partial"),INDEX(Fit_Matrix!$B:$B,MATCH(P1936,Fit_Matrix!$A:$A,0)))),"CHECK KEY"))</f>
        <v/>
      </c>
      <c r="U1936" s="10" t="n"/>
      <c r="V1936" s="10" t="n"/>
      <c r="W1936" s="10" t="n"/>
      <c r="X1936" s="10" t="n"/>
      <c r="Y1936" s="10" t="n"/>
      <c r="Z1936" s="10" t="n"/>
      <c r="AA1936" s="11">
        <f>IF(A1936="","",IF(AND(J1936="P4",F1936="causal"),"P4-CAUSAL",""))</f>
        <v/>
      </c>
    </row>
    <row r="1937" ht="15" customHeight="1" s="1">
      <c r="P1937">
        <f>IF(OR(F1937="",H1937="",J1937=""),"",J1937&amp;"|"&amp;F1937&amp;"|"&amp;IF(H1937="W3","W3_"&amp;IF(I1937="","unknown",I1937),H1937))</f>
        <v/>
      </c>
      <c r="Q1937">
        <f>IF(P1937="","",IFERROR(IF(AND(H1937="W7",OR(F1937="causal",F1937="predictive")),IF(AND(OR(K1937=1,K1937="1"),OR(L1937=1,L1937="1"),OR(M1937=1,M1937="1")),"adequate","partial"),IF(AND(H1937="W4",F1937="predictive",OR(J1937="P2",J1937="P3",J1937="P4")),IF(OR(U1937=1,U1937="1"),"adequate","partial"),INDEX(Fit_Matrix!$B:$B,MATCH(P1937,Fit_Matrix!$A:$A,0)))),"CHECK KEY"))</f>
        <v/>
      </c>
      <c r="U1937" s="10" t="n"/>
      <c r="V1937" s="10" t="n"/>
      <c r="W1937" s="10" t="n"/>
      <c r="X1937" s="10" t="n"/>
      <c r="Y1937" s="10" t="n"/>
      <c r="Z1937" s="10" t="n"/>
      <c r="AA1937" s="11">
        <f>IF(A1937="","",IF(AND(J1937="P4",F1937="causal"),"P4-CAUSAL",""))</f>
        <v/>
      </c>
    </row>
    <row r="1938" ht="15" customHeight="1" s="1">
      <c r="P1938">
        <f>IF(OR(F1938="",H1938="",J1938=""),"",J1938&amp;"|"&amp;F1938&amp;"|"&amp;IF(H1938="W3","W3_"&amp;IF(I1938="","unknown",I1938),H1938))</f>
        <v/>
      </c>
      <c r="Q1938">
        <f>IF(P1938="","",IFERROR(IF(AND(H1938="W7",OR(F1938="causal",F1938="predictive")),IF(AND(OR(K1938=1,K1938="1"),OR(L1938=1,L1938="1"),OR(M1938=1,M1938="1")),"adequate","partial"),IF(AND(H1938="W4",F1938="predictive",OR(J1938="P2",J1938="P3",J1938="P4")),IF(OR(U1938=1,U1938="1"),"adequate","partial"),INDEX(Fit_Matrix!$B:$B,MATCH(P1938,Fit_Matrix!$A:$A,0)))),"CHECK KEY"))</f>
        <v/>
      </c>
      <c r="U1938" s="10" t="n"/>
      <c r="V1938" s="10" t="n"/>
      <c r="W1938" s="10" t="n"/>
      <c r="X1938" s="10" t="n"/>
      <c r="Y1938" s="10" t="n"/>
      <c r="Z1938" s="10" t="n"/>
      <c r="AA1938" s="11">
        <f>IF(A1938="","",IF(AND(J1938="P4",F1938="causal"),"P4-CAUSAL",""))</f>
        <v/>
      </c>
    </row>
    <row r="1939" ht="15" customHeight="1" s="1">
      <c r="P1939">
        <f>IF(OR(F1939="",H1939="",J1939=""),"",J1939&amp;"|"&amp;F1939&amp;"|"&amp;IF(H1939="W3","W3_"&amp;IF(I1939="","unknown",I1939),H1939))</f>
        <v/>
      </c>
      <c r="Q1939">
        <f>IF(P1939="","",IFERROR(IF(AND(H1939="W7",OR(F1939="causal",F1939="predictive")),IF(AND(OR(K1939=1,K1939="1"),OR(L1939=1,L1939="1"),OR(M1939=1,M1939="1")),"adequate","partial"),IF(AND(H1939="W4",F1939="predictive",OR(J1939="P2",J1939="P3",J1939="P4")),IF(OR(U1939=1,U1939="1"),"adequate","partial"),INDEX(Fit_Matrix!$B:$B,MATCH(P1939,Fit_Matrix!$A:$A,0)))),"CHECK KEY"))</f>
        <v/>
      </c>
      <c r="U1939" s="10" t="n"/>
      <c r="V1939" s="10" t="n"/>
      <c r="W1939" s="10" t="n"/>
      <c r="X1939" s="10" t="n"/>
      <c r="Y1939" s="10" t="n"/>
      <c r="Z1939" s="10" t="n"/>
      <c r="AA1939" s="11">
        <f>IF(A1939="","",IF(AND(J1939="P4",F1939="causal"),"P4-CAUSAL",""))</f>
        <v/>
      </c>
    </row>
    <row r="1940" ht="15" customHeight="1" s="1">
      <c r="P1940">
        <f>IF(OR(F1940="",H1940="",J1940=""),"",J1940&amp;"|"&amp;F1940&amp;"|"&amp;IF(H1940="W3","W3_"&amp;IF(I1940="","unknown",I1940),H1940))</f>
        <v/>
      </c>
      <c r="Q1940">
        <f>IF(P1940="","",IFERROR(IF(AND(H1940="W7",OR(F1940="causal",F1940="predictive")),IF(AND(OR(K1940=1,K1940="1"),OR(L1940=1,L1940="1"),OR(M1940=1,M1940="1")),"adequate","partial"),IF(AND(H1940="W4",F1940="predictive",OR(J1940="P2",J1940="P3",J1940="P4")),IF(OR(U1940=1,U1940="1"),"adequate","partial"),INDEX(Fit_Matrix!$B:$B,MATCH(P1940,Fit_Matrix!$A:$A,0)))),"CHECK KEY"))</f>
        <v/>
      </c>
      <c r="U1940" s="10" t="n"/>
      <c r="V1940" s="10" t="n"/>
      <c r="W1940" s="10" t="n"/>
      <c r="X1940" s="10" t="n"/>
      <c r="Y1940" s="10" t="n"/>
      <c r="Z1940" s="10" t="n"/>
      <c r="AA1940" s="11">
        <f>IF(A1940="","",IF(AND(J1940="P4",F1940="causal"),"P4-CAUSAL",""))</f>
        <v/>
      </c>
    </row>
    <row r="1941" ht="15" customHeight="1" s="1">
      <c r="P1941">
        <f>IF(OR(F1941="",H1941="",J1941=""),"",J1941&amp;"|"&amp;F1941&amp;"|"&amp;IF(H1941="W3","W3_"&amp;IF(I1941="","unknown",I1941),H1941))</f>
        <v/>
      </c>
      <c r="Q1941">
        <f>IF(P1941="","",IFERROR(IF(AND(H1941="W7",OR(F1941="causal",F1941="predictive")),IF(AND(OR(K1941=1,K1941="1"),OR(L1941=1,L1941="1"),OR(M1941=1,M1941="1")),"adequate","partial"),IF(AND(H1941="W4",F1941="predictive",OR(J1941="P2",J1941="P3",J1941="P4")),IF(OR(U1941=1,U1941="1"),"adequate","partial"),INDEX(Fit_Matrix!$B:$B,MATCH(P1941,Fit_Matrix!$A:$A,0)))),"CHECK KEY"))</f>
        <v/>
      </c>
      <c r="U1941" s="10" t="n"/>
      <c r="V1941" s="10" t="n"/>
      <c r="W1941" s="10" t="n"/>
      <c r="X1941" s="10" t="n"/>
      <c r="Y1941" s="10" t="n"/>
      <c r="Z1941" s="10" t="n"/>
      <c r="AA1941" s="11">
        <f>IF(A1941="","",IF(AND(J1941="P4",F1941="causal"),"P4-CAUSAL",""))</f>
        <v/>
      </c>
    </row>
    <row r="1942" ht="15" customHeight="1" s="1">
      <c r="P1942">
        <f>IF(OR(F1942="",H1942="",J1942=""),"",J1942&amp;"|"&amp;F1942&amp;"|"&amp;IF(H1942="W3","W3_"&amp;IF(I1942="","unknown",I1942),H1942))</f>
        <v/>
      </c>
      <c r="Q1942">
        <f>IF(P1942="","",IFERROR(IF(AND(H1942="W7",OR(F1942="causal",F1942="predictive")),IF(AND(OR(K1942=1,K1942="1"),OR(L1942=1,L1942="1"),OR(M1942=1,M1942="1")),"adequate","partial"),IF(AND(H1942="W4",F1942="predictive",OR(J1942="P2",J1942="P3",J1942="P4")),IF(OR(U1942=1,U1942="1"),"adequate","partial"),INDEX(Fit_Matrix!$B:$B,MATCH(P1942,Fit_Matrix!$A:$A,0)))),"CHECK KEY"))</f>
        <v/>
      </c>
      <c r="U1942" s="10" t="n"/>
      <c r="V1942" s="10" t="n"/>
      <c r="W1942" s="10" t="n"/>
      <c r="X1942" s="10" t="n"/>
      <c r="Y1942" s="10" t="n"/>
      <c r="Z1942" s="10" t="n"/>
      <c r="AA1942" s="11">
        <f>IF(A1942="","",IF(AND(J1942="P4",F1942="causal"),"P4-CAUSAL",""))</f>
        <v/>
      </c>
    </row>
    <row r="1943" ht="15" customHeight="1" s="1">
      <c r="P1943">
        <f>IF(OR(F1943="",H1943="",J1943=""),"",J1943&amp;"|"&amp;F1943&amp;"|"&amp;IF(H1943="W3","W3_"&amp;IF(I1943="","unknown",I1943),H1943))</f>
        <v/>
      </c>
      <c r="Q1943">
        <f>IF(P1943="","",IFERROR(IF(AND(H1943="W7",OR(F1943="causal",F1943="predictive")),IF(AND(OR(K1943=1,K1943="1"),OR(L1943=1,L1943="1"),OR(M1943=1,M1943="1")),"adequate","partial"),IF(AND(H1943="W4",F1943="predictive",OR(J1943="P2",J1943="P3",J1943="P4")),IF(OR(U1943=1,U1943="1"),"adequate","partial"),INDEX(Fit_Matrix!$B:$B,MATCH(P1943,Fit_Matrix!$A:$A,0)))),"CHECK KEY"))</f>
        <v/>
      </c>
      <c r="U1943" s="10" t="n"/>
      <c r="V1943" s="10" t="n"/>
      <c r="W1943" s="10" t="n"/>
      <c r="X1943" s="10" t="n"/>
      <c r="Y1943" s="10" t="n"/>
      <c r="Z1943" s="10" t="n"/>
      <c r="AA1943" s="11">
        <f>IF(A1943="","",IF(AND(J1943="P4",F1943="causal"),"P4-CAUSAL",""))</f>
        <v/>
      </c>
    </row>
    <row r="1944" ht="15" customHeight="1" s="1">
      <c r="P1944">
        <f>IF(OR(F1944="",H1944="",J1944=""),"",J1944&amp;"|"&amp;F1944&amp;"|"&amp;IF(H1944="W3","W3_"&amp;IF(I1944="","unknown",I1944),H1944))</f>
        <v/>
      </c>
      <c r="Q1944">
        <f>IF(P1944="","",IFERROR(IF(AND(H1944="W7",OR(F1944="causal",F1944="predictive")),IF(AND(OR(K1944=1,K1944="1"),OR(L1944=1,L1944="1"),OR(M1944=1,M1944="1")),"adequate","partial"),IF(AND(H1944="W4",F1944="predictive",OR(J1944="P2",J1944="P3",J1944="P4")),IF(OR(U1944=1,U1944="1"),"adequate","partial"),INDEX(Fit_Matrix!$B:$B,MATCH(P1944,Fit_Matrix!$A:$A,0)))),"CHECK KEY"))</f>
        <v/>
      </c>
      <c r="U1944" s="10" t="n"/>
      <c r="V1944" s="10" t="n"/>
      <c r="W1944" s="10" t="n"/>
      <c r="X1944" s="10" t="n"/>
      <c r="Y1944" s="10" t="n"/>
      <c r="Z1944" s="10" t="n"/>
      <c r="AA1944" s="11">
        <f>IF(A1944="","",IF(AND(J1944="P4",F1944="causal"),"P4-CAUSAL",""))</f>
        <v/>
      </c>
    </row>
    <row r="1945" ht="15" customHeight="1" s="1">
      <c r="P1945">
        <f>IF(OR(F1945="",H1945="",J1945=""),"",J1945&amp;"|"&amp;F1945&amp;"|"&amp;IF(H1945="W3","W3_"&amp;IF(I1945="","unknown",I1945),H1945))</f>
        <v/>
      </c>
      <c r="Q1945">
        <f>IF(P1945="","",IFERROR(IF(AND(H1945="W7",OR(F1945="causal",F1945="predictive")),IF(AND(OR(K1945=1,K1945="1"),OR(L1945=1,L1945="1"),OR(M1945=1,M1945="1")),"adequate","partial"),IF(AND(H1945="W4",F1945="predictive",OR(J1945="P2",J1945="P3",J1945="P4")),IF(OR(U1945=1,U1945="1"),"adequate","partial"),INDEX(Fit_Matrix!$B:$B,MATCH(P1945,Fit_Matrix!$A:$A,0)))),"CHECK KEY"))</f>
        <v/>
      </c>
      <c r="U1945" s="10" t="n"/>
      <c r="V1945" s="10" t="n"/>
      <c r="W1945" s="10" t="n"/>
      <c r="X1945" s="10" t="n"/>
      <c r="Y1945" s="10" t="n"/>
      <c r="Z1945" s="10" t="n"/>
      <c r="AA1945" s="11">
        <f>IF(A1945="","",IF(AND(J1945="P4",F1945="causal"),"P4-CAUSAL",""))</f>
        <v/>
      </c>
    </row>
    <row r="1946" ht="15" customHeight="1" s="1">
      <c r="P1946">
        <f>IF(OR(F1946="",H1946="",J1946=""),"",J1946&amp;"|"&amp;F1946&amp;"|"&amp;IF(H1946="W3","W3_"&amp;IF(I1946="","unknown",I1946),H1946))</f>
        <v/>
      </c>
      <c r="Q1946">
        <f>IF(P1946="","",IFERROR(IF(AND(H1946="W7",OR(F1946="causal",F1946="predictive")),IF(AND(OR(K1946=1,K1946="1"),OR(L1946=1,L1946="1"),OR(M1946=1,M1946="1")),"adequate","partial"),IF(AND(H1946="W4",F1946="predictive",OR(J1946="P2",J1946="P3",J1946="P4")),IF(OR(U1946=1,U1946="1"),"adequate","partial"),INDEX(Fit_Matrix!$B:$B,MATCH(P1946,Fit_Matrix!$A:$A,0)))),"CHECK KEY"))</f>
        <v/>
      </c>
      <c r="U1946" s="10" t="n"/>
      <c r="V1946" s="10" t="n"/>
      <c r="W1946" s="10" t="n"/>
      <c r="X1946" s="10" t="n"/>
      <c r="Y1946" s="10" t="n"/>
      <c r="Z1946" s="10" t="n"/>
      <c r="AA1946" s="11">
        <f>IF(A1946="","",IF(AND(J1946="P4",F1946="causal"),"P4-CAUSAL",""))</f>
        <v/>
      </c>
    </row>
    <row r="1947" ht="15" customHeight="1" s="1">
      <c r="P1947">
        <f>IF(OR(F1947="",H1947="",J1947=""),"",J1947&amp;"|"&amp;F1947&amp;"|"&amp;IF(H1947="W3","W3_"&amp;IF(I1947="","unknown",I1947),H1947))</f>
        <v/>
      </c>
      <c r="Q1947">
        <f>IF(P1947="","",IFERROR(IF(AND(H1947="W7",OR(F1947="causal",F1947="predictive")),IF(AND(OR(K1947=1,K1947="1"),OR(L1947=1,L1947="1"),OR(M1947=1,M1947="1")),"adequate","partial"),IF(AND(H1947="W4",F1947="predictive",OR(J1947="P2",J1947="P3",J1947="P4")),IF(OR(U1947=1,U1947="1"),"adequate","partial"),INDEX(Fit_Matrix!$B:$B,MATCH(P1947,Fit_Matrix!$A:$A,0)))),"CHECK KEY"))</f>
        <v/>
      </c>
      <c r="U1947" s="10" t="n"/>
      <c r="V1947" s="10" t="n"/>
      <c r="W1947" s="10" t="n"/>
      <c r="X1947" s="10" t="n"/>
      <c r="Y1947" s="10" t="n"/>
      <c r="Z1947" s="10" t="n"/>
      <c r="AA1947" s="11">
        <f>IF(A1947="","",IF(AND(J1947="P4",F1947="causal"),"P4-CAUSAL",""))</f>
        <v/>
      </c>
    </row>
    <row r="1948" ht="15" customHeight="1" s="1">
      <c r="P1948">
        <f>IF(OR(F1948="",H1948="",J1948=""),"",J1948&amp;"|"&amp;F1948&amp;"|"&amp;IF(H1948="W3","W3_"&amp;IF(I1948="","unknown",I1948),H1948))</f>
        <v/>
      </c>
      <c r="Q1948">
        <f>IF(P1948="","",IFERROR(IF(AND(H1948="W7",OR(F1948="causal",F1948="predictive")),IF(AND(OR(K1948=1,K1948="1"),OR(L1948=1,L1948="1"),OR(M1948=1,M1948="1")),"adequate","partial"),IF(AND(H1948="W4",F1948="predictive",OR(J1948="P2",J1948="P3",J1948="P4")),IF(OR(U1948=1,U1948="1"),"adequate","partial"),INDEX(Fit_Matrix!$B:$B,MATCH(P1948,Fit_Matrix!$A:$A,0)))),"CHECK KEY"))</f>
        <v/>
      </c>
      <c r="U1948" s="10" t="n"/>
      <c r="V1948" s="10" t="n"/>
      <c r="W1948" s="10" t="n"/>
      <c r="X1948" s="10" t="n"/>
      <c r="Y1948" s="10" t="n"/>
      <c r="Z1948" s="10" t="n"/>
      <c r="AA1948" s="11">
        <f>IF(A1948="","",IF(AND(J1948="P4",F1948="causal"),"P4-CAUSAL",""))</f>
        <v/>
      </c>
    </row>
    <row r="1949" ht="15" customHeight="1" s="1">
      <c r="P1949">
        <f>IF(OR(F1949="",H1949="",J1949=""),"",J1949&amp;"|"&amp;F1949&amp;"|"&amp;IF(H1949="W3","W3_"&amp;IF(I1949="","unknown",I1949),H1949))</f>
        <v/>
      </c>
      <c r="Q1949">
        <f>IF(P1949="","",IFERROR(IF(AND(H1949="W7",OR(F1949="causal",F1949="predictive")),IF(AND(OR(K1949=1,K1949="1"),OR(L1949=1,L1949="1"),OR(M1949=1,M1949="1")),"adequate","partial"),IF(AND(H1949="W4",F1949="predictive",OR(J1949="P2",J1949="P3",J1949="P4")),IF(OR(U1949=1,U1949="1"),"adequate","partial"),INDEX(Fit_Matrix!$B:$B,MATCH(P1949,Fit_Matrix!$A:$A,0)))),"CHECK KEY"))</f>
        <v/>
      </c>
      <c r="U1949" s="10" t="n"/>
      <c r="V1949" s="10" t="n"/>
      <c r="W1949" s="10" t="n"/>
      <c r="X1949" s="10" t="n"/>
      <c r="Y1949" s="10" t="n"/>
      <c r="Z1949" s="10" t="n"/>
      <c r="AA1949" s="11">
        <f>IF(A1949="","",IF(AND(J1949="P4",F1949="causal"),"P4-CAUSAL",""))</f>
        <v/>
      </c>
    </row>
    <row r="1950" ht="15" customHeight="1" s="1">
      <c r="P1950">
        <f>IF(OR(F1950="",H1950="",J1950=""),"",J1950&amp;"|"&amp;F1950&amp;"|"&amp;IF(H1950="W3","W3_"&amp;IF(I1950="","unknown",I1950),H1950))</f>
        <v/>
      </c>
      <c r="Q1950">
        <f>IF(P1950="","",IFERROR(IF(AND(H1950="W7",OR(F1950="causal",F1950="predictive")),IF(AND(OR(K1950=1,K1950="1"),OR(L1950=1,L1950="1"),OR(M1950=1,M1950="1")),"adequate","partial"),IF(AND(H1950="W4",F1950="predictive",OR(J1950="P2",J1950="P3",J1950="P4")),IF(OR(U1950=1,U1950="1"),"adequate","partial"),INDEX(Fit_Matrix!$B:$B,MATCH(P1950,Fit_Matrix!$A:$A,0)))),"CHECK KEY"))</f>
        <v/>
      </c>
      <c r="U1950" s="10" t="n"/>
      <c r="V1950" s="10" t="n"/>
      <c r="W1950" s="10" t="n"/>
      <c r="X1950" s="10" t="n"/>
      <c r="Y1950" s="10" t="n"/>
      <c r="Z1950" s="10" t="n"/>
      <c r="AA1950" s="11">
        <f>IF(A1950="","",IF(AND(J1950="P4",F1950="causal"),"P4-CAUSAL",""))</f>
        <v/>
      </c>
    </row>
    <row r="1951" ht="15" customHeight="1" s="1">
      <c r="P1951">
        <f>IF(OR(F1951="",H1951="",J1951=""),"",J1951&amp;"|"&amp;F1951&amp;"|"&amp;IF(H1951="W3","W3_"&amp;IF(I1951="","unknown",I1951),H1951))</f>
        <v/>
      </c>
      <c r="Q1951">
        <f>IF(P1951="","",IFERROR(IF(AND(H1951="W7",OR(F1951="causal",F1951="predictive")),IF(AND(OR(K1951=1,K1951="1"),OR(L1951=1,L1951="1"),OR(M1951=1,M1951="1")),"adequate","partial"),IF(AND(H1951="W4",F1951="predictive",OR(J1951="P2",J1951="P3",J1951="P4")),IF(OR(U1951=1,U1951="1"),"adequate","partial"),INDEX(Fit_Matrix!$B:$B,MATCH(P1951,Fit_Matrix!$A:$A,0)))),"CHECK KEY"))</f>
        <v/>
      </c>
      <c r="U1951" s="10" t="n"/>
      <c r="V1951" s="10" t="n"/>
      <c r="W1951" s="10" t="n"/>
      <c r="X1951" s="10" t="n"/>
      <c r="Y1951" s="10" t="n"/>
      <c r="Z1951" s="10" t="n"/>
      <c r="AA1951" s="11">
        <f>IF(A1951="","",IF(AND(J1951="P4",F1951="causal"),"P4-CAUSAL",""))</f>
        <v/>
      </c>
    </row>
    <row r="1952" ht="15" customHeight="1" s="1">
      <c r="P1952">
        <f>IF(OR(F1952="",H1952="",J1952=""),"",J1952&amp;"|"&amp;F1952&amp;"|"&amp;IF(H1952="W3","W3_"&amp;IF(I1952="","unknown",I1952),H1952))</f>
        <v/>
      </c>
      <c r="Q1952">
        <f>IF(P1952="","",IFERROR(IF(AND(H1952="W7",OR(F1952="causal",F1952="predictive")),IF(AND(OR(K1952=1,K1952="1"),OR(L1952=1,L1952="1"),OR(M1952=1,M1952="1")),"adequate","partial"),IF(AND(H1952="W4",F1952="predictive",OR(J1952="P2",J1952="P3",J1952="P4")),IF(OR(U1952=1,U1952="1"),"adequate","partial"),INDEX(Fit_Matrix!$B:$B,MATCH(P1952,Fit_Matrix!$A:$A,0)))),"CHECK KEY"))</f>
        <v/>
      </c>
      <c r="U1952" s="10" t="n"/>
      <c r="V1952" s="10" t="n"/>
      <c r="W1952" s="10" t="n"/>
      <c r="X1952" s="10" t="n"/>
      <c r="Y1952" s="10" t="n"/>
      <c r="Z1952" s="10" t="n"/>
      <c r="AA1952" s="11">
        <f>IF(A1952="","",IF(AND(J1952="P4",F1952="causal"),"P4-CAUSAL",""))</f>
        <v/>
      </c>
    </row>
    <row r="1953" ht="15" customHeight="1" s="1">
      <c r="P1953">
        <f>IF(OR(F1953="",H1953="",J1953=""),"",J1953&amp;"|"&amp;F1953&amp;"|"&amp;IF(H1953="W3","W3_"&amp;IF(I1953="","unknown",I1953),H1953))</f>
        <v/>
      </c>
      <c r="Q1953">
        <f>IF(P1953="","",IFERROR(IF(AND(H1953="W7",OR(F1953="causal",F1953="predictive")),IF(AND(OR(K1953=1,K1953="1"),OR(L1953=1,L1953="1"),OR(M1953=1,M1953="1")),"adequate","partial"),IF(AND(H1953="W4",F1953="predictive",OR(J1953="P2",J1953="P3",J1953="P4")),IF(OR(U1953=1,U1953="1"),"adequate","partial"),INDEX(Fit_Matrix!$B:$B,MATCH(P1953,Fit_Matrix!$A:$A,0)))),"CHECK KEY"))</f>
        <v/>
      </c>
      <c r="U1953" s="10" t="n"/>
      <c r="V1953" s="10" t="n"/>
      <c r="W1953" s="10" t="n"/>
      <c r="X1953" s="10" t="n"/>
      <c r="Y1953" s="10" t="n"/>
      <c r="Z1953" s="10" t="n"/>
      <c r="AA1953" s="11">
        <f>IF(A1953="","",IF(AND(J1953="P4",F1953="causal"),"P4-CAUSAL",""))</f>
        <v/>
      </c>
    </row>
    <row r="1954" ht="15" customHeight="1" s="1">
      <c r="P1954">
        <f>IF(OR(F1954="",H1954="",J1954=""),"",J1954&amp;"|"&amp;F1954&amp;"|"&amp;IF(H1954="W3","W3_"&amp;IF(I1954="","unknown",I1954),H1954))</f>
        <v/>
      </c>
      <c r="Q1954">
        <f>IF(P1954="","",IFERROR(IF(AND(H1954="W7",OR(F1954="causal",F1954="predictive")),IF(AND(OR(K1954=1,K1954="1"),OR(L1954=1,L1954="1"),OR(M1954=1,M1954="1")),"adequate","partial"),IF(AND(H1954="W4",F1954="predictive",OR(J1954="P2",J1954="P3",J1954="P4")),IF(OR(U1954=1,U1954="1"),"adequate","partial"),INDEX(Fit_Matrix!$B:$B,MATCH(P1954,Fit_Matrix!$A:$A,0)))),"CHECK KEY"))</f>
        <v/>
      </c>
      <c r="U1954" s="10" t="n"/>
      <c r="V1954" s="10" t="n"/>
      <c r="W1954" s="10" t="n"/>
      <c r="X1954" s="10" t="n"/>
      <c r="Y1954" s="10" t="n"/>
      <c r="Z1954" s="10" t="n"/>
      <c r="AA1954" s="11">
        <f>IF(A1954="","",IF(AND(J1954="P4",F1954="causal"),"P4-CAUSAL",""))</f>
        <v/>
      </c>
    </row>
    <row r="1955" ht="15" customHeight="1" s="1">
      <c r="P1955">
        <f>IF(OR(F1955="",H1955="",J1955=""),"",J1955&amp;"|"&amp;F1955&amp;"|"&amp;IF(H1955="W3","W3_"&amp;IF(I1955="","unknown",I1955),H1955))</f>
        <v/>
      </c>
      <c r="Q1955">
        <f>IF(P1955="","",IFERROR(IF(AND(H1955="W7",OR(F1955="causal",F1955="predictive")),IF(AND(OR(K1955=1,K1955="1"),OR(L1955=1,L1955="1"),OR(M1955=1,M1955="1")),"adequate","partial"),IF(AND(H1955="W4",F1955="predictive",OR(J1955="P2",J1955="P3",J1955="P4")),IF(OR(U1955=1,U1955="1"),"adequate","partial"),INDEX(Fit_Matrix!$B:$B,MATCH(P1955,Fit_Matrix!$A:$A,0)))),"CHECK KEY"))</f>
        <v/>
      </c>
      <c r="U1955" s="10" t="n"/>
      <c r="V1955" s="10" t="n"/>
      <c r="W1955" s="10" t="n"/>
      <c r="X1955" s="10" t="n"/>
      <c r="Y1955" s="10" t="n"/>
      <c r="Z1955" s="10" t="n"/>
      <c r="AA1955" s="11">
        <f>IF(A1955="","",IF(AND(J1955="P4",F1955="causal"),"P4-CAUSAL",""))</f>
        <v/>
      </c>
    </row>
    <row r="1956" ht="15" customHeight="1" s="1">
      <c r="P1956">
        <f>IF(OR(F1956="",H1956="",J1956=""),"",J1956&amp;"|"&amp;F1956&amp;"|"&amp;IF(H1956="W3","W3_"&amp;IF(I1956="","unknown",I1956),H1956))</f>
        <v/>
      </c>
      <c r="Q1956">
        <f>IF(P1956="","",IFERROR(IF(AND(H1956="W7",OR(F1956="causal",F1956="predictive")),IF(AND(OR(K1956=1,K1956="1"),OR(L1956=1,L1956="1"),OR(M1956=1,M1956="1")),"adequate","partial"),IF(AND(H1956="W4",F1956="predictive",OR(J1956="P2",J1956="P3",J1956="P4")),IF(OR(U1956=1,U1956="1"),"adequate","partial"),INDEX(Fit_Matrix!$B:$B,MATCH(P1956,Fit_Matrix!$A:$A,0)))),"CHECK KEY"))</f>
        <v/>
      </c>
      <c r="U1956" s="10" t="n"/>
      <c r="V1956" s="10" t="n"/>
      <c r="W1956" s="10" t="n"/>
      <c r="X1956" s="10" t="n"/>
      <c r="Y1956" s="10" t="n"/>
      <c r="Z1956" s="10" t="n"/>
      <c r="AA1956" s="11">
        <f>IF(A1956="","",IF(AND(J1956="P4",F1956="causal"),"P4-CAUSAL",""))</f>
        <v/>
      </c>
    </row>
    <row r="1957" ht="15" customHeight="1" s="1">
      <c r="P1957">
        <f>IF(OR(F1957="",H1957="",J1957=""),"",J1957&amp;"|"&amp;F1957&amp;"|"&amp;IF(H1957="W3","W3_"&amp;IF(I1957="","unknown",I1957),H1957))</f>
        <v/>
      </c>
      <c r="Q1957">
        <f>IF(P1957="","",IFERROR(IF(AND(H1957="W7",OR(F1957="causal",F1957="predictive")),IF(AND(OR(K1957=1,K1957="1"),OR(L1957=1,L1957="1"),OR(M1957=1,M1957="1")),"adequate","partial"),IF(AND(H1957="W4",F1957="predictive",OR(J1957="P2",J1957="P3",J1957="P4")),IF(OR(U1957=1,U1957="1"),"adequate","partial"),INDEX(Fit_Matrix!$B:$B,MATCH(P1957,Fit_Matrix!$A:$A,0)))),"CHECK KEY"))</f>
        <v/>
      </c>
      <c r="U1957" s="10" t="n"/>
      <c r="V1957" s="10" t="n"/>
      <c r="W1957" s="10" t="n"/>
      <c r="X1957" s="10" t="n"/>
      <c r="Y1957" s="10" t="n"/>
      <c r="Z1957" s="10" t="n"/>
      <c r="AA1957" s="11">
        <f>IF(A1957="","",IF(AND(J1957="P4",F1957="causal"),"P4-CAUSAL",""))</f>
        <v/>
      </c>
    </row>
    <row r="1958" ht="15" customHeight="1" s="1">
      <c r="P1958">
        <f>IF(OR(F1958="",H1958="",J1958=""),"",J1958&amp;"|"&amp;F1958&amp;"|"&amp;IF(H1958="W3","W3_"&amp;IF(I1958="","unknown",I1958),H1958))</f>
        <v/>
      </c>
      <c r="Q1958">
        <f>IF(P1958="","",IFERROR(IF(AND(H1958="W7",OR(F1958="causal",F1958="predictive")),IF(AND(OR(K1958=1,K1958="1"),OR(L1958=1,L1958="1"),OR(M1958=1,M1958="1")),"adequate","partial"),IF(AND(H1958="W4",F1958="predictive",OR(J1958="P2",J1958="P3",J1958="P4")),IF(OR(U1958=1,U1958="1"),"adequate","partial"),INDEX(Fit_Matrix!$B:$B,MATCH(P1958,Fit_Matrix!$A:$A,0)))),"CHECK KEY"))</f>
        <v/>
      </c>
      <c r="U1958" s="10" t="n"/>
      <c r="V1958" s="10" t="n"/>
      <c r="W1958" s="10" t="n"/>
      <c r="X1958" s="10" t="n"/>
      <c r="Y1958" s="10" t="n"/>
      <c r="Z1958" s="10" t="n"/>
      <c r="AA1958" s="11">
        <f>IF(A1958="","",IF(AND(J1958="P4",F1958="causal"),"P4-CAUSAL",""))</f>
        <v/>
      </c>
    </row>
    <row r="1959" ht="15" customHeight="1" s="1">
      <c r="P1959">
        <f>IF(OR(F1959="",H1959="",J1959=""),"",J1959&amp;"|"&amp;F1959&amp;"|"&amp;IF(H1959="W3","W3_"&amp;IF(I1959="","unknown",I1959),H1959))</f>
        <v/>
      </c>
      <c r="Q1959">
        <f>IF(P1959="","",IFERROR(IF(AND(H1959="W7",OR(F1959="causal",F1959="predictive")),IF(AND(OR(K1959=1,K1959="1"),OR(L1959=1,L1959="1"),OR(M1959=1,M1959="1")),"adequate","partial"),IF(AND(H1959="W4",F1959="predictive",OR(J1959="P2",J1959="P3",J1959="P4")),IF(OR(U1959=1,U1959="1"),"adequate","partial"),INDEX(Fit_Matrix!$B:$B,MATCH(P1959,Fit_Matrix!$A:$A,0)))),"CHECK KEY"))</f>
        <v/>
      </c>
      <c r="U1959" s="10" t="n"/>
      <c r="V1959" s="10" t="n"/>
      <c r="W1959" s="10" t="n"/>
      <c r="X1959" s="10" t="n"/>
      <c r="Y1959" s="10" t="n"/>
      <c r="Z1959" s="10" t="n"/>
      <c r="AA1959" s="11">
        <f>IF(A1959="","",IF(AND(J1959="P4",F1959="causal"),"P4-CAUSAL",""))</f>
        <v/>
      </c>
    </row>
    <row r="1960" ht="15" customHeight="1" s="1">
      <c r="P1960">
        <f>IF(OR(F1960="",H1960="",J1960=""),"",J1960&amp;"|"&amp;F1960&amp;"|"&amp;IF(H1960="W3","W3_"&amp;IF(I1960="","unknown",I1960),H1960))</f>
        <v/>
      </c>
      <c r="Q1960">
        <f>IF(P1960="","",IFERROR(IF(AND(H1960="W7",OR(F1960="causal",F1960="predictive")),IF(AND(OR(K1960=1,K1960="1"),OR(L1960=1,L1960="1"),OR(M1960=1,M1960="1")),"adequate","partial"),IF(AND(H1960="W4",F1960="predictive",OR(J1960="P2",J1960="P3",J1960="P4")),IF(OR(U1960=1,U1960="1"),"adequate","partial"),INDEX(Fit_Matrix!$B:$B,MATCH(P1960,Fit_Matrix!$A:$A,0)))),"CHECK KEY"))</f>
        <v/>
      </c>
      <c r="U1960" s="10" t="n"/>
      <c r="V1960" s="10" t="n"/>
      <c r="W1960" s="10" t="n"/>
      <c r="X1960" s="10" t="n"/>
      <c r="Y1960" s="10" t="n"/>
      <c r="Z1960" s="10" t="n"/>
      <c r="AA1960" s="11">
        <f>IF(A1960="","",IF(AND(J1960="P4",F1960="causal"),"P4-CAUSAL",""))</f>
        <v/>
      </c>
    </row>
    <row r="1961" ht="15" customHeight="1" s="1">
      <c r="P1961">
        <f>IF(OR(F1961="",H1961="",J1961=""),"",J1961&amp;"|"&amp;F1961&amp;"|"&amp;IF(H1961="W3","W3_"&amp;IF(I1961="","unknown",I1961),H1961))</f>
        <v/>
      </c>
      <c r="Q1961">
        <f>IF(P1961="","",IFERROR(IF(AND(H1961="W7",OR(F1961="causal",F1961="predictive")),IF(AND(OR(K1961=1,K1961="1"),OR(L1961=1,L1961="1"),OR(M1961=1,M1961="1")),"adequate","partial"),IF(AND(H1961="W4",F1961="predictive",OR(J1961="P2",J1961="P3",J1961="P4")),IF(OR(U1961=1,U1961="1"),"adequate","partial"),INDEX(Fit_Matrix!$B:$B,MATCH(P1961,Fit_Matrix!$A:$A,0)))),"CHECK KEY"))</f>
        <v/>
      </c>
      <c r="U1961" s="10" t="n"/>
      <c r="V1961" s="10" t="n"/>
      <c r="W1961" s="10" t="n"/>
      <c r="X1961" s="10" t="n"/>
      <c r="Y1961" s="10" t="n"/>
      <c r="Z1961" s="10" t="n"/>
      <c r="AA1961" s="11">
        <f>IF(A1961="","",IF(AND(J1961="P4",F1961="causal"),"P4-CAUSAL",""))</f>
        <v/>
      </c>
    </row>
    <row r="1962" ht="15" customHeight="1" s="1">
      <c r="P1962">
        <f>IF(OR(F1962="",H1962="",J1962=""),"",J1962&amp;"|"&amp;F1962&amp;"|"&amp;IF(H1962="W3","W3_"&amp;IF(I1962="","unknown",I1962),H1962))</f>
        <v/>
      </c>
      <c r="Q1962">
        <f>IF(P1962="","",IFERROR(IF(AND(H1962="W7",OR(F1962="causal",F1962="predictive")),IF(AND(OR(K1962=1,K1962="1"),OR(L1962=1,L1962="1"),OR(M1962=1,M1962="1")),"adequate","partial"),IF(AND(H1962="W4",F1962="predictive",OR(J1962="P2",J1962="P3",J1962="P4")),IF(OR(U1962=1,U1962="1"),"adequate","partial"),INDEX(Fit_Matrix!$B:$B,MATCH(P1962,Fit_Matrix!$A:$A,0)))),"CHECK KEY"))</f>
        <v/>
      </c>
      <c r="U1962" s="10" t="n"/>
      <c r="V1962" s="10" t="n"/>
      <c r="W1962" s="10" t="n"/>
      <c r="X1962" s="10" t="n"/>
      <c r="Y1962" s="10" t="n"/>
      <c r="Z1962" s="10" t="n"/>
      <c r="AA1962" s="11">
        <f>IF(A1962="","",IF(AND(J1962="P4",F1962="causal"),"P4-CAUSAL",""))</f>
        <v/>
      </c>
    </row>
    <row r="1963" ht="15" customHeight="1" s="1">
      <c r="P1963">
        <f>IF(OR(F1963="",H1963="",J1963=""),"",J1963&amp;"|"&amp;F1963&amp;"|"&amp;IF(H1963="W3","W3_"&amp;IF(I1963="","unknown",I1963),H1963))</f>
        <v/>
      </c>
      <c r="Q1963">
        <f>IF(P1963="","",IFERROR(IF(AND(H1963="W7",OR(F1963="causal",F1963="predictive")),IF(AND(OR(K1963=1,K1963="1"),OR(L1963=1,L1963="1"),OR(M1963=1,M1963="1")),"adequate","partial"),IF(AND(H1963="W4",F1963="predictive",OR(J1963="P2",J1963="P3",J1963="P4")),IF(OR(U1963=1,U1963="1"),"adequate","partial"),INDEX(Fit_Matrix!$B:$B,MATCH(P1963,Fit_Matrix!$A:$A,0)))),"CHECK KEY"))</f>
        <v/>
      </c>
      <c r="U1963" s="10" t="n"/>
      <c r="V1963" s="10" t="n"/>
      <c r="W1963" s="10" t="n"/>
      <c r="X1963" s="10" t="n"/>
      <c r="Y1963" s="10" t="n"/>
      <c r="Z1963" s="10" t="n"/>
      <c r="AA1963" s="11">
        <f>IF(A1963="","",IF(AND(J1963="P4",F1963="causal"),"P4-CAUSAL",""))</f>
        <v/>
      </c>
    </row>
    <row r="1964" ht="15" customHeight="1" s="1">
      <c r="P1964">
        <f>IF(OR(F1964="",H1964="",J1964=""),"",J1964&amp;"|"&amp;F1964&amp;"|"&amp;IF(H1964="W3","W3_"&amp;IF(I1964="","unknown",I1964),H1964))</f>
        <v/>
      </c>
      <c r="Q1964">
        <f>IF(P1964="","",IFERROR(IF(AND(H1964="W7",OR(F1964="causal",F1964="predictive")),IF(AND(OR(K1964=1,K1964="1"),OR(L1964=1,L1964="1"),OR(M1964=1,M1964="1")),"adequate","partial"),IF(AND(H1964="W4",F1964="predictive",OR(J1964="P2",J1964="P3",J1964="P4")),IF(OR(U1964=1,U1964="1"),"adequate","partial"),INDEX(Fit_Matrix!$B:$B,MATCH(P1964,Fit_Matrix!$A:$A,0)))),"CHECK KEY"))</f>
        <v/>
      </c>
      <c r="U1964" s="10" t="n"/>
      <c r="V1964" s="10" t="n"/>
      <c r="W1964" s="10" t="n"/>
      <c r="X1964" s="10" t="n"/>
      <c r="Y1964" s="10" t="n"/>
      <c r="Z1964" s="10" t="n"/>
      <c r="AA1964" s="11">
        <f>IF(A1964="","",IF(AND(J1964="P4",F1964="causal"),"P4-CAUSAL",""))</f>
        <v/>
      </c>
    </row>
    <row r="1965" ht="15" customHeight="1" s="1">
      <c r="P1965">
        <f>IF(OR(F1965="",H1965="",J1965=""),"",J1965&amp;"|"&amp;F1965&amp;"|"&amp;IF(H1965="W3","W3_"&amp;IF(I1965="","unknown",I1965),H1965))</f>
        <v/>
      </c>
      <c r="Q1965">
        <f>IF(P1965="","",IFERROR(IF(AND(H1965="W7",OR(F1965="causal",F1965="predictive")),IF(AND(OR(K1965=1,K1965="1"),OR(L1965=1,L1965="1"),OR(M1965=1,M1965="1")),"adequate","partial"),IF(AND(H1965="W4",F1965="predictive",OR(J1965="P2",J1965="P3",J1965="P4")),IF(OR(U1965=1,U1965="1"),"adequate","partial"),INDEX(Fit_Matrix!$B:$B,MATCH(P1965,Fit_Matrix!$A:$A,0)))),"CHECK KEY"))</f>
        <v/>
      </c>
      <c r="U1965" s="10" t="n"/>
      <c r="V1965" s="10" t="n"/>
      <c r="W1965" s="10" t="n"/>
      <c r="X1965" s="10" t="n"/>
      <c r="Y1965" s="10" t="n"/>
      <c r="Z1965" s="10" t="n"/>
      <c r="AA1965" s="11">
        <f>IF(A1965="","",IF(AND(J1965="P4",F1965="causal"),"P4-CAUSAL",""))</f>
        <v/>
      </c>
    </row>
    <row r="1966" ht="15" customHeight="1" s="1">
      <c r="P1966">
        <f>IF(OR(F1966="",H1966="",J1966=""),"",J1966&amp;"|"&amp;F1966&amp;"|"&amp;IF(H1966="W3","W3_"&amp;IF(I1966="","unknown",I1966),H1966))</f>
        <v/>
      </c>
      <c r="Q1966">
        <f>IF(P1966="","",IFERROR(IF(AND(H1966="W7",OR(F1966="causal",F1966="predictive")),IF(AND(OR(K1966=1,K1966="1"),OR(L1966=1,L1966="1"),OR(M1966=1,M1966="1")),"adequate","partial"),IF(AND(H1966="W4",F1966="predictive",OR(J1966="P2",J1966="P3",J1966="P4")),IF(OR(U1966=1,U1966="1"),"adequate","partial"),INDEX(Fit_Matrix!$B:$B,MATCH(P1966,Fit_Matrix!$A:$A,0)))),"CHECK KEY"))</f>
        <v/>
      </c>
      <c r="U1966" s="10" t="n"/>
      <c r="V1966" s="10" t="n"/>
      <c r="W1966" s="10" t="n"/>
      <c r="X1966" s="10" t="n"/>
      <c r="Y1966" s="10" t="n"/>
      <c r="Z1966" s="10" t="n"/>
      <c r="AA1966" s="11">
        <f>IF(A1966="","",IF(AND(J1966="P4",F1966="causal"),"P4-CAUSAL",""))</f>
        <v/>
      </c>
    </row>
    <row r="1967" ht="15" customHeight="1" s="1">
      <c r="P1967">
        <f>IF(OR(F1967="",H1967="",J1967=""),"",J1967&amp;"|"&amp;F1967&amp;"|"&amp;IF(H1967="W3","W3_"&amp;IF(I1967="","unknown",I1967),H1967))</f>
        <v/>
      </c>
      <c r="Q1967">
        <f>IF(P1967="","",IFERROR(IF(AND(H1967="W7",OR(F1967="causal",F1967="predictive")),IF(AND(OR(K1967=1,K1967="1"),OR(L1967=1,L1967="1"),OR(M1967=1,M1967="1")),"adequate","partial"),IF(AND(H1967="W4",F1967="predictive",OR(J1967="P2",J1967="P3",J1967="P4")),IF(OR(U1967=1,U1967="1"),"adequate","partial"),INDEX(Fit_Matrix!$B:$B,MATCH(P1967,Fit_Matrix!$A:$A,0)))),"CHECK KEY"))</f>
        <v/>
      </c>
      <c r="U1967" s="10" t="n"/>
      <c r="V1967" s="10" t="n"/>
      <c r="W1967" s="10" t="n"/>
      <c r="X1967" s="10" t="n"/>
      <c r="Y1967" s="10" t="n"/>
      <c r="Z1967" s="10" t="n"/>
      <c r="AA1967" s="11">
        <f>IF(A1967="","",IF(AND(J1967="P4",F1967="causal"),"P4-CAUSAL",""))</f>
        <v/>
      </c>
    </row>
    <row r="1968" ht="15" customHeight="1" s="1">
      <c r="P1968">
        <f>IF(OR(F1968="",H1968="",J1968=""),"",J1968&amp;"|"&amp;F1968&amp;"|"&amp;IF(H1968="W3","W3_"&amp;IF(I1968="","unknown",I1968),H1968))</f>
        <v/>
      </c>
      <c r="Q1968">
        <f>IF(P1968="","",IFERROR(IF(AND(H1968="W7",OR(F1968="causal",F1968="predictive")),IF(AND(OR(K1968=1,K1968="1"),OR(L1968=1,L1968="1"),OR(M1968=1,M1968="1")),"adequate","partial"),IF(AND(H1968="W4",F1968="predictive",OR(J1968="P2",J1968="P3",J1968="P4")),IF(OR(U1968=1,U1968="1"),"adequate","partial"),INDEX(Fit_Matrix!$B:$B,MATCH(P1968,Fit_Matrix!$A:$A,0)))),"CHECK KEY"))</f>
        <v/>
      </c>
      <c r="U1968" s="10" t="n"/>
      <c r="V1968" s="10" t="n"/>
      <c r="W1968" s="10" t="n"/>
      <c r="X1968" s="10" t="n"/>
      <c r="Y1968" s="10" t="n"/>
      <c r="Z1968" s="10" t="n"/>
      <c r="AA1968" s="11">
        <f>IF(A1968="","",IF(AND(J1968="P4",F1968="causal"),"P4-CAUSAL",""))</f>
        <v/>
      </c>
    </row>
    <row r="1969" ht="15" customHeight="1" s="1">
      <c r="P1969">
        <f>IF(OR(F1969="",H1969="",J1969=""),"",J1969&amp;"|"&amp;F1969&amp;"|"&amp;IF(H1969="W3","W3_"&amp;IF(I1969="","unknown",I1969),H1969))</f>
        <v/>
      </c>
      <c r="Q1969">
        <f>IF(P1969="","",IFERROR(IF(AND(H1969="W7",OR(F1969="causal",F1969="predictive")),IF(AND(OR(K1969=1,K1969="1"),OR(L1969=1,L1969="1"),OR(M1969=1,M1969="1")),"adequate","partial"),IF(AND(H1969="W4",F1969="predictive",OR(J1969="P2",J1969="P3",J1969="P4")),IF(OR(U1969=1,U1969="1"),"adequate","partial"),INDEX(Fit_Matrix!$B:$B,MATCH(P1969,Fit_Matrix!$A:$A,0)))),"CHECK KEY"))</f>
        <v/>
      </c>
      <c r="U1969" s="10" t="n"/>
      <c r="V1969" s="10" t="n"/>
      <c r="W1969" s="10" t="n"/>
      <c r="X1969" s="10" t="n"/>
      <c r="Y1969" s="10" t="n"/>
      <c r="Z1969" s="10" t="n"/>
      <c r="AA1969" s="11">
        <f>IF(A1969="","",IF(AND(J1969="P4",F1969="causal"),"P4-CAUSAL",""))</f>
        <v/>
      </c>
    </row>
    <row r="1970" ht="15" customHeight="1" s="1">
      <c r="P1970">
        <f>IF(OR(F1970="",H1970="",J1970=""),"",J1970&amp;"|"&amp;F1970&amp;"|"&amp;IF(H1970="W3","W3_"&amp;IF(I1970="","unknown",I1970),H1970))</f>
        <v/>
      </c>
      <c r="Q1970">
        <f>IF(P1970="","",IFERROR(IF(AND(H1970="W7",OR(F1970="causal",F1970="predictive")),IF(AND(OR(K1970=1,K1970="1"),OR(L1970=1,L1970="1"),OR(M1970=1,M1970="1")),"adequate","partial"),IF(AND(H1970="W4",F1970="predictive",OR(J1970="P2",J1970="P3",J1970="P4")),IF(OR(U1970=1,U1970="1"),"adequate","partial"),INDEX(Fit_Matrix!$B:$B,MATCH(P1970,Fit_Matrix!$A:$A,0)))),"CHECK KEY"))</f>
        <v/>
      </c>
      <c r="U1970" s="10" t="n"/>
      <c r="V1970" s="10" t="n"/>
      <c r="W1970" s="10" t="n"/>
      <c r="X1970" s="10" t="n"/>
      <c r="Y1970" s="10" t="n"/>
      <c r="Z1970" s="10" t="n"/>
      <c r="AA1970" s="11">
        <f>IF(A1970="","",IF(AND(J1970="P4",F1970="causal"),"P4-CAUSAL",""))</f>
        <v/>
      </c>
    </row>
    <row r="1971" ht="15" customHeight="1" s="1">
      <c r="P1971">
        <f>IF(OR(F1971="",H1971="",J1971=""),"",J1971&amp;"|"&amp;F1971&amp;"|"&amp;IF(H1971="W3","W3_"&amp;IF(I1971="","unknown",I1971),H1971))</f>
        <v/>
      </c>
      <c r="Q1971">
        <f>IF(P1971="","",IFERROR(IF(AND(H1971="W7",OR(F1971="causal",F1971="predictive")),IF(AND(OR(K1971=1,K1971="1"),OR(L1971=1,L1971="1"),OR(M1971=1,M1971="1")),"adequate","partial"),IF(AND(H1971="W4",F1971="predictive",OR(J1971="P2",J1971="P3",J1971="P4")),IF(OR(U1971=1,U1971="1"),"adequate","partial"),INDEX(Fit_Matrix!$B:$B,MATCH(P1971,Fit_Matrix!$A:$A,0)))),"CHECK KEY"))</f>
        <v/>
      </c>
      <c r="U1971" s="10" t="n"/>
      <c r="V1971" s="10" t="n"/>
      <c r="W1971" s="10" t="n"/>
      <c r="X1971" s="10" t="n"/>
      <c r="Y1971" s="10" t="n"/>
      <c r="Z1971" s="10" t="n"/>
      <c r="AA1971" s="11">
        <f>IF(A1971="","",IF(AND(J1971="P4",F1971="causal"),"P4-CAUSAL",""))</f>
        <v/>
      </c>
    </row>
    <row r="1972" ht="15" customHeight="1" s="1">
      <c r="P1972">
        <f>IF(OR(F1972="",H1972="",J1972=""),"",J1972&amp;"|"&amp;F1972&amp;"|"&amp;IF(H1972="W3","W3_"&amp;IF(I1972="","unknown",I1972),H1972))</f>
        <v/>
      </c>
      <c r="Q1972">
        <f>IF(P1972="","",IFERROR(IF(AND(H1972="W7",OR(F1972="causal",F1972="predictive")),IF(AND(OR(K1972=1,K1972="1"),OR(L1972=1,L1972="1"),OR(M1972=1,M1972="1")),"adequate","partial"),IF(AND(H1972="W4",F1972="predictive",OR(J1972="P2",J1972="P3",J1972="P4")),IF(OR(U1972=1,U1972="1"),"adequate","partial"),INDEX(Fit_Matrix!$B:$B,MATCH(P1972,Fit_Matrix!$A:$A,0)))),"CHECK KEY"))</f>
        <v/>
      </c>
      <c r="U1972" s="10" t="n"/>
      <c r="V1972" s="10" t="n"/>
      <c r="W1972" s="10" t="n"/>
      <c r="X1972" s="10" t="n"/>
      <c r="Y1972" s="10" t="n"/>
      <c r="Z1972" s="10" t="n"/>
      <c r="AA1972" s="11">
        <f>IF(A1972="","",IF(AND(J1972="P4",F1972="causal"),"P4-CAUSAL",""))</f>
        <v/>
      </c>
    </row>
    <row r="1973" ht="15" customHeight="1" s="1">
      <c r="P1973">
        <f>IF(OR(F1973="",H1973="",J1973=""),"",J1973&amp;"|"&amp;F1973&amp;"|"&amp;IF(H1973="W3","W3_"&amp;IF(I1973="","unknown",I1973),H1973))</f>
        <v/>
      </c>
      <c r="Q1973">
        <f>IF(P1973="","",IFERROR(IF(AND(H1973="W7",OR(F1973="causal",F1973="predictive")),IF(AND(OR(K1973=1,K1973="1"),OR(L1973=1,L1973="1"),OR(M1973=1,M1973="1")),"adequate","partial"),IF(AND(H1973="W4",F1973="predictive",OR(J1973="P2",J1973="P3",J1973="P4")),IF(OR(U1973=1,U1973="1"),"adequate","partial"),INDEX(Fit_Matrix!$B:$B,MATCH(P1973,Fit_Matrix!$A:$A,0)))),"CHECK KEY"))</f>
        <v/>
      </c>
      <c r="U1973" s="10" t="n"/>
      <c r="V1973" s="10" t="n"/>
      <c r="W1973" s="10" t="n"/>
      <c r="X1973" s="10" t="n"/>
      <c r="Y1973" s="10" t="n"/>
      <c r="Z1973" s="10" t="n"/>
      <c r="AA1973" s="11">
        <f>IF(A1973="","",IF(AND(J1973="P4",F1973="causal"),"P4-CAUSAL",""))</f>
        <v/>
      </c>
    </row>
    <row r="1974" ht="15" customHeight="1" s="1">
      <c r="P1974">
        <f>IF(OR(F1974="",H1974="",J1974=""),"",J1974&amp;"|"&amp;F1974&amp;"|"&amp;IF(H1974="W3","W3_"&amp;IF(I1974="","unknown",I1974),H1974))</f>
        <v/>
      </c>
      <c r="Q1974">
        <f>IF(P1974="","",IFERROR(IF(AND(H1974="W7",OR(F1974="causal",F1974="predictive")),IF(AND(OR(K1974=1,K1974="1"),OR(L1974=1,L1974="1"),OR(M1974=1,M1974="1")),"adequate","partial"),IF(AND(H1974="W4",F1974="predictive",OR(J1974="P2",J1974="P3",J1974="P4")),IF(OR(U1974=1,U1974="1"),"adequate","partial"),INDEX(Fit_Matrix!$B:$B,MATCH(P1974,Fit_Matrix!$A:$A,0)))),"CHECK KEY"))</f>
        <v/>
      </c>
      <c r="U1974" s="10" t="n"/>
      <c r="V1974" s="10" t="n"/>
      <c r="W1974" s="10" t="n"/>
      <c r="X1974" s="10" t="n"/>
      <c r="Y1974" s="10" t="n"/>
      <c r="Z1974" s="10" t="n"/>
      <c r="AA1974" s="11">
        <f>IF(A1974="","",IF(AND(J1974="P4",F1974="causal"),"P4-CAUSAL",""))</f>
        <v/>
      </c>
    </row>
    <row r="1975" ht="15" customHeight="1" s="1">
      <c r="P1975">
        <f>IF(OR(F1975="",H1975="",J1975=""),"",J1975&amp;"|"&amp;F1975&amp;"|"&amp;IF(H1975="W3","W3_"&amp;IF(I1975="","unknown",I1975),H1975))</f>
        <v/>
      </c>
      <c r="Q1975">
        <f>IF(P1975="","",IFERROR(IF(AND(H1975="W7",OR(F1975="causal",F1975="predictive")),IF(AND(OR(K1975=1,K1975="1"),OR(L1975=1,L1975="1"),OR(M1975=1,M1975="1")),"adequate","partial"),IF(AND(H1975="W4",F1975="predictive",OR(J1975="P2",J1975="P3",J1975="P4")),IF(OR(U1975=1,U1975="1"),"adequate","partial"),INDEX(Fit_Matrix!$B:$B,MATCH(P1975,Fit_Matrix!$A:$A,0)))),"CHECK KEY"))</f>
        <v/>
      </c>
      <c r="U1975" s="10" t="n"/>
      <c r="V1975" s="10" t="n"/>
      <c r="W1975" s="10" t="n"/>
      <c r="X1975" s="10" t="n"/>
      <c r="Y1975" s="10" t="n"/>
      <c r="Z1975" s="10" t="n"/>
      <c r="AA1975" s="11">
        <f>IF(A1975="","",IF(AND(J1975="P4",F1975="causal"),"P4-CAUSAL",""))</f>
        <v/>
      </c>
    </row>
    <row r="1976" ht="15" customHeight="1" s="1">
      <c r="P1976">
        <f>IF(OR(F1976="",H1976="",J1976=""),"",J1976&amp;"|"&amp;F1976&amp;"|"&amp;IF(H1976="W3","W3_"&amp;IF(I1976="","unknown",I1976),H1976))</f>
        <v/>
      </c>
      <c r="Q1976">
        <f>IF(P1976="","",IFERROR(IF(AND(H1976="W7",OR(F1976="causal",F1976="predictive")),IF(AND(OR(K1976=1,K1976="1"),OR(L1976=1,L1976="1"),OR(M1976=1,M1976="1")),"adequate","partial"),IF(AND(H1976="W4",F1976="predictive",OR(J1976="P2",J1976="P3",J1976="P4")),IF(OR(U1976=1,U1976="1"),"adequate","partial"),INDEX(Fit_Matrix!$B:$B,MATCH(P1976,Fit_Matrix!$A:$A,0)))),"CHECK KEY"))</f>
        <v/>
      </c>
      <c r="U1976" s="10" t="n"/>
      <c r="V1976" s="10" t="n"/>
      <c r="W1976" s="10" t="n"/>
      <c r="X1976" s="10" t="n"/>
      <c r="Y1976" s="10" t="n"/>
      <c r="Z1976" s="10" t="n"/>
      <c r="AA1976" s="11">
        <f>IF(A1976="","",IF(AND(J1976="P4",F1976="causal"),"P4-CAUSAL",""))</f>
        <v/>
      </c>
    </row>
    <row r="1977" ht="15" customHeight="1" s="1">
      <c r="P1977">
        <f>IF(OR(F1977="",H1977="",J1977=""),"",J1977&amp;"|"&amp;F1977&amp;"|"&amp;IF(H1977="W3","W3_"&amp;IF(I1977="","unknown",I1977),H1977))</f>
        <v/>
      </c>
      <c r="Q1977">
        <f>IF(P1977="","",IFERROR(IF(AND(H1977="W7",OR(F1977="causal",F1977="predictive")),IF(AND(OR(K1977=1,K1977="1"),OR(L1977=1,L1977="1"),OR(M1977=1,M1977="1")),"adequate","partial"),IF(AND(H1977="W4",F1977="predictive",OR(J1977="P2",J1977="P3",J1977="P4")),IF(OR(U1977=1,U1977="1"),"adequate","partial"),INDEX(Fit_Matrix!$B:$B,MATCH(P1977,Fit_Matrix!$A:$A,0)))),"CHECK KEY"))</f>
        <v/>
      </c>
      <c r="U1977" s="10" t="n"/>
      <c r="V1977" s="10" t="n"/>
      <c r="W1977" s="10" t="n"/>
      <c r="X1977" s="10" t="n"/>
      <c r="Y1977" s="10" t="n"/>
      <c r="Z1977" s="10" t="n"/>
      <c r="AA1977" s="11">
        <f>IF(A1977="","",IF(AND(J1977="P4",F1977="causal"),"P4-CAUSAL",""))</f>
        <v/>
      </c>
    </row>
    <row r="1978" ht="15" customHeight="1" s="1">
      <c r="P1978">
        <f>IF(OR(F1978="",H1978="",J1978=""),"",J1978&amp;"|"&amp;F1978&amp;"|"&amp;IF(H1978="W3","W3_"&amp;IF(I1978="","unknown",I1978),H1978))</f>
        <v/>
      </c>
      <c r="Q1978">
        <f>IF(P1978="","",IFERROR(IF(AND(H1978="W7",OR(F1978="causal",F1978="predictive")),IF(AND(OR(K1978=1,K1978="1"),OR(L1978=1,L1978="1"),OR(M1978=1,M1978="1")),"adequate","partial"),IF(AND(H1978="W4",F1978="predictive",OR(J1978="P2",J1978="P3",J1978="P4")),IF(OR(U1978=1,U1978="1"),"adequate","partial"),INDEX(Fit_Matrix!$B:$B,MATCH(P1978,Fit_Matrix!$A:$A,0)))),"CHECK KEY"))</f>
        <v/>
      </c>
      <c r="U1978" s="10" t="n"/>
      <c r="V1978" s="10" t="n"/>
      <c r="W1978" s="10" t="n"/>
      <c r="X1978" s="10" t="n"/>
      <c r="Y1978" s="10" t="n"/>
      <c r="Z1978" s="10" t="n"/>
      <c r="AA1978" s="11">
        <f>IF(A1978="","",IF(AND(J1978="P4",F1978="causal"),"P4-CAUSAL",""))</f>
        <v/>
      </c>
    </row>
    <row r="1979" ht="15" customHeight="1" s="1">
      <c r="P1979">
        <f>IF(OR(F1979="",H1979="",J1979=""),"",J1979&amp;"|"&amp;F1979&amp;"|"&amp;IF(H1979="W3","W3_"&amp;IF(I1979="","unknown",I1979),H1979))</f>
        <v/>
      </c>
      <c r="Q1979">
        <f>IF(P1979="","",IFERROR(IF(AND(H1979="W7",OR(F1979="causal",F1979="predictive")),IF(AND(OR(K1979=1,K1979="1"),OR(L1979=1,L1979="1"),OR(M1979=1,M1979="1")),"adequate","partial"),IF(AND(H1979="W4",F1979="predictive",OR(J1979="P2",J1979="P3",J1979="P4")),IF(OR(U1979=1,U1979="1"),"adequate","partial"),INDEX(Fit_Matrix!$B:$B,MATCH(P1979,Fit_Matrix!$A:$A,0)))),"CHECK KEY"))</f>
        <v/>
      </c>
      <c r="U1979" s="10" t="n"/>
      <c r="V1979" s="10" t="n"/>
      <c r="W1979" s="10" t="n"/>
      <c r="X1979" s="10" t="n"/>
      <c r="Y1979" s="10" t="n"/>
      <c r="Z1979" s="10" t="n"/>
      <c r="AA1979" s="11">
        <f>IF(A1979="","",IF(AND(J1979="P4",F1979="causal"),"P4-CAUSAL",""))</f>
        <v/>
      </c>
    </row>
    <row r="1980" ht="15" customHeight="1" s="1">
      <c r="P1980">
        <f>IF(OR(F1980="",H1980="",J1980=""),"",J1980&amp;"|"&amp;F1980&amp;"|"&amp;IF(H1980="W3","W3_"&amp;IF(I1980="","unknown",I1980),H1980))</f>
        <v/>
      </c>
      <c r="Q1980">
        <f>IF(P1980="","",IFERROR(IF(AND(H1980="W7",OR(F1980="causal",F1980="predictive")),IF(AND(OR(K1980=1,K1980="1"),OR(L1980=1,L1980="1"),OR(M1980=1,M1980="1")),"adequate","partial"),IF(AND(H1980="W4",F1980="predictive",OR(J1980="P2",J1980="P3",J1980="P4")),IF(OR(U1980=1,U1980="1"),"adequate","partial"),INDEX(Fit_Matrix!$B:$B,MATCH(P1980,Fit_Matrix!$A:$A,0)))),"CHECK KEY"))</f>
        <v/>
      </c>
      <c r="U1980" s="10" t="n"/>
      <c r="V1980" s="10" t="n"/>
      <c r="W1980" s="10" t="n"/>
      <c r="X1980" s="10" t="n"/>
      <c r="Y1980" s="10" t="n"/>
      <c r="Z1980" s="10" t="n"/>
      <c r="AA1980" s="11">
        <f>IF(A1980="","",IF(AND(J1980="P4",F1980="causal"),"P4-CAUSAL",""))</f>
        <v/>
      </c>
    </row>
    <row r="1981" ht="15" customHeight="1" s="1">
      <c r="P1981">
        <f>IF(OR(F1981="",H1981="",J1981=""),"",J1981&amp;"|"&amp;F1981&amp;"|"&amp;IF(H1981="W3","W3_"&amp;IF(I1981="","unknown",I1981),H1981))</f>
        <v/>
      </c>
      <c r="Q1981">
        <f>IF(P1981="","",IFERROR(IF(AND(H1981="W7",OR(F1981="causal",F1981="predictive")),IF(AND(OR(K1981=1,K1981="1"),OR(L1981=1,L1981="1"),OR(M1981=1,M1981="1")),"adequate","partial"),IF(AND(H1981="W4",F1981="predictive",OR(J1981="P2",J1981="P3",J1981="P4")),IF(OR(U1981=1,U1981="1"),"adequate","partial"),INDEX(Fit_Matrix!$B:$B,MATCH(P1981,Fit_Matrix!$A:$A,0)))),"CHECK KEY"))</f>
        <v/>
      </c>
      <c r="U1981" s="10" t="n"/>
      <c r="V1981" s="10" t="n"/>
      <c r="W1981" s="10" t="n"/>
      <c r="X1981" s="10" t="n"/>
      <c r="Y1981" s="10" t="n"/>
      <c r="Z1981" s="10" t="n"/>
      <c r="AA1981" s="11">
        <f>IF(A1981="","",IF(AND(J1981="P4",F1981="causal"),"P4-CAUSAL",""))</f>
        <v/>
      </c>
    </row>
    <row r="1982" ht="15" customHeight="1" s="1">
      <c r="P1982">
        <f>IF(OR(F1982="",H1982="",J1982=""),"",J1982&amp;"|"&amp;F1982&amp;"|"&amp;IF(H1982="W3","W3_"&amp;IF(I1982="","unknown",I1982),H1982))</f>
        <v/>
      </c>
      <c r="Q1982">
        <f>IF(P1982="","",IFERROR(IF(AND(H1982="W7",OR(F1982="causal",F1982="predictive")),IF(AND(OR(K1982=1,K1982="1"),OR(L1982=1,L1982="1"),OR(M1982=1,M1982="1")),"adequate","partial"),IF(AND(H1982="W4",F1982="predictive",OR(J1982="P2",J1982="P3",J1982="P4")),IF(OR(U1982=1,U1982="1"),"adequate","partial"),INDEX(Fit_Matrix!$B:$B,MATCH(P1982,Fit_Matrix!$A:$A,0)))),"CHECK KEY"))</f>
        <v/>
      </c>
      <c r="U1982" s="10" t="n"/>
      <c r="V1982" s="10" t="n"/>
      <c r="W1982" s="10" t="n"/>
      <c r="X1982" s="10" t="n"/>
      <c r="Y1982" s="10" t="n"/>
      <c r="Z1982" s="10" t="n"/>
      <c r="AA1982" s="11">
        <f>IF(A1982="","",IF(AND(J1982="P4",F1982="causal"),"P4-CAUSAL",""))</f>
        <v/>
      </c>
    </row>
    <row r="1983" ht="15" customHeight="1" s="1">
      <c r="P1983">
        <f>IF(OR(F1983="",H1983="",J1983=""),"",J1983&amp;"|"&amp;F1983&amp;"|"&amp;IF(H1983="W3","W3_"&amp;IF(I1983="","unknown",I1983),H1983))</f>
        <v/>
      </c>
      <c r="Q1983">
        <f>IF(P1983="","",IFERROR(IF(AND(H1983="W7",OR(F1983="causal",F1983="predictive")),IF(AND(OR(K1983=1,K1983="1"),OR(L1983=1,L1983="1"),OR(M1983=1,M1983="1")),"adequate","partial"),IF(AND(H1983="W4",F1983="predictive",OR(J1983="P2",J1983="P3",J1983="P4")),IF(OR(U1983=1,U1983="1"),"adequate","partial"),INDEX(Fit_Matrix!$B:$B,MATCH(P1983,Fit_Matrix!$A:$A,0)))),"CHECK KEY"))</f>
        <v/>
      </c>
      <c r="U1983" s="10" t="n"/>
      <c r="V1983" s="10" t="n"/>
      <c r="W1983" s="10" t="n"/>
      <c r="X1983" s="10" t="n"/>
      <c r="Y1983" s="10" t="n"/>
      <c r="Z1983" s="10" t="n"/>
      <c r="AA1983" s="11">
        <f>IF(A1983="","",IF(AND(J1983="P4",F1983="causal"),"P4-CAUSAL",""))</f>
        <v/>
      </c>
    </row>
    <row r="1984" ht="15" customHeight="1" s="1">
      <c r="P1984">
        <f>IF(OR(F1984="",H1984="",J1984=""),"",J1984&amp;"|"&amp;F1984&amp;"|"&amp;IF(H1984="W3","W3_"&amp;IF(I1984="","unknown",I1984),H1984))</f>
        <v/>
      </c>
      <c r="Q1984">
        <f>IF(P1984="","",IFERROR(IF(AND(H1984="W7",OR(F1984="causal",F1984="predictive")),IF(AND(OR(K1984=1,K1984="1"),OR(L1984=1,L1984="1"),OR(M1984=1,M1984="1")),"adequate","partial"),IF(AND(H1984="W4",F1984="predictive",OR(J1984="P2",J1984="P3",J1984="P4")),IF(OR(U1984=1,U1984="1"),"adequate","partial"),INDEX(Fit_Matrix!$B:$B,MATCH(P1984,Fit_Matrix!$A:$A,0)))),"CHECK KEY"))</f>
        <v/>
      </c>
      <c r="U1984" s="10" t="n"/>
      <c r="V1984" s="10" t="n"/>
      <c r="W1984" s="10" t="n"/>
      <c r="X1984" s="10" t="n"/>
      <c r="Y1984" s="10" t="n"/>
      <c r="Z1984" s="10" t="n"/>
      <c r="AA1984" s="11">
        <f>IF(A1984="","",IF(AND(J1984="P4",F1984="causal"),"P4-CAUSAL",""))</f>
        <v/>
      </c>
    </row>
    <row r="1985" ht="15" customHeight="1" s="1">
      <c r="P1985">
        <f>IF(OR(F1985="",H1985="",J1985=""),"",J1985&amp;"|"&amp;F1985&amp;"|"&amp;IF(H1985="W3","W3_"&amp;IF(I1985="","unknown",I1985),H1985))</f>
        <v/>
      </c>
      <c r="Q1985">
        <f>IF(P1985="","",IFERROR(IF(AND(H1985="W7",OR(F1985="causal",F1985="predictive")),IF(AND(OR(K1985=1,K1985="1"),OR(L1985=1,L1985="1"),OR(M1985=1,M1985="1")),"adequate","partial"),IF(AND(H1985="W4",F1985="predictive",OR(J1985="P2",J1985="P3",J1985="P4")),IF(OR(U1985=1,U1985="1"),"adequate","partial"),INDEX(Fit_Matrix!$B:$B,MATCH(P1985,Fit_Matrix!$A:$A,0)))),"CHECK KEY"))</f>
        <v/>
      </c>
      <c r="U1985" s="10" t="n"/>
      <c r="V1985" s="10" t="n"/>
      <c r="W1985" s="10" t="n"/>
      <c r="X1985" s="10" t="n"/>
      <c r="Y1985" s="10" t="n"/>
      <c r="Z1985" s="10" t="n"/>
      <c r="AA1985" s="11">
        <f>IF(A1985="","",IF(AND(J1985="P4",F1985="causal"),"P4-CAUSAL",""))</f>
        <v/>
      </c>
    </row>
    <row r="1986" ht="15" customHeight="1" s="1">
      <c r="P1986">
        <f>IF(OR(F1986="",H1986="",J1986=""),"",J1986&amp;"|"&amp;F1986&amp;"|"&amp;IF(H1986="W3","W3_"&amp;IF(I1986="","unknown",I1986),H1986))</f>
        <v/>
      </c>
      <c r="Q1986">
        <f>IF(P1986="","",IFERROR(IF(AND(H1986="W7",OR(F1986="causal",F1986="predictive")),IF(AND(OR(K1986=1,K1986="1"),OR(L1986=1,L1986="1"),OR(M1986=1,M1986="1")),"adequate","partial"),IF(AND(H1986="W4",F1986="predictive",OR(J1986="P2",J1986="P3",J1986="P4")),IF(OR(U1986=1,U1986="1"),"adequate","partial"),INDEX(Fit_Matrix!$B:$B,MATCH(P1986,Fit_Matrix!$A:$A,0)))),"CHECK KEY"))</f>
        <v/>
      </c>
      <c r="U1986" s="10" t="n"/>
      <c r="V1986" s="10" t="n"/>
      <c r="W1986" s="10" t="n"/>
      <c r="X1986" s="10" t="n"/>
      <c r="Y1986" s="10" t="n"/>
      <c r="Z1986" s="10" t="n"/>
      <c r="AA1986" s="11">
        <f>IF(A1986="","",IF(AND(J1986="P4",F1986="causal"),"P4-CAUSAL",""))</f>
        <v/>
      </c>
    </row>
    <row r="1987" ht="15" customHeight="1" s="1">
      <c r="P1987">
        <f>IF(OR(F1987="",H1987="",J1987=""),"",J1987&amp;"|"&amp;F1987&amp;"|"&amp;IF(H1987="W3","W3_"&amp;IF(I1987="","unknown",I1987),H1987))</f>
        <v/>
      </c>
      <c r="Q1987">
        <f>IF(P1987="","",IFERROR(IF(AND(H1987="W7",OR(F1987="causal",F1987="predictive")),IF(AND(OR(K1987=1,K1987="1"),OR(L1987=1,L1987="1"),OR(M1987=1,M1987="1")),"adequate","partial"),IF(AND(H1987="W4",F1987="predictive",OR(J1987="P2",J1987="P3",J1987="P4")),IF(OR(U1987=1,U1987="1"),"adequate","partial"),INDEX(Fit_Matrix!$B:$B,MATCH(P1987,Fit_Matrix!$A:$A,0)))),"CHECK KEY"))</f>
        <v/>
      </c>
      <c r="U1987" s="10" t="n"/>
      <c r="V1987" s="10" t="n"/>
      <c r="W1987" s="10" t="n"/>
      <c r="X1987" s="10" t="n"/>
      <c r="Y1987" s="10" t="n"/>
      <c r="Z1987" s="10" t="n"/>
      <c r="AA1987" s="11">
        <f>IF(A1987="","",IF(AND(J1987="P4",F1987="causal"),"P4-CAUSAL",""))</f>
        <v/>
      </c>
    </row>
    <row r="1988" ht="15" customHeight="1" s="1">
      <c r="P1988">
        <f>IF(OR(F1988="",H1988="",J1988=""),"",J1988&amp;"|"&amp;F1988&amp;"|"&amp;IF(H1988="W3","W3_"&amp;IF(I1988="","unknown",I1988),H1988))</f>
        <v/>
      </c>
      <c r="Q1988">
        <f>IF(P1988="","",IFERROR(IF(AND(H1988="W7",OR(F1988="causal",F1988="predictive")),IF(AND(OR(K1988=1,K1988="1"),OR(L1988=1,L1988="1"),OR(M1988=1,M1988="1")),"adequate","partial"),IF(AND(H1988="W4",F1988="predictive",OR(J1988="P2",J1988="P3",J1988="P4")),IF(OR(U1988=1,U1988="1"),"adequate","partial"),INDEX(Fit_Matrix!$B:$B,MATCH(P1988,Fit_Matrix!$A:$A,0)))),"CHECK KEY"))</f>
        <v/>
      </c>
      <c r="U1988" s="10" t="n"/>
      <c r="V1988" s="10" t="n"/>
      <c r="W1988" s="10" t="n"/>
      <c r="X1988" s="10" t="n"/>
      <c r="Y1988" s="10" t="n"/>
      <c r="Z1988" s="10" t="n"/>
      <c r="AA1988" s="11">
        <f>IF(A1988="","",IF(AND(J1988="P4",F1988="causal"),"P4-CAUSAL",""))</f>
        <v/>
      </c>
    </row>
    <row r="1989" ht="15" customHeight="1" s="1">
      <c r="P1989">
        <f>IF(OR(F1989="",H1989="",J1989=""),"",J1989&amp;"|"&amp;F1989&amp;"|"&amp;IF(H1989="W3","W3_"&amp;IF(I1989="","unknown",I1989),H1989))</f>
        <v/>
      </c>
      <c r="Q1989">
        <f>IF(P1989="","",IFERROR(IF(AND(H1989="W7",OR(F1989="causal",F1989="predictive")),IF(AND(OR(K1989=1,K1989="1"),OR(L1989=1,L1989="1"),OR(M1989=1,M1989="1")),"adequate","partial"),IF(AND(H1989="W4",F1989="predictive",OR(J1989="P2",J1989="P3",J1989="P4")),IF(OR(U1989=1,U1989="1"),"adequate","partial"),INDEX(Fit_Matrix!$B:$B,MATCH(P1989,Fit_Matrix!$A:$A,0)))),"CHECK KEY"))</f>
        <v/>
      </c>
      <c r="U1989" s="10" t="n"/>
      <c r="V1989" s="10" t="n"/>
      <c r="W1989" s="10" t="n"/>
      <c r="X1989" s="10" t="n"/>
      <c r="Y1989" s="10" t="n"/>
      <c r="Z1989" s="10" t="n"/>
      <c r="AA1989" s="11">
        <f>IF(A1989="","",IF(AND(J1989="P4",F1989="causal"),"P4-CAUSAL",""))</f>
        <v/>
      </c>
    </row>
    <row r="1990" ht="15" customHeight="1" s="1">
      <c r="P1990">
        <f>IF(OR(F1990="",H1990="",J1990=""),"",J1990&amp;"|"&amp;F1990&amp;"|"&amp;IF(H1990="W3","W3_"&amp;IF(I1990="","unknown",I1990),H1990))</f>
        <v/>
      </c>
      <c r="Q1990">
        <f>IF(P1990="","",IFERROR(IF(AND(H1990="W7",OR(F1990="causal",F1990="predictive")),IF(AND(OR(K1990=1,K1990="1"),OR(L1990=1,L1990="1"),OR(M1990=1,M1990="1")),"adequate","partial"),IF(AND(H1990="W4",F1990="predictive",OR(J1990="P2",J1990="P3",J1990="P4")),IF(OR(U1990=1,U1990="1"),"adequate","partial"),INDEX(Fit_Matrix!$B:$B,MATCH(P1990,Fit_Matrix!$A:$A,0)))),"CHECK KEY"))</f>
        <v/>
      </c>
      <c r="U1990" s="10" t="n"/>
      <c r="V1990" s="10" t="n"/>
      <c r="W1990" s="10" t="n"/>
      <c r="X1990" s="10" t="n"/>
      <c r="Y1990" s="10" t="n"/>
      <c r="Z1990" s="10" t="n"/>
      <c r="AA1990" s="11">
        <f>IF(A1990="","",IF(AND(J1990="P4",F1990="causal"),"P4-CAUSAL",""))</f>
        <v/>
      </c>
    </row>
    <row r="1991" ht="15" customHeight="1" s="1">
      <c r="P1991">
        <f>IF(OR(F1991="",H1991="",J1991=""),"",J1991&amp;"|"&amp;F1991&amp;"|"&amp;IF(H1991="W3","W3_"&amp;IF(I1991="","unknown",I1991),H1991))</f>
        <v/>
      </c>
      <c r="Q1991">
        <f>IF(P1991="","",IFERROR(IF(AND(H1991="W7",OR(F1991="causal",F1991="predictive")),IF(AND(OR(K1991=1,K1991="1"),OR(L1991=1,L1991="1"),OR(M1991=1,M1991="1")),"adequate","partial"),IF(AND(H1991="W4",F1991="predictive",OR(J1991="P2",J1991="P3",J1991="P4")),IF(OR(U1991=1,U1991="1"),"adequate","partial"),INDEX(Fit_Matrix!$B:$B,MATCH(P1991,Fit_Matrix!$A:$A,0)))),"CHECK KEY"))</f>
        <v/>
      </c>
      <c r="U1991" s="10" t="n"/>
      <c r="V1991" s="10" t="n"/>
      <c r="W1991" s="10" t="n"/>
      <c r="X1991" s="10" t="n"/>
      <c r="Y1991" s="10" t="n"/>
      <c r="Z1991" s="10" t="n"/>
      <c r="AA1991" s="11">
        <f>IF(A1991="","",IF(AND(J1991="P4",F1991="causal"),"P4-CAUSAL",""))</f>
        <v/>
      </c>
    </row>
    <row r="1992" ht="15" customHeight="1" s="1">
      <c r="P1992">
        <f>IF(OR(F1992="",H1992="",J1992=""),"",J1992&amp;"|"&amp;F1992&amp;"|"&amp;IF(H1992="W3","W3_"&amp;IF(I1992="","unknown",I1992),H1992))</f>
        <v/>
      </c>
      <c r="Q1992">
        <f>IF(P1992="","",IFERROR(IF(AND(H1992="W7",OR(F1992="causal",F1992="predictive")),IF(AND(OR(K1992=1,K1992="1"),OR(L1992=1,L1992="1"),OR(M1992=1,M1992="1")),"adequate","partial"),IF(AND(H1992="W4",F1992="predictive",OR(J1992="P2",J1992="P3",J1992="P4")),IF(OR(U1992=1,U1992="1"),"adequate","partial"),INDEX(Fit_Matrix!$B:$B,MATCH(P1992,Fit_Matrix!$A:$A,0)))),"CHECK KEY"))</f>
        <v/>
      </c>
      <c r="U1992" s="10" t="n"/>
      <c r="V1992" s="10" t="n"/>
      <c r="W1992" s="10" t="n"/>
      <c r="X1992" s="10" t="n"/>
      <c r="Y1992" s="10" t="n"/>
      <c r="Z1992" s="10" t="n"/>
      <c r="AA1992" s="11">
        <f>IF(A1992="","",IF(AND(J1992="P4",F1992="causal"),"P4-CAUSAL",""))</f>
        <v/>
      </c>
    </row>
    <row r="1993" ht="15" customHeight="1" s="1">
      <c r="P1993">
        <f>IF(OR(F1993="",H1993="",J1993=""),"",J1993&amp;"|"&amp;F1993&amp;"|"&amp;IF(H1993="W3","W3_"&amp;IF(I1993="","unknown",I1993),H1993))</f>
        <v/>
      </c>
      <c r="Q1993">
        <f>IF(P1993="","",IFERROR(IF(AND(H1993="W7",OR(F1993="causal",F1993="predictive")),IF(AND(OR(K1993=1,K1993="1"),OR(L1993=1,L1993="1"),OR(M1993=1,M1993="1")),"adequate","partial"),IF(AND(H1993="W4",F1993="predictive",OR(J1993="P2",J1993="P3",J1993="P4")),IF(OR(U1993=1,U1993="1"),"adequate","partial"),INDEX(Fit_Matrix!$B:$B,MATCH(P1993,Fit_Matrix!$A:$A,0)))),"CHECK KEY"))</f>
        <v/>
      </c>
      <c r="U1993" s="10" t="n"/>
      <c r="V1993" s="10" t="n"/>
      <c r="W1993" s="10" t="n"/>
      <c r="X1993" s="10" t="n"/>
      <c r="Y1993" s="10" t="n"/>
      <c r="Z1993" s="10" t="n"/>
      <c r="AA1993" s="11">
        <f>IF(A1993="","",IF(AND(J1993="P4",F1993="causal"),"P4-CAUSAL",""))</f>
        <v/>
      </c>
    </row>
    <row r="1994" ht="15" customHeight="1" s="1">
      <c r="P1994">
        <f>IF(OR(F1994="",H1994="",J1994=""),"",J1994&amp;"|"&amp;F1994&amp;"|"&amp;IF(H1994="W3","W3_"&amp;IF(I1994="","unknown",I1994),H1994))</f>
        <v/>
      </c>
      <c r="Q1994">
        <f>IF(P1994="","",IFERROR(IF(AND(H1994="W7",OR(F1994="causal",F1994="predictive")),IF(AND(OR(K1994=1,K1994="1"),OR(L1994=1,L1994="1"),OR(M1994=1,M1994="1")),"adequate","partial"),IF(AND(H1994="W4",F1994="predictive",OR(J1994="P2",J1994="P3",J1994="P4")),IF(OR(U1994=1,U1994="1"),"adequate","partial"),INDEX(Fit_Matrix!$B:$B,MATCH(P1994,Fit_Matrix!$A:$A,0)))),"CHECK KEY"))</f>
        <v/>
      </c>
      <c r="U1994" s="10" t="n"/>
      <c r="V1994" s="10" t="n"/>
      <c r="W1994" s="10" t="n"/>
      <c r="X1994" s="10" t="n"/>
      <c r="Y1994" s="10" t="n"/>
      <c r="Z1994" s="10" t="n"/>
      <c r="AA1994" s="11">
        <f>IF(A1994="","",IF(AND(J1994="P4",F1994="causal"),"P4-CAUSAL",""))</f>
        <v/>
      </c>
    </row>
    <row r="1995" ht="15" customHeight="1" s="1">
      <c r="P1995">
        <f>IF(OR(F1995="",H1995="",J1995=""),"",J1995&amp;"|"&amp;F1995&amp;"|"&amp;IF(H1995="W3","W3_"&amp;IF(I1995="","unknown",I1995),H1995))</f>
        <v/>
      </c>
      <c r="Q1995">
        <f>IF(P1995="","",IFERROR(IF(AND(H1995="W7",OR(F1995="causal",F1995="predictive")),IF(AND(OR(K1995=1,K1995="1"),OR(L1995=1,L1995="1"),OR(M1995=1,M1995="1")),"adequate","partial"),IF(AND(H1995="W4",F1995="predictive",OR(J1995="P2",J1995="P3",J1995="P4")),IF(OR(U1995=1,U1995="1"),"adequate","partial"),INDEX(Fit_Matrix!$B:$B,MATCH(P1995,Fit_Matrix!$A:$A,0)))),"CHECK KEY"))</f>
        <v/>
      </c>
      <c r="U1995" s="10" t="n"/>
      <c r="V1995" s="10" t="n"/>
      <c r="W1995" s="10" t="n"/>
      <c r="X1995" s="10" t="n"/>
      <c r="Y1995" s="10" t="n"/>
      <c r="Z1995" s="10" t="n"/>
      <c r="AA1995" s="11">
        <f>IF(A1995="","",IF(AND(J1995="P4",F1995="causal"),"P4-CAUSAL",""))</f>
        <v/>
      </c>
    </row>
    <row r="1996" ht="15" customHeight="1" s="1">
      <c r="P1996">
        <f>IF(OR(F1996="",H1996="",J1996=""),"",J1996&amp;"|"&amp;F1996&amp;"|"&amp;IF(H1996="W3","W3_"&amp;IF(I1996="","unknown",I1996),H1996))</f>
        <v/>
      </c>
      <c r="Q1996">
        <f>IF(P1996="","",IFERROR(IF(AND(H1996="W7",OR(F1996="causal",F1996="predictive")),IF(AND(OR(K1996=1,K1996="1"),OR(L1996=1,L1996="1"),OR(M1996=1,M1996="1")),"adequate","partial"),IF(AND(H1996="W4",F1996="predictive",OR(J1996="P2",J1996="P3",J1996="P4")),IF(OR(U1996=1,U1996="1"),"adequate","partial"),INDEX(Fit_Matrix!$B:$B,MATCH(P1996,Fit_Matrix!$A:$A,0)))),"CHECK KEY"))</f>
        <v/>
      </c>
      <c r="U1996" s="10" t="n"/>
      <c r="V1996" s="10" t="n"/>
      <c r="W1996" s="10" t="n"/>
      <c r="X1996" s="10" t="n"/>
      <c r="Y1996" s="10" t="n"/>
      <c r="Z1996" s="10" t="n"/>
      <c r="AA1996" s="11">
        <f>IF(A1996="","",IF(AND(J1996="P4",F1996="causal"),"P4-CAUSAL",""))</f>
        <v/>
      </c>
    </row>
    <row r="1997" ht="15" customHeight="1" s="1">
      <c r="P1997">
        <f>IF(OR(F1997="",H1997="",J1997=""),"",J1997&amp;"|"&amp;F1997&amp;"|"&amp;IF(H1997="W3","W3_"&amp;IF(I1997="","unknown",I1997),H1997))</f>
        <v/>
      </c>
      <c r="Q1997">
        <f>IF(P1997="","",IFERROR(IF(AND(H1997="W7",OR(F1997="causal",F1997="predictive")),IF(AND(OR(K1997=1,K1997="1"),OR(L1997=1,L1997="1"),OR(M1997=1,M1997="1")),"adequate","partial"),IF(AND(H1997="W4",F1997="predictive",OR(J1997="P2",J1997="P3",J1997="P4")),IF(OR(U1997=1,U1997="1"),"adequate","partial"),INDEX(Fit_Matrix!$B:$B,MATCH(P1997,Fit_Matrix!$A:$A,0)))),"CHECK KEY"))</f>
        <v/>
      </c>
      <c r="U1997" s="10" t="n"/>
      <c r="V1997" s="10" t="n"/>
      <c r="W1997" s="10" t="n"/>
      <c r="X1997" s="10" t="n"/>
      <c r="Y1997" s="10" t="n"/>
      <c r="Z1997" s="10" t="n"/>
      <c r="AA1997" s="11">
        <f>IF(A1997="","",IF(AND(J1997="P4",F1997="causal"),"P4-CAUSAL",""))</f>
        <v/>
      </c>
    </row>
    <row r="1998" ht="15" customHeight="1" s="1">
      <c r="P1998">
        <f>IF(OR(F1998="",H1998="",J1998=""),"",J1998&amp;"|"&amp;F1998&amp;"|"&amp;IF(H1998="W3","W3_"&amp;IF(I1998="","unknown",I1998),H1998))</f>
        <v/>
      </c>
      <c r="Q1998">
        <f>IF(P1998="","",IFERROR(IF(AND(H1998="W7",OR(F1998="causal",F1998="predictive")),IF(AND(OR(K1998=1,K1998="1"),OR(L1998=1,L1998="1"),OR(M1998=1,M1998="1")),"adequate","partial"),IF(AND(H1998="W4",F1998="predictive",OR(J1998="P2",J1998="P3",J1998="P4")),IF(OR(U1998=1,U1998="1"),"adequate","partial"),INDEX(Fit_Matrix!$B:$B,MATCH(P1998,Fit_Matrix!$A:$A,0)))),"CHECK KEY"))</f>
        <v/>
      </c>
      <c r="U1998" s="10" t="n"/>
      <c r="V1998" s="10" t="n"/>
      <c r="W1998" s="10" t="n"/>
      <c r="X1998" s="10" t="n"/>
      <c r="Y1998" s="10" t="n"/>
      <c r="Z1998" s="10" t="n"/>
      <c r="AA1998" s="11">
        <f>IF(A1998="","",IF(AND(J1998="P4",F1998="causal"),"P4-CAUSAL",""))</f>
        <v/>
      </c>
    </row>
    <row r="1999" ht="15" customHeight="1" s="1">
      <c r="P1999">
        <f>IF(OR(F1999="",H1999="",J1999=""),"",J1999&amp;"|"&amp;F1999&amp;"|"&amp;IF(H1999="W3","W3_"&amp;IF(I1999="","unknown",I1999),H1999))</f>
        <v/>
      </c>
      <c r="Q1999">
        <f>IF(P1999="","",IFERROR(IF(AND(H1999="W7",OR(F1999="causal",F1999="predictive")),IF(AND(OR(K1999=1,K1999="1"),OR(L1999=1,L1999="1"),OR(M1999=1,M1999="1")),"adequate","partial"),IF(AND(H1999="W4",F1999="predictive",OR(J1999="P2",J1999="P3",J1999="P4")),IF(OR(U1999=1,U1999="1"),"adequate","partial"),INDEX(Fit_Matrix!$B:$B,MATCH(P1999,Fit_Matrix!$A:$A,0)))),"CHECK KEY"))</f>
        <v/>
      </c>
      <c r="U1999" s="10" t="n"/>
      <c r="V1999" s="10" t="n"/>
      <c r="W1999" s="10" t="n"/>
      <c r="X1999" s="10" t="n"/>
      <c r="Y1999" s="10" t="n"/>
      <c r="Z1999" s="10" t="n"/>
      <c r="AA1999" s="11">
        <f>IF(A1999="","",IF(AND(J1999="P4",F1999="causal"),"P4-CAUSAL",""))</f>
        <v/>
      </c>
    </row>
    <row r="2000" ht="15" customHeight="1" s="1">
      <c r="P2000">
        <f>IF(OR(F2000="",H2000="",J2000=""),"",J2000&amp;"|"&amp;F2000&amp;"|"&amp;IF(H2000="W3","W3_"&amp;IF(I2000="","unknown",I2000),H2000))</f>
        <v/>
      </c>
      <c r="Q2000">
        <f>IF(P2000="","",IFERROR(IF(AND(H2000="W7",OR(F2000="causal",F2000="predictive")),IF(AND(OR(K2000=1,K2000="1"),OR(L2000=1,L2000="1"),OR(M2000=1,M2000="1")),"adequate","partial"),IF(AND(H2000="W4",F2000="predictive",OR(J2000="P2",J2000="P3",J2000="P4")),IF(OR(U2000=1,U2000="1"),"adequate","partial"),INDEX(Fit_Matrix!$B:$B,MATCH(P2000,Fit_Matrix!$A:$A,0)))),"CHECK KEY"))</f>
        <v/>
      </c>
      <c r="U2000" s="10" t="n"/>
      <c r="V2000" s="10" t="n"/>
      <c r="W2000" s="10" t="n"/>
      <c r="X2000" s="10" t="n"/>
      <c r="Y2000" s="10" t="n"/>
      <c r="Z2000" s="10" t="n"/>
      <c r="AA2000" s="11">
        <f>IF(A2000="","",IF(AND(J2000="P4",F2000="causal"),"P4-CAUSAL",""))</f>
        <v/>
      </c>
    </row>
    <row r="2001" ht="15" customHeight="1" s="1">
      <c r="P2001">
        <f>IF(OR(F2001="",H2001="",J2001=""),"",J2001&amp;"|"&amp;F2001&amp;"|"&amp;IF(H2001="W3","W3_"&amp;IF(I2001="","unknown",I2001),H2001))</f>
        <v/>
      </c>
      <c r="Q2001">
        <f>IF(P2001="","",IFERROR(IF(AND(H2001="W7",OR(F2001="causal",F2001="predictive")),IF(AND(OR(K2001=1,K2001="1"),OR(L2001=1,L2001="1"),OR(M2001=1,M2001="1")),"adequate","partial"),IF(AND(H2001="W4",F2001="predictive",OR(J2001="P2",J2001="P3",J2001="P4")),IF(OR(U2001=1,U2001="1"),"adequate","partial"),INDEX(Fit_Matrix!$B:$B,MATCH(P2001,Fit_Matrix!$A:$A,0)))),"CHECK KEY"))</f>
        <v/>
      </c>
      <c r="U2001" s="10" t="n"/>
      <c r="V2001" s="10" t="n"/>
      <c r="W2001" s="10" t="n"/>
      <c r="X2001" s="10" t="n"/>
      <c r="Y2001" s="10" t="n"/>
      <c r="Z2001" s="10" t="n"/>
      <c r="AA2001" s="11">
        <f>IF(A2001="","",IF(AND(J2001="P4",F2001="causal"),"P4-CAUSAL",""))</f>
        <v/>
      </c>
    </row>
    <row r="2002" ht="15" customHeight="1" s="1">
      <c r="P2002">
        <f>IF(OR(F2002="",H2002="",J2002=""),"",J2002&amp;"|"&amp;F2002&amp;"|"&amp;IF(H2002="W3","W3_"&amp;IF(I2002="","unknown",I2002),H2002))</f>
        <v/>
      </c>
      <c r="Q2002">
        <f>IF(P2002="","",IFERROR(IF(AND(H2002="W7",OR(F2002="causal",F2002="predictive")),IF(AND(OR(K2002=1,K2002="1"),OR(L2002=1,L2002="1"),OR(M2002=1,M2002="1")),"adequate","partial"),IF(AND(H2002="W4",F2002="predictive",OR(J2002="P2",J2002="P3",J2002="P4")),IF(OR(U2002=1,U2002="1"),"adequate","partial"),INDEX(Fit_Matrix!$B:$B,MATCH(P2002,Fit_Matrix!$A:$A,0)))),"CHECK KEY"))</f>
        <v/>
      </c>
      <c r="U2002" s="10" t="n"/>
      <c r="V2002" s="10" t="n"/>
      <c r="W2002" s="10" t="n"/>
      <c r="X2002" s="10" t="n"/>
      <c r="Y2002" s="10" t="n"/>
      <c r="Z2002" s="10" t="n"/>
      <c r="AA2002" s="11">
        <f>IF(A2002="","",IF(AND(J2002="P4",F2002="causal"),"P4-CAUSAL",""))</f>
        <v/>
      </c>
    </row>
    <row r="2003" ht="15" customHeight="1" s="1">
      <c r="P2003">
        <f>IF(OR(F2003="",H2003="",J2003=""),"",J2003&amp;"|"&amp;F2003&amp;"|"&amp;IF(H2003="W3","W3_"&amp;IF(I2003="","unknown",I2003),H2003))</f>
        <v/>
      </c>
      <c r="Q2003">
        <f>IF(P2003="","",IFERROR(IF(AND(H2003="W7",OR(F2003="causal",F2003="predictive")),IF(AND(OR(K2003=1,K2003="1"),OR(L2003=1,L2003="1"),OR(M2003=1,M2003="1")),"adequate","partial"),IF(AND(H2003="W4",F2003="predictive",OR(J2003="P2",J2003="P3",J2003="P4")),IF(OR(U2003=1,U2003="1"),"adequate","partial"),INDEX(Fit_Matrix!$B:$B,MATCH(P2003,Fit_Matrix!$A:$A,0)))),"CHECK KEY"))</f>
        <v/>
      </c>
      <c r="U2003" s="10" t="n"/>
      <c r="V2003" s="10" t="n"/>
      <c r="W2003" s="10" t="n"/>
      <c r="X2003" s="10" t="n"/>
      <c r="Y2003" s="10" t="n"/>
      <c r="Z2003" s="10" t="n"/>
      <c r="AA2003" s="11">
        <f>IF(A2003="","",IF(AND(J2003="P4",F2003="causal"),"P4-CAUSAL",""))</f>
        <v/>
      </c>
    </row>
    <row r="2004" ht="15" customHeight="1" s="1">
      <c r="P2004">
        <f>IF(OR(F2004="",H2004="",J2004=""),"",J2004&amp;"|"&amp;F2004&amp;"|"&amp;IF(H2004="W3","W3_"&amp;IF(I2004="","unknown",I2004),H2004))</f>
        <v/>
      </c>
      <c r="Q2004">
        <f>IF(P2004="","",IFERROR(IF(AND(H2004="W7",OR(F2004="causal",F2004="predictive")),IF(AND(OR(K2004=1,K2004="1"),OR(L2004=1,L2004="1"),OR(M2004=1,M2004="1")),"adequate","partial"),IF(AND(H2004="W4",F2004="predictive",OR(J2004="P2",J2004="P3",J2004="P4")),IF(OR(U2004=1,U2004="1"),"adequate","partial"),INDEX(Fit_Matrix!$B:$B,MATCH(P2004,Fit_Matrix!$A:$A,0)))),"CHECK KEY"))</f>
        <v/>
      </c>
      <c r="U2004" s="10" t="n"/>
      <c r="V2004" s="10" t="n"/>
      <c r="W2004" s="10" t="n"/>
      <c r="X2004" s="10" t="n"/>
      <c r="Y2004" s="10" t="n"/>
      <c r="Z2004" s="10" t="n"/>
      <c r="AA2004" s="11">
        <f>IF(A2004="","",IF(AND(J2004="P4",F2004="causal"),"P4-CAUSAL",""))</f>
        <v/>
      </c>
    </row>
    <row r="2005" ht="15" customHeight="1" s="1">
      <c r="P2005">
        <f>IF(OR(F2005="",H2005="",J2005=""),"",J2005&amp;"|"&amp;F2005&amp;"|"&amp;IF(H2005="W3","W3_"&amp;IF(I2005="","unknown",I2005),H2005))</f>
        <v/>
      </c>
      <c r="Q2005">
        <f>IF(P2005="","",IFERROR(IF(AND(H2005="W7",OR(F2005="causal",F2005="predictive")),IF(AND(OR(K2005=1,K2005="1"),OR(L2005=1,L2005="1"),OR(M2005=1,M2005="1")),"adequate","partial"),IF(AND(H2005="W4",F2005="predictive",OR(J2005="P2",J2005="P3",J2005="P4")),IF(OR(U2005=1,U2005="1"),"adequate","partial"),INDEX(Fit_Matrix!$B:$B,MATCH(P2005,Fit_Matrix!$A:$A,0)))),"CHECK KEY"))</f>
        <v/>
      </c>
      <c r="U2005" s="10" t="n"/>
      <c r="V2005" s="10" t="n"/>
      <c r="W2005" s="10" t="n"/>
      <c r="X2005" s="10" t="n"/>
      <c r="Y2005" s="10" t="n"/>
      <c r="Z2005" s="10" t="n"/>
      <c r="AA2005" s="11">
        <f>IF(A2005="","",IF(AND(J2005="P4",F2005="causal"),"P4-CAUSAL",""))</f>
        <v/>
      </c>
    </row>
    <row r="2006" ht="15" customHeight="1" s="1">
      <c r="P2006">
        <f>IF(OR(F2006="",H2006="",J2006=""),"",J2006&amp;"|"&amp;F2006&amp;"|"&amp;IF(H2006="W3","W3_"&amp;IF(I2006="","unknown",I2006),H2006))</f>
        <v/>
      </c>
      <c r="Q2006">
        <f>IF(P2006="","",IFERROR(IF(AND(H2006="W7",OR(F2006="causal",F2006="predictive")),IF(AND(OR(K2006=1,K2006="1"),OR(L2006=1,L2006="1"),OR(M2006=1,M2006="1")),"adequate","partial"),IF(AND(H2006="W4",F2006="predictive",OR(J2006="P2",J2006="P3",J2006="P4")),IF(OR(U2006=1,U2006="1"),"adequate","partial"),INDEX(Fit_Matrix!$B:$B,MATCH(P2006,Fit_Matrix!$A:$A,0)))),"CHECK KEY"))</f>
        <v/>
      </c>
      <c r="U2006" s="10" t="n"/>
      <c r="V2006" s="10" t="n"/>
      <c r="W2006" s="10" t="n"/>
      <c r="X2006" s="10" t="n"/>
      <c r="Y2006" s="10" t="n"/>
      <c r="Z2006" s="10" t="n"/>
      <c r="AA2006" s="11">
        <f>IF(A2006="","",IF(AND(J2006="P4",F2006="causal"),"P4-CAUSAL",""))</f>
        <v/>
      </c>
    </row>
    <row r="2007" ht="15" customHeight="1" s="1">
      <c r="P2007">
        <f>IF(OR(F2007="",H2007="",J2007=""),"",J2007&amp;"|"&amp;F2007&amp;"|"&amp;IF(H2007="W3","W3_"&amp;IF(I2007="","unknown",I2007),H2007))</f>
        <v/>
      </c>
      <c r="Q2007">
        <f>IF(P2007="","",IFERROR(IF(AND(H2007="W7",OR(F2007="causal",F2007="predictive")),IF(AND(OR(K2007=1,K2007="1"),OR(L2007=1,L2007="1"),OR(M2007=1,M2007="1")),"adequate","partial"),IF(AND(H2007="W4",F2007="predictive",OR(J2007="P2",J2007="P3",J2007="P4")),IF(OR(U2007=1,U2007="1"),"adequate","partial"),INDEX(Fit_Matrix!$B:$B,MATCH(P2007,Fit_Matrix!$A:$A,0)))),"CHECK KEY"))</f>
        <v/>
      </c>
      <c r="U2007" s="10" t="n"/>
      <c r="V2007" s="10" t="n"/>
      <c r="W2007" s="10" t="n"/>
      <c r="X2007" s="10" t="n"/>
      <c r="Y2007" s="10" t="n"/>
      <c r="Z2007" s="10" t="n"/>
      <c r="AA2007" s="11">
        <f>IF(A2007="","",IF(AND(J2007="P4",F2007="causal"),"P4-CAUSAL",""))</f>
        <v/>
      </c>
    </row>
    <row r="2008" ht="15" customHeight="1" s="1">
      <c r="P2008">
        <f>IF(OR(F2008="",H2008="",J2008=""),"",J2008&amp;"|"&amp;F2008&amp;"|"&amp;IF(H2008="W3","W3_"&amp;IF(I2008="","unknown",I2008),H2008))</f>
        <v/>
      </c>
      <c r="Q2008">
        <f>IF(P2008="","",IFERROR(IF(AND(H2008="W7",OR(F2008="causal",F2008="predictive")),IF(AND(OR(K2008=1,K2008="1"),OR(L2008=1,L2008="1"),OR(M2008=1,M2008="1")),"adequate","partial"),IF(AND(H2008="W4",F2008="predictive",OR(J2008="P2",J2008="P3",J2008="P4")),IF(OR(U2008=1,U2008="1"),"adequate","partial"),INDEX(Fit_Matrix!$B:$B,MATCH(P2008,Fit_Matrix!$A:$A,0)))),"CHECK KEY"))</f>
        <v/>
      </c>
      <c r="U2008" s="10" t="n"/>
      <c r="V2008" s="10" t="n"/>
      <c r="W2008" s="10" t="n"/>
      <c r="X2008" s="10" t="n"/>
      <c r="Y2008" s="10" t="n"/>
      <c r="Z2008" s="10" t="n"/>
      <c r="AA2008" s="11">
        <f>IF(A2008="","",IF(AND(J2008="P4",F2008="causal"),"P4-CAUSAL",""))</f>
        <v/>
      </c>
    </row>
    <row r="2009" ht="15" customHeight="1" s="1">
      <c r="P2009">
        <f>IF(OR(F2009="",H2009="",J2009=""),"",J2009&amp;"|"&amp;F2009&amp;"|"&amp;IF(H2009="W3","W3_"&amp;IF(I2009="","unknown",I2009),H2009))</f>
        <v/>
      </c>
      <c r="Q2009">
        <f>IF(P2009="","",IFERROR(IF(AND(H2009="W7",OR(F2009="causal",F2009="predictive")),IF(AND(OR(K2009=1,K2009="1"),OR(L2009=1,L2009="1"),OR(M2009=1,M2009="1")),"adequate","partial"),IF(AND(H2009="W4",F2009="predictive",OR(J2009="P2",J2009="P3",J2009="P4")),IF(OR(U2009=1,U2009="1"),"adequate","partial"),INDEX(Fit_Matrix!$B:$B,MATCH(P2009,Fit_Matrix!$A:$A,0)))),"CHECK KEY"))</f>
        <v/>
      </c>
      <c r="U2009" s="10" t="n"/>
      <c r="V2009" s="10" t="n"/>
      <c r="W2009" s="10" t="n"/>
      <c r="X2009" s="10" t="n"/>
      <c r="Y2009" s="10" t="n"/>
      <c r="Z2009" s="10" t="n"/>
      <c r="AA2009" s="11">
        <f>IF(A2009="","",IF(AND(J2009="P4",F2009="causal"),"P4-CAUSAL",""))</f>
        <v/>
      </c>
    </row>
    <row r="2010" ht="15" customHeight="1" s="1">
      <c r="P2010">
        <f>IF(OR(F2010="",H2010="",J2010=""),"",J2010&amp;"|"&amp;F2010&amp;"|"&amp;IF(H2010="W3","W3_"&amp;IF(I2010="","unknown",I2010),H2010))</f>
        <v/>
      </c>
      <c r="Q2010">
        <f>IF(P2010="","",IFERROR(IF(AND(H2010="W7",OR(F2010="causal",F2010="predictive")),IF(AND(OR(K2010=1,K2010="1"),OR(L2010=1,L2010="1"),OR(M2010=1,M2010="1")),"adequate","partial"),IF(AND(H2010="W4",F2010="predictive",OR(J2010="P2",J2010="P3",J2010="P4")),IF(OR(U2010=1,U2010="1"),"adequate","partial"),INDEX(Fit_Matrix!$B:$B,MATCH(P2010,Fit_Matrix!$A:$A,0)))),"CHECK KEY"))</f>
        <v/>
      </c>
      <c r="U2010" s="10" t="n"/>
      <c r="V2010" s="10" t="n"/>
      <c r="W2010" s="10" t="n"/>
      <c r="X2010" s="10" t="n"/>
      <c r="Y2010" s="10" t="n"/>
      <c r="Z2010" s="10" t="n"/>
      <c r="AA2010" s="11">
        <f>IF(A2010="","",IF(AND(J2010="P4",F2010="causal"),"P4-CAUSAL",""))</f>
        <v/>
      </c>
    </row>
    <row r="2011" ht="15" customHeight="1" s="1">
      <c r="P2011">
        <f>IF(OR(F2011="",H2011="",J2011=""),"",J2011&amp;"|"&amp;F2011&amp;"|"&amp;IF(H2011="W3","W3_"&amp;IF(I2011="","unknown",I2011),H2011))</f>
        <v/>
      </c>
      <c r="Q2011">
        <f>IF(P2011="","",IFERROR(IF(AND(H2011="W7",OR(F2011="causal",F2011="predictive")),IF(AND(OR(K2011=1,K2011="1"),OR(L2011=1,L2011="1"),OR(M2011=1,M2011="1")),"adequate","partial"),IF(AND(H2011="W4",F2011="predictive",OR(J2011="P2",J2011="P3",J2011="P4")),IF(OR(U2011=1,U2011="1"),"adequate","partial"),INDEX(Fit_Matrix!$B:$B,MATCH(P2011,Fit_Matrix!$A:$A,0)))),"CHECK KEY"))</f>
        <v/>
      </c>
      <c r="U2011" s="10" t="n"/>
      <c r="V2011" s="10" t="n"/>
      <c r="W2011" s="10" t="n"/>
      <c r="X2011" s="10" t="n"/>
      <c r="Y2011" s="10" t="n"/>
      <c r="Z2011" s="10" t="n"/>
      <c r="AA2011" s="11">
        <f>IF(A2011="","",IF(AND(J2011="P4",F2011="causal"),"P4-CAUSAL",""))</f>
        <v/>
      </c>
    </row>
    <row r="2012" ht="15" customHeight="1" s="1">
      <c r="P2012">
        <f>IF(OR(F2012="",H2012="",J2012=""),"",J2012&amp;"|"&amp;F2012&amp;"|"&amp;IF(H2012="W3","W3_"&amp;IF(I2012="","unknown",I2012),H2012))</f>
        <v/>
      </c>
      <c r="Q2012">
        <f>IF(P2012="","",IFERROR(IF(AND(H2012="W7",OR(F2012="causal",F2012="predictive")),IF(AND(OR(K2012=1,K2012="1"),OR(L2012=1,L2012="1"),OR(M2012=1,M2012="1")),"adequate","partial"),IF(AND(H2012="W4",F2012="predictive",OR(J2012="P2",J2012="P3",J2012="P4")),IF(OR(U2012=1,U2012="1"),"adequate","partial"),INDEX(Fit_Matrix!$B:$B,MATCH(P2012,Fit_Matrix!$A:$A,0)))),"CHECK KEY"))</f>
        <v/>
      </c>
      <c r="U2012" s="10" t="n"/>
      <c r="V2012" s="10" t="n"/>
      <c r="W2012" s="10" t="n"/>
      <c r="X2012" s="10" t="n"/>
      <c r="Y2012" s="10" t="n"/>
      <c r="Z2012" s="10" t="n"/>
      <c r="AA2012" s="11">
        <f>IF(A2012="","",IF(AND(J2012="P4",F2012="causal"),"P4-CAUSAL",""))</f>
        <v/>
      </c>
    </row>
    <row r="2013" ht="15" customHeight="1" s="1">
      <c r="P2013">
        <f>IF(OR(F2013="",H2013="",J2013=""),"",J2013&amp;"|"&amp;F2013&amp;"|"&amp;IF(H2013="W3","W3_"&amp;IF(I2013="","unknown",I2013),H2013))</f>
        <v/>
      </c>
      <c r="Q2013">
        <f>IF(P2013="","",IFERROR(IF(AND(H2013="W7",OR(F2013="causal",F2013="predictive")),IF(AND(OR(K2013=1,K2013="1"),OR(L2013=1,L2013="1"),OR(M2013=1,M2013="1")),"adequate","partial"),IF(AND(H2013="W4",F2013="predictive",OR(J2013="P2",J2013="P3",J2013="P4")),IF(OR(U2013=1,U2013="1"),"adequate","partial"),INDEX(Fit_Matrix!$B:$B,MATCH(P2013,Fit_Matrix!$A:$A,0)))),"CHECK KEY"))</f>
        <v/>
      </c>
      <c r="U2013" s="10" t="n"/>
      <c r="V2013" s="10" t="n"/>
      <c r="W2013" s="10" t="n"/>
      <c r="X2013" s="10" t="n"/>
      <c r="Y2013" s="10" t="n"/>
      <c r="Z2013" s="10" t="n"/>
      <c r="AA2013" s="11">
        <f>IF(A2013="","",IF(AND(J2013="P4",F2013="causal"),"P4-CAUSAL",""))</f>
        <v/>
      </c>
    </row>
    <row r="2014" ht="15" customHeight="1" s="1">
      <c r="P2014">
        <f>IF(OR(F2014="",H2014="",J2014=""),"",J2014&amp;"|"&amp;F2014&amp;"|"&amp;IF(H2014="W3","W3_"&amp;IF(I2014="","unknown",I2014),H2014))</f>
        <v/>
      </c>
      <c r="Q2014">
        <f>IF(P2014="","",IFERROR(IF(AND(H2014="W7",OR(F2014="causal",F2014="predictive")),IF(AND(OR(K2014=1,K2014="1"),OR(L2014=1,L2014="1"),OR(M2014=1,M2014="1")),"adequate","partial"),IF(AND(H2014="W4",F2014="predictive",OR(J2014="P2",J2014="P3",J2014="P4")),IF(OR(U2014=1,U2014="1"),"adequate","partial"),INDEX(Fit_Matrix!$B:$B,MATCH(P2014,Fit_Matrix!$A:$A,0)))),"CHECK KEY"))</f>
        <v/>
      </c>
      <c r="U2014" s="10" t="n"/>
      <c r="V2014" s="10" t="n"/>
      <c r="W2014" s="10" t="n"/>
      <c r="X2014" s="10" t="n"/>
      <c r="Y2014" s="10" t="n"/>
      <c r="Z2014" s="10" t="n"/>
      <c r="AA2014" s="11">
        <f>IF(A2014="","",IF(AND(J2014="P4",F2014="causal"),"P4-CAUSAL",""))</f>
        <v/>
      </c>
    </row>
    <row r="2015" ht="15" customHeight="1" s="1">
      <c r="P2015">
        <f>IF(OR(F2015="",H2015="",J2015=""),"",J2015&amp;"|"&amp;F2015&amp;"|"&amp;IF(H2015="W3","W3_"&amp;IF(I2015="","unknown",I2015),H2015))</f>
        <v/>
      </c>
      <c r="Q2015">
        <f>IF(P2015="","",IFERROR(IF(AND(H2015="W7",OR(F2015="causal",F2015="predictive")),IF(AND(OR(K2015=1,K2015="1"),OR(L2015=1,L2015="1"),OR(M2015=1,M2015="1")),"adequate","partial"),IF(AND(H2015="W4",F2015="predictive",OR(J2015="P2",J2015="P3",J2015="P4")),IF(OR(U2015=1,U2015="1"),"adequate","partial"),INDEX(Fit_Matrix!$B:$B,MATCH(P2015,Fit_Matrix!$A:$A,0)))),"CHECK KEY"))</f>
        <v/>
      </c>
      <c r="U2015" s="10" t="n"/>
      <c r="V2015" s="10" t="n"/>
      <c r="W2015" s="10" t="n"/>
      <c r="X2015" s="10" t="n"/>
      <c r="Y2015" s="10" t="n"/>
      <c r="Z2015" s="10" t="n"/>
      <c r="AA2015" s="11">
        <f>IF(A2015="","",IF(AND(J2015="P4",F2015="causal"),"P4-CAUSAL",""))</f>
        <v/>
      </c>
    </row>
    <row r="2016" ht="15" customHeight="1" s="1">
      <c r="P2016">
        <f>IF(OR(F2016="",H2016="",J2016=""),"",J2016&amp;"|"&amp;F2016&amp;"|"&amp;IF(H2016="W3","W3_"&amp;IF(I2016="","unknown",I2016),H2016))</f>
        <v/>
      </c>
      <c r="Q2016">
        <f>IF(P2016="","",IFERROR(IF(AND(H2016="W7",OR(F2016="causal",F2016="predictive")),IF(AND(OR(K2016=1,K2016="1"),OR(L2016=1,L2016="1"),OR(M2016=1,M2016="1")),"adequate","partial"),IF(AND(H2016="W4",F2016="predictive",OR(J2016="P2",J2016="P3",J2016="P4")),IF(OR(U2016=1,U2016="1"),"adequate","partial"),INDEX(Fit_Matrix!$B:$B,MATCH(P2016,Fit_Matrix!$A:$A,0)))),"CHECK KEY"))</f>
        <v/>
      </c>
      <c r="U2016" s="10" t="n"/>
      <c r="V2016" s="10" t="n"/>
      <c r="W2016" s="10" t="n"/>
      <c r="X2016" s="10" t="n"/>
      <c r="Y2016" s="10" t="n"/>
      <c r="Z2016" s="10" t="n"/>
      <c r="AA2016" s="11">
        <f>IF(A2016="","",IF(AND(J2016="P4",F2016="causal"),"P4-CAUSAL",""))</f>
        <v/>
      </c>
    </row>
    <row r="2017" ht="15" customHeight="1" s="1">
      <c r="P2017">
        <f>IF(OR(F2017="",H2017="",J2017=""),"",J2017&amp;"|"&amp;F2017&amp;"|"&amp;IF(H2017="W3","W3_"&amp;IF(I2017="","unknown",I2017),H2017))</f>
        <v/>
      </c>
      <c r="Q2017">
        <f>IF(P2017="","",IFERROR(IF(AND(H2017="W7",OR(F2017="causal",F2017="predictive")),IF(AND(OR(K2017=1,K2017="1"),OR(L2017=1,L2017="1"),OR(M2017=1,M2017="1")),"adequate","partial"),IF(AND(H2017="W4",F2017="predictive",OR(J2017="P2",J2017="P3",J2017="P4")),IF(OR(U2017=1,U2017="1"),"adequate","partial"),INDEX(Fit_Matrix!$B:$B,MATCH(P2017,Fit_Matrix!$A:$A,0)))),"CHECK KEY"))</f>
        <v/>
      </c>
      <c r="U2017" s="10" t="n"/>
      <c r="V2017" s="10" t="n"/>
      <c r="W2017" s="10" t="n"/>
      <c r="X2017" s="10" t="n"/>
      <c r="Y2017" s="10" t="n"/>
      <c r="Z2017" s="10" t="n"/>
      <c r="AA2017" s="11">
        <f>IF(A2017="","",IF(AND(J2017="P4",F2017="causal"),"P4-CAUSAL",""))</f>
        <v/>
      </c>
    </row>
    <row r="2018" ht="15" customHeight="1" s="1">
      <c r="P2018">
        <f>IF(OR(F2018="",H2018="",J2018=""),"",J2018&amp;"|"&amp;F2018&amp;"|"&amp;IF(H2018="W3","W3_"&amp;IF(I2018="","unknown",I2018),H2018))</f>
        <v/>
      </c>
      <c r="Q2018">
        <f>IF(P2018="","",IFERROR(IF(AND(H2018="W7",OR(F2018="causal",F2018="predictive")),IF(AND(OR(K2018=1,K2018="1"),OR(L2018=1,L2018="1"),OR(M2018=1,M2018="1")),"adequate","partial"),IF(AND(H2018="W4",F2018="predictive",OR(J2018="P2",J2018="P3",J2018="P4")),IF(OR(U2018=1,U2018="1"),"adequate","partial"),INDEX(Fit_Matrix!$B:$B,MATCH(P2018,Fit_Matrix!$A:$A,0)))),"CHECK KEY"))</f>
        <v/>
      </c>
      <c r="U2018" s="10" t="n"/>
      <c r="V2018" s="10" t="n"/>
      <c r="W2018" s="10" t="n"/>
      <c r="X2018" s="10" t="n"/>
      <c r="Y2018" s="10" t="n"/>
      <c r="Z2018" s="10" t="n"/>
      <c r="AA2018" s="11">
        <f>IF(A2018="","",IF(AND(J2018="P4",F2018="causal"),"P4-CAUSAL",""))</f>
        <v/>
      </c>
    </row>
    <row r="2019" ht="15" customHeight="1" s="1">
      <c r="P2019">
        <f>IF(OR(F2019="",H2019="",J2019=""),"",J2019&amp;"|"&amp;F2019&amp;"|"&amp;IF(H2019="W3","W3_"&amp;IF(I2019="","unknown",I2019),H2019))</f>
        <v/>
      </c>
      <c r="Q2019">
        <f>IF(P2019="","",IFERROR(IF(AND(H2019="W7",OR(F2019="causal",F2019="predictive")),IF(AND(OR(K2019=1,K2019="1"),OR(L2019=1,L2019="1"),OR(M2019=1,M2019="1")),"adequate","partial"),IF(AND(H2019="W4",F2019="predictive",OR(J2019="P2",J2019="P3",J2019="P4")),IF(OR(U2019=1,U2019="1"),"adequate","partial"),INDEX(Fit_Matrix!$B:$B,MATCH(P2019,Fit_Matrix!$A:$A,0)))),"CHECK KEY"))</f>
        <v/>
      </c>
      <c r="U2019" s="10" t="n"/>
      <c r="V2019" s="10" t="n"/>
      <c r="W2019" s="10" t="n"/>
      <c r="X2019" s="10" t="n"/>
      <c r="Y2019" s="10" t="n"/>
      <c r="Z2019" s="10" t="n"/>
      <c r="AA2019" s="11">
        <f>IF(A2019="","",IF(AND(J2019="P4",F2019="causal"),"P4-CAUSAL",""))</f>
        <v/>
      </c>
    </row>
    <row r="2020" ht="15" customHeight="1" s="1">
      <c r="P2020">
        <f>IF(OR(F2020="",H2020="",J2020=""),"",J2020&amp;"|"&amp;F2020&amp;"|"&amp;IF(H2020="W3","W3_"&amp;IF(I2020="","unknown",I2020),H2020))</f>
        <v/>
      </c>
      <c r="Q2020">
        <f>IF(P2020="","",IFERROR(IF(AND(H2020="W7",OR(F2020="causal",F2020="predictive")),IF(AND(OR(K2020=1,K2020="1"),OR(L2020=1,L2020="1"),OR(M2020=1,M2020="1")),"adequate","partial"),IF(AND(H2020="W4",F2020="predictive",OR(J2020="P2",J2020="P3",J2020="P4")),IF(OR(U2020=1,U2020="1"),"adequate","partial"),INDEX(Fit_Matrix!$B:$B,MATCH(P2020,Fit_Matrix!$A:$A,0)))),"CHECK KEY"))</f>
        <v/>
      </c>
      <c r="U2020" s="10" t="n"/>
      <c r="V2020" s="10" t="n"/>
      <c r="W2020" s="10" t="n"/>
      <c r="X2020" s="10" t="n"/>
      <c r="Y2020" s="10" t="n"/>
      <c r="Z2020" s="10" t="n"/>
      <c r="AA2020" s="11">
        <f>IF(A2020="","",IF(AND(J2020="P4",F2020="causal"),"P4-CAUSAL",""))</f>
        <v/>
      </c>
    </row>
    <row r="2021" ht="15" customHeight="1" s="1">
      <c r="P2021">
        <f>IF(OR(F2021="",H2021="",J2021=""),"",J2021&amp;"|"&amp;F2021&amp;"|"&amp;IF(H2021="W3","W3_"&amp;IF(I2021="","unknown",I2021),H2021))</f>
        <v/>
      </c>
      <c r="Q2021">
        <f>IF(P2021="","",IFERROR(IF(AND(H2021="W7",OR(F2021="causal",F2021="predictive")),IF(AND(OR(K2021=1,K2021="1"),OR(L2021=1,L2021="1"),OR(M2021=1,M2021="1")),"adequate","partial"),IF(AND(H2021="W4",F2021="predictive",OR(J2021="P2",J2021="P3",J2021="P4")),IF(OR(U2021=1,U2021="1"),"adequate","partial"),INDEX(Fit_Matrix!$B:$B,MATCH(P2021,Fit_Matrix!$A:$A,0)))),"CHECK KEY"))</f>
        <v/>
      </c>
      <c r="U2021" s="10" t="n"/>
      <c r="V2021" s="10" t="n"/>
      <c r="W2021" s="10" t="n"/>
      <c r="X2021" s="10" t="n"/>
      <c r="Y2021" s="10" t="n"/>
      <c r="Z2021" s="10" t="n"/>
      <c r="AA2021" s="11">
        <f>IF(A2021="","",IF(AND(J2021="P4",F2021="causal"),"P4-CAUSAL",""))</f>
        <v/>
      </c>
    </row>
    <row r="2022" ht="15" customHeight="1" s="1">
      <c r="P2022">
        <f>IF(OR(F2022="",H2022="",J2022=""),"",J2022&amp;"|"&amp;F2022&amp;"|"&amp;IF(H2022="W3","W3_"&amp;IF(I2022="","unknown",I2022),H2022))</f>
        <v/>
      </c>
      <c r="Q2022">
        <f>IF(P2022="","",IFERROR(IF(AND(H2022="W7",OR(F2022="causal",F2022="predictive")),IF(AND(OR(K2022=1,K2022="1"),OR(L2022=1,L2022="1"),OR(M2022=1,M2022="1")),"adequate","partial"),IF(AND(H2022="W4",F2022="predictive",OR(J2022="P2",J2022="P3",J2022="P4")),IF(OR(U2022=1,U2022="1"),"adequate","partial"),INDEX(Fit_Matrix!$B:$B,MATCH(P2022,Fit_Matrix!$A:$A,0)))),"CHECK KEY"))</f>
        <v/>
      </c>
      <c r="U2022" s="10" t="n"/>
      <c r="V2022" s="10" t="n"/>
      <c r="W2022" s="10" t="n"/>
      <c r="X2022" s="10" t="n"/>
      <c r="Y2022" s="10" t="n"/>
      <c r="Z2022" s="10" t="n"/>
      <c r="AA2022" s="11">
        <f>IF(A2022="","",IF(AND(J2022="P4",F2022="causal"),"P4-CAUSAL",""))</f>
        <v/>
      </c>
    </row>
    <row r="2023" ht="15" customHeight="1" s="1">
      <c r="P2023">
        <f>IF(OR(F2023="",H2023="",J2023=""),"",J2023&amp;"|"&amp;F2023&amp;"|"&amp;IF(H2023="W3","W3_"&amp;IF(I2023="","unknown",I2023),H2023))</f>
        <v/>
      </c>
      <c r="Q2023">
        <f>IF(P2023="","",IFERROR(IF(AND(H2023="W7",OR(F2023="causal",F2023="predictive")),IF(AND(OR(K2023=1,K2023="1"),OR(L2023=1,L2023="1"),OR(M2023=1,M2023="1")),"adequate","partial"),IF(AND(H2023="W4",F2023="predictive",OR(J2023="P2",J2023="P3",J2023="P4")),IF(OR(U2023=1,U2023="1"),"adequate","partial"),INDEX(Fit_Matrix!$B:$B,MATCH(P2023,Fit_Matrix!$A:$A,0)))),"CHECK KEY"))</f>
        <v/>
      </c>
      <c r="U2023" s="10" t="n"/>
      <c r="V2023" s="10" t="n"/>
      <c r="W2023" s="10" t="n"/>
      <c r="X2023" s="10" t="n"/>
      <c r="Y2023" s="10" t="n"/>
      <c r="Z2023" s="10" t="n"/>
      <c r="AA2023" s="11">
        <f>IF(A2023="","",IF(AND(J2023="P4",F2023="causal"),"P4-CAUSAL",""))</f>
        <v/>
      </c>
    </row>
    <row r="2024" ht="15" customHeight="1" s="1">
      <c r="P2024">
        <f>IF(OR(F2024="",H2024="",J2024=""),"",J2024&amp;"|"&amp;F2024&amp;"|"&amp;IF(H2024="W3","W3_"&amp;IF(I2024="","unknown",I2024),H2024))</f>
        <v/>
      </c>
      <c r="Q2024">
        <f>IF(P2024="","",IFERROR(IF(AND(H2024="W7",OR(F2024="causal",F2024="predictive")),IF(AND(OR(K2024=1,K2024="1"),OR(L2024=1,L2024="1"),OR(M2024=1,M2024="1")),"adequate","partial"),IF(AND(H2024="W4",F2024="predictive",OR(J2024="P2",J2024="P3",J2024="P4")),IF(OR(U2024=1,U2024="1"),"adequate","partial"),INDEX(Fit_Matrix!$B:$B,MATCH(P2024,Fit_Matrix!$A:$A,0)))),"CHECK KEY"))</f>
        <v/>
      </c>
      <c r="U2024" s="10" t="n"/>
      <c r="V2024" s="10" t="n"/>
      <c r="W2024" s="10" t="n"/>
      <c r="X2024" s="10" t="n"/>
      <c r="Y2024" s="10" t="n"/>
      <c r="Z2024" s="10" t="n"/>
      <c r="AA2024" s="11">
        <f>IF(A2024="","",IF(AND(J2024="P4",F2024="causal"),"P4-CAUSAL",""))</f>
        <v/>
      </c>
    </row>
    <row r="2025" ht="15" customHeight="1" s="1">
      <c r="P2025">
        <f>IF(OR(F2025="",H2025="",J2025=""),"",J2025&amp;"|"&amp;F2025&amp;"|"&amp;IF(H2025="W3","W3_"&amp;IF(I2025="","unknown",I2025),H2025))</f>
        <v/>
      </c>
      <c r="Q2025">
        <f>IF(P2025="","",IFERROR(IF(AND(H2025="W7",OR(F2025="causal",F2025="predictive")),IF(AND(OR(K2025=1,K2025="1"),OR(L2025=1,L2025="1"),OR(M2025=1,M2025="1")),"adequate","partial"),IF(AND(H2025="W4",F2025="predictive",OR(J2025="P2",J2025="P3",J2025="P4")),IF(OR(U2025=1,U2025="1"),"adequate","partial"),INDEX(Fit_Matrix!$B:$B,MATCH(P2025,Fit_Matrix!$A:$A,0)))),"CHECK KEY"))</f>
        <v/>
      </c>
      <c r="U2025" s="10" t="n"/>
      <c r="V2025" s="10" t="n"/>
      <c r="W2025" s="10" t="n"/>
      <c r="X2025" s="10" t="n"/>
      <c r="Y2025" s="10" t="n"/>
      <c r="Z2025" s="10" t="n"/>
      <c r="AA2025" s="11">
        <f>IF(A2025="","",IF(AND(J2025="P4",F2025="causal"),"P4-CAUSAL",""))</f>
        <v/>
      </c>
    </row>
    <row r="2026" ht="15" customHeight="1" s="1">
      <c r="P2026">
        <f>IF(OR(F2026="",H2026="",J2026=""),"",J2026&amp;"|"&amp;F2026&amp;"|"&amp;IF(H2026="W3","W3_"&amp;IF(I2026="","unknown",I2026),H2026))</f>
        <v/>
      </c>
      <c r="Q2026">
        <f>IF(P2026="","",IFERROR(IF(AND(H2026="W7",OR(F2026="causal",F2026="predictive")),IF(AND(OR(K2026=1,K2026="1"),OR(L2026=1,L2026="1"),OR(M2026=1,M2026="1")),"adequate","partial"),IF(AND(H2026="W4",F2026="predictive",OR(J2026="P2",J2026="P3",J2026="P4")),IF(OR(U2026=1,U2026="1"),"adequate","partial"),INDEX(Fit_Matrix!$B:$B,MATCH(P2026,Fit_Matrix!$A:$A,0)))),"CHECK KEY"))</f>
        <v/>
      </c>
      <c r="U2026" s="10" t="n"/>
      <c r="V2026" s="10" t="n"/>
      <c r="W2026" s="10" t="n"/>
      <c r="X2026" s="10" t="n"/>
      <c r="Y2026" s="10" t="n"/>
      <c r="Z2026" s="10" t="n"/>
      <c r="AA2026" s="11">
        <f>IF(A2026="","",IF(AND(J2026="P4",F2026="causal"),"P4-CAUSAL",""))</f>
        <v/>
      </c>
    </row>
    <row r="2027" ht="15" customHeight="1" s="1">
      <c r="P2027">
        <f>IF(OR(F2027="",H2027="",J2027=""),"",J2027&amp;"|"&amp;F2027&amp;"|"&amp;IF(H2027="W3","W3_"&amp;IF(I2027="","unknown",I2027),H2027))</f>
        <v/>
      </c>
      <c r="Q2027">
        <f>IF(P2027="","",IFERROR(IF(AND(H2027="W7",OR(F2027="causal",F2027="predictive")),IF(AND(OR(K2027=1,K2027="1"),OR(L2027=1,L2027="1"),OR(M2027=1,M2027="1")),"adequate","partial"),IF(AND(H2027="W4",F2027="predictive",OR(J2027="P2",J2027="P3",J2027="P4")),IF(OR(U2027=1,U2027="1"),"adequate","partial"),INDEX(Fit_Matrix!$B:$B,MATCH(P2027,Fit_Matrix!$A:$A,0)))),"CHECK KEY"))</f>
        <v/>
      </c>
      <c r="U2027" s="10" t="n"/>
      <c r="V2027" s="10" t="n"/>
      <c r="W2027" s="10" t="n"/>
      <c r="X2027" s="10" t="n"/>
      <c r="Y2027" s="10" t="n"/>
      <c r="Z2027" s="10" t="n"/>
      <c r="AA2027" s="11">
        <f>IF(A2027="","",IF(AND(J2027="P4",F2027="causal"),"P4-CAUSAL",""))</f>
        <v/>
      </c>
    </row>
    <row r="2028" ht="15" customHeight="1" s="1">
      <c r="P2028">
        <f>IF(OR(F2028="",H2028="",J2028=""),"",J2028&amp;"|"&amp;F2028&amp;"|"&amp;IF(H2028="W3","W3_"&amp;IF(I2028="","unknown",I2028),H2028))</f>
        <v/>
      </c>
      <c r="Q2028">
        <f>IF(P2028="","",IFERROR(IF(AND(H2028="W7",OR(F2028="causal",F2028="predictive")),IF(AND(OR(K2028=1,K2028="1"),OR(L2028=1,L2028="1"),OR(M2028=1,M2028="1")),"adequate","partial"),IF(AND(H2028="W4",F2028="predictive",OR(J2028="P2",J2028="P3",J2028="P4")),IF(OR(U2028=1,U2028="1"),"adequate","partial"),INDEX(Fit_Matrix!$B:$B,MATCH(P2028,Fit_Matrix!$A:$A,0)))),"CHECK KEY"))</f>
        <v/>
      </c>
      <c r="U2028" s="10" t="n"/>
      <c r="V2028" s="10" t="n"/>
      <c r="W2028" s="10" t="n"/>
      <c r="X2028" s="10" t="n"/>
      <c r="Y2028" s="10" t="n"/>
      <c r="Z2028" s="10" t="n"/>
      <c r="AA2028" s="11">
        <f>IF(A2028="","",IF(AND(J2028="P4",F2028="causal"),"P4-CAUSAL",""))</f>
        <v/>
      </c>
    </row>
    <row r="2029" ht="15" customHeight="1" s="1">
      <c r="P2029">
        <f>IF(OR(F2029="",H2029="",J2029=""),"",J2029&amp;"|"&amp;F2029&amp;"|"&amp;IF(H2029="W3","W3_"&amp;IF(I2029="","unknown",I2029),H2029))</f>
        <v/>
      </c>
      <c r="Q2029">
        <f>IF(P2029="","",IFERROR(IF(AND(H2029="W7",OR(F2029="causal",F2029="predictive")),IF(AND(OR(K2029=1,K2029="1"),OR(L2029=1,L2029="1"),OR(M2029=1,M2029="1")),"adequate","partial"),IF(AND(H2029="W4",F2029="predictive",OR(J2029="P2",J2029="P3",J2029="P4")),IF(OR(U2029=1,U2029="1"),"adequate","partial"),INDEX(Fit_Matrix!$B:$B,MATCH(P2029,Fit_Matrix!$A:$A,0)))),"CHECK KEY"))</f>
        <v/>
      </c>
      <c r="U2029" s="10" t="n"/>
      <c r="V2029" s="10" t="n"/>
      <c r="W2029" s="10" t="n"/>
      <c r="X2029" s="10" t="n"/>
      <c r="Y2029" s="10" t="n"/>
      <c r="Z2029" s="10" t="n"/>
      <c r="AA2029" s="11">
        <f>IF(A2029="","",IF(AND(J2029="P4",F2029="causal"),"P4-CAUSAL",""))</f>
        <v/>
      </c>
    </row>
    <row r="2030" ht="15" customHeight="1" s="1">
      <c r="P2030">
        <f>IF(OR(F2030="",H2030="",J2030=""),"",J2030&amp;"|"&amp;F2030&amp;"|"&amp;IF(H2030="W3","W3_"&amp;IF(I2030="","unknown",I2030),H2030))</f>
        <v/>
      </c>
      <c r="Q2030">
        <f>IF(P2030="","",IFERROR(IF(AND(H2030="W7",OR(F2030="causal",F2030="predictive")),IF(AND(OR(K2030=1,K2030="1"),OR(L2030=1,L2030="1"),OR(M2030=1,M2030="1")),"adequate","partial"),IF(AND(H2030="W4",F2030="predictive",OR(J2030="P2",J2030="P3",J2030="P4")),IF(OR(U2030=1,U2030="1"),"adequate","partial"),INDEX(Fit_Matrix!$B:$B,MATCH(P2030,Fit_Matrix!$A:$A,0)))),"CHECK KEY"))</f>
        <v/>
      </c>
      <c r="U2030" s="10" t="n"/>
      <c r="V2030" s="10" t="n"/>
      <c r="W2030" s="10" t="n"/>
      <c r="X2030" s="10" t="n"/>
      <c r="Y2030" s="10" t="n"/>
      <c r="Z2030" s="10" t="n"/>
      <c r="AA2030" s="11">
        <f>IF(A2030="","",IF(AND(J2030="P4",F2030="causal"),"P4-CAUSAL",""))</f>
        <v/>
      </c>
    </row>
    <row r="2031" ht="15" customHeight="1" s="1">
      <c r="P2031">
        <f>IF(OR(F2031="",H2031="",J2031=""),"",J2031&amp;"|"&amp;F2031&amp;"|"&amp;IF(H2031="W3","W3_"&amp;IF(I2031="","unknown",I2031),H2031))</f>
        <v/>
      </c>
      <c r="Q2031">
        <f>IF(P2031="","",IFERROR(IF(AND(H2031="W7",OR(F2031="causal",F2031="predictive")),IF(AND(OR(K2031=1,K2031="1"),OR(L2031=1,L2031="1"),OR(M2031=1,M2031="1")),"adequate","partial"),IF(AND(H2031="W4",F2031="predictive",OR(J2031="P2",J2031="P3",J2031="P4")),IF(OR(U2031=1,U2031="1"),"adequate","partial"),INDEX(Fit_Matrix!$B:$B,MATCH(P2031,Fit_Matrix!$A:$A,0)))),"CHECK KEY"))</f>
        <v/>
      </c>
      <c r="U2031" s="10" t="n"/>
      <c r="V2031" s="10" t="n"/>
      <c r="W2031" s="10" t="n"/>
      <c r="X2031" s="10" t="n"/>
      <c r="Y2031" s="10" t="n"/>
      <c r="Z2031" s="10" t="n"/>
      <c r="AA2031" s="11">
        <f>IF(A2031="","",IF(AND(J2031="P4",F2031="causal"),"P4-CAUSAL",""))</f>
        <v/>
      </c>
    </row>
    <row r="2032" ht="15" customHeight="1" s="1">
      <c r="P2032">
        <f>IF(OR(F2032="",H2032="",J2032=""),"",J2032&amp;"|"&amp;F2032&amp;"|"&amp;IF(H2032="W3","W3_"&amp;IF(I2032="","unknown",I2032),H2032))</f>
        <v/>
      </c>
      <c r="Q2032">
        <f>IF(P2032="","",IFERROR(IF(AND(H2032="W7",OR(F2032="causal",F2032="predictive")),IF(AND(OR(K2032=1,K2032="1"),OR(L2032=1,L2032="1"),OR(M2032=1,M2032="1")),"adequate","partial"),IF(AND(H2032="W4",F2032="predictive",OR(J2032="P2",J2032="P3",J2032="P4")),IF(OR(U2032=1,U2032="1"),"adequate","partial"),INDEX(Fit_Matrix!$B:$B,MATCH(P2032,Fit_Matrix!$A:$A,0)))),"CHECK KEY"))</f>
        <v/>
      </c>
      <c r="U2032" s="10" t="n"/>
      <c r="V2032" s="10" t="n"/>
      <c r="W2032" s="10" t="n"/>
      <c r="X2032" s="10" t="n"/>
      <c r="Y2032" s="10" t="n"/>
      <c r="Z2032" s="10" t="n"/>
      <c r="AA2032" s="11">
        <f>IF(A2032="","",IF(AND(J2032="P4",F2032="causal"),"P4-CAUSAL",""))</f>
        <v/>
      </c>
    </row>
    <row r="2033" ht="15" customHeight="1" s="1">
      <c r="P2033">
        <f>IF(OR(F2033="",H2033="",J2033=""),"",J2033&amp;"|"&amp;F2033&amp;"|"&amp;IF(H2033="W3","W3_"&amp;IF(I2033="","unknown",I2033),H2033))</f>
        <v/>
      </c>
      <c r="Q2033">
        <f>IF(P2033="","",IFERROR(IF(AND(H2033="W7",OR(F2033="causal",F2033="predictive")),IF(AND(OR(K2033=1,K2033="1"),OR(L2033=1,L2033="1"),OR(M2033=1,M2033="1")),"adequate","partial"),IF(AND(H2033="W4",F2033="predictive",OR(J2033="P2",J2033="P3",J2033="P4")),IF(OR(U2033=1,U2033="1"),"adequate","partial"),INDEX(Fit_Matrix!$B:$B,MATCH(P2033,Fit_Matrix!$A:$A,0)))),"CHECK KEY"))</f>
        <v/>
      </c>
      <c r="U2033" s="10" t="n"/>
      <c r="V2033" s="10" t="n"/>
      <c r="W2033" s="10" t="n"/>
      <c r="X2033" s="10" t="n"/>
      <c r="Y2033" s="10" t="n"/>
      <c r="Z2033" s="10" t="n"/>
      <c r="AA2033" s="11">
        <f>IF(A2033="","",IF(AND(J2033="P4",F2033="causal"),"P4-CAUSAL",""))</f>
        <v/>
      </c>
    </row>
    <row r="2034" ht="15" customHeight="1" s="1">
      <c r="P2034">
        <f>IF(OR(F2034="",H2034="",J2034=""),"",J2034&amp;"|"&amp;F2034&amp;"|"&amp;IF(H2034="W3","W3_"&amp;IF(I2034="","unknown",I2034),H2034))</f>
        <v/>
      </c>
      <c r="Q2034">
        <f>IF(P2034="","",IFERROR(IF(AND(H2034="W7",OR(F2034="causal",F2034="predictive")),IF(AND(OR(K2034=1,K2034="1"),OR(L2034=1,L2034="1"),OR(M2034=1,M2034="1")),"adequate","partial"),IF(AND(H2034="W4",F2034="predictive",OR(J2034="P2",J2034="P3",J2034="P4")),IF(OR(U2034=1,U2034="1"),"adequate","partial"),INDEX(Fit_Matrix!$B:$B,MATCH(P2034,Fit_Matrix!$A:$A,0)))),"CHECK KEY"))</f>
        <v/>
      </c>
      <c r="U2034" s="10" t="n"/>
      <c r="V2034" s="10" t="n"/>
      <c r="W2034" s="10" t="n"/>
      <c r="X2034" s="10" t="n"/>
      <c r="Y2034" s="10" t="n"/>
      <c r="Z2034" s="10" t="n"/>
      <c r="AA2034" s="11">
        <f>IF(A2034="","",IF(AND(J2034="P4",F2034="causal"),"P4-CAUSAL",""))</f>
        <v/>
      </c>
    </row>
    <row r="2035" ht="15" customHeight="1" s="1">
      <c r="P2035">
        <f>IF(OR(F2035="",H2035="",J2035=""),"",J2035&amp;"|"&amp;F2035&amp;"|"&amp;IF(H2035="W3","W3_"&amp;IF(I2035="","unknown",I2035),H2035))</f>
        <v/>
      </c>
      <c r="Q2035">
        <f>IF(P2035="","",IFERROR(IF(AND(H2035="W7",OR(F2035="causal",F2035="predictive")),IF(AND(OR(K2035=1,K2035="1"),OR(L2035=1,L2035="1"),OR(M2035=1,M2035="1")),"adequate","partial"),IF(AND(H2035="W4",F2035="predictive",OR(J2035="P2",J2035="P3",J2035="P4")),IF(OR(U2035=1,U2035="1"),"adequate","partial"),INDEX(Fit_Matrix!$B:$B,MATCH(P2035,Fit_Matrix!$A:$A,0)))),"CHECK KEY"))</f>
        <v/>
      </c>
      <c r="U2035" s="10" t="n"/>
      <c r="V2035" s="10" t="n"/>
      <c r="W2035" s="10" t="n"/>
      <c r="X2035" s="10" t="n"/>
      <c r="Y2035" s="10" t="n"/>
      <c r="Z2035" s="10" t="n"/>
      <c r="AA2035" s="11">
        <f>IF(A2035="","",IF(AND(J2035="P4",F2035="causal"),"P4-CAUSAL",""))</f>
        <v/>
      </c>
    </row>
    <row r="2036" ht="15" customHeight="1" s="1">
      <c r="P2036">
        <f>IF(OR(F2036="",H2036="",J2036=""),"",J2036&amp;"|"&amp;F2036&amp;"|"&amp;IF(H2036="W3","W3_"&amp;IF(I2036="","unknown",I2036),H2036))</f>
        <v/>
      </c>
      <c r="Q2036">
        <f>IF(P2036="","",IFERROR(IF(AND(H2036="W7",OR(F2036="causal",F2036="predictive")),IF(AND(OR(K2036=1,K2036="1"),OR(L2036=1,L2036="1"),OR(M2036=1,M2036="1")),"adequate","partial"),IF(AND(H2036="W4",F2036="predictive",OR(J2036="P2",J2036="P3",J2036="P4")),IF(OR(U2036=1,U2036="1"),"adequate","partial"),INDEX(Fit_Matrix!$B:$B,MATCH(P2036,Fit_Matrix!$A:$A,0)))),"CHECK KEY"))</f>
        <v/>
      </c>
      <c r="U2036" s="10" t="n"/>
      <c r="V2036" s="10" t="n"/>
      <c r="W2036" s="10" t="n"/>
      <c r="X2036" s="10" t="n"/>
      <c r="Y2036" s="10" t="n"/>
      <c r="Z2036" s="10" t="n"/>
      <c r="AA2036" s="11">
        <f>IF(A2036="","",IF(AND(J2036="P4",F2036="causal"),"P4-CAUSAL",""))</f>
        <v/>
      </c>
    </row>
    <row r="2037" ht="15" customHeight="1" s="1">
      <c r="P2037">
        <f>IF(OR(F2037="",H2037="",J2037=""),"",J2037&amp;"|"&amp;F2037&amp;"|"&amp;IF(H2037="W3","W3_"&amp;IF(I2037="","unknown",I2037),H2037))</f>
        <v/>
      </c>
      <c r="Q2037">
        <f>IF(P2037="","",IFERROR(IF(AND(H2037="W7",OR(F2037="causal",F2037="predictive")),IF(AND(OR(K2037=1,K2037="1"),OR(L2037=1,L2037="1"),OR(M2037=1,M2037="1")),"adequate","partial"),IF(AND(H2037="W4",F2037="predictive",OR(J2037="P2",J2037="P3",J2037="P4")),IF(OR(U2037=1,U2037="1"),"adequate","partial"),INDEX(Fit_Matrix!$B:$B,MATCH(P2037,Fit_Matrix!$A:$A,0)))),"CHECK KEY"))</f>
        <v/>
      </c>
      <c r="U2037" s="10" t="n"/>
      <c r="V2037" s="10" t="n"/>
      <c r="W2037" s="10" t="n"/>
      <c r="X2037" s="10" t="n"/>
      <c r="Y2037" s="10" t="n"/>
      <c r="Z2037" s="10" t="n"/>
      <c r="AA2037" s="11">
        <f>IF(A2037="","",IF(AND(J2037="P4",F2037="causal"),"P4-CAUSAL",""))</f>
        <v/>
      </c>
    </row>
    <row r="2038" ht="15" customHeight="1" s="1">
      <c r="P2038">
        <f>IF(OR(F2038="",H2038="",J2038=""),"",J2038&amp;"|"&amp;F2038&amp;"|"&amp;IF(H2038="W3","W3_"&amp;IF(I2038="","unknown",I2038),H2038))</f>
        <v/>
      </c>
      <c r="Q2038">
        <f>IF(P2038="","",IFERROR(IF(AND(H2038="W7",OR(F2038="causal",F2038="predictive")),IF(AND(OR(K2038=1,K2038="1"),OR(L2038=1,L2038="1"),OR(M2038=1,M2038="1")),"adequate","partial"),IF(AND(H2038="W4",F2038="predictive",OR(J2038="P2",J2038="P3",J2038="P4")),IF(OR(U2038=1,U2038="1"),"adequate","partial"),INDEX(Fit_Matrix!$B:$B,MATCH(P2038,Fit_Matrix!$A:$A,0)))),"CHECK KEY"))</f>
        <v/>
      </c>
      <c r="U2038" s="10" t="n"/>
      <c r="V2038" s="10" t="n"/>
      <c r="W2038" s="10" t="n"/>
      <c r="X2038" s="10" t="n"/>
      <c r="Y2038" s="10" t="n"/>
      <c r="Z2038" s="10" t="n"/>
      <c r="AA2038" s="11">
        <f>IF(A2038="","",IF(AND(J2038="P4",F2038="causal"),"P4-CAUSAL",""))</f>
        <v/>
      </c>
    </row>
    <row r="2039" ht="15" customHeight="1" s="1">
      <c r="P2039">
        <f>IF(OR(F2039="",H2039="",J2039=""),"",J2039&amp;"|"&amp;F2039&amp;"|"&amp;IF(H2039="W3","W3_"&amp;IF(I2039="","unknown",I2039),H2039))</f>
        <v/>
      </c>
      <c r="Q2039">
        <f>IF(P2039="","",IFERROR(IF(AND(H2039="W7",OR(F2039="causal",F2039="predictive")),IF(AND(OR(K2039=1,K2039="1"),OR(L2039=1,L2039="1"),OR(M2039=1,M2039="1")),"adequate","partial"),IF(AND(H2039="W4",F2039="predictive",OR(J2039="P2",J2039="P3",J2039="P4")),IF(OR(U2039=1,U2039="1"),"adequate","partial"),INDEX(Fit_Matrix!$B:$B,MATCH(P2039,Fit_Matrix!$A:$A,0)))),"CHECK KEY"))</f>
        <v/>
      </c>
      <c r="U2039" s="10" t="n"/>
      <c r="V2039" s="10" t="n"/>
      <c r="W2039" s="10" t="n"/>
      <c r="X2039" s="10" t="n"/>
      <c r="Y2039" s="10" t="n"/>
      <c r="Z2039" s="10" t="n"/>
      <c r="AA2039" s="11">
        <f>IF(A2039="","",IF(AND(J2039="P4",F2039="causal"),"P4-CAUSAL",""))</f>
        <v/>
      </c>
    </row>
    <row r="2040" ht="15" customHeight="1" s="1">
      <c r="P2040">
        <f>IF(OR(F2040="",H2040="",J2040=""),"",J2040&amp;"|"&amp;F2040&amp;"|"&amp;IF(H2040="W3","W3_"&amp;IF(I2040="","unknown",I2040),H2040))</f>
        <v/>
      </c>
      <c r="Q2040">
        <f>IF(P2040="","",IFERROR(IF(AND(H2040="W7",OR(F2040="causal",F2040="predictive")),IF(AND(OR(K2040=1,K2040="1"),OR(L2040=1,L2040="1"),OR(M2040=1,M2040="1")),"adequate","partial"),IF(AND(H2040="W4",F2040="predictive",OR(J2040="P2",J2040="P3",J2040="P4")),IF(OR(U2040=1,U2040="1"),"adequate","partial"),INDEX(Fit_Matrix!$B:$B,MATCH(P2040,Fit_Matrix!$A:$A,0)))),"CHECK KEY"))</f>
        <v/>
      </c>
      <c r="U2040" s="10" t="n"/>
      <c r="V2040" s="10" t="n"/>
      <c r="W2040" s="10" t="n"/>
      <c r="X2040" s="10" t="n"/>
      <c r="Y2040" s="10" t="n"/>
      <c r="Z2040" s="10" t="n"/>
      <c r="AA2040" s="11">
        <f>IF(A2040="","",IF(AND(J2040="P4",F2040="causal"),"P4-CAUSAL",""))</f>
        <v/>
      </c>
    </row>
    <row r="2041" ht="15" customHeight="1" s="1">
      <c r="P2041">
        <f>IF(OR(F2041="",H2041="",J2041=""),"",J2041&amp;"|"&amp;F2041&amp;"|"&amp;IF(H2041="W3","W3_"&amp;IF(I2041="","unknown",I2041),H2041))</f>
        <v/>
      </c>
      <c r="Q2041">
        <f>IF(P2041="","",IFERROR(IF(AND(H2041="W7",OR(F2041="causal",F2041="predictive")),IF(AND(OR(K2041=1,K2041="1"),OR(L2041=1,L2041="1"),OR(M2041=1,M2041="1")),"adequate","partial"),IF(AND(H2041="W4",F2041="predictive",OR(J2041="P2",J2041="P3",J2041="P4")),IF(OR(U2041=1,U2041="1"),"adequate","partial"),INDEX(Fit_Matrix!$B:$B,MATCH(P2041,Fit_Matrix!$A:$A,0)))),"CHECK KEY"))</f>
        <v/>
      </c>
      <c r="U2041" s="10" t="n"/>
      <c r="V2041" s="10" t="n"/>
      <c r="W2041" s="10" t="n"/>
      <c r="X2041" s="10" t="n"/>
      <c r="Y2041" s="10" t="n"/>
      <c r="Z2041" s="10" t="n"/>
      <c r="AA2041" s="11">
        <f>IF(A2041="","",IF(AND(J2041="P4",F2041="causal"),"P4-CAUSAL",""))</f>
        <v/>
      </c>
    </row>
    <row r="2042" ht="15" customHeight="1" s="1">
      <c r="P2042">
        <f>IF(OR(F2042="",H2042="",J2042=""),"",J2042&amp;"|"&amp;F2042&amp;"|"&amp;IF(H2042="W3","W3_"&amp;IF(I2042="","unknown",I2042),H2042))</f>
        <v/>
      </c>
      <c r="Q2042">
        <f>IF(P2042="","",IFERROR(IF(AND(H2042="W7",OR(F2042="causal",F2042="predictive")),IF(AND(OR(K2042=1,K2042="1"),OR(L2042=1,L2042="1"),OR(M2042=1,M2042="1")),"adequate","partial"),IF(AND(H2042="W4",F2042="predictive",OR(J2042="P2",J2042="P3",J2042="P4")),IF(OR(U2042=1,U2042="1"),"adequate","partial"),INDEX(Fit_Matrix!$B:$B,MATCH(P2042,Fit_Matrix!$A:$A,0)))),"CHECK KEY"))</f>
        <v/>
      </c>
      <c r="U2042" s="10" t="n"/>
      <c r="V2042" s="10" t="n"/>
      <c r="W2042" s="10" t="n"/>
      <c r="X2042" s="10" t="n"/>
      <c r="Y2042" s="10" t="n"/>
      <c r="Z2042" s="10" t="n"/>
      <c r="AA2042" s="11">
        <f>IF(A2042="","",IF(AND(J2042="P4",F2042="causal"),"P4-CAUSAL",""))</f>
        <v/>
      </c>
    </row>
    <row r="2043" ht="15" customHeight="1" s="1">
      <c r="P2043">
        <f>IF(OR(F2043="",H2043="",J2043=""),"",J2043&amp;"|"&amp;F2043&amp;"|"&amp;IF(H2043="W3","W3_"&amp;IF(I2043="","unknown",I2043),H2043))</f>
        <v/>
      </c>
      <c r="Q2043">
        <f>IF(P2043="","",IFERROR(IF(AND(H2043="W7",OR(F2043="causal",F2043="predictive")),IF(AND(OR(K2043=1,K2043="1"),OR(L2043=1,L2043="1"),OR(M2043=1,M2043="1")),"adequate","partial"),IF(AND(H2043="W4",F2043="predictive",OR(J2043="P2",J2043="P3",J2043="P4")),IF(OR(U2043=1,U2043="1"),"adequate","partial"),INDEX(Fit_Matrix!$B:$B,MATCH(P2043,Fit_Matrix!$A:$A,0)))),"CHECK KEY"))</f>
        <v/>
      </c>
      <c r="U2043" s="10" t="n"/>
      <c r="V2043" s="10" t="n"/>
      <c r="W2043" s="10" t="n"/>
      <c r="X2043" s="10" t="n"/>
      <c r="Y2043" s="10" t="n"/>
      <c r="Z2043" s="10" t="n"/>
      <c r="AA2043" s="11">
        <f>IF(A2043="","",IF(AND(J2043="P4",F2043="causal"),"P4-CAUSAL",""))</f>
        <v/>
      </c>
    </row>
    <row r="2044" ht="15" customHeight="1" s="1">
      <c r="P2044">
        <f>IF(OR(F2044="",H2044="",J2044=""),"",J2044&amp;"|"&amp;F2044&amp;"|"&amp;IF(H2044="W3","W3_"&amp;IF(I2044="","unknown",I2044),H2044))</f>
        <v/>
      </c>
      <c r="Q2044">
        <f>IF(P2044="","",IFERROR(IF(AND(H2044="W7",OR(F2044="causal",F2044="predictive")),IF(AND(OR(K2044=1,K2044="1"),OR(L2044=1,L2044="1"),OR(M2044=1,M2044="1")),"adequate","partial"),IF(AND(H2044="W4",F2044="predictive",OR(J2044="P2",J2044="P3",J2044="P4")),IF(OR(U2044=1,U2044="1"),"adequate","partial"),INDEX(Fit_Matrix!$B:$B,MATCH(P2044,Fit_Matrix!$A:$A,0)))),"CHECK KEY"))</f>
        <v/>
      </c>
      <c r="U2044" s="10" t="n"/>
      <c r="V2044" s="10" t="n"/>
      <c r="W2044" s="10" t="n"/>
      <c r="X2044" s="10" t="n"/>
      <c r="Y2044" s="10" t="n"/>
      <c r="Z2044" s="10" t="n"/>
      <c r="AA2044" s="11">
        <f>IF(A2044="","",IF(AND(J2044="P4",F2044="causal"),"P4-CAUSAL",""))</f>
        <v/>
      </c>
    </row>
    <row r="2045" ht="15" customHeight="1" s="1">
      <c r="P2045">
        <f>IF(OR(F2045="",H2045="",J2045=""),"",J2045&amp;"|"&amp;F2045&amp;"|"&amp;IF(H2045="W3","W3_"&amp;IF(I2045="","unknown",I2045),H2045))</f>
        <v/>
      </c>
      <c r="Q2045">
        <f>IF(P2045="","",IFERROR(IF(AND(H2045="W7",OR(F2045="causal",F2045="predictive")),IF(AND(OR(K2045=1,K2045="1"),OR(L2045=1,L2045="1"),OR(M2045=1,M2045="1")),"adequate","partial"),IF(AND(H2045="W4",F2045="predictive",OR(J2045="P2",J2045="P3",J2045="P4")),IF(OR(U2045=1,U2045="1"),"adequate","partial"),INDEX(Fit_Matrix!$B:$B,MATCH(P2045,Fit_Matrix!$A:$A,0)))),"CHECK KEY"))</f>
        <v/>
      </c>
      <c r="U2045" s="10" t="n"/>
      <c r="V2045" s="10" t="n"/>
      <c r="W2045" s="10" t="n"/>
      <c r="X2045" s="10" t="n"/>
      <c r="Y2045" s="10" t="n"/>
      <c r="Z2045" s="10" t="n"/>
      <c r="AA2045" s="11">
        <f>IF(A2045="","",IF(AND(J2045="P4",F2045="causal"),"P4-CAUSAL",""))</f>
        <v/>
      </c>
    </row>
    <row r="2046" ht="15" customHeight="1" s="1">
      <c r="P2046">
        <f>IF(OR(F2046="",H2046="",J2046=""),"",J2046&amp;"|"&amp;F2046&amp;"|"&amp;IF(H2046="W3","W3_"&amp;IF(I2046="","unknown",I2046),H2046))</f>
        <v/>
      </c>
      <c r="Q2046">
        <f>IF(P2046="","",IFERROR(IF(AND(H2046="W7",OR(F2046="causal",F2046="predictive")),IF(AND(OR(K2046=1,K2046="1"),OR(L2046=1,L2046="1"),OR(M2046=1,M2046="1")),"adequate","partial"),IF(AND(H2046="W4",F2046="predictive",OR(J2046="P2",J2046="P3",J2046="P4")),IF(OR(U2046=1,U2046="1"),"adequate","partial"),INDEX(Fit_Matrix!$B:$B,MATCH(P2046,Fit_Matrix!$A:$A,0)))),"CHECK KEY"))</f>
        <v/>
      </c>
      <c r="U2046" s="10" t="n"/>
      <c r="V2046" s="10" t="n"/>
      <c r="W2046" s="10" t="n"/>
      <c r="X2046" s="10" t="n"/>
      <c r="Y2046" s="10" t="n"/>
      <c r="Z2046" s="10" t="n"/>
      <c r="AA2046" s="11">
        <f>IF(A2046="","",IF(AND(J2046="P4",F2046="causal"),"P4-CAUSAL",""))</f>
        <v/>
      </c>
    </row>
    <row r="2047" ht="15" customHeight="1" s="1">
      <c r="P2047">
        <f>IF(OR(F2047="",H2047="",J2047=""),"",J2047&amp;"|"&amp;F2047&amp;"|"&amp;IF(H2047="W3","W3_"&amp;IF(I2047="","unknown",I2047),H2047))</f>
        <v/>
      </c>
      <c r="Q2047">
        <f>IF(P2047="","",IFERROR(IF(AND(H2047="W7",OR(F2047="causal",F2047="predictive")),IF(AND(OR(K2047=1,K2047="1"),OR(L2047=1,L2047="1"),OR(M2047=1,M2047="1")),"adequate","partial"),IF(AND(H2047="W4",F2047="predictive",OR(J2047="P2",J2047="P3",J2047="P4")),IF(OR(U2047=1,U2047="1"),"adequate","partial"),INDEX(Fit_Matrix!$B:$B,MATCH(P2047,Fit_Matrix!$A:$A,0)))),"CHECK KEY"))</f>
        <v/>
      </c>
      <c r="U2047" s="10" t="n"/>
      <c r="V2047" s="10" t="n"/>
      <c r="W2047" s="10" t="n"/>
      <c r="X2047" s="10" t="n"/>
      <c r="Y2047" s="10" t="n"/>
      <c r="Z2047" s="10" t="n"/>
      <c r="AA2047" s="11">
        <f>IF(A2047="","",IF(AND(J2047="P4",F2047="causal"),"P4-CAUSAL",""))</f>
        <v/>
      </c>
    </row>
    <row r="2048" ht="15" customHeight="1" s="1">
      <c r="P2048">
        <f>IF(OR(F2048="",H2048="",J2048=""),"",J2048&amp;"|"&amp;F2048&amp;"|"&amp;IF(H2048="W3","W3_"&amp;IF(I2048="","unknown",I2048),H2048))</f>
        <v/>
      </c>
      <c r="Q2048">
        <f>IF(P2048="","",IFERROR(IF(AND(H2048="W7",OR(F2048="causal",F2048="predictive")),IF(AND(OR(K2048=1,K2048="1"),OR(L2048=1,L2048="1"),OR(M2048=1,M2048="1")),"adequate","partial"),IF(AND(H2048="W4",F2048="predictive",OR(J2048="P2",J2048="P3",J2048="P4")),IF(OR(U2048=1,U2048="1"),"adequate","partial"),INDEX(Fit_Matrix!$B:$B,MATCH(P2048,Fit_Matrix!$A:$A,0)))),"CHECK KEY"))</f>
        <v/>
      </c>
      <c r="U2048" s="10" t="n"/>
      <c r="V2048" s="10" t="n"/>
      <c r="W2048" s="10" t="n"/>
      <c r="X2048" s="10" t="n"/>
      <c r="Y2048" s="10" t="n"/>
      <c r="Z2048" s="10" t="n"/>
      <c r="AA2048" s="11">
        <f>IF(A2048="","",IF(AND(J2048="P4",F2048="causal"),"P4-CAUSAL",""))</f>
        <v/>
      </c>
    </row>
    <row r="2049" ht="15" customHeight="1" s="1">
      <c r="P2049">
        <f>IF(OR(F2049="",H2049="",J2049=""),"",J2049&amp;"|"&amp;F2049&amp;"|"&amp;IF(H2049="W3","W3_"&amp;IF(I2049="","unknown",I2049),H2049))</f>
        <v/>
      </c>
      <c r="Q2049">
        <f>IF(P2049="","",IFERROR(IF(AND(H2049="W7",OR(F2049="causal",F2049="predictive")),IF(AND(OR(K2049=1,K2049="1"),OR(L2049=1,L2049="1"),OR(M2049=1,M2049="1")),"adequate","partial"),IF(AND(H2049="W4",F2049="predictive",OR(J2049="P2",J2049="P3",J2049="P4")),IF(OR(U2049=1,U2049="1"),"adequate","partial"),INDEX(Fit_Matrix!$B:$B,MATCH(P2049,Fit_Matrix!$A:$A,0)))),"CHECK KEY"))</f>
        <v/>
      </c>
      <c r="U2049" s="10" t="n"/>
      <c r="V2049" s="10" t="n"/>
      <c r="W2049" s="10" t="n"/>
      <c r="X2049" s="10" t="n"/>
      <c r="Y2049" s="10" t="n"/>
      <c r="Z2049" s="10" t="n"/>
      <c r="AA2049" s="11">
        <f>IF(A2049="","",IF(AND(J2049="P4",F2049="causal"),"P4-CAUSAL",""))</f>
        <v/>
      </c>
    </row>
    <row r="2050" ht="15" customHeight="1" s="1">
      <c r="P2050">
        <f>IF(OR(F2050="",H2050="",J2050=""),"",J2050&amp;"|"&amp;F2050&amp;"|"&amp;IF(H2050="W3","W3_"&amp;IF(I2050="","unknown",I2050),H2050))</f>
        <v/>
      </c>
      <c r="Q2050">
        <f>IF(P2050="","",IFERROR(IF(AND(H2050="W7",OR(F2050="causal",F2050="predictive")),IF(AND(OR(K2050=1,K2050="1"),OR(L2050=1,L2050="1"),OR(M2050=1,M2050="1")),"adequate","partial"),IF(AND(H2050="W4",F2050="predictive",OR(J2050="P2",J2050="P3",J2050="P4")),IF(OR(U2050=1,U2050="1"),"adequate","partial"),INDEX(Fit_Matrix!$B:$B,MATCH(P2050,Fit_Matrix!$A:$A,0)))),"CHECK KEY"))</f>
        <v/>
      </c>
      <c r="U2050" s="10" t="n"/>
      <c r="V2050" s="10" t="n"/>
      <c r="W2050" s="10" t="n"/>
      <c r="X2050" s="10" t="n"/>
      <c r="Y2050" s="10" t="n"/>
      <c r="Z2050" s="10" t="n"/>
      <c r="AA2050" s="11">
        <f>IF(A2050="","",IF(AND(J2050="P4",F2050="causal"),"P4-CAUSAL",""))</f>
        <v/>
      </c>
    </row>
    <row r="2051" ht="15" customHeight="1" s="1">
      <c r="P2051">
        <f>IF(OR(F2051="",H2051="",J2051=""),"",J2051&amp;"|"&amp;F2051&amp;"|"&amp;IF(H2051="W3","W3_"&amp;IF(I2051="","unknown",I2051),H2051))</f>
        <v/>
      </c>
      <c r="Q2051">
        <f>IF(P2051="","",IFERROR(IF(AND(H2051="W7",OR(F2051="causal",F2051="predictive")),IF(AND(OR(K2051=1,K2051="1"),OR(L2051=1,L2051="1"),OR(M2051=1,M2051="1")),"adequate","partial"),IF(AND(H2051="W4",F2051="predictive",OR(J2051="P2",J2051="P3",J2051="P4")),IF(OR(U2051=1,U2051="1"),"adequate","partial"),INDEX(Fit_Matrix!$B:$B,MATCH(P2051,Fit_Matrix!$A:$A,0)))),"CHECK KEY"))</f>
        <v/>
      </c>
      <c r="U2051" s="10" t="n"/>
      <c r="V2051" s="10" t="n"/>
      <c r="W2051" s="10" t="n"/>
      <c r="X2051" s="10" t="n"/>
      <c r="Y2051" s="10" t="n"/>
      <c r="Z2051" s="10" t="n"/>
      <c r="AA2051" s="11">
        <f>IF(A2051="","",IF(AND(J2051="P4",F2051="causal"),"P4-CAUSAL",""))</f>
        <v/>
      </c>
    </row>
    <row r="2052" ht="15" customHeight="1" s="1">
      <c r="P2052">
        <f>IF(OR(F2052="",H2052="",J2052=""),"",J2052&amp;"|"&amp;F2052&amp;"|"&amp;IF(H2052="W3","W3_"&amp;IF(I2052="","unknown",I2052),H2052))</f>
        <v/>
      </c>
      <c r="Q2052">
        <f>IF(P2052="","",IFERROR(IF(AND(H2052="W7",OR(F2052="causal",F2052="predictive")),IF(AND(OR(K2052=1,K2052="1"),OR(L2052=1,L2052="1"),OR(M2052=1,M2052="1")),"adequate","partial"),IF(AND(H2052="W4",F2052="predictive",OR(J2052="P2",J2052="P3",J2052="P4")),IF(OR(U2052=1,U2052="1"),"adequate","partial"),INDEX(Fit_Matrix!$B:$B,MATCH(P2052,Fit_Matrix!$A:$A,0)))),"CHECK KEY"))</f>
        <v/>
      </c>
      <c r="U2052" s="10" t="n"/>
      <c r="V2052" s="10" t="n"/>
      <c r="W2052" s="10" t="n"/>
      <c r="X2052" s="10" t="n"/>
      <c r="Y2052" s="10" t="n"/>
      <c r="Z2052" s="10" t="n"/>
      <c r="AA2052" s="11">
        <f>IF(A2052="","",IF(AND(J2052="P4",F2052="causal"),"P4-CAUSAL",""))</f>
        <v/>
      </c>
    </row>
    <row r="2053" ht="15" customHeight="1" s="1">
      <c r="P2053">
        <f>IF(OR(F2053="",H2053="",J2053=""),"",J2053&amp;"|"&amp;F2053&amp;"|"&amp;IF(H2053="W3","W3_"&amp;IF(I2053="","unknown",I2053),H2053))</f>
        <v/>
      </c>
      <c r="Q2053">
        <f>IF(P2053="","",IFERROR(IF(AND(H2053="W7",OR(F2053="causal",F2053="predictive")),IF(AND(OR(K2053=1,K2053="1"),OR(L2053=1,L2053="1"),OR(M2053=1,M2053="1")),"adequate","partial"),IF(AND(H2053="W4",F2053="predictive",OR(J2053="P2",J2053="P3",J2053="P4")),IF(OR(U2053=1,U2053="1"),"adequate","partial"),INDEX(Fit_Matrix!$B:$B,MATCH(P2053,Fit_Matrix!$A:$A,0)))),"CHECK KEY"))</f>
        <v/>
      </c>
      <c r="U2053" s="10" t="n"/>
      <c r="V2053" s="10" t="n"/>
      <c r="W2053" s="10" t="n"/>
      <c r="X2053" s="10" t="n"/>
      <c r="Y2053" s="10" t="n"/>
      <c r="Z2053" s="10" t="n"/>
      <c r="AA2053" s="11">
        <f>IF(A2053="","",IF(AND(J2053="P4",F2053="causal"),"P4-CAUSAL",""))</f>
        <v/>
      </c>
    </row>
    <row r="2054" ht="15" customHeight="1" s="1">
      <c r="P2054">
        <f>IF(OR(F2054="",H2054="",J2054=""),"",J2054&amp;"|"&amp;F2054&amp;"|"&amp;IF(H2054="W3","W3_"&amp;IF(I2054="","unknown",I2054),H2054))</f>
        <v/>
      </c>
      <c r="Q2054">
        <f>IF(P2054="","",IFERROR(IF(AND(H2054="W7",OR(F2054="causal",F2054="predictive")),IF(AND(OR(K2054=1,K2054="1"),OR(L2054=1,L2054="1"),OR(M2054=1,M2054="1")),"adequate","partial"),IF(AND(H2054="W4",F2054="predictive",OR(J2054="P2",J2054="P3",J2054="P4")),IF(OR(U2054=1,U2054="1"),"adequate","partial"),INDEX(Fit_Matrix!$B:$B,MATCH(P2054,Fit_Matrix!$A:$A,0)))),"CHECK KEY"))</f>
        <v/>
      </c>
      <c r="U2054" s="10" t="n"/>
      <c r="V2054" s="10" t="n"/>
      <c r="W2054" s="10" t="n"/>
      <c r="X2054" s="10" t="n"/>
      <c r="Y2054" s="10" t="n"/>
      <c r="Z2054" s="10" t="n"/>
      <c r="AA2054" s="11">
        <f>IF(A2054="","",IF(AND(J2054="P4",F2054="causal"),"P4-CAUSAL",""))</f>
        <v/>
      </c>
    </row>
    <row r="2055" ht="15" customHeight="1" s="1">
      <c r="P2055">
        <f>IF(OR(F2055="",H2055="",J2055=""),"",J2055&amp;"|"&amp;F2055&amp;"|"&amp;IF(H2055="W3","W3_"&amp;IF(I2055="","unknown",I2055),H2055))</f>
        <v/>
      </c>
      <c r="Q2055">
        <f>IF(P2055="","",IFERROR(IF(AND(H2055="W7",OR(F2055="causal",F2055="predictive")),IF(AND(OR(K2055=1,K2055="1"),OR(L2055=1,L2055="1"),OR(M2055=1,M2055="1")),"adequate","partial"),IF(AND(H2055="W4",F2055="predictive",OR(J2055="P2",J2055="P3",J2055="P4")),IF(OR(U2055=1,U2055="1"),"adequate","partial"),INDEX(Fit_Matrix!$B:$B,MATCH(P2055,Fit_Matrix!$A:$A,0)))),"CHECK KEY"))</f>
        <v/>
      </c>
      <c r="U2055" s="10" t="n"/>
      <c r="V2055" s="10" t="n"/>
      <c r="W2055" s="10" t="n"/>
      <c r="X2055" s="10" t="n"/>
      <c r="Y2055" s="10" t="n"/>
      <c r="Z2055" s="10" t="n"/>
      <c r="AA2055" s="11">
        <f>IF(A2055="","",IF(AND(J2055="P4",F2055="causal"),"P4-CAUSAL",""))</f>
        <v/>
      </c>
    </row>
    <row r="2056" ht="15" customHeight="1" s="1">
      <c r="P2056">
        <f>IF(OR(F2056="",H2056="",J2056=""),"",J2056&amp;"|"&amp;F2056&amp;"|"&amp;IF(H2056="W3","W3_"&amp;IF(I2056="","unknown",I2056),H2056))</f>
        <v/>
      </c>
      <c r="Q2056">
        <f>IF(P2056="","",IFERROR(IF(AND(H2056="W7",OR(F2056="causal",F2056="predictive")),IF(AND(OR(K2056=1,K2056="1"),OR(L2056=1,L2056="1"),OR(M2056=1,M2056="1")),"adequate","partial"),IF(AND(H2056="W4",F2056="predictive",OR(J2056="P2",J2056="P3",J2056="P4")),IF(OR(U2056=1,U2056="1"),"adequate","partial"),INDEX(Fit_Matrix!$B:$B,MATCH(P2056,Fit_Matrix!$A:$A,0)))),"CHECK KEY"))</f>
        <v/>
      </c>
      <c r="U2056" s="10" t="n"/>
      <c r="V2056" s="10" t="n"/>
      <c r="W2056" s="10" t="n"/>
      <c r="X2056" s="10" t="n"/>
      <c r="Y2056" s="10" t="n"/>
      <c r="Z2056" s="10" t="n"/>
      <c r="AA2056" s="11">
        <f>IF(A2056="","",IF(AND(J2056="P4",F2056="causal"),"P4-CAUSAL",""))</f>
        <v/>
      </c>
    </row>
    <row r="2057" ht="15" customHeight="1" s="1">
      <c r="P2057">
        <f>IF(OR(F2057="",H2057="",J2057=""),"",J2057&amp;"|"&amp;F2057&amp;"|"&amp;IF(H2057="W3","W3_"&amp;IF(I2057="","unknown",I2057),H2057))</f>
        <v/>
      </c>
      <c r="Q2057">
        <f>IF(P2057="","",IFERROR(IF(AND(H2057="W7",OR(F2057="causal",F2057="predictive")),IF(AND(OR(K2057=1,K2057="1"),OR(L2057=1,L2057="1"),OR(M2057=1,M2057="1")),"adequate","partial"),IF(AND(H2057="W4",F2057="predictive",OR(J2057="P2",J2057="P3",J2057="P4")),IF(OR(U2057=1,U2057="1"),"adequate","partial"),INDEX(Fit_Matrix!$B:$B,MATCH(P2057,Fit_Matrix!$A:$A,0)))),"CHECK KEY"))</f>
        <v/>
      </c>
      <c r="U2057" s="10" t="n"/>
      <c r="V2057" s="10" t="n"/>
      <c r="W2057" s="10" t="n"/>
      <c r="X2057" s="10" t="n"/>
      <c r="Y2057" s="10" t="n"/>
      <c r="Z2057" s="10" t="n"/>
      <c r="AA2057" s="11">
        <f>IF(A2057="","",IF(AND(J2057="P4",F2057="causal"),"P4-CAUSAL",""))</f>
        <v/>
      </c>
    </row>
    <row r="2058" ht="15" customHeight="1" s="1">
      <c r="P2058">
        <f>IF(OR(F2058="",H2058="",J2058=""),"",J2058&amp;"|"&amp;F2058&amp;"|"&amp;IF(H2058="W3","W3_"&amp;IF(I2058="","unknown",I2058),H2058))</f>
        <v/>
      </c>
      <c r="Q2058">
        <f>IF(P2058="","",IFERROR(IF(AND(H2058="W7",OR(F2058="causal",F2058="predictive")),IF(AND(OR(K2058=1,K2058="1"),OR(L2058=1,L2058="1"),OR(M2058=1,M2058="1")),"adequate","partial"),IF(AND(H2058="W4",F2058="predictive",OR(J2058="P2",J2058="P3",J2058="P4")),IF(OR(U2058=1,U2058="1"),"adequate","partial"),INDEX(Fit_Matrix!$B:$B,MATCH(P2058,Fit_Matrix!$A:$A,0)))),"CHECK KEY"))</f>
        <v/>
      </c>
      <c r="U2058" s="10" t="n"/>
      <c r="V2058" s="10" t="n"/>
      <c r="W2058" s="10" t="n"/>
      <c r="X2058" s="10" t="n"/>
      <c r="Y2058" s="10" t="n"/>
      <c r="Z2058" s="10" t="n"/>
      <c r="AA2058" s="11">
        <f>IF(A2058="","",IF(AND(J2058="P4",F2058="causal"),"P4-CAUSAL",""))</f>
        <v/>
      </c>
    </row>
    <row r="2059" ht="15" customHeight="1" s="1">
      <c r="P2059">
        <f>IF(OR(F2059="",H2059="",J2059=""),"",J2059&amp;"|"&amp;F2059&amp;"|"&amp;IF(H2059="W3","W3_"&amp;IF(I2059="","unknown",I2059),H2059))</f>
        <v/>
      </c>
      <c r="Q2059">
        <f>IF(P2059="","",IFERROR(IF(AND(H2059="W7",OR(F2059="causal",F2059="predictive")),IF(AND(OR(K2059=1,K2059="1"),OR(L2059=1,L2059="1"),OR(M2059=1,M2059="1")),"adequate","partial"),IF(AND(H2059="W4",F2059="predictive",OR(J2059="P2",J2059="P3",J2059="P4")),IF(OR(U2059=1,U2059="1"),"adequate","partial"),INDEX(Fit_Matrix!$B:$B,MATCH(P2059,Fit_Matrix!$A:$A,0)))),"CHECK KEY"))</f>
        <v/>
      </c>
      <c r="U2059" s="10" t="n"/>
      <c r="V2059" s="10" t="n"/>
      <c r="W2059" s="10" t="n"/>
      <c r="X2059" s="10" t="n"/>
      <c r="Y2059" s="10" t="n"/>
      <c r="Z2059" s="10" t="n"/>
      <c r="AA2059" s="11">
        <f>IF(A2059="","",IF(AND(J2059="P4",F2059="causal"),"P4-CAUSAL",""))</f>
        <v/>
      </c>
    </row>
    <row r="2060" ht="15" customHeight="1" s="1">
      <c r="P2060">
        <f>IF(OR(F2060="",H2060="",J2060=""),"",J2060&amp;"|"&amp;F2060&amp;"|"&amp;IF(H2060="W3","W3_"&amp;IF(I2060="","unknown",I2060),H2060))</f>
        <v/>
      </c>
      <c r="Q2060">
        <f>IF(P2060="","",IFERROR(IF(AND(H2060="W7",OR(F2060="causal",F2060="predictive")),IF(AND(OR(K2060=1,K2060="1"),OR(L2060=1,L2060="1"),OR(M2060=1,M2060="1")),"adequate","partial"),IF(AND(H2060="W4",F2060="predictive",OR(J2060="P2",J2060="P3",J2060="P4")),IF(OR(U2060=1,U2060="1"),"adequate","partial"),INDEX(Fit_Matrix!$B:$B,MATCH(P2060,Fit_Matrix!$A:$A,0)))),"CHECK KEY"))</f>
        <v/>
      </c>
      <c r="U2060" s="10" t="n"/>
      <c r="V2060" s="10" t="n"/>
      <c r="W2060" s="10" t="n"/>
      <c r="X2060" s="10" t="n"/>
      <c r="Y2060" s="10" t="n"/>
      <c r="Z2060" s="10" t="n"/>
      <c r="AA2060" s="11">
        <f>IF(A2060="","",IF(AND(J2060="P4",F2060="causal"),"P4-CAUSAL",""))</f>
        <v/>
      </c>
    </row>
    <row r="2061" ht="15" customHeight="1" s="1">
      <c r="P2061">
        <f>IF(OR(F2061="",H2061="",J2061=""),"",J2061&amp;"|"&amp;F2061&amp;"|"&amp;IF(H2061="W3","W3_"&amp;IF(I2061="","unknown",I2061),H2061))</f>
        <v/>
      </c>
      <c r="Q2061">
        <f>IF(P2061="","",IFERROR(IF(AND(H2061="W7",OR(F2061="causal",F2061="predictive")),IF(AND(OR(K2061=1,K2061="1"),OR(L2061=1,L2061="1"),OR(M2061=1,M2061="1")),"adequate","partial"),IF(AND(H2061="W4",F2061="predictive",OR(J2061="P2",J2061="P3",J2061="P4")),IF(OR(U2061=1,U2061="1"),"adequate","partial"),INDEX(Fit_Matrix!$B:$B,MATCH(P2061,Fit_Matrix!$A:$A,0)))),"CHECK KEY"))</f>
        <v/>
      </c>
      <c r="U2061" s="10" t="n"/>
      <c r="V2061" s="10" t="n"/>
      <c r="W2061" s="10" t="n"/>
      <c r="X2061" s="10" t="n"/>
      <c r="Y2061" s="10" t="n"/>
      <c r="Z2061" s="10" t="n"/>
      <c r="AA2061" s="11">
        <f>IF(A2061="","",IF(AND(J2061="P4",F2061="causal"),"P4-CAUSAL",""))</f>
        <v/>
      </c>
    </row>
    <row r="2062" ht="15" customHeight="1" s="1">
      <c r="P2062">
        <f>IF(OR(F2062="",H2062="",J2062=""),"",J2062&amp;"|"&amp;F2062&amp;"|"&amp;IF(H2062="W3","W3_"&amp;IF(I2062="","unknown",I2062),H2062))</f>
        <v/>
      </c>
      <c r="Q2062">
        <f>IF(P2062="","",IFERROR(IF(AND(H2062="W7",OR(F2062="causal",F2062="predictive")),IF(AND(OR(K2062=1,K2062="1"),OR(L2062=1,L2062="1"),OR(M2062=1,M2062="1")),"adequate","partial"),IF(AND(H2062="W4",F2062="predictive",OR(J2062="P2",J2062="P3",J2062="P4")),IF(OR(U2062=1,U2062="1"),"adequate","partial"),INDEX(Fit_Matrix!$B:$B,MATCH(P2062,Fit_Matrix!$A:$A,0)))),"CHECK KEY"))</f>
        <v/>
      </c>
      <c r="U2062" s="10" t="n"/>
      <c r="V2062" s="10" t="n"/>
      <c r="W2062" s="10" t="n"/>
      <c r="X2062" s="10" t="n"/>
      <c r="Y2062" s="10" t="n"/>
      <c r="Z2062" s="10" t="n"/>
      <c r="AA2062" s="11">
        <f>IF(A2062="","",IF(AND(J2062="P4",F2062="causal"),"P4-CAUSAL",""))</f>
        <v/>
      </c>
    </row>
    <row r="2063" ht="15" customHeight="1" s="1">
      <c r="P2063">
        <f>IF(OR(F2063="",H2063="",J2063=""),"",J2063&amp;"|"&amp;F2063&amp;"|"&amp;IF(H2063="W3","W3_"&amp;IF(I2063="","unknown",I2063),H2063))</f>
        <v/>
      </c>
      <c r="Q2063">
        <f>IF(P2063="","",IFERROR(IF(AND(H2063="W7",OR(F2063="causal",F2063="predictive")),IF(AND(OR(K2063=1,K2063="1"),OR(L2063=1,L2063="1"),OR(M2063=1,M2063="1")),"adequate","partial"),IF(AND(H2063="W4",F2063="predictive",OR(J2063="P2",J2063="P3",J2063="P4")),IF(OR(U2063=1,U2063="1"),"adequate","partial"),INDEX(Fit_Matrix!$B:$B,MATCH(P2063,Fit_Matrix!$A:$A,0)))),"CHECK KEY"))</f>
        <v/>
      </c>
      <c r="U2063" s="10" t="n"/>
      <c r="V2063" s="10" t="n"/>
      <c r="W2063" s="10" t="n"/>
      <c r="X2063" s="10" t="n"/>
      <c r="Y2063" s="10" t="n"/>
      <c r="Z2063" s="10" t="n"/>
      <c r="AA2063" s="11">
        <f>IF(A2063="","",IF(AND(J2063="P4",F2063="causal"),"P4-CAUSAL",""))</f>
        <v/>
      </c>
    </row>
    <row r="2064" ht="15" customHeight="1" s="1">
      <c r="P2064">
        <f>IF(OR(F2064="",H2064="",J2064=""),"",J2064&amp;"|"&amp;F2064&amp;"|"&amp;IF(H2064="W3","W3_"&amp;IF(I2064="","unknown",I2064),H2064))</f>
        <v/>
      </c>
      <c r="Q2064">
        <f>IF(P2064="","",IFERROR(IF(AND(H2064="W7",OR(F2064="causal",F2064="predictive")),IF(AND(OR(K2064=1,K2064="1"),OR(L2064=1,L2064="1"),OR(M2064=1,M2064="1")),"adequate","partial"),IF(AND(H2064="W4",F2064="predictive",OR(J2064="P2",J2064="P3",J2064="P4")),IF(OR(U2064=1,U2064="1"),"adequate","partial"),INDEX(Fit_Matrix!$B:$B,MATCH(P2064,Fit_Matrix!$A:$A,0)))),"CHECK KEY"))</f>
        <v/>
      </c>
      <c r="U2064" s="10" t="n"/>
      <c r="V2064" s="10" t="n"/>
      <c r="W2064" s="10" t="n"/>
      <c r="X2064" s="10" t="n"/>
      <c r="Y2064" s="10" t="n"/>
      <c r="Z2064" s="10" t="n"/>
      <c r="AA2064" s="11">
        <f>IF(A2064="","",IF(AND(J2064="P4",F2064="causal"),"P4-CAUSAL",""))</f>
        <v/>
      </c>
    </row>
    <row r="2065" ht="15" customHeight="1" s="1">
      <c r="P2065">
        <f>IF(OR(F2065="",H2065="",J2065=""),"",J2065&amp;"|"&amp;F2065&amp;"|"&amp;IF(H2065="W3","W3_"&amp;IF(I2065="","unknown",I2065),H2065))</f>
        <v/>
      </c>
      <c r="Q2065">
        <f>IF(P2065="","",IFERROR(IF(AND(H2065="W7",OR(F2065="causal",F2065="predictive")),IF(AND(OR(K2065=1,K2065="1"),OR(L2065=1,L2065="1"),OR(M2065=1,M2065="1")),"adequate","partial"),IF(AND(H2065="W4",F2065="predictive",OR(J2065="P2",J2065="P3",J2065="P4")),IF(OR(U2065=1,U2065="1"),"adequate","partial"),INDEX(Fit_Matrix!$B:$B,MATCH(P2065,Fit_Matrix!$A:$A,0)))),"CHECK KEY"))</f>
        <v/>
      </c>
      <c r="U2065" s="10" t="n"/>
      <c r="V2065" s="10" t="n"/>
      <c r="W2065" s="10" t="n"/>
      <c r="X2065" s="10" t="n"/>
      <c r="Y2065" s="10" t="n"/>
      <c r="Z2065" s="10" t="n"/>
      <c r="AA2065" s="11">
        <f>IF(A2065="","",IF(AND(J2065="P4",F2065="causal"),"P4-CAUSAL",""))</f>
        <v/>
      </c>
    </row>
    <row r="2066" ht="15" customHeight="1" s="1">
      <c r="P2066">
        <f>IF(OR(F2066="",H2066="",J2066=""),"",J2066&amp;"|"&amp;F2066&amp;"|"&amp;IF(H2066="W3","W3_"&amp;IF(I2066="","unknown",I2066),H2066))</f>
        <v/>
      </c>
      <c r="Q2066">
        <f>IF(P2066="","",IFERROR(IF(AND(H2066="W7",OR(F2066="causal",F2066="predictive")),IF(AND(OR(K2066=1,K2066="1"),OR(L2066=1,L2066="1"),OR(M2066=1,M2066="1")),"adequate","partial"),IF(AND(H2066="W4",F2066="predictive",OR(J2066="P2",J2066="P3",J2066="P4")),IF(OR(U2066=1,U2066="1"),"adequate","partial"),INDEX(Fit_Matrix!$B:$B,MATCH(P2066,Fit_Matrix!$A:$A,0)))),"CHECK KEY"))</f>
        <v/>
      </c>
      <c r="U2066" s="10" t="n"/>
      <c r="V2066" s="10" t="n"/>
      <c r="W2066" s="10" t="n"/>
      <c r="X2066" s="10" t="n"/>
      <c r="Y2066" s="10" t="n"/>
      <c r="Z2066" s="10" t="n"/>
      <c r="AA2066" s="11">
        <f>IF(A2066="","",IF(AND(J2066="P4",F2066="causal"),"P4-CAUSAL",""))</f>
        <v/>
      </c>
    </row>
    <row r="2067" ht="15" customHeight="1" s="1">
      <c r="P2067">
        <f>IF(OR(F2067="",H2067="",J2067=""),"",J2067&amp;"|"&amp;F2067&amp;"|"&amp;IF(H2067="W3","W3_"&amp;IF(I2067="","unknown",I2067),H2067))</f>
        <v/>
      </c>
      <c r="Q2067">
        <f>IF(P2067="","",IFERROR(IF(AND(H2067="W7",OR(F2067="causal",F2067="predictive")),IF(AND(OR(K2067=1,K2067="1"),OR(L2067=1,L2067="1"),OR(M2067=1,M2067="1")),"adequate","partial"),IF(AND(H2067="W4",F2067="predictive",OR(J2067="P2",J2067="P3",J2067="P4")),IF(OR(U2067=1,U2067="1"),"adequate","partial"),INDEX(Fit_Matrix!$B:$B,MATCH(P2067,Fit_Matrix!$A:$A,0)))),"CHECK KEY"))</f>
        <v/>
      </c>
      <c r="U2067" s="10" t="n"/>
      <c r="V2067" s="10" t="n"/>
      <c r="W2067" s="10" t="n"/>
      <c r="X2067" s="10" t="n"/>
      <c r="Y2067" s="10" t="n"/>
      <c r="Z2067" s="10" t="n"/>
      <c r="AA2067" s="11">
        <f>IF(A2067="","",IF(AND(J2067="P4",F2067="causal"),"P4-CAUSAL",""))</f>
        <v/>
      </c>
    </row>
    <row r="2068" ht="15" customHeight="1" s="1">
      <c r="P2068">
        <f>IF(OR(F2068="",H2068="",J2068=""),"",J2068&amp;"|"&amp;F2068&amp;"|"&amp;IF(H2068="W3","W3_"&amp;IF(I2068="","unknown",I2068),H2068))</f>
        <v/>
      </c>
      <c r="Q2068">
        <f>IF(P2068="","",IFERROR(IF(AND(H2068="W7",OR(F2068="causal",F2068="predictive")),IF(AND(OR(K2068=1,K2068="1"),OR(L2068=1,L2068="1"),OR(M2068=1,M2068="1")),"adequate","partial"),IF(AND(H2068="W4",F2068="predictive",OR(J2068="P2",J2068="P3",J2068="P4")),IF(OR(U2068=1,U2068="1"),"adequate","partial"),INDEX(Fit_Matrix!$B:$B,MATCH(P2068,Fit_Matrix!$A:$A,0)))),"CHECK KEY"))</f>
        <v/>
      </c>
      <c r="U2068" s="10" t="n"/>
      <c r="V2068" s="10" t="n"/>
      <c r="W2068" s="10" t="n"/>
      <c r="X2068" s="10" t="n"/>
      <c r="Y2068" s="10" t="n"/>
      <c r="Z2068" s="10" t="n"/>
      <c r="AA2068" s="11">
        <f>IF(A2068="","",IF(AND(J2068="P4",F2068="causal"),"P4-CAUSAL",""))</f>
        <v/>
      </c>
    </row>
    <row r="2069" ht="15" customHeight="1" s="1">
      <c r="P2069">
        <f>IF(OR(F2069="",H2069="",J2069=""),"",J2069&amp;"|"&amp;F2069&amp;"|"&amp;IF(H2069="W3","W3_"&amp;IF(I2069="","unknown",I2069),H2069))</f>
        <v/>
      </c>
      <c r="Q2069">
        <f>IF(P2069="","",IFERROR(IF(AND(H2069="W7",OR(F2069="causal",F2069="predictive")),IF(AND(OR(K2069=1,K2069="1"),OR(L2069=1,L2069="1"),OR(M2069=1,M2069="1")),"adequate","partial"),IF(AND(H2069="W4",F2069="predictive",OR(J2069="P2",J2069="P3",J2069="P4")),IF(OR(U2069=1,U2069="1"),"adequate","partial"),INDEX(Fit_Matrix!$B:$B,MATCH(P2069,Fit_Matrix!$A:$A,0)))),"CHECK KEY"))</f>
        <v/>
      </c>
      <c r="U2069" s="10" t="n"/>
      <c r="V2069" s="10" t="n"/>
      <c r="W2069" s="10" t="n"/>
      <c r="X2069" s="10" t="n"/>
      <c r="Y2069" s="10" t="n"/>
      <c r="Z2069" s="10" t="n"/>
      <c r="AA2069" s="11">
        <f>IF(A2069="","",IF(AND(J2069="P4",F2069="causal"),"P4-CAUSAL",""))</f>
        <v/>
      </c>
    </row>
    <row r="2070" ht="15" customHeight="1" s="1">
      <c r="P2070">
        <f>IF(OR(F2070="",H2070="",J2070=""),"",J2070&amp;"|"&amp;F2070&amp;"|"&amp;IF(H2070="W3","W3_"&amp;IF(I2070="","unknown",I2070),H2070))</f>
        <v/>
      </c>
      <c r="Q2070">
        <f>IF(P2070="","",IFERROR(IF(AND(H2070="W7",OR(F2070="causal",F2070="predictive")),IF(AND(OR(K2070=1,K2070="1"),OR(L2070=1,L2070="1"),OR(M2070=1,M2070="1")),"adequate","partial"),IF(AND(H2070="W4",F2070="predictive",OR(J2070="P2",J2070="P3",J2070="P4")),IF(OR(U2070=1,U2070="1"),"adequate","partial"),INDEX(Fit_Matrix!$B:$B,MATCH(P2070,Fit_Matrix!$A:$A,0)))),"CHECK KEY"))</f>
        <v/>
      </c>
      <c r="U2070" s="10" t="n"/>
      <c r="V2070" s="10" t="n"/>
      <c r="W2070" s="10" t="n"/>
      <c r="X2070" s="10" t="n"/>
      <c r="Y2070" s="10" t="n"/>
      <c r="Z2070" s="10" t="n"/>
      <c r="AA2070" s="11">
        <f>IF(A2070="","",IF(AND(J2070="P4",F2070="causal"),"P4-CAUSAL",""))</f>
        <v/>
      </c>
    </row>
    <row r="2071" ht="15" customHeight="1" s="1">
      <c r="P2071">
        <f>IF(OR(F2071="",H2071="",J2071=""),"",J2071&amp;"|"&amp;F2071&amp;"|"&amp;IF(H2071="W3","W3_"&amp;IF(I2071="","unknown",I2071),H2071))</f>
        <v/>
      </c>
      <c r="Q2071">
        <f>IF(P2071="","",IFERROR(IF(AND(H2071="W7",OR(F2071="causal",F2071="predictive")),IF(AND(OR(K2071=1,K2071="1"),OR(L2071=1,L2071="1"),OR(M2071=1,M2071="1")),"adequate","partial"),IF(AND(H2071="W4",F2071="predictive",OR(J2071="P2",J2071="P3",J2071="P4")),IF(OR(U2071=1,U2071="1"),"adequate","partial"),INDEX(Fit_Matrix!$B:$B,MATCH(P2071,Fit_Matrix!$A:$A,0)))),"CHECK KEY"))</f>
        <v/>
      </c>
      <c r="U2071" s="10" t="n"/>
      <c r="V2071" s="10" t="n"/>
      <c r="W2071" s="10" t="n"/>
      <c r="X2071" s="10" t="n"/>
      <c r="Y2071" s="10" t="n"/>
      <c r="Z2071" s="10" t="n"/>
      <c r="AA2071" s="11">
        <f>IF(A2071="","",IF(AND(J2071="P4",F2071="causal"),"P4-CAUSAL",""))</f>
        <v/>
      </c>
    </row>
    <row r="2072" ht="15" customHeight="1" s="1">
      <c r="P2072">
        <f>IF(OR(F2072="",H2072="",J2072=""),"",J2072&amp;"|"&amp;F2072&amp;"|"&amp;IF(H2072="W3","W3_"&amp;IF(I2072="","unknown",I2072),H2072))</f>
        <v/>
      </c>
      <c r="Q2072">
        <f>IF(P2072="","",IFERROR(IF(AND(H2072="W7",OR(F2072="causal",F2072="predictive")),IF(AND(OR(K2072=1,K2072="1"),OR(L2072=1,L2072="1"),OR(M2072=1,M2072="1")),"adequate","partial"),IF(AND(H2072="W4",F2072="predictive",OR(J2072="P2",J2072="P3",J2072="P4")),IF(OR(U2072=1,U2072="1"),"adequate","partial"),INDEX(Fit_Matrix!$B:$B,MATCH(P2072,Fit_Matrix!$A:$A,0)))),"CHECK KEY"))</f>
        <v/>
      </c>
      <c r="U2072" s="10" t="n"/>
      <c r="V2072" s="10" t="n"/>
      <c r="W2072" s="10" t="n"/>
      <c r="X2072" s="10" t="n"/>
      <c r="Y2072" s="10" t="n"/>
      <c r="Z2072" s="10" t="n"/>
      <c r="AA2072" s="11">
        <f>IF(A2072="","",IF(AND(J2072="P4",F2072="causal"),"P4-CAUSAL",""))</f>
        <v/>
      </c>
    </row>
    <row r="2073" ht="15" customHeight="1" s="1">
      <c r="P2073">
        <f>IF(OR(F2073="",H2073="",J2073=""),"",J2073&amp;"|"&amp;F2073&amp;"|"&amp;IF(H2073="W3","W3_"&amp;IF(I2073="","unknown",I2073),H2073))</f>
        <v/>
      </c>
      <c r="Q2073">
        <f>IF(P2073="","",IFERROR(IF(AND(H2073="W7",OR(F2073="causal",F2073="predictive")),IF(AND(OR(K2073=1,K2073="1"),OR(L2073=1,L2073="1"),OR(M2073=1,M2073="1")),"adequate","partial"),IF(AND(H2073="W4",F2073="predictive",OR(J2073="P2",J2073="P3",J2073="P4")),IF(OR(U2073=1,U2073="1"),"adequate","partial"),INDEX(Fit_Matrix!$B:$B,MATCH(P2073,Fit_Matrix!$A:$A,0)))),"CHECK KEY"))</f>
        <v/>
      </c>
      <c r="U2073" s="10" t="n"/>
      <c r="V2073" s="10" t="n"/>
      <c r="W2073" s="10" t="n"/>
      <c r="X2073" s="10" t="n"/>
      <c r="Y2073" s="10" t="n"/>
      <c r="Z2073" s="10" t="n"/>
      <c r="AA2073" s="11">
        <f>IF(A2073="","",IF(AND(J2073="P4",F2073="causal"),"P4-CAUSAL",""))</f>
        <v/>
      </c>
    </row>
    <row r="2074" ht="15" customHeight="1" s="1">
      <c r="P2074">
        <f>IF(OR(F2074="",H2074="",J2074=""),"",J2074&amp;"|"&amp;F2074&amp;"|"&amp;IF(H2074="W3","W3_"&amp;IF(I2074="","unknown",I2074),H2074))</f>
        <v/>
      </c>
      <c r="Q2074">
        <f>IF(P2074="","",IFERROR(IF(AND(H2074="W7",OR(F2074="causal",F2074="predictive")),IF(AND(OR(K2074=1,K2074="1"),OR(L2074=1,L2074="1"),OR(M2074=1,M2074="1")),"adequate","partial"),IF(AND(H2074="W4",F2074="predictive",OR(J2074="P2",J2074="P3",J2074="P4")),IF(OR(U2074=1,U2074="1"),"adequate","partial"),INDEX(Fit_Matrix!$B:$B,MATCH(P2074,Fit_Matrix!$A:$A,0)))),"CHECK KEY"))</f>
        <v/>
      </c>
      <c r="U2074" s="10" t="n"/>
      <c r="V2074" s="10" t="n"/>
      <c r="W2074" s="10" t="n"/>
      <c r="X2074" s="10" t="n"/>
      <c r="Y2074" s="10" t="n"/>
      <c r="Z2074" s="10" t="n"/>
      <c r="AA2074" s="11">
        <f>IF(A2074="","",IF(AND(J2074="P4",F2074="causal"),"P4-CAUSAL",""))</f>
        <v/>
      </c>
    </row>
    <row r="2075" ht="15" customHeight="1" s="1">
      <c r="P2075">
        <f>IF(OR(F2075="",H2075="",J2075=""),"",J2075&amp;"|"&amp;F2075&amp;"|"&amp;IF(H2075="W3","W3_"&amp;IF(I2075="","unknown",I2075),H2075))</f>
        <v/>
      </c>
      <c r="Q2075">
        <f>IF(P2075="","",IFERROR(IF(AND(H2075="W7",OR(F2075="causal",F2075="predictive")),IF(AND(OR(K2075=1,K2075="1"),OR(L2075=1,L2075="1"),OR(M2075=1,M2075="1")),"adequate","partial"),IF(AND(H2075="W4",F2075="predictive",OR(J2075="P2",J2075="P3",J2075="P4")),IF(OR(U2075=1,U2075="1"),"adequate","partial"),INDEX(Fit_Matrix!$B:$B,MATCH(P2075,Fit_Matrix!$A:$A,0)))),"CHECK KEY"))</f>
        <v/>
      </c>
      <c r="U2075" s="10" t="n"/>
      <c r="V2075" s="10" t="n"/>
      <c r="W2075" s="10" t="n"/>
      <c r="X2075" s="10" t="n"/>
      <c r="Y2075" s="10" t="n"/>
      <c r="Z2075" s="10" t="n"/>
      <c r="AA2075" s="11">
        <f>IF(A2075="","",IF(AND(J2075="P4",F2075="causal"),"P4-CAUSAL",""))</f>
        <v/>
      </c>
    </row>
    <row r="2076" ht="15" customHeight="1" s="1">
      <c r="P2076">
        <f>IF(OR(F2076="",H2076="",J2076=""),"",J2076&amp;"|"&amp;F2076&amp;"|"&amp;IF(H2076="W3","W3_"&amp;IF(I2076="","unknown",I2076),H2076))</f>
        <v/>
      </c>
      <c r="Q2076">
        <f>IF(P2076="","",IFERROR(IF(AND(H2076="W7",OR(F2076="causal",F2076="predictive")),IF(AND(OR(K2076=1,K2076="1"),OR(L2076=1,L2076="1"),OR(M2076=1,M2076="1")),"adequate","partial"),IF(AND(H2076="W4",F2076="predictive",OR(J2076="P2",J2076="P3",J2076="P4")),IF(OR(U2076=1,U2076="1"),"adequate","partial"),INDEX(Fit_Matrix!$B:$B,MATCH(P2076,Fit_Matrix!$A:$A,0)))),"CHECK KEY"))</f>
        <v/>
      </c>
      <c r="U2076" s="10" t="n"/>
      <c r="V2076" s="10" t="n"/>
      <c r="W2076" s="10" t="n"/>
      <c r="X2076" s="10" t="n"/>
      <c r="Y2076" s="10" t="n"/>
      <c r="Z2076" s="10" t="n"/>
      <c r="AA2076" s="11">
        <f>IF(A2076="","",IF(AND(J2076="P4",F2076="causal"),"P4-CAUSAL",""))</f>
        <v/>
      </c>
    </row>
    <row r="2077" ht="15" customHeight="1" s="1">
      <c r="P2077">
        <f>IF(OR(F2077="",H2077="",J2077=""),"",J2077&amp;"|"&amp;F2077&amp;"|"&amp;IF(H2077="W3","W3_"&amp;IF(I2077="","unknown",I2077),H2077))</f>
        <v/>
      </c>
      <c r="Q2077">
        <f>IF(P2077="","",IFERROR(IF(AND(H2077="W7",OR(F2077="causal",F2077="predictive")),IF(AND(OR(K2077=1,K2077="1"),OR(L2077=1,L2077="1"),OR(M2077=1,M2077="1")),"adequate","partial"),IF(AND(H2077="W4",F2077="predictive",OR(J2077="P2",J2077="P3",J2077="P4")),IF(OR(U2077=1,U2077="1"),"adequate","partial"),INDEX(Fit_Matrix!$B:$B,MATCH(P2077,Fit_Matrix!$A:$A,0)))),"CHECK KEY"))</f>
        <v/>
      </c>
      <c r="U2077" s="10" t="n"/>
      <c r="V2077" s="10" t="n"/>
      <c r="W2077" s="10" t="n"/>
      <c r="X2077" s="10" t="n"/>
      <c r="Y2077" s="10" t="n"/>
      <c r="Z2077" s="10" t="n"/>
      <c r="AA2077" s="11">
        <f>IF(A2077="","",IF(AND(J2077="P4",F2077="causal"),"P4-CAUSAL",""))</f>
        <v/>
      </c>
    </row>
    <row r="2078" ht="15" customHeight="1" s="1">
      <c r="P2078">
        <f>IF(OR(F2078="",H2078="",J2078=""),"",J2078&amp;"|"&amp;F2078&amp;"|"&amp;IF(H2078="W3","W3_"&amp;IF(I2078="","unknown",I2078),H2078))</f>
        <v/>
      </c>
      <c r="Q2078">
        <f>IF(P2078="","",IFERROR(IF(AND(H2078="W7",OR(F2078="causal",F2078="predictive")),IF(AND(OR(K2078=1,K2078="1"),OR(L2078=1,L2078="1"),OR(M2078=1,M2078="1")),"adequate","partial"),IF(AND(H2078="W4",F2078="predictive",OR(J2078="P2",J2078="P3",J2078="P4")),IF(OR(U2078=1,U2078="1"),"adequate","partial"),INDEX(Fit_Matrix!$B:$B,MATCH(P2078,Fit_Matrix!$A:$A,0)))),"CHECK KEY"))</f>
        <v/>
      </c>
      <c r="U2078" s="10" t="n"/>
      <c r="V2078" s="10" t="n"/>
      <c r="W2078" s="10" t="n"/>
      <c r="X2078" s="10" t="n"/>
      <c r="Y2078" s="10" t="n"/>
      <c r="Z2078" s="10" t="n"/>
      <c r="AA2078" s="11">
        <f>IF(A2078="","",IF(AND(J2078="P4",F2078="causal"),"P4-CAUSAL",""))</f>
        <v/>
      </c>
    </row>
    <row r="2079" ht="15" customHeight="1" s="1">
      <c r="P2079">
        <f>IF(OR(F2079="",H2079="",J2079=""),"",J2079&amp;"|"&amp;F2079&amp;"|"&amp;IF(H2079="W3","W3_"&amp;IF(I2079="","unknown",I2079),H2079))</f>
        <v/>
      </c>
      <c r="Q2079">
        <f>IF(P2079="","",IFERROR(IF(AND(H2079="W7",OR(F2079="causal",F2079="predictive")),IF(AND(OR(K2079=1,K2079="1"),OR(L2079=1,L2079="1"),OR(M2079=1,M2079="1")),"adequate","partial"),IF(AND(H2079="W4",F2079="predictive",OR(J2079="P2",J2079="P3",J2079="P4")),IF(OR(U2079=1,U2079="1"),"adequate","partial"),INDEX(Fit_Matrix!$B:$B,MATCH(P2079,Fit_Matrix!$A:$A,0)))),"CHECK KEY"))</f>
        <v/>
      </c>
      <c r="U2079" s="10" t="n"/>
      <c r="V2079" s="10" t="n"/>
      <c r="W2079" s="10" t="n"/>
      <c r="X2079" s="10" t="n"/>
      <c r="Y2079" s="10" t="n"/>
      <c r="Z2079" s="10" t="n"/>
      <c r="AA2079" s="11">
        <f>IF(A2079="","",IF(AND(J2079="P4",F2079="causal"),"P4-CAUSAL",""))</f>
        <v/>
      </c>
    </row>
    <row r="2080" ht="15" customHeight="1" s="1">
      <c r="P2080">
        <f>IF(OR(F2080="",H2080="",J2080=""),"",J2080&amp;"|"&amp;F2080&amp;"|"&amp;IF(H2080="W3","W3_"&amp;IF(I2080="","unknown",I2080),H2080))</f>
        <v/>
      </c>
      <c r="Q2080">
        <f>IF(P2080="","",IFERROR(IF(AND(H2080="W7",OR(F2080="causal",F2080="predictive")),IF(AND(OR(K2080=1,K2080="1"),OR(L2080=1,L2080="1"),OR(M2080=1,M2080="1")),"adequate","partial"),IF(AND(H2080="W4",F2080="predictive",OR(J2080="P2",J2080="P3",J2080="P4")),IF(OR(U2080=1,U2080="1"),"adequate","partial"),INDEX(Fit_Matrix!$B:$B,MATCH(P2080,Fit_Matrix!$A:$A,0)))),"CHECK KEY"))</f>
        <v/>
      </c>
      <c r="U2080" s="10" t="n"/>
      <c r="V2080" s="10" t="n"/>
      <c r="W2080" s="10" t="n"/>
      <c r="X2080" s="10" t="n"/>
      <c r="Y2080" s="10" t="n"/>
      <c r="Z2080" s="10" t="n"/>
      <c r="AA2080" s="11">
        <f>IF(A2080="","",IF(AND(J2080="P4",F2080="causal"),"P4-CAUSAL",""))</f>
        <v/>
      </c>
    </row>
    <row r="2081" ht="15" customHeight="1" s="1">
      <c r="P2081">
        <f>IF(OR(F2081="",H2081="",J2081=""),"",J2081&amp;"|"&amp;F2081&amp;"|"&amp;IF(H2081="W3","W3_"&amp;IF(I2081="","unknown",I2081),H2081))</f>
        <v/>
      </c>
      <c r="Q2081">
        <f>IF(P2081="","",IFERROR(IF(AND(H2081="W7",OR(F2081="causal",F2081="predictive")),IF(AND(OR(K2081=1,K2081="1"),OR(L2081=1,L2081="1"),OR(M2081=1,M2081="1")),"adequate","partial"),IF(AND(H2081="W4",F2081="predictive",OR(J2081="P2",J2081="P3",J2081="P4")),IF(OR(U2081=1,U2081="1"),"adequate","partial"),INDEX(Fit_Matrix!$B:$B,MATCH(P2081,Fit_Matrix!$A:$A,0)))),"CHECK KEY"))</f>
        <v/>
      </c>
      <c r="U2081" s="10" t="n"/>
      <c r="V2081" s="10" t="n"/>
      <c r="W2081" s="10" t="n"/>
      <c r="X2081" s="10" t="n"/>
      <c r="Y2081" s="10" t="n"/>
      <c r="Z2081" s="10" t="n"/>
      <c r="AA2081" s="11">
        <f>IF(A2081="","",IF(AND(J2081="P4",F2081="causal"),"P4-CAUSAL",""))</f>
        <v/>
      </c>
    </row>
    <row r="2082" ht="15" customHeight="1" s="1">
      <c r="P2082">
        <f>IF(OR(F2082="",H2082="",J2082=""),"",J2082&amp;"|"&amp;F2082&amp;"|"&amp;IF(H2082="W3","W3_"&amp;IF(I2082="","unknown",I2082),H2082))</f>
        <v/>
      </c>
      <c r="Q2082">
        <f>IF(P2082="","",IFERROR(IF(AND(H2082="W7",OR(F2082="causal",F2082="predictive")),IF(AND(OR(K2082=1,K2082="1"),OR(L2082=1,L2082="1"),OR(M2082=1,M2082="1")),"adequate","partial"),IF(AND(H2082="W4",F2082="predictive",OR(J2082="P2",J2082="P3",J2082="P4")),IF(OR(U2082=1,U2082="1"),"adequate","partial"),INDEX(Fit_Matrix!$B:$B,MATCH(P2082,Fit_Matrix!$A:$A,0)))),"CHECK KEY"))</f>
        <v/>
      </c>
      <c r="U2082" s="10" t="n"/>
      <c r="V2082" s="10" t="n"/>
      <c r="W2082" s="10" t="n"/>
      <c r="X2082" s="10" t="n"/>
      <c r="Y2082" s="10" t="n"/>
      <c r="Z2082" s="10" t="n"/>
      <c r="AA2082" s="11">
        <f>IF(A2082="","",IF(AND(J2082="P4",F2082="causal"),"P4-CAUSAL",""))</f>
        <v/>
      </c>
    </row>
    <row r="2083" ht="15" customHeight="1" s="1">
      <c r="P2083">
        <f>IF(OR(F2083="",H2083="",J2083=""),"",J2083&amp;"|"&amp;F2083&amp;"|"&amp;IF(H2083="W3","W3_"&amp;IF(I2083="","unknown",I2083),H2083))</f>
        <v/>
      </c>
      <c r="Q2083">
        <f>IF(P2083="","",IFERROR(IF(AND(H2083="W7",OR(F2083="causal",F2083="predictive")),IF(AND(OR(K2083=1,K2083="1"),OR(L2083=1,L2083="1"),OR(M2083=1,M2083="1")),"adequate","partial"),IF(AND(H2083="W4",F2083="predictive",OR(J2083="P2",J2083="P3",J2083="P4")),IF(OR(U2083=1,U2083="1"),"adequate","partial"),INDEX(Fit_Matrix!$B:$B,MATCH(P2083,Fit_Matrix!$A:$A,0)))),"CHECK KEY"))</f>
        <v/>
      </c>
      <c r="U2083" s="10" t="n"/>
      <c r="V2083" s="10" t="n"/>
      <c r="W2083" s="10" t="n"/>
      <c r="X2083" s="10" t="n"/>
      <c r="Y2083" s="10" t="n"/>
      <c r="Z2083" s="10" t="n"/>
      <c r="AA2083" s="11">
        <f>IF(A2083="","",IF(AND(J2083="P4",F2083="causal"),"P4-CAUSAL",""))</f>
        <v/>
      </c>
    </row>
    <row r="2084" ht="15" customHeight="1" s="1">
      <c r="P2084">
        <f>IF(OR(F2084="",H2084="",J2084=""),"",J2084&amp;"|"&amp;F2084&amp;"|"&amp;IF(H2084="W3","W3_"&amp;IF(I2084="","unknown",I2084),H2084))</f>
        <v/>
      </c>
      <c r="Q2084">
        <f>IF(P2084="","",IFERROR(IF(AND(H2084="W7",OR(F2084="causal",F2084="predictive")),IF(AND(OR(K2084=1,K2084="1"),OR(L2084=1,L2084="1"),OR(M2084=1,M2084="1")),"adequate","partial"),IF(AND(H2084="W4",F2084="predictive",OR(J2084="P2",J2084="P3",J2084="P4")),IF(OR(U2084=1,U2084="1"),"adequate","partial"),INDEX(Fit_Matrix!$B:$B,MATCH(P2084,Fit_Matrix!$A:$A,0)))),"CHECK KEY"))</f>
        <v/>
      </c>
      <c r="U2084" s="10" t="n"/>
      <c r="V2084" s="10" t="n"/>
      <c r="W2084" s="10" t="n"/>
      <c r="X2084" s="10" t="n"/>
      <c r="Y2084" s="10" t="n"/>
      <c r="Z2084" s="10" t="n"/>
      <c r="AA2084" s="11">
        <f>IF(A2084="","",IF(AND(J2084="P4",F2084="causal"),"P4-CAUSAL",""))</f>
        <v/>
      </c>
    </row>
    <row r="2085" ht="15" customHeight="1" s="1">
      <c r="P2085">
        <f>IF(OR(F2085="",H2085="",J2085=""),"",J2085&amp;"|"&amp;F2085&amp;"|"&amp;IF(H2085="W3","W3_"&amp;IF(I2085="","unknown",I2085),H2085))</f>
        <v/>
      </c>
      <c r="Q2085">
        <f>IF(P2085="","",IFERROR(IF(AND(H2085="W7",OR(F2085="causal",F2085="predictive")),IF(AND(OR(K2085=1,K2085="1"),OR(L2085=1,L2085="1"),OR(M2085=1,M2085="1")),"adequate","partial"),IF(AND(H2085="W4",F2085="predictive",OR(J2085="P2",J2085="P3",J2085="P4")),IF(OR(U2085=1,U2085="1"),"adequate","partial"),INDEX(Fit_Matrix!$B:$B,MATCH(P2085,Fit_Matrix!$A:$A,0)))),"CHECK KEY"))</f>
        <v/>
      </c>
      <c r="U2085" s="10" t="n"/>
      <c r="V2085" s="10" t="n"/>
      <c r="W2085" s="10" t="n"/>
      <c r="X2085" s="10" t="n"/>
      <c r="Y2085" s="10" t="n"/>
      <c r="Z2085" s="10" t="n"/>
      <c r="AA2085" s="11">
        <f>IF(A2085="","",IF(AND(J2085="P4",F2085="causal"),"P4-CAUSAL",""))</f>
        <v/>
      </c>
    </row>
    <row r="2086" ht="15" customHeight="1" s="1">
      <c r="P2086">
        <f>IF(OR(F2086="",H2086="",J2086=""),"",J2086&amp;"|"&amp;F2086&amp;"|"&amp;IF(H2086="W3","W3_"&amp;IF(I2086="","unknown",I2086),H2086))</f>
        <v/>
      </c>
      <c r="Q2086">
        <f>IF(P2086="","",IFERROR(IF(AND(H2086="W7",OR(F2086="causal",F2086="predictive")),IF(AND(OR(K2086=1,K2086="1"),OR(L2086=1,L2086="1"),OR(M2086=1,M2086="1")),"adequate","partial"),IF(AND(H2086="W4",F2086="predictive",OR(J2086="P2",J2086="P3",J2086="P4")),IF(OR(U2086=1,U2086="1"),"adequate","partial"),INDEX(Fit_Matrix!$B:$B,MATCH(P2086,Fit_Matrix!$A:$A,0)))),"CHECK KEY"))</f>
        <v/>
      </c>
      <c r="U2086" s="10" t="n"/>
      <c r="V2086" s="10" t="n"/>
      <c r="W2086" s="10" t="n"/>
      <c r="X2086" s="10" t="n"/>
      <c r="Y2086" s="10" t="n"/>
      <c r="Z2086" s="10" t="n"/>
      <c r="AA2086" s="11">
        <f>IF(A2086="","",IF(AND(J2086="P4",F2086="causal"),"P4-CAUSAL",""))</f>
        <v/>
      </c>
    </row>
    <row r="2087" ht="15" customHeight="1" s="1">
      <c r="P2087">
        <f>IF(OR(F2087="",H2087="",J2087=""),"",J2087&amp;"|"&amp;F2087&amp;"|"&amp;IF(H2087="W3","W3_"&amp;IF(I2087="","unknown",I2087),H2087))</f>
        <v/>
      </c>
      <c r="Q2087">
        <f>IF(P2087="","",IFERROR(IF(AND(H2087="W7",OR(F2087="causal",F2087="predictive")),IF(AND(OR(K2087=1,K2087="1"),OR(L2087=1,L2087="1"),OR(M2087=1,M2087="1")),"adequate","partial"),IF(AND(H2087="W4",F2087="predictive",OR(J2087="P2",J2087="P3",J2087="P4")),IF(OR(U2087=1,U2087="1"),"adequate","partial"),INDEX(Fit_Matrix!$B:$B,MATCH(P2087,Fit_Matrix!$A:$A,0)))),"CHECK KEY"))</f>
        <v/>
      </c>
      <c r="U2087" s="10" t="n"/>
      <c r="V2087" s="10" t="n"/>
      <c r="W2087" s="10" t="n"/>
      <c r="X2087" s="10" t="n"/>
      <c r="Y2087" s="10" t="n"/>
      <c r="Z2087" s="10" t="n"/>
      <c r="AA2087" s="11">
        <f>IF(A2087="","",IF(AND(J2087="P4",F2087="causal"),"P4-CAUSAL",""))</f>
        <v/>
      </c>
    </row>
    <row r="2088" ht="15" customHeight="1" s="1">
      <c r="P2088">
        <f>IF(OR(F2088="",H2088="",J2088=""),"",J2088&amp;"|"&amp;F2088&amp;"|"&amp;IF(H2088="W3","W3_"&amp;IF(I2088="","unknown",I2088),H2088))</f>
        <v/>
      </c>
      <c r="Q2088">
        <f>IF(P2088="","",IFERROR(IF(AND(H2088="W7",OR(F2088="causal",F2088="predictive")),IF(AND(OR(K2088=1,K2088="1"),OR(L2088=1,L2088="1"),OR(M2088=1,M2088="1")),"adequate","partial"),IF(AND(H2088="W4",F2088="predictive",OR(J2088="P2",J2088="P3",J2088="P4")),IF(OR(U2088=1,U2088="1"),"adequate","partial"),INDEX(Fit_Matrix!$B:$B,MATCH(P2088,Fit_Matrix!$A:$A,0)))),"CHECK KEY"))</f>
        <v/>
      </c>
      <c r="U2088" s="10" t="n"/>
      <c r="V2088" s="10" t="n"/>
      <c r="W2088" s="10" t="n"/>
      <c r="X2088" s="10" t="n"/>
      <c r="Y2088" s="10" t="n"/>
      <c r="Z2088" s="10" t="n"/>
      <c r="AA2088" s="11">
        <f>IF(A2088="","",IF(AND(J2088="P4",F2088="causal"),"P4-CAUSAL",""))</f>
        <v/>
      </c>
    </row>
    <row r="2089" ht="15" customHeight="1" s="1">
      <c r="P2089">
        <f>IF(OR(F2089="",H2089="",J2089=""),"",J2089&amp;"|"&amp;F2089&amp;"|"&amp;IF(H2089="W3","W3_"&amp;IF(I2089="","unknown",I2089),H2089))</f>
        <v/>
      </c>
      <c r="Q2089">
        <f>IF(P2089="","",IFERROR(IF(AND(H2089="W7",OR(F2089="causal",F2089="predictive")),IF(AND(OR(K2089=1,K2089="1"),OR(L2089=1,L2089="1"),OR(M2089=1,M2089="1")),"adequate","partial"),IF(AND(H2089="W4",F2089="predictive",OR(J2089="P2",J2089="P3",J2089="P4")),IF(OR(U2089=1,U2089="1"),"adequate","partial"),INDEX(Fit_Matrix!$B:$B,MATCH(P2089,Fit_Matrix!$A:$A,0)))),"CHECK KEY"))</f>
        <v/>
      </c>
      <c r="U2089" s="10" t="n"/>
      <c r="V2089" s="10" t="n"/>
      <c r="W2089" s="10" t="n"/>
      <c r="X2089" s="10" t="n"/>
      <c r="Y2089" s="10" t="n"/>
      <c r="Z2089" s="10" t="n"/>
      <c r="AA2089" s="11">
        <f>IF(A2089="","",IF(AND(J2089="P4",F2089="causal"),"P4-CAUSAL",""))</f>
        <v/>
      </c>
    </row>
    <row r="2090" ht="15" customHeight="1" s="1">
      <c r="P2090">
        <f>IF(OR(F2090="",H2090="",J2090=""),"",J2090&amp;"|"&amp;F2090&amp;"|"&amp;IF(H2090="W3","W3_"&amp;IF(I2090="","unknown",I2090),H2090))</f>
        <v/>
      </c>
      <c r="Q2090">
        <f>IF(P2090="","",IFERROR(IF(AND(H2090="W7",OR(F2090="causal",F2090="predictive")),IF(AND(OR(K2090=1,K2090="1"),OR(L2090=1,L2090="1"),OR(M2090=1,M2090="1")),"adequate","partial"),IF(AND(H2090="W4",F2090="predictive",OR(J2090="P2",J2090="P3",J2090="P4")),IF(OR(U2090=1,U2090="1"),"adequate","partial"),INDEX(Fit_Matrix!$B:$B,MATCH(P2090,Fit_Matrix!$A:$A,0)))),"CHECK KEY"))</f>
        <v/>
      </c>
      <c r="U2090" s="10" t="n"/>
      <c r="V2090" s="10" t="n"/>
      <c r="W2090" s="10" t="n"/>
      <c r="X2090" s="10" t="n"/>
      <c r="Y2090" s="10" t="n"/>
      <c r="Z2090" s="10" t="n"/>
      <c r="AA2090" s="11">
        <f>IF(A2090="","",IF(AND(J2090="P4",F2090="causal"),"P4-CAUSAL",""))</f>
        <v/>
      </c>
    </row>
    <row r="2091" ht="15" customHeight="1" s="1">
      <c r="P2091">
        <f>IF(OR(F2091="",H2091="",J2091=""),"",J2091&amp;"|"&amp;F2091&amp;"|"&amp;IF(H2091="W3","W3_"&amp;IF(I2091="","unknown",I2091),H2091))</f>
        <v/>
      </c>
      <c r="Q2091">
        <f>IF(P2091="","",IFERROR(IF(AND(H2091="W7",OR(F2091="causal",F2091="predictive")),IF(AND(OR(K2091=1,K2091="1"),OR(L2091=1,L2091="1"),OR(M2091=1,M2091="1")),"adequate","partial"),IF(AND(H2091="W4",F2091="predictive",OR(J2091="P2",J2091="P3",J2091="P4")),IF(OR(U2091=1,U2091="1"),"adequate","partial"),INDEX(Fit_Matrix!$B:$B,MATCH(P2091,Fit_Matrix!$A:$A,0)))),"CHECK KEY"))</f>
        <v/>
      </c>
      <c r="U2091" s="10" t="n"/>
      <c r="V2091" s="10" t="n"/>
      <c r="W2091" s="10" t="n"/>
      <c r="X2091" s="10" t="n"/>
      <c r="Y2091" s="10" t="n"/>
      <c r="Z2091" s="10" t="n"/>
      <c r="AA2091" s="11">
        <f>IF(A2091="","",IF(AND(J2091="P4",F2091="causal"),"P4-CAUSAL",""))</f>
        <v/>
      </c>
    </row>
    <row r="2092" ht="15" customHeight="1" s="1">
      <c r="P2092">
        <f>IF(OR(F2092="",H2092="",J2092=""),"",J2092&amp;"|"&amp;F2092&amp;"|"&amp;IF(H2092="W3","W3_"&amp;IF(I2092="","unknown",I2092),H2092))</f>
        <v/>
      </c>
      <c r="Q2092">
        <f>IF(P2092="","",IFERROR(IF(AND(H2092="W7",OR(F2092="causal",F2092="predictive")),IF(AND(OR(K2092=1,K2092="1"),OR(L2092=1,L2092="1"),OR(M2092=1,M2092="1")),"adequate","partial"),IF(AND(H2092="W4",F2092="predictive",OR(J2092="P2",J2092="P3",J2092="P4")),IF(OR(U2092=1,U2092="1"),"adequate","partial"),INDEX(Fit_Matrix!$B:$B,MATCH(P2092,Fit_Matrix!$A:$A,0)))),"CHECK KEY"))</f>
        <v/>
      </c>
      <c r="U2092" s="10" t="n"/>
      <c r="V2092" s="10" t="n"/>
      <c r="W2092" s="10" t="n"/>
      <c r="X2092" s="10" t="n"/>
      <c r="Y2092" s="10" t="n"/>
      <c r="Z2092" s="10" t="n"/>
      <c r="AA2092" s="11">
        <f>IF(A2092="","",IF(AND(J2092="P4",F2092="causal"),"P4-CAUSAL",""))</f>
        <v/>
      </c>
    </row>
    <row r="2093" ht="15" customHeight="1" s="1">
      <c r="P2093">
        <f>IF(OR(F2093="",H2093="",J2093=""),"",J2093&amp;"|"&amp;F2093&amp;"|"&amp;IF(H2093="W3","W3_"&amp;IF(I2093="","unknown",I2093),H2093))</f>
        <v/>
      </c>
      <c r="Q2093">
        <f>IF(P2093="","",IFERROR(IF(AND(H2093="W7",OR(F2093="causal",F2093="predictive")),IF(AND(OR(K2093=1,K2093="1"),OR(L2093=1,L2093="1"),OR(M2093=1,M2093="1")),"adequate","partial"),IF(AND(H2093="W4",F2093="predictive",OR(J2093="P2",J2093="P3",J2093="P4")),IF(OR(U2093=1,U2093="1"),"adequate","partial"),INDEX(Fit_Matrix!$B:$B,MATCH(P2093,Fit_Matrix!$A:$A,0)))),"CHECK KEY"))</f>
        <v/>
      </c>
      <c r="U2093" s="10" t="n"/>
      <c r="V2093" s="10" t="n"/>
      <c r="W2093" s="10" t="n"/>
      <c r="X2093" s="10" t="n"/>
      <c r="Y2093" s="10" t="n"/>
      <c r="Z2093" s="10" t="n"/>
      <c r="AA2093" s="11">
        <f>IF(A2093="","",IF(AND(J2093="P4",F2093="causal"),"P4-CAUSAL",""))</f>
        <v/>
      </c>
    </row>
    <row r="2094" ht="15" customHeight="1" s="1">
      <c r="P2094">
        <f>IF(OR(F2094="",H2094="",J2094=""),"",J2094&amp;"|"&amp;F2094&amp;"|"&amp;IF(H2094="W3","W3_"&amp;IF(I2094="","unknown",I2094),H2094))</f>
        <v/>
      </c>
      <c r="Q2094">
        <f>IF(P2094="","",IFERROR(IF(AND(H2094="W7",OR(F2094="causal",F2094="predictive")),IF(AND(OR(K2094=1,K2094="1"),OR(L2094=1,L2094="1"),OR(M2094=1,M2094="1")),"adequate","partial"),IF(AND(H2094="W4",F2094="predictive",OR(J2094="P2",J2094="P3",J2094="P4")),IF(OR(U2094=1,U2094="1"),"adequate","partial"),INDEX(Fit_Matrix!$B:$B,MATCH(P2094,Fit_Matrix!$A:$A,0)))),"CHECK KEY"))</f>
        <v/>
      </c>
      <c r="U2094" s="10" t="n"/>
      <c r="V2094" s="10" t="n"/>
      <c r="W2094" s="10" t="n"/>
      <c r="X2094" s="10" t="n"/>
      <c r="Y2094" s="10" t="n"/>
      <c r="Z2094" s="10" t="n"/>
      <c r="AA2094" s="11">
        <f>IF(A2094="","",IF(AND(J2094="P4",F2094="causal"),"P4-CAUSAL",""))</f>
        <v/>
      </c>
    </row>
    <row r="2095" ht="15" customHeight="1" s="1">
      <c r="P2095">
        <f>IF(OR(F2095="",H2095="",J2095=""),"",J2095&amp;"|"&amp;F2095&amp;"|"&amp;IF(H2095="W3","W3_"&amp;IF(I2095="","unknown",I2095),H2095))</f>
        <v/>
      </c>
      <c r="Q2095">
        <f>IF(P2095="","",IFERROR(IF(AND(H2095="W7",OR(F2095="causal",F2095="predictive")),IF(AND(OR(K2095=1,K2095="1"),OR(L2095=1,L2095="1"),OR(M2095=1,M2095="1")),"adequate","partial"),IF(AND(H2095="W4",F2095="predictive",OR(J2095="P2",J2095="P3",J2095="P4")),IF(OR(U2095=1,U2095="1"),"adequate","partial"),INDEX(Fit_Matrix!$B:$B,MATCH(P2095,Fit_Matrix!$A:$A,0)))),"CHECK KEY"))</f>
        <v/>
      </c>
      <c r="U2095" s="10" t="n"/>
      <c r="V2095" s="10" t="n"/>
      <c r="W2095" s="10" t="n"/>
      <c r="X2095" s="10" t="n"/>
      <c r="Y2095" s="10" t="n"/>
      <c r="Z2095" s="10" t="n"/>
      <c r="AA2095" s="11">
        <f>IF(A2095="","",IF(AND(J2095="P4",F2095="causal"),"P4-CAUSAL",""))</f>
        <v/>
      </c>
    </row>
    <row r="2096" ht="15" customHeight="1" s="1">
      <c r="P2096">
        <f>IF(OR(F2096="",H2096="",J2096=""),"",J2096&amp;"|"&amp;F2096&amp;"|"&amp;IF(H2096="W3","W3_"&amp;IF(I2096="","unknown",I2096),H2096))</f>
        <v/>
      </c>
      <c r="Q2096">
        <f>IF(P2096="","",IFERROR(IF(AND(H2096="W7",OR(F2096="causal",F2096="predictive")),IF(AND(OR(K2096=1,K2096="1"),OR(L2096=1,L2096="1"),OR(M2096=1,M2096="1")),"adequate","partial"),IF(AND(H2096="W4",F2096="predictive",OR(J2096="P2",J2096="P3",J2096="P4")),IF(OR(U2096=1,U2096="1"),"adequate","partial"),INDEX(Fit_Matrix!$B:$B,MATCH(P2096,Fit_Matrix!$A:$A,0)))),"CHECK KEY"))</f>
        <v/>
      </c>
      <c r="U2096" s="10" t="n"/>
      <c r="V2096" s="10" t="n"/>
      <c r="W2096" s="10" t="n"/>
      <c r="X2096" s="10" t="n"/>
      <c r="Y2096" s="10" t="n"/>
      <c r="Z2096" s="10" t="n"/>
      <c r="AA2096" s="11">
        <f>IF(A2096="","",IF(AND(J2096="P4",F2096="causal"),"P4-CAUSAL",""))</f>
        <v/>
      </c>
    </row>
    <row r="2097" ht="15" customHeight="1" s="1">
      <c r="P2097">
        <f>IF(OR(F2097="",H2097="",J2097=""),"",J2097&amp;"|"&amp;F2097&amp;"|"&amp;IF(H2097="W3","W3_"&amp;IF(I2097="","unknown",I2097),H2097))</f>
        <v/>
      </c>
      <c r="Q2097">
        <f>IF(P2097="","",IFERROR(IF(AND(H2097="W7",OR(F2097="causal",F2097="predictive")),IF(AND(OR(K2097=1,K2097="1"),OR(L2097=1,L2097="1"),OR(M2097=1,M2097="1")),"adequate","partial"),IF(AND(H2097="W4",F2097="predictive",OR(J2097="P2",J2097="P3",J2097="P4")),IF(OR(U2097=1,U2097="1"),"adequate","partial"),INDEX(Fit_Matrix!$B:$B,MATCH(P2097,Fit_Matrix!$A:$A,0)))),"CHECK KEY"))</f>
        <v/>
      </c>
      <c r="U2097" s="10" t="n"/>
      <c r="V2097" s="10" t="n"/>
      <c r="W2097" s="10" t="n"/>
      <c r="X2097" s="10" t="n"/>
      <c r="Y2097" s="10" t="n"/>
      <c r="Z2097" s="10" t="n"/>
      <c r="AA2097" s="11">
        <f>IF(A2097="","",IF(AND(J2097="P4",F2097="causal"),"P4-CAUSAL",""))</f>
        <v/>
      </c>
    </row>
    <row r="2098" ht="15" customHeight="1" s="1">
      <c r="P2098">
        <f>IF(OR(F2098="",H2098="",J2098=""),"",J2098&amp;"|"&amp;F2098&amp;"|"&amp;IF(H2098="W3","W3_"&amp;IF(I2098="","unknown",I2098),H2098))</f>
        <v/>
      </c>
      <c r="Q2098">
        <f>IF(P2098="","",IFERROR(IF(AND(H2098="W7",OR(F2098="causal",F2098="predictive")),IF(AND(OR(K2098=1,K2098="1"),OR(L2098=1,L2098="1"),OR(M2098=1,M2098="1")),"adequate","partial"),IF(AND(H2098="W4",F2098="predictive",OR(J2098="P2",J2098="P3",J2098="P4")),IF(OR(U2098=1,U2098="1"),"adequate","partial"),INDEX(Fit_Matrix!$B:$B,MATCH(P2098,Fit_Matrix!$A:$A,0)))),"CHECK KEY"))</f>
        <v/>
      </c>
      <c r="U2098" s="10" t="n"/>
      <c r="V2098" s="10" t="n"/>
      <c r="W2098" s="10" t="n"/>
      <c r="X2098" s="10" t="n"/>
      <c r="Y2098" s="10" t="n"/>
      <c r="Z2098" s="10" t="n"/>
      <c r="AA2098" s="11">
        <f>IF(A2098="","",IF(AND(J2098="P4",F2098="causal"),"P4-CAUSAL",""))</f>
        <v/>
      </c>
    </row>
    <row r="2099" ht="15" customHeight="1" s="1">
      <c r="P2099">
        <f>IF(OR(F2099="",H2099="",J2099=""),"",J2099&amp;"|"&amp;F2099&amp;"|"&amp;IF(H2099="W3","W3_"&amp;IF(I2099="","unknown",I2099),H2099))</f>
        <v/>
      </c>
      <c r="Q2099">
        <f>IF(P2099="","",IFERROR(IF(AND(H2099="W7",OR(F2099="causal",F2099="predictive")),IF(AND(OR(K2099=1,K2099="1"),OR(L2099=1,L2099="1"),OR(M2099=1,M2099="1")),"adequate","partial"),IF(AND(H2099="W4",F2099="predictive",OR(J2099="P2",J2099="P3",J2099="P4")),IF(OR(U2099=1,U2099="1"),"adequate","partial"),INDEX(Fit_Matrix!$B:$B,MATCH(P2099,Fit_Matrix!$A:$A,0)))),"CHECK KEY"))</f>
        <v/>
      </c>
      <c r="U2099" s="10" t="n"/>
      <c r="V2099" s="10" t="n"/>
      <c r="W2099" s="10" t="n"/>
      <c r="X2099" s="10" t="n"/>
      <c r="Y2099" s="10" t="n"/>
      <c r="Z2099" s="10" t="n"/>
      <c r="AA2099" s="11">
        <f>IF(A2099="","",IF(AND(J2099="P4",F2099="causal"),"P4-CAUSAL",""))</f>
        <v/>
      </c>
    </row>
    <row r="2100" ht="15" customHeight="1" s="1">
      <c r="P2100">
        <f>IF(OR(F2100="",H2100="",J2100=""),"",J2100&amp;"|"&amp;F2100&amp;"|"&amp;IF(H2100="W3","W3_"&amp;IF(I2100="","unknown",I2100),H2100))</f>
        <v/>
      </c>
      <c r="Q2100">
        <f>IF(P2100="","",IFERROR(IF(AND(H2100="W7",OR(F2100="causal",F2100="predictive")),IF(AND(OR(K2100=1,K2100="1"),OR(L2100=1,L2100="1"),OR(M2100=1,M2100="1")),"adequate","partial"),IF(AND(H2100="W4",F2100="predictive",OR(J2100="P2",J2100="P3",J2100="P4")),IF(OR(U2100=1,U2100="1"),"adequate","partial"),INDEX(Fit_Matrix!$B:$B,MATCH(P2100,Fit_Matrix!$A:$A,0)))),"CHECK KEY"))</f>
        <v/>
      </c>
      <c r="U2100" s="10" t="n"/>
      <c r="V2100" s="10" t="n"/>
      <c r="W2100" s="10" t="n"/>
      <c r="X2100" s="10" t="n"/>
      <c r="Y2100" s="10" t="n"/>
      <c r="Z2100" s="10" t="n"/>
      <c r="AA2100" s="11">
        <f>IF(A2100="","",IF(AND(J2100="P4",F2100="causal"),"P4-CAUSAL",""))</f>
        <v/>
      </c>
    </row>
    <row r="2101" ht="15" customHeight="1" s="1">
      <c r="P2101">
        <f>IF(OR(F2101="",H2101="",J2101=""),"",J2101&amp;"|"&amp;F2101&amp;"|"&amp;IF(H2101="W3","W3_"&amp;IF(I2101="","unknown",I2101),H2101))</f>
        <v/>
      </c>
      <c r="Q2101">
        <f>IF(P2101="","",IFERROR(IF(AND(H2101="W7",OR(F2101="causal",F2101="predictive")),IF(AND(OR(K2101=1,K2101="1"),OR(L2101=1,L2101="1"),OR(M2101=1,M2101="1")),"adequate","partial"),IF(AND(H2101="W4",F2101="predictive",OR(J2101="P2",J2101="P3",J2101="P4")),IF(OR(U2101=1,U2101="1"),"adequate","partial"),INDEX(Fit_Matrix!$B:$B,MATCH(P2101,Fit_Matrix!$A:$A,0)))),"CHECK KEY"))</f>
        <v/>
      </c>
      <c r="U2101" s="10" t="n"/>
      <c r="V2101" s="10" t="n"/>
      <c r="W2101" s="10" t="n"/>
      <c r="X2101" s="10" t="n"/>
      <c r="Y2101" s="10" t="n"/>
      <c r="Z2101" s="10" t="n"/>
      <c r="AA2101" s="11">
        <f>IF(A2101="","",IF(AND(J2101="P4",F2101="causal"),"P4-CAUSAL",""))</f>
        <v/>
      </c>
    </row>
    <row r="2102" ht="15" customHeight="1" s="1">
      <c r="P2102">
        <f>IF(OR(F2102="",H2102="",J2102=""),"",J2102&amp;"|"&amp;F2102&amp;"|"&amp;IF(H2102="W3","W3_"&amp;IF(I2102="","unknown",I2102),H2102))</f>
        <v/>
      </c>
      <c r="Q2102">
        <f>IF(P2102="","",IFERROR(IF(AND(H2102="W7",OR(F2102="causal",F2102="predictive")),IF(AND(OR(K2102=1,K2102="1"),OR(L2102=1,L2102="1"),OR(M2102=1,M2102="1")),"adequate","partial"),IF(AND(H2102="W4",F2102="predictive",OR(J2102="P2",J2102="P3",J2102="P4")),IF(OR(U2102=1,U2102="1"),"adequate","partial"),INDEX(Fit_Matrix!$B:$B,MATCH(P2102,Fit_Matrix!$A:$A,0)))),"CHECK KEY"))</f>
        <v/>
      </c>
      <c r="U2102" s="10" t="n"/>
      <c r="V2102" s="10" t="n"/>
      <c r="W2102" s="10" t="n"/>
      <c r="X2102" s="10" t="n"/>
      <c r="Y2102" s="10" t="n"/>
      <c r="Z2102" s="10" t="n"/>
      <c r="AA2102" s="11">
        <f>IF(A2102="","",IF(AND(J2102="P4",F2102="causal"),"P4-CAUSAL",""))</f>
        <v/>
      </c>
    </row>
    <row r="2103" ht="15" customHeight="1" s="1">
      <c r="P2103">
        <f>IF(OR(F2103="",H2103="",J2103=""),"",J2103&amp;"|"&amp;F2103&amp;"|"&amp;IF(H2103="W3","W3_"&amp;IF(I2103="","unknown",I2103),H2103))</f>
        <v/>
      </c>
      <c r="Q2103">
        <f>IF(P2103="","",IFERROR(IF(AND(H2103="W7",OR(F2103="causal",F2103="predictive")),IF(AND(OR(K2103=1,K2103="1"),OR(L2103=1,L2103="1"),OR(M2103=1,M2103="1")),"adequate","partial"),IF(AND(H2103="W4",F2103="predictive",OR(J2103="P2",J2103="P3",J2103="P4")),IF(OR(U2103=1,U2103="1"),"adequate","partial"),INDEX(Fit_Matrix!$B:$B,MATCH(P2103,Fit_Matrix!$A:$A,0)))),"CHECK KEY"))</f>
        <v/>
      </c>
      <c r="U2103" s="10" t="n"/>
      <c r="V2103" s="10" t="n"/>
      <c r="W2103" s="10" t="n"/>
      <c r="X2103" s="10" t="n"/>
      <c r="Y2103" s="10" t="n"/>
      <c r="Z2103" s="10" t="n"/>
      <c r="AA2103" s="11">
        <f>IF(A2103="","",IF(AND(J2103="P4",F2103="causal"),"P4-CAUSAL",""))</f>
        <v/>
      </c>
    </row>
    <row r="2104" ht="15" customHeight="1" s="1">
      <c r="P2104">
        <f>IF(OR(F2104="",H2104="",J2104=""),"",J2104&amp;"|"&amp;F2104&amp;"|"&amp;IF(H2104="W3","W3_"&amp;IF(I2104="","unknown",I2104),H2104))</f>
        <v/>
      </c>
      <c r="Q2104">
        <f>IF(P2104="","",IFERROR(IF(AND(H2104="W7",OR(F2104="causal",F2104="predictive")),IF(AND(OR(K2104=1,K2104="1"),OR(L2104=1,L2104="1"),OR(M2104=1,M2104="1")),"adequate","partial"),IF(AND(H2104="W4",F2104="predictive",OR(J2104="P2",J2104="P3",J2104="P4")),IF(OR(U2104=1,U2104="1"),"adequate","partial"),INDEX(Fit_Matrix!$B:$B,MATCH(P2104,Fit_Matrix!$A:$A,0)))),"CHECK KEY"))</f>
        <v/>
      </c>
      <c r="U2104" s="10" t="n"/>
      <c r="V2104" s="10" t="n"/>
      <c r="W2104" s="10" t="n"/>
      <c r="X2104" s="10" t="n"/>
      <c r="Y2104" s="10" t="n"/>
      <c r="Z2104" s="10" t="n"/>
      <c r="AA2104" s="11">
        <f>IF(A2104="","",IF(AND(J2104="P4",F2104="causal"),"P4-CAUSAL",""))</f>
        <v/>
      </c>
    </row>
    <row r="2105" ht="15" customHeight="1" s="1">
      <c r="P2105">
        <f>IF(OR(F2105="",H2105="",J2105=""),"",J2105&amp;"|"&amp;F2105&amp;"|"&amp;IF(H2105="W3","W3_"&amp;IF(I2105="","unknown",I2105),H2105))</f>
        <v/>
      </c>
      <c r="Q2105">
        <f>IF(P2105="","",IFERROR(IF(AND(H2105="W7",OR(F2105="causal",F2105="predictive")),IF(AND(OR(K2105=1,K2105="1"),OR(L2105=1,L2105="1"),OR(M2105=1,M2105="1")),"adequate","partial"),IF(AND(H2105="W4",F2105="predictive",OR(J2105="P2",J2105="P3",J2105="P4")),IF(OR(U2105=1,U2105="1"),"adequate","partial"),INDEX(Fit_Matrix!$B:$B,MATCH(P2105,Fit_Matrix!$A:$A,0)))),"CHECK KEY"))</f>
        <v/>
      </c>
      <c r="U2105" s="10" t="n"/>
      <c r="V2105" s="10" t="n"/>
      <c r="W2105" s="10" t="n"/>
      <c r="X2105" s="10" t="n"/>
      <c r="Y2105" s="10" t="n"/>
      <c r="Z2105" s="10" t="n"/>
      <c r="AA2105" s="11">
        <f>IF(A2105="","",IF(AND(J2105="P4",F2105="causal"),"P4-CAUSAL",""))</f>
        <v/>
      </c>
    </row>
    <row r="2106" ht="15" customHeight="1" s="1">
      <c r="P2106">
        <f>IF(OR(F2106="",H2106="",J2106=""),"",J2106&amp;"|"&amp;F2106&amp;"|"&amp;IF(H2106="W3","W3_"&amp;IF(I2106="","unknown",I2106),H2106))</f>
        <v/>
      </c>
      <c r="Q2106">
        <f>IF(P2106="","",IFERROR(IF(AND(H2106="W7",OR(F2106="causal",F2106="predictive")),IF(AND(OR(K2106=1,K2106="1"),OR(L2106=1,L2106="1"),OR(M2106=1,M2106="1")),"adequate","partial"),IF(AND(H2106="W4",F2106="predictive",OR(J2106="P2",J2106="P3",J2106="P4")),IF(OR(U2106=1,U2106="1"),"adequate","partial"),INDEX(Fit_Matrix!$B:$B,MATCH(P2106,Fit_Matrix!$A:$A,0)))),"CHECK KEY"))</f>
        <v/>
      </c>
      <c r="U2106" s="10" t="n"/>
      <c r="V2106" s="10" t="n"/>
      <c r="W2106" s="10" t="n"/>
      <c r="X2106" s="10" t="n"/>
      <c r="Y2106" s="10" t="n"/>
      <c r="Z2106" s="10" t="n"/>
      <c r="AA2106" s="11">
        <f>IF(A2106="","",IF(AND(J2106="P4",F2106="causal"),"P4-CAUSAL",""))</f>
        <v/>
      </c>
    </row>
    <row r="2107" ht="15" customHeight="1" s="1">
      <c r="P2107">
        <f>IF(OR(F2107="",H2107="",J2107=""),"",J2107&amp;"|"&amp;F2107&amp;"|"&amp;IF(H2107="W3","W3_"&amp;IF(I2107="","unknown",I2107),H2107))</f>
        <v/>
      </c>
      <c r="Q2107">
        <f>IF(P2107="","",IFERROR(IF(AND(H2107="W7",OR(F2107="causal",F2107="predictive")),IF(AND(OR(K2107=1,K2107="1"),OR(L2107=1,L2107="1"),OR(M2107=1,M2107="1")),"adequate","partial"),IF(AND(H2107="W4",F2107="predictive",OR(J2107="P2",J2107="P3",J2107="P4")),IF(OR(U2107=1,U2107="1"),"adequate","partial"),INDEX(Fit_Matrix!$B:$B,MATCH(P2107,Fit_Matrix!$A:$A,0)))),"CHECK KEY"))</f>
        <v/>
      </c>
      <c r="U2107" s="10" t="n"/>
      <c r="V2107" s="10" t="n"/>
      <c r="W2107" s="10" t="n"/>
      <c r="X2107" s="10" t="n"/>
      <c r="Y2107" s="10" t="n"/>
      <c r="Z2107" s="10" t="n"/>
      <c r="AA2107" s="11">
        <f>IF(A2107="","",IF(AND(J2107="P4",F2107="causal"),"P4-CAUSAL",""))</f>
        <v/>
      </c>
    </row>
    <row r="2108" ht="15" customHeight="1" s="1">
      <c r="P2108">
        <f>IF(OR(F2108="",H2108="",J2108=""),"",J2108&amp;"|"&amp;F2108&amp;"|"&amp;IF(H2108="W3","W3_"&amp;IF(I2108="","unknown",I2108),H2108))</f>
        <v/>
      </c>
      <c r="Q2108">
        <f>IF(P2108="","",IFERROR(IF(AND(H2108="W7",OR(F2108="causal",F2108="predictive")),IF(AND(OR(K2108=1,K2108="1"),OR(L2108=1,L2108="1"),OR(M2108=1,M2108="1")),"adequate","partial"),IF(AND(H2108="W4",F2108="predictive",OR(J2108="P2",J2108="P3",J2108="P4")),IF(OR(U2108=1,U2108="1"),"adequate","partial"),INDEX(Fit_Matrix!$B:$B,MATCH(P2108,Fit_Matrix!$A:$A,0)))),"CHECK KEY"))</f>
        <v/>
      </c>
      <c r="U2108" s="10" t="n"/>
      <c r="V2108" s="10" t="n"/>
      <c r="W2108" s="10" t="n"/>
      <c r="X2108" s="10" t="n"/>
      <c r="Y2108" s="10" t="n"/>
      <c r="Z2108" s="10" t="n"/>
      <c r="AA2108" s="11">
        <f>IF(A2108="","",IF(AND(J2108="P4",F2108="causal"),"P4-CAUSAL",""))</f>
        <v/>
      </c>
    </row>
    <row r="2109" ht="15" customHeight="1" s="1">
      <c r="P2109">
        <f>IF(OR(F2109="",H2109="",J2109=""),"",J2109&amp;"|"&amp;F2109&amp;"|"&amp;IF(H2109="W3","W3_"&amp;IF(I2109="","unknown",I2109),H2109))</f>
        <v/>
      </c>
      <c r="Q2109">
        <f>IF(P2109="","",IFERROR(IF(AND(H2109="W7",OR(F2109="causal",F2109="predictive")),IF(AND(OR(K2109=1,K2109="1"),OR(L2109=1,L2109="1"),OR(M2109=1,M2109="1")),"adequate","partial"),IF(AND(H2109="W4",F2109="predictive",OR(J2109="P2",J2109="P3",J2109="P4")),IF(OR(U2109=1,U2109="1"),"adequate","partial"),INDEX(Fit_Matrix!$B:$B,MATCH(P2109,Fit_Matrix!$A:$A,0)))),"CHECK KEY"))</f>
        <v/>
      </c>
      <c r="U2109" s="10" t="n"/>
      <c r="V2109" s="10" t="n"/>
      <c r="W2109" s="10" t="n"/>
      <c r="X2109" s="10" t="n"/>
      <c r="Y2109" s="10" t="n"/>
      <c r="Z2109" s="10" t="n"/>
      <c r="AA2109" s="11">
        <f>IF(A2109="","",IF(AND(J2109="P4",F2109="causal"),"P4-CAUSAL",""))</f>
        <v/>
      </c>
    </row>
    <row r="2110" ht="15" customHeight="1" s="1">
      <c r="P2110">
        <f>IF(OR(F2110="",H2110="",J2110=""),"",J2110&amp;"|"&amp;F2110&amp;"|"&amp;IF(H2110="W3","W3_"&amp;IF(I2110="","unknown",I2110),H2110))</f>
        <v/>
      </c>
      <c r="Q2110">
        <f>IF(P2110="","",IFERROR(IF(AND(H2110="W7",OR(F2110="causal",F2110="predictive")),IF(AND(OR(K2110=1,K2110="1"),OR(L2110=1,L2110="1"),OR(M2110=1,M2110="1")),"adequate","partial"),IF(AND(H2110="W4",F2110="predictive",OR(J2110="P2",J2110="P3",J2110="P4")),IF(OR(U2110=1,U2110="1"),"adequate","partial"),INDEX(Fit_Matrix!$B:$B,MATCH(P2110,Fit_Matrix!$A:$A,0)))),"CHECK KEY"))</f>
        <v/>
      </c>
      <c r="U2110" s="10" t="n"/>
      <c r="V2110" s="10" t="n"/>
      <c r="W2110" s="10" t="n"/>
      <c r="X2110" s="10" t="n"/>
      <c r="Y2110" s="10" t="n"/>
      <c r="Z2110" s="10" t="n"/>
      <c r="AA2110" s="11">
        <f>IF(A2110="","",IF(AND(J2110="P4",F2110="causal"),"P4-CAUSAL",""))</f>
        <v/>
      </c>
    </row>
    <row r="2111" ht="15" customHeight="1" s="1">
      <c r="P2111">
        <f>IF(OR(F2111="",H2111="",J2111=""),"",J2111&amp;"|"&amp;F2111&amp;"|"&amp;IF(H2111="W3","W3_"&amp;IF(I2111="","unknown",I2111),H2111))</f>
        <v/>
      </c>
      <c r="Q2111">
        <f>IF(P2111="","",IFERROR(IF(AND(H2111="W7",OR(F2111="causal",F2111="predictive")),IF(AND(OR(K2111=1,K2111="1"),OR(L2111=1,L2111="1"),OR(M2111=1,M2111="1")),"adequate","partial"),IF(AND(H2111="W4",F2111="predictive",OR(J2111="P2",J2111="P3",J2111="P4")),IF(OR(U2111=1,U2111="1"),"adequate","partial"),INDEX(Fit_Matrix!$B:$B,MATCH(P2111,Fit_Matrix!$A:$A,0)))),"CHECK KEY"))</f>
        <v/>
      </c>
      <c r="U2111" s="10" t="n"/>
      <c r="V2111" s="10" t="n"/>
      <c r="W2111" s="10" t="n"/>
      <c r="X2111" s="10" t="n"/>
      <c r="Y2111" s="10" t="n"/>
      <c r="Z2111" s="10" t="n"/>
      <c r="AA2111" s="11">
        <f>IF(A2111="","",IF(AND(J2111="P4",F2111="causal"),"P4-CAUSAL",""))</f>
        <v/>
      </c>
    </row>
    <row r="2112" ht="15" customHeight="1" s="1">
      <c r="P2112">
        <f>IF(OR(F2112="",H2112="",J2112=""),"",J2112&amp;"|"&amp;F2112&amp;"|"&amp;IF(H2112="W3","W3_"&amp;IF(I2112="","unknown",I2112),H2112))</f>
        <v/>
      </c>
      <c r="Q2112">
        <f>IF(P2112="","",IFERROR(IF(AND(H2112="W7",OR(F2112="causal",F2112="predictive")),IF(AND(OR(K2112=1,K2112="1"),OR(L2112=1,L2112="1"),OR(M2112=1,M2112="1")),"adequate","partial"),IF(AND(H2112="W4",F2112="predictive",OR(J2112="P2",J2112="P3",J2112="P4")),IF(OR(U2112=1,U2112="1"),"adequate","partial"),INDEX(Fit_Matrix!$B:$B,MATCH(P2112,Fit_Matrix!$A:$A,0)))),"CHECK KEY"))</f>
        <v/>
      </c>
      <c r="U2112" s="10" t="n"/>
      <c r="V2112" s="10" t="n"/>
      <c r="W2112" s="10" t="n"/>
      <c r="X2112" s="10" t="n"/>
      <c r="Y2112" s="10" t="n"/>
      <c r="Z2112" s="10" t="n"/>
      <c r="AA2112" s="11">
        <f>IF(A2112="","",IF(AND(J2112="P4",F2112="causal"),"P4-CAUSAL",""))</f>
        <v/>
      </c>
    </row>
    <row r="2113" ht="15" customHeight="1" s="1">
      <c r="P2113">
        <f>IF(OR(F2113="",H2113="",J2113=""),"",J2113&amp;"|"&amp;F2113&amp;"|"&amp;IF(H2113="W3","W3_"&amp;IF(I2113="","unknown",I2113),H2113))</f>
        <v/>
      </c>
      <c r="Q2113">
        <f>IF(P2113="","",IFERROR(IF(AND(H2113="W7",OR(F2113="causal",F2113="predictive")),IF(AND(OR(K2113=1,K2113="1"),OR(L2113=1,L2113="1"),OR(M2113=1,M2113="1")),"adequate","partial"),IF(AND(H2113="W4",F2113="predictive",OR(J2113="P2",J2113="P3",J2113="P4")),IF(OR(U2113=1,U2113="1"),"adequate","partial"),INDEX(Fit_Matrix!$B:$B,MATCH(P2113,Fit_Matrix!$A:$A,0)))),"CHECK KEY"))</f>
        <v/>
      </c>
      <c r="U2113" s="10" t="n"/>
      <c r="V2113" s="10" t="n"/>
      <c r="W2113" s="10" t="n"/>
      <c r="X2113" s="10" t="n"/>
      <c r="Y2113" s="10" t="n"/>
      <c r="Z2113" s="10" t="n"/>
      <c r="AA2113" s="11">
        <f>IF(A2113="","",IF(AND(J2113="P4",F2113="causal"),"P4-CAUSAL",""))</f>
        <v/>
      </c>
    </row>
    <row r="2114" ht="15" customHeight="1" s="1">
      <c r="P2114">
        <f>IF(OR(F2114="",H2114="",J2114=""),"",J2114&amp;"|"&amp;F2114&amp;"|"&amp;IF(H2114="W3","W3_"&amp;IF(I2114="","unknown",I2114),H2114))</f>
        <v/>
      </c>
      <c r="Q2114">
        <f>IF(P2114="","",IFERROR(IF(AND(H2114="W7",OR(F2114="causal",F2114="predictive")),IF(AND(OR(K2114=1,K2114="1"),OR(L2114=1,L2114="1"),OR(M2114=1,M2114="1")),"adequate","partial"),IF(AND(H2114="W4",F2114="predictive",OR(J2114="P2",J2114="P3",J2114="P4")),IF(OR(U2114=1,U2114="1"),"adequate","partial"),INDEX(Fit_Matrix!$B:$B,MATCH(P2114,Fit_Matrix!$A:$A,0)))),"CHECK KEY"))</f>
        <v/>
      </c>
      <c r="U2114" s="10" t="n"/>
      <c r="V2114" s="10" t="n"/>
      <c r="W2114" s="10" t="n"/>
      <c r="X2114" s="10" t="n"/>
      <c r="Y2114" s="10" t="n"/>
      <c r="Z2114" s="10" t="n"/>
      <c r="AA2114" s="11">
        <f>IF(A2114="","",IF(AND(J2114="P4",F2114="causal"),"P4-CAUSAL",""))</f>
        <v/>
      </c>
    </row>
    <row r="2115" ht="15" customHeight="1" s="1">
      <c r="P2115">
        <f>IF(OR(F2115="",H2115="",J2115=""),"",J2115&amp;"|"&amp;F2115&amp;"|"&amp;IF(H2115="W3","W3_"&amp;IF(I2115="","unknown",I2115),H2115))</f>
        <v/>
      </c>
      <c r="Q2115">
        <f>IF(P2115="","",IFERROR(IF(AND(H2115="W7",OR(F2115="causal",F2115="predictive")),IF(AND(OR(K2115=1,K2115="1"),OR(L2115=1,L2115="1"),OR(M2115=1,M2115="1")),"adequate","partial"),IF(AND(H2115="W4",F2115="predictive",OR(J2115="P2",J2115="P3",J2115="P4")),IF(OR(U2115=1,U2115="1"),"adequate","partial"),INDEX(Fit_Matrix!$B:$B,MATCH(P2115,Fit_Matrix!$A:$A,0)))),"CHECK KEY"))</f>
        <v/>
      </c>
      <c r="U2115" s="10" t="n"/>
      <c r="V2115" s="10" t="n"/>
      <c r="W2115" s="10" t="n"/>
      <c r="X2115" s="10" t="n"/>
      <c r="Y2115" s="10" t="n"/>
      <c r="Z2115" s="10" t="n"/>
      <c r="AA2115" s="11">
        <f>IF(A2115="","",IF(AND(J2115="P4",F2115="causal"),"P4-CAUSAL",""))</f>
        <v/>
      </c>
    </row>
    <row r="2116" ht="15" customHeight="1" s="1">
      <c r="P2116">
        <f>IF(OR(F2116="",H2116="",J2116=""),"",J2116&amp;"|"&amp;F2116&amp;"|"&amp;IF(H2116="W3","W3_"&amp;IF(I2116="","unknown",I2116),H2116))</f>
        <v/>
      </c>
      <c r="Q2116">
        <f>IF(P2116="","",IFERROR(IF(AND(H2116="W7",OR(F2116="causal",F2116="predictive")),IF(AND(OR(K2116=1,K2116="1"),OR(L2116=1,L2116="1"),OR(M2116=1,M2116="1")),"adequate","partial"),IF(AND(H2116="W4",F2116="predictive",OR(J2116="P2",J2116="P3",J2116="P4")),IF(OR(U2116=1,U2116="1"),"adequate","partial"),INDEX(Fit_Matrix!$B:$B,MATCH(P2116,Fit_Matrix!$A:$A,0)))),"CHECK KEY"))</f>
        <v/>
      </c>
      <c r="U2116" s="10" t="n"/>
      <c r="V2116" s="10" t="n"/>
      <c r="W2116" s="10" t="n"/>
      <c r="X2116" s="10" t="n"/>
      <c r="Y2116" s="10" t="n"/>
      <c r="Z2116" s="10" t="n"/>
      <c r="AA2116" s="11">
        <f>IF(A2116="","",IF(AND(J2116="P4",F2116="causal"),"P4-CAUSAL",""))</f>
        <v/>
      </c>
    </row>
    <row r="2117" ht="15" customHeight="1" s="1">
      <c r="P2117">
        <f>IF(OR(F2117="",H2117="",J2117=""),"",J2117&amp;"|"&amp;F2117&amp;"|"&amp;IF(H2117="W3","W3_"&amp;IF(I2117="","unknown",I2117),H2117))</f>
        <v/>
      </c>
      <c r="Q2117">
        <f>IF(P2117="","",IFERROR(IF(AND(H2117="W7",OR(F2117="causal",F2117="predictive")),IF(AND(OR(K2117=1,K2117="1"),OR(L2117=1,L2117="1"),OR(M2117=1,M2117="1")),"adequate","partial"),IF(AND(H2117="W4",F2117="predictive",OR(J2117="P2",J2117="P3",J2117="P4")),IF(OR(U2117=1,U2117="1"),"adequate","partial"),INDEX(Fit_Matrix!$B:$B,MATCH(P2117,Fit_Matrix!$A:$A,0)))),"CHECK KEY"))</f>
        <v/>
      </c>
      <c r="U2117" s="10" t="n"/>
      <c r="V2117" s="10" t="n"/>
      <c r="W2117" s="10" t="n"/>
      <c r="X2117" s="10" t="n"/>
      <c r="Y2117" s="10" t="n"/>
      <c r="Z2117" s="10" t="n"/>
      <c r="AA2117" s="11">
        <f>IF(A2117="","",IF(AND(J2117="P4",F2117="causal"),"P4-CAUSAL",""))</f>
        <v/>
      </c>
    </row>
    <row r="2118" ht="15" customHeight="1" s="1">
      <c r="P2118">
        <f>IF(OR(F2118="",H2118="",J2118=""),"",J2118&amp;"|"&amp;F2118&amp;"|"&amp;IF(H2118="W3","W3_"&amp;IF(I2118="","unknown",I2118),H2118))</f>
        <v/>
      </c>
      <c r="Q2118">
        <f>IF(P2118="","",IFERROR(IF(AND(H2118="W7",OR(F2118="causal",F2118="predictive")),IF(AND(OR(K2118=1,K2118="1"),OR(L2118=1,L2118="1"),OR(M2118=1,M2118="1")),"adequate","partial"),IF(AND(H2118="W4",F2118="predictive",OR(J2118="P2",J2118="P3",J2118="P4")),IF(OR(U2118=1,U2118="1"),"adequate","partial"),INDEX(Fit_Matrix!$B:$B,MATCH(P2118,Fit_Matrix!$A:$A,0)))),"CHECK KEY"))</f>
        <v/>
      </c>
      <c r="U2118" s="10" t="n"/>
      <c r="V2118" s="10" t="n"/>
      <c r="W2118" s="10" t="n"/>
      <c r="X2118" s="10" t="n"/>
      <c r="Y2118" s="10" t="n"/>
      <c r="Z2118" s="10" t="n"/>
      <c r="AA2118" s="11">
        <f>IF(A2118="","",IF(AND(J2118="P4",F2118="causal"),"P4-CAUSAL",""))</f>
        <v/>
      </c>
    </row>
    <row r="2119" ht="15" customHeight="1" s="1">
      <c r="P2119">
        <f>IF(OR(F2119="",H2119="",J2119=""),"",J2119&amp;"|"&amp;F2119&amp;"|"&amp;IF(H2119="W3","W3_"&amp;IF(I2119="","unknown",I2119),H2119))</f>
        <v/>
      </c>
      <c r="Q2119">
        <f>IF(P2119="","",IFERROR(IF(AND(H2119="W7",OR(F2119="causal",F2119="predictive")),IF(AND(OR(K2119=1,K2119="1"),OR(L2119=1,L2119="1"),OR(M2119=1,M2119="1")),"adequate","partial"),IF(AND(H2119="W4",F2119="predictive",OR(J2119="P2",J2119="P3",J2119="P4")),IF(OR(U2119=1,U2119="1"),"adequate","partial"),INDEX(Fit_Matrix!$B:$B,MATCH(P2119,Fit_Matrix!$A:$A,0)))),"CHECK KEY"))</f>
        <v/>
      </c>
      <c r="U2119" s="10" t="n"/>
      <c r="V2119" s="10" t="n"/>
      <c r="W2119" s="10" t="n"/>
      <c r="X2119" s="10" t="n"/>
      <c r="Y2119" s="10" t="n"/>
      <c r="Z2119" s="10" t="n"/>
      <c r="AA2119" s="11">
        <f>IF(A2119="","",IF(AND(J2119="P4",F2119="causal"),"P4-CAUSAL",""))</f>
        <v/>
      </c>
    </row>
    <row r="2120" ht="15" customHeight="1" s="1">
      <c r="P2120">
        <f>IF(OR(F2120="",H2120="",J2120=""),"",J2120&amp;"|"&amp;F2120&amp;"|"&amp;IF(H2120="W3","W3_"&amp;IF(I2120="","unknown",I2120),H2120))</f>
        <v/>
      </c>
      <c r="Q2120">
        <f>IF(P2120="","",IFERROR(IF(AND(H2120="W7",OR(F2120="causal",F2120="predictive")),IF(AND(OR(K2120=1,K2120="1"),OR(L2120=1,L2120="1"),OR(M2120=1,M2120="1")),"adequate","partial"),IF(AND(H2120="W4",F2120="predictive",OR(J2120="P2",J2120="P3",J2120="P4")),IF(OR(U2120=1,U2120="1"),"adequate","partial"),INDEX(Fit_Matrix!$B:$B,MATCH(P2120,Fit_Matrix!$A:$A,0)))),"CHECK KEY"))</f>
        <v/>
      </c>
      <c r="U2120" s="10" t="n"/>
      <c r="V2120" s="10" t="n"/>
      <c r="W2120" s="10" t="n"/>
      <c r="X2120" s="10" t="n"/>
      <c r="Y2120" s="10" t="n"/>
      <c r="Z2120" s="10" t="n"/>
      <c r="AA2120" s="11">
        <f>IF(A2120="","",IF(AND(J2120="P4",F2120="causal"),"P4-CAUSAL",""))</f>
        <v/>
      </c>
    </row>
    <row r="2121" ht="15" customHeight="1" s="1">
      <c r="P2121">
        <f>IF(OR(F2121="",H2121="",J2121=""),"",J2121&amp;"|"&amp;F2121&amp;"|"&amp;IF(H2121="W3","W3_"&amp;IF(I2121="","unknown",I2121),H2121))</f>
        <v/>
      </c>
      <c r="Q2121">
        <f>IF(P2121="","",IFERROR(IF(AND(H2121="W7",OR(F2121="causal",F2121="predictive")),IF(AND(OR(K2121=1,K2121="1"),OR(L2121=1,L2121="1"),OR(M2121=1,M2121="1")),"adequate","partial"),IF(AND(H2121="W4",F2121="predictive",OR(J2121="P2",J2121="P3",J2121="P4")),IF(OR(U2121=1,U2121="1"),"adequate","partial"),INDEX(Fit_Matrix!$B:$B,MATCH(P2121,Fit_Matrix!$A:$A,0)))),"CHECK KEY"))</f>
        <v/>
      </c>
      <c r="U2121" s="10" t="n"/>
      <c r="V2121" s="10" t="n"/>
      <c r="W2121" s="10" t="n"/>
      <c r="X2121" s="10" t="n"/>
      <c r="Y2121" s="10" t="n"/>
      <c r="Z2121" s="10" t="n"/>
      <c r="AA2121" s="11">
        <f>IF(A2121="","",IF(AND(J2121="P4",F2121="causal"),"P4-CAUSAL",""))</f>
        <v/>
      </c>
    </row>
    <row r="2122" ht="15" customHeight="1" s="1">
      <c r="P2122">
        <f>IF(OR(F2122="",H2122="",J2122=""),"",J2122&amp;"|"&amp;F2122&amp;"|"&amp;IF(H2122="W3","W3_"&amp;IF(I2122="","unknown",I2122),H2122))</f>
        <v/>
      </c>
      <c r="Q2122">
        <f>IF(P2122="","",IFERROR(IF(AND(H2122="W7",OR(F2122="causal",F2122="predictive")),IF(AND(OR(K2122=1,K2122="1"),OR(L2122=1,L2122="1"),OR(M2122=1,M2122="1")),"adequate","partial"),IF(AND(H2122="W4",F2122="predictive",OR(J2122="P2",J2122="P3",J2122="P4")),IF(OR(U2122=1,U2122="1"),"adequate","partial"),INDEX(Fit_Matrix!$B:$B,MATCH(P2122,Fit_Matrix!$A:$A,0)))),"CHECK KEY"))</f>
        <v/>
      </c>
      <c r="U2122" s="10" t="n"/>
      <c r="V2122" s="10" t="n"/>
      <c r="W2122" s="10" t="n"/>
      <c r="X2122" s="10" t="n"/>
      <c r="Y2122" s="10" t="n"/>
      <c r="Z2122" s="10" t="n"/>
      <c r="AA2122" s="11">
        <f>IF(A2122="","",IF(AND(J2122="P4",F2122="causal"),"P4-CAUSAL",""))</f>
        <v/>
      </c>
    </row>
    <row r="2123" ht="15" customHeight="1" s="1">
      <c r="P2123">
        <f>IF(OR(F2123="",H2123="",J2123=""),"",J2123&amp;"|"&amp;F2123&amp;"|"&amp;IF(H2123="W3","W3_"&amp;IF(I2123="","unknown",I2123),H2123))</f>
        <v/>
      </c>
      <c r="Q2123">
        <f>IF(P2123="","",IFERROR(IF(AND(H2123="W7",OR(F2123="causal",F2123="predictive")),IF(AND(OR(K2123=1,K2123="1"),OR(L2123=1,L2123="1"),OR(M2123=1,M2123="1")),"adequate","partial"),IF(AND(H2123="W4",F2123="predictive",OR(J2123="P2",J2123="P3",J2123="P4")),IF(OR(U2123=1,U2123="1"),"adequate","partial"),INDEX(Fit_Matrix!$B:$B,MATCH(P2123,Fit_Matrix!$A:$A,0)))),"CHECK KEY"))</f>
        <v/>
      </c>
      <c r="U2123" s="10" t="n"/>
      <c r="V2123" s="10" t="n"/>
      <c r="W2123" s="10" t="n"/>
      <c r="X2123" s="10" t="n"/>
      <c r="Y2123" s="10" t="n"/>
      <c r="Z2123" s="10" t="n"/>
      <c r="AA2123" s="11">
        <f>IF(A2123="","",IF(AND(J2123="P4",F2123="causal"),"P4-CAUSAL",""))</f>
        <v/>
      </c>
    </row>
    <row r="2124" ht="15" customHeight="1" s="1">
      <c r="P2124">
        <f>IF(OR(F2124="",H2124="",J2124=""),"",J2124&amp;"|"&amp;F2124&amp;"|"&amp;IF(H2124="W3","W3_"&amp;IF(I2124="","unknown",I2124),H2124))</f>
        <v/>
      </c>
      <c r="Q2124">
        <f>IF(P2124="","",IFERROR(IF(AND(H2124="W7",OR(F2124="causal",F2124="predictive")),IF(AND(OR(K2124=1,K2124="1"),OR(L2124=1,L2124="1"),OR(M2124=1,M2124="1")),"adequate","partial"),IF(AND(H2124="W4",F2124="predictive",OR(J2124="P2",J2124="P3",J2124="P4")),IF(OR(U2124=1,U2124="1"),"adequate","partial"),INDEX(Fit_Matrix!$B:$B,MATCH(P2124,Fit_Matrix!$A:$A,0)))),"CHECK KEY"))</f>
        <v/>
      </c>
      <c r="U2124" s="10" t="n"/>
      <c r="V2124" s="10" t="n"/>
      <c r="W2124" s="10" t="n"/>
      <c r="X2124" s="10" t="n"/>
      <c r="Y2124" s="10" t="n"/>
      <c r="Z2124" s="10" t="n"/>
      <c r="AA2124" s="11">
        <f>IF(A2124="","",IF(AND(J2124="P4",F2124="causal"),"P4-CAUSAL",""))</f>
        <v/>
      </c>
    </row>
    <row r="2125" ht="15" customHeight="1" s="1">
      <c r="P2125">
        <f>IF(OR(F2125="",H2125="",J2125=""),"",J2125&amp;"|"&amp;F2125&amp;"|"&amp;IF(H2125="W3","W3_"&amp;IF(I2125="","unknown",I2125),H2125))</f>
        <v/>
      </c>
      <c r="Q2125">
        <f>IF(P2125="","",IFERROR(IF(AND(H2125="W7",OR(F2125="causal",F2125="predictive")),IF(AND(OR(K2125=1,K2125="1"),OR(L2125=1,L2125="1"),OR(M2125=1,M2125="1")),"adequate","partial"),IF(AND(H2125="W4",F2125="predictive",OR(J2125="P2",J2125="P3",J2125="P4")),IF(OR(U2125=1,U2125="1"),"adequate","partial"),INDEX(Fit_Matrix!$B:$B,MATCH(P2125,Fit_Matrix!$A:$A,0)))),"CHECK KEY"))</f>
        <v/>
      </c>
      <c r="U2125" s="10" t="n"/>
      <c r="V2125" s="10" t="n"/>
      <c r="W2125" s="10" t="n"/>
      <c r="X2125" s="10" t="n"/>
      <c r="Y2125" s="10" t="n"/>
      <c r="Z2125" s="10" t="n"/>
      <c r="AA2125" s="11">
        <f>IF(A2125="","",IF(AND(J2125="P4",F2125="causal"),"P4-CAUSAL",""))</f>
        <v/>
      </c>
    </row>
    <row r="2126" ht="15" customHeight="1" s="1">
      <c r="P2126">
        <f>IF(OR(F2126="",H2126="",J2126=""),"",J2126&amp;"|"&amp;F2126&amp;"|"&amp;IF(H2126="W3","W3_"&amp;IF(I2126="","unknown",I2126),H2126))</f>
        <v/>
      </c>
      <c r="Q2126">
        <f>IF(P2126="","",IFERROR(IF(AND(H2126="W7",OR(F2126="causal",F2126="predictive")),IF(AND(OR(K2126=1,K2126="1"),OR(L2126=1,L2126="1"),OR(M2126=1,M2126="1")),"adequate","partial"),IF(AND(H2126="W4",F2126="predictive",OR(J2126="P2",J2126="P3",J2126="P4")),IF(OR(U2126=1,U2126="1"),"adequate","partial"),INDEX(Fit_Matrix!$B:$B,MATCH(P2126,Fit_Matrix!$A:$A,0)))),"CHECK KEY"))</f>
        <v/>
      </c>
      <c r="U2126" s="10" t="n"/>
      <c r="V2126" s="10" t="n"/>
      <c r="W2126" s="10" t="n"/>
      <c r="X2126" s="10" t="n"/>
      <c r="Y2126" s="10" t="n"/>
      <c r="Z2126" s="10" t="n"/>
      <c r="AA2126" s="11">
        <f>IF(A2126="","",IF(AND(J2126="P4",F2126="causal"),"P4-CAUSAL",""))</f>
        <v/>
      </c>
    </row>
    <row r="2127" ht="15" customHeight="1" s="1">
      <c r="P2127">
        <f>IF(OR(F2127="",H2127="",J2127=""),"",J2127&amp;"|"&amp;F2127&amp;"|"&amp;IF(H2127="W3","W3_"&amp;IF(I2127="","unknown",I2127),H2127))</f>
        <v/>
      </c>
      <c r="Q2127">
        <f>IF(P2127="","",IFERROR(IF(AND(H2127="W7",OR(F2127="causal",F2127="predictive")),IF(AND(OR(K2127=1,K2127="1"),OR(L2127=1,L2127="1"),OR(M2127=1,M2127="1")),"adequate","partial"),IF(AND(H2127="W4",F2127="predictive",OR(J2127="P2",J2127="P3",J2127="P4")),IF(OR(U2127=1,U2127="1"),"adequate","partial"),INDEX(Fit_Matrix!$B:$B,MATCH(P2127,Fit_Matrix!$A:$A,0)))),"CHECK KEY"))</f>
        <v/>
      </c>
      <c r="U2127" s="10" t="n"/>
      <c r="V2127" s="10" t="n"/>
      <c r="W2127" s="10" t="n"/>
      <c r="X2127" s="10" t="n"/>
      <c r="Y2127" s="10" t="n"/>
      <c r="Z2127" s="10" t="n"/>
      <c r="AA2127" s="11">
        <f>IF(A2127="","",IF(AND(J2127="P4",F2127="causal"),"P4-CAUSAL",""))</f>
        <v/>
      </c>
    </row>
    <row r="2128" ht="15" customHeight="1" s="1">
      <c r="P2128">
        <f>IF(OR(F2128="",H2128="",J2128=""),"",J2128&amp;"|"&amp;F2128&amp;"|"&amp;IF(H2128="W3","W3_"&amp;IF(I2128="","unknown",I2128),H2128))</f>
        <v/>
      </c>
      <c r="Q2128">
        <f>IF(P2128="","",IFERROR(IF(AND(H2128="W7",OR(F2128="causal",F2128="predictive")),IF(AND(OR(K2128=1,K2128="1"),OR(L2128=1,L2128="1"),OR(M2128=1,M2128="1")),"adequate","partial"),IF(AND(H2128="W4",F2128="predictive",OR(J2128="P2",J2128="P3",J2128="P4")),IF(OR(U2128=1,U2128="1"),"adequate","partial"),INDEX(Fit_Matrix!$B:$B,MATCH(P2128,Fit_Matrix!$A:$A,0)))),"CHECK KEY"))</f>
        <v/>
      </c>
      <c r="U2128" s="10" t="n"/>
      <c r="V2128" s="10" t="n"/>
      <c r="W2128" s="10" t="n"/>
      <c r="X2128" s="10" t="n"/>
      <c r="Y2128" s="10" t="n"/>
      <c r="Z2128" s="10" t="n"/>
      <c r="AA2128" s="11">
        <f>IF(A2128="","",IF(AND(J2128="P4",F2128="causal"),"P4-CAUSAL",""))</f>
        <v/>
      </c>
    </row>
    <row r="2129" ht="15" customHeight="1" s="1">
      <c r="P2129">
        <f>IF(OR(F2129="",H2129="",J2129=""),"",J2129&amp;"|"&amp;F2129&amp;"|"&amp;IF(H2129="W3","W3_"&amp;IF(I2129="","unknown",I2129),H2129))</f>
        <v/>
      </c>
      <c r="Q2129">
        <f>IF(P2129="","",IFERROR(IF(AND(H2129="W7",OR(F2129="causal",F2129="predictive")),IF(AND(OR(K2129=1,K2129="1"),OR(L2129=1,L2129="1"),OR(M2129=1,M2129="1")),"adequate","partial"),IF(AND(H2129="W4",F2129="predictive",OR(J2129="P2",J2129="P3",J2129="P4")),IF(OR(U2129=1,U2129="1"),"adequate","partial"),INDEX(Fit_Matrix!$B:$B,MATCH(P2129,Fit_Matrix!$A:$A,0)))),"CHECK KEY"))</f>
        <v/>
      </c>
      <c r="U2129" s="10" t="n"/>
      <c r="V2129" s="10" t="n"/>
      <c r="W2129" s="10" t="n"/>
      <c r="X2129" s="10" t="n"/>
      <c r="Y2129" s="10" t="n"/>
      <c r="Z2129" s="10" t="n"/>
      <c r="AA2129" s="11">
        <f>IF(A2129="","",IF(AND(J2129="P4",F2129="causal"),"P4-CAUSAL",""))</f>
        <v/>
      </c>
    </row>
    <row r="2130" ht="15" customHeight="1" s="1">
      <c r="P2130">
        <f>IF(OR(F2130="",H2130="",J2130=""),"",J2130&amp;"|"&amp;F2130&amp;"|"&amp;IF(H2130="W3","W3_"&amp;IF(I2130="","unknown",I2130),H2130))</f>
        <v/>
      </c>
      <c r="Q2130">
        <f>IF(P2130="","",IFERROR(IF(AND(H2130="W7",OR(F2130="causal",F2130="predictive")),IF(AND(OR(K2130=1,K2130="1"),OR(L2130=1,L2130="1"),OR(M2130=1,M2130="1")),"adequate","partial"),IF(AND(H2130="W4",F2130="predictive",OR(J2130="P2",J2130="P3",J2130="P4")),IF(OR(U2130=1,U2130="1"),"adequate","partial"),INDEX(Fit_Matrix!$B:$B,MATCH(P2130,Fit_Matrix!$A:$A,0)))),"CHECK KEY"))</f>
        <v/>
      </c>
      <c r="U2130" s="10" t="n"/>
      <c r="V2130" s="10" t="n"/>
      <c r="W2130" s="10" t="n"/>
      <c r="X2130" s="10" t="n"/>
      <c r="Y2130" s="10" t="n"/>
      <c r="Z2130" s="10" t="n"/>
      <c r="AA2130" s="11">
        <f>IF(A2130="","",IF(AND(J2130="P4",F2130="causal"),"P4-CAUSAL",""))</f>
        <v/>
      </c>
    </row>
    <row r="2131" ht="15" customHeight="1" s="1">
      <c r="P2131">
        <f>IF(OR(F2131="",H2131="",J2131=""),"",J2131&amp;"|"&amp;F2131&amp;"|"&amp;IF(H2131="W3","W3_"&amp;IF(I2131="","unknown",I2131),H2131))</f>
        <v/>
      </c>
      <c r="Q2131">
        <f>IF(P2131="","",IFERROR(IF(AND(H2131="W7",OR(F2131="causal",F2131="predictive")),IF(AND(OR(K2131=1,K2131="1"),OR(L2131=1,L2131="1"),OR(M2131=1,M2131="1")),"adequate","partial"),IF(AND(H2131="W4",F2131="predictive",OR(J2131="P2",J2131="P3",J2131="P4")),IF(OR(U2131=1,U2131="1"),"adequate","partial"),INDEX(Fit_Matrix!$B:$B,MATCH(P2131,Fit_Matrix!$A:$A,0)))),"CHECK KEY"))</f>
        <v/>
      </c>
      <c r="U2131" s="10" t="n"/>
      <c r="V2131" s="10" t="n"/>
      <c r="W2131" s="10" t="n"/>
      <c r="X2131" s="10" t="n"/>
      <c r="Y2131" s="10" t="n"/>
      <c r="Z2131" s="10" t="n"/>
      <c r="AA2131" s="11">
        <f>IF(A2131="","",IF(AND(J2131="P4",F2131="causal"),"P4-CAUSAL",""))</f>
        <v/>
      </c>
    </row>
    <row r="2132" ht="15" customHeight="1" s="1">
      <c r="P2132">
        <f>IF(OR(F2132="",H2132="",J2132=""),"",J2132&amp;"|"&amp;F2132&amp;"|"&amp;IF(H2132="W3","W3_"&amp;IF(I2132="","unknown",I2132),H2132))</f>
        <v/>
      </c>
      <c r="Q2132">
        <f>IF(P2132="","",IFERROR(IF(AND(H2132="W7",OR(F2132="causal",F2132="predictive")),IF(AND(OR(K2132=1,K2132="1"),OR(L2132=1,L2132="1"),OR(M2132=1,M2132="1")),"adequate","partial"),IF(AND(H2132="W4",F2132="predictive",OR(J2132="P2",J2132="P3",J2132="P4")),IF(OR(U2132=1,U2132="1"),"adequate","partial"),INDEX(Fit_Matrix!$B:$B,MATCH(P2132,Fit_Matrix!$A:$A,0)))),"CHECK KEY"))</f>
        <v/>
      </c>
      <c r="U2132" s="10" t="n"/>
      <c r="V2132" s="10" t="n"/>
      <c r="W2132" s="10" t="n"/>
      <c r="X2132" s="10" t="n"/>
      <c r="Y2132" s="10" t="n"/>
      <c r="Z2132" s="10" t="n"/>
      <c r="AA2132" s="11">
        <f>IF(A2132="","",IF(AND(J2132="P4",F2132="causal"),"P4-CAUSAL",""))</f>
        <v/>
      </c>
    </row>
    <row r="2133" ht="15" customHeight="1" s="1">
      <c r="P2133">
        <f>IF(OR(F2133="",H2133="",J2133=""),"",J2133&amp;"|"&amp;F2133&amp;"|"&amp;IF(H2133="W3","W3_"&amp;IF(I2133="","unknown",I2133),H2133))</f>
        <v/>
      </c>
      <c r="Q2133">
        <f>IF(P2133="","",IFERROR(IF(AND(H2133="W7",OR(F2133="causal",F2133="predictive")),IF(AND(OR(K2133=1,K2133="1"),OR(L2133=1,L2133="1"),OR(M2133=1,M2133="1")),"adequate","partial"),IF(AND(H2133="W4",F2133="predictive",OR(J2133="P2",J2133="P3",J2133="P4")),IF(OR(U2133=1,U2133="1"),"adequate","partial"),INDEX(Fit_Matrix!$B:$B,MATCH(P2133,Fit_Matrix!$A:$A,0)))),"CHECK KEY"))</f>
        <v/>
      </c>
      <c r="U2133" s="10" t="n"/>
      <c r="V2133" s="10" t="n"/>
      <c r="W2133" s="10" t="n"/>
      <c r="X2133" s="10" t="n"/>
      <c r="Y2133" s="10" t="n"/>
      <c r="Z2133" s="10" t="n"/>
      <c r="AA2133" s="11">
        <f>IF(A2133="","",IF(AND(J2133="P4",F2133="causal"),"P4-CAUSAL",""))</f>
        <v/>
      </c>
    </row>
    <row r="2134" ht="15" customHeight="1" s="1">
      <c r="P2134">
        <f>IF(OR(F2134="",H2134="",J2134=""),"",J2134&amp;"|"&amp;F2134&amp;"|"&amp;IF(H2134="W3","W3_"&amp;IF(I2134="","unknown",I2134),H2134))</f>
        <v/>
      </c>
      <c r="Q2134">
        <f>IF(P2134="","",IFERROR(IF(AND(H2134="W7",OR(F2134="causal",F2134="predictive")),IF(AND(OR(K2134=1,K2134="1"),OR(L2134=1,L2134="1"),OR(M2134=1,M2134="1")),"adequate","partial"),IF(AND(H2134="W4",F2134="predictive",OR(J2134="P2",J2134="P3",J2134="P4")),IF(OR(U2134=1,U2134="1"),"adequate","partial"),INDEX(Fit_Matrix!$B:$B,MATCH(P2134,Fit_Matrix!$A:$A,0)))),"CHECK KEY"))</f>
        <v/>
      </c>
      <c r="U2134" s="10" t="n"/>
      <c r="V2134" s="10" t="n"/>
      <c r="W2134" s="10" t="n"/>
      <c r="X2134" s="10" t="n"/>
      <c r="Y2134" s="10" t="n"/>
      <c r="Z2134" s="10" t="n"/>
      <c r="AA2134" s="11">
        <f>IF(A2134="","",IF(AND(J2134="P4",F2134="causal"),"P4-CAUSAL",""))</f>
        <v/>
      </c>
    </row>
    <row r="2135" ht="15" customHeight="1" s="1">
      <c r="P2135">
        <f>IF(OR(F2135="",H2135="",J2135=""),"",J2135&amp;"|"&amp;F2135&amp;"|"&amp;IF(H2135="W3","W3_"&amp;IF(I2135="","unknown",I2135),H2135))</f>
        <v/>
      </c>
      <c r="Q2135">
        <f>IF(P2135="","",IFERROR(IF(AND(H2135="W7",OR(F2135="causal",F2135="predictive")),IF(AND(OR(K2135=1,K2135="1"),OR(L2135=1,L2135="1"),OR(M2135=1,M2135="1")),"adequate","partial"),IF(AND(H2135="W4",F2135="predictive",OR(J2135="P2",J2135="P3",J2135="P4")),IF(OR(U2135=1,U2135="1"),"adequate","partial"),INDEX(Fit_Matrix!$B:$B,MATCH(P2135,Fit_Matrix!$A:$A,0)))),"CHECK KEY"))</f>
        <v/>
      </c>
      <c r="U2135" s="10" t="n"/>
      <c r="V2135" s="10" t="n"/>
      <c r="W2135" s="10" t="n"/>
      <c r="X2135" s="10" t="n"/>
      <c r="Y2135" s="10" t="n"/>
      <c r="Z2135" s="10" t="n"/>
      <c r="AA2135" s="11">
        <f>IF(A2135="","",IF(AND(J2135="P4",F2135="causal"),"P4-CAUSAL",""))</f>
        <v/>
      </c>
    </row>
    <row r="2136" ht="15" customHeight="1" s="1">
      <c r="P2136">
        <f>IF(OR(F2136="",H2136="",J2136=""),"",J2136&amp;"|"&amp;F2136&amp;"|"&amp;IF(H2136="W3","W3_"&amp;IF(I2136="","unknown",I2136),H2136))</f>
        <v/>
      </c>
      <c r="Q2136">
        <f>IF(P2136="","",IFERROR(IF(AND(H2136="W7",OR(F2136="causal",F2136="predictive")),IF(AND(OR(K2136=1,K2136="1"),OR(L2136=1,L2136="1"),OR(M2136=1,M2136="1")),"adequate","partial"),IF(AND(H2136="W4",F2136="predictive",OR(J2136="P2",J2136="P3",J2136="P4")),IF(OR(U2136=1,U2136="1"),"adequate","partial"),INDEX(Fit_Matrix!$B:$B,MATCH(P2136,Fit_Matrix!$A:$A,0)))),"CHECK KEY"))</f>
        <v/>
      </c>
      <c r="U2136" s="10" t="n"/>
      <c r="V2136" s="10" t="n"/>
      <c r="W2136" s="10" t="n"/>
      <c r="X2136" s="10" t="n"/>
      <c r="Y2136" s="10" t="n"/>
      <c r="Z2136" s="10" t="n"/>
      <c r="AA2136" s="11">
        <f>IF(A2136="","",IF(AND(J2136="P4",F2136="causal"),"P4-CAUSAL",""))</f>
        <v/>
      </c>
    </row>
    <row r="2137" ht="15" customHeight="1" s="1">
      <c r="P2137">
        <f>IF(OR(F2137="",H2137="",J2137=""),"",J2137&amp;"|"&amp;F2137&amp;"|"&amp;IF(H2137="W3","W3_"&amp;IF(I2137="","unknown",I2137),H2137))</f>
        <v/>
      </c>
      <c r="Q2137">
        <f>IF(P2137="","",IFERROR(IF(AND(H2137="W7",OR(F2137="causal",F2137="predictive")),IF(AND(OR(K2137=1,K2137="1"),OR(L2137=1,L2137="1"),OR(M2137=1,M2137="1")),"adequate","partial"),IF(AND(H2137="W4",F2137="predictive",OR(J2137="P2",J2137="P3",J2137="P4")),IF(OR(U2137=1,U2137="1"),"adequate","partial"),INDEX(Fit_Matrix!$B:$B,MATCH(P2137,Fit_Matrix!$A:$A,0)))),"CHECK KEY"))</f>
        <v/>
      </c>
      <c r="U2137" s="10" t="n"/>
      <c r="V2137" s="10" t="n"/>
      <c r="W2137" s="10" t="n"/>
      <c r="X2137" s="10" t="n"/>
      <c r="Y2137" s="10" t="n"/>
      <c r="Z2137" s="10" t="n"/>
      <c r="AA2137" s="11">
        <f>IF(A2137="","",IF(AND(J2137="P4",F2137="causal"),"P4-CAUSAL",""))</f>
        <v/>
      </c>
    </row>
    <row r="2138" ht="15" customHeight="1" s="1">
      <c r="P2138">
        <f>IF(OR(F2138="",H2138="",J2138=""),"",J2138&amp;"|"&amp;F2138&amp;"|"&amp;IF(H2138="W3","W3_"&amp;IF(I2138="","unknown",I2138),H2138))</f>
        <v/>
      </c>
      <c r="Q2138">
        <f>IF(P2138="","",IFERROR(IF(AND(H2138="W7",OR(F2138="causal",F2138="predictive")),IF(AND(OR(K2138=1,K2138="1"),OR(L2138=1,L2138="1"),OR(M2138=1,M2138="1")),"adequate","partial"),IF(AND(H2138="W4",F2138="predictive",OR(J2138="P2",J2138="P3",J2138="P4")),IF(OR(U2138=1,U2138="1"),"adequate","partial"),INDEX(Fit_Matrix!$B:$B,MATCH(P2138,Fit_Matrix!$A:$A,0)))),"CHECK KEY"))</f>
        <v/>
      </c>
      <c r="U2138" s="10" t="n"/>
      <c r="V2138" s="10" t="n"/>
      <c r="W2138" s="10" t="n"/>
      <c r="X2138" s="10" t="n"/>
      <c r="Y2138" s="10" t="n"/>
      <c r="Z2138" s="10" t="n"/>
      <c r="AA2138" s="11">
        <f>IF(A2138="","",IF(AND(J2138="P4",F2138="causal"),"P4-CAUSAL",""))</f>
        <v/>
      </c>
    </row>
    <row r="2139" ht="15" customHeight="1" s="1">
      <c r="P2139">
        <f>IF(OR(F2139="",H2139="",J2139=""),"",J2139&amp;"|"&amp;F2139&amp;"|"&amp;IF(H2139="W3","W3_"&amp;IF(I2139="","unknown",I2139),H2139))</f>
        <v/>
      </c>
      <c r="Q2139">
        <f>IF(P2139="","",IFERROR(IF(AND(H2139="W7",OR(F2139="causal",F2139="predictive")),IF(AND(OR(K2139=1,K2139="1"),OR(L2139=1,L2139="1"),OR(M2139=1,M2139="1")),"adequate","partial"),IF(AND(H2139="W4",F2139="predictive",OR(J2139="P2",J2139="P3",J2139="P4")),IF(OR(U2139=1,U2139="1"),"adequate","partial"),INDEX(Fit_Matrix!$B:$B,MATCH(P2139,Fit_Matrix!$A:$A,0)))),"CHECK KEY"))</f>
        <v/>
      </c>
      <c r="U2139" s="10" t="n"/>
      <c r="V2139" s="10" t="n"/>
      <c r="W2139" s="10" t="n"/>
      <c r="X2139" s="10" t="n"/>
      <c r="Y2139" s="10" t="n"/>
      <c r="Z2139" s="10" t="n"/>
      <c r="AA2139" s="11">
        <f>IF(A2139="","",IF(AND(J2139="P4",F2139="causal"),"P4-CAUSAL",""))</f>
        <v/>
      </c>
    </row>
    <row r="2140" ht="15" customHeight="1" s="1">
      <c r="P2140">
        <f>IF(OR(F2140="",H2140="",J2140=""),"",J2140&amp;"|"&amp;F2140&amp;"|"&amp;IF(H2140="W3","W3_"&amp;IF(I2140="","unknown",I2140),H2140))</f>
        <v/>
      </c>
      <c r="Q2140">
        <f>IF(P2140="","",IFERROR(IF(AND(H2140="W7",OR(F2140="causal",F2140="predictive")),IF(AND(OR(K2140=1,K2140="1"),OR(L2140=1,L2140="1"),OR(M2140=1,M2140="1")),"adequate","partial"),IF(AND(H2140="W4",F2140="predictive",OR(J2140="P2",J2140="P3",J2140="P4")),IF(OR(U2140=1,U2140="1"),"adequate","partial"),INDEX(Fit_Matrix!$B:$B,MATCH(P2140,Fit_Matrix!$A:$A,0)))),"CHECK KEY"))</f>
        <v/>
      </c>
      <c r="U2140" s="10" t="n"/>
      <c r="V2140" s="10" t="n"/>
      <c r="W2140" s="10" t="n"/>
      <c r="X2140" s="10" t="n"/>
      <c r="Y2140" s="10" t="n"/>
      <c r="Z2140" s="10" t="n"/>
      <c r="AA2140" s="11">
        <f>IF(A2140="","",IF(AND(J2140="P4",F2140="causal"),"P4-CAUSAL",""))</f>
        <v/>
      </c>
    </row>
    <row r="2141" ht="15" customHeight="1" s="1">
      <c r="P2141">
        <f>IF(OR(F2141="",H2141="",J2141=""),"",J2141&amp;"|"&amp;F2141&amp;"|"&amp;IF(H2141="W3","W3_"&amp;IF(I2141="","unknown",I2141),H2141))</f>
        <v/>
      </c>
      <c r="Q2141">
        <f>IF(P2141="","",IFERROR(IF(AND(H2141="W7",OR(F2141="causal",F2141="predictive")),IF(AND(OR(K2141=1,K2141="1"),OR(L2141=1,L2141="1"),OR(M2141=1,M2141="1")),"adequate","partial"),IF(AND(H2141="W4",F2141="predictive",OR(J2141="P2",J2141="P3",J2141="P4")),IF(OR(U2141=1,U2141="1"),"adequate","partial"),INDEX(Fit_Matrix!$B:$B,MATCH(P2141,Fit_Matrix!$A:$A,0)))),"CHECK KEY"))</f>
        <v/>
      </c>
      <c r="U2141" s="10" t="n"/>
      <c r="V2141" s="10" t="n"/>
      <c r="W2141" s="10" t="n"/>
      <c r="X2141" s="10" t="n"/>
      <c r="Y2141" s="10" t="n"/>
      <c r="Z2141" s="10" t="n"/>
      <c r="AA2141" s="11">
        <f>IF(A2141="","",IF(AND(J2141="P4",F2141="causal"),"P4-CAUSAL",""))</f>
        <v/>
      </c>
    </row>
    <row r="2142" ht="15" customHeight="1" s="1">
      <c r="P2142">
        <f>IF(OR(F2142="",H2142="",J2142=""),"",J2142&amp;"|"&amp;F2142&amp;"|"&amp;IF(H2142="W3","W3_"&amp;IF(I2142="","unknown",I2142),H2142))</f>
        <v/>
      </c>
      <c r="Q2142">
        <f>IF(P2142="","",IFERROR(IF(AND(H2142="W7",OR(F2142="causal",F2142="predictive")),IF(AND(OR(K2142=1,K2142="1"),OR(L2142=1,L2142="1"),OR(M2142=1,M2142="1")),"adequate","partial"),IF(AND(H2142="W4",F2142="predictive",OR(J2142="P2",J2142="P3",J2142="P4")),IF(OR(U2142=1,U2142="1"),"adequate","partial"),INDEX(Fit_Matrix!$B:$B,MATCH(P2142,Fit_Matrix!$A:$A,0)))),"CHECK KEY"))</f>
        <v/>
      </c>
      <c r="U2142" s="10" t="n"/>
      <c r="V2142" s="10" t="n"/>
      <c r="W2142" s="10" t="n"/>
      <c r="X2142" s="10" t="n"/>
      <c r="Y2142" s="10" t="n"/>
      <c r="Z2142" s="10" t="n"/>
      <c r="AA2142" s="11">
        <f>IF(A2142="","",IF(AND(J2142="P4",F2142="causal"),"P4-CAUSAL",""))</f>
        <v/>
      </c>
    </row>
    <row r="2143" ht="15" customHeight="1" s="1">
      <c r="P2143">
        <f>IF(OR(F2143="",H2143="",J2143=""),"",J2143&amp;"|"&amp;F2143&amp;"|"&amp;IF(H2143="W3","W3_"&amp;IF(I2143="","unknown",I2143),H2143))</f>
        <v/>
      </c>
      <c r="Q2143">
        <f>IF(P2143="","",IFERROR(IF(AND(H2143="W7",OR(F2143="causal",F2143="predictive")),IF(AND(OR(K2143=1,K2143="1"),OR(L2143=1,L2143="1"),OR(M2143=1,M2143="1")),"adequate","partial"),IF(AND(H2143="W4",F2143="predictive",OR(J2143="P2",J2143="P3",J2143="P4")),IF(OR(U2143=1,U2143="1"),"adequate","partial"),INDEX(Fit_Matrix!$B:$B,MATCH(P2143,Fit_Matrix!$A:$A,0)))),"CHECK KEY"))</f>
        <v/>
      </c>
      <c r="U2143" s="10" t="n"/>
      <c r="V2143" s="10" t="n"/>
      <c r="W2143" s="10" t="n"/>
      <c r="X2143" s="10" t="n"/>
      <c r="Y2143" s="10" t="n"/>
      <c r="Z2143" s="10" t="n"/>
      <c r="AA2143" s="11">
        <f>IF(A2143="","",IF(AND(J2143="P4",F2143="causal"),"P4-CAUSAL",""))</f>
        <v/>
      </c>
    </row>
    <row r="2144" ht="15" customHeight="1" s="1">
      <c r="P2144">
        <f>IF(OR(F2144="",H2144="",J2144=""),"",J2144&amp;"|"&amp;F2144&amp;"|"&amp;IF(H2144="W3","W3_"&amp;IF(I2144="","unknown",I2144),H2144))</f>
        <v/>
      </c>
      <c r="Q2144">
        <f>IF(P2144="","",IFERROR(IF(AND(H2144="W7",OR(F2144="causal",F2144="predictive")),IF(AND(OR(K2144=1,K2144="1"),OR(L2144=1,L2144="1"),OR(M2144=1,M2144="1")),"adequate","partial"),IF(AND(H2144="W4",F2144="predictive",OR(J2144="P2",J2144="P3",J2144="P4")),IF(OR(U2144=1,U2144="1"),"adequate","partial"),INDEX(Fit_Matrix!$B:$B,MATCH(P2144,Fit_Matrix!$A:$A,0)))),"CHECK KEY"))</f>
        <v/>
      </c>
      <c r="U2144" s="10" t="n"/>
      <c r="V2144" s="10" t="n"/>
      <c r="W2144" s="10" t="n"/>
      <c r="X2144" s="10" t="n"/>
      <c r="Y2144" s="10" t="n"/>
      <c r="Z2144" s="10" t="n"/>
      <c r="AA2144" s="11">
        <f>IF(A2144="","",IF(AND(J2144="P4",F2144="causal"),"P4-CAUSAL",""))</f>
        <v/>
      </c>
    </row>
    <row r="2145" ht="15" customHeight="1" s="1">
      <c r="P2145">
        <f>IF(OR(F2145="",H2145="",J2145=""),"",J2145&amp;"|"&amp;F2145&amp;"|"&amp;IF(H2145="W3","W3_"&amp;IF(I2145="","unknown",I2145),H2145))</f>
        <v/>
      </c>
      <c r="Q2145">
        <f>IF(P2145="","",IFERROR(IF(AND(H2145="W7",OR(F2145="causal",F2145="predictive")),IF(AND(OR(K2145=1,K2145="1"),OR(L2145=1,L2145="1"),OR(M2145=1,M2145="1")),"adequate","partial"),IF(AND(H2145="W4",F2145="predictive",OR(J2145="P2",J2145="P3",J2145="P4")),IF(OR(U2145=1,U2145="1"),"adequate","partial"),INDEX(Fit_Matrix!$B:$B,MATCH(P2145,Fit_Matrix!$A:$A,0)))),"CHECK KEY"))</f>
        <v/>
      </c>
      <c r="U2145" s="10" t="n"/>
      <c r="V2145" s="10" t="n"/>
      <c r="W2145" s="10" t="n"/>
      <c r="X2145" s="10" t="n"/>
      <c r="Y2145" s="10" t="n"/>
      <c r="Z2145" s="10" t="n"/>
      <c r="AA2145" s="11">
        <f>IF(A2145="","",IF(AND(J2145="P4",F2145="causal"),"P4-CAUSAL",""))</f>
        <v/>
      </c>
    </row>
    <row r="2146" ht="15" customHeight="1" s="1">
      <c r="P2146">
        <f>IF(OR(F2146="",H2146="",J2146=""),"",J2146&amp;"|"&amp;F2146&amp;"|"&amp;IF(H2146="W3","W3_"&amp;IF(I2146="","unknown",I2146),H2146))</f>
        <v/>
      </c>
      <c r="Q2146">
        <f>IF(P2146="","",IFERROR(IF(AND(H2146="W7",OR(F2146="causal",F2146="predictive")),IF(AND(OR(K2146=1,K2146="1"),OR(L2146=1,L2146="1"),OR(M2146=1,M2146="1")),"adequate","partial"),IF(AND(H2146="W4",F2146="predictive",OR(J2146="P2",J2146="P3",J2146="P4")),IF(OR(U2146=1,U2146="1"),"adequate","partial"),INDEX(Fit_Matrix!$B:$B,MATCH(P2146,Fit_Matrix!$A:$A,0)))),"CHECK KEY"))</f>
        <v/>
      </c>
      <c r="U2146" s="10" t="n"/>
      <c r="V2146" s="10" t="n"/>
      <c r="W2146" s="10" t="n"/>
      <c r="X2146" s="10" t="n"/>
      <c r="Y2146" s="10" t="n"/>
      <c r="Z2146" s="10" t="n"/>
      <c r="AA2146" s="11">
        <f>IF(A2146="","",IF(AND(J2146="P4",F2146="causal"),"P4-CAUSAL",""))</f>
        <v/>
      </c>
    </row>
    <row r="2147" ht="15" customHeight="1" s="1">
      <c r="P2147">
        <f>IF(OR(F2147="",H2147="",J2147=""),"",J2147&amp;"|"&amp;F2147&amp;"|"&amp;IF(H2147="W3","W3_"&amp;IF(I2147="","unknown",I2147),H2147))</f>
        <v/>
      </c>
      <c r="Q2147">
        <f>IF(P2147="","",IFERROR(IF(AND(H2147="W7",OR(F2147="causal",F2147="predictive")),IF(AND(OR(K2147=1,K2147="1"),OR(L2147=1,L2147="1"),OR(M2147=1,M2147="1")),"adequate","partial"),IF(AND(H2147="W4",F2147="predictive",OR(J2147="P2",J2147="P3",J2147="P4")),IF(OR(U2147=1,U2147="1"),"adequate","partial"),INDEX(Fit_Matrix!$B:$B,MATCH(P2147,Fit_Matrix!$A:$A,0)))),"CHECK KEY"))</f>
        <v/>
      </c>
      <c r="U2147" s="10" t="n"/>
      <c r="V2147" s="10" t="n"/>
      <c r="W2147" s="10" t="n"/>
      <c r="X2147" s="10" t="n"/>
      <c r="Y2147" s="10" t="n"/>
      <c r="Z2147" s="10" t="n"/>
      <c r="AA2147" s="11">
        <f>IF(A2147="","",IF(AND(J2147="P4",F2147="causal"),"P4-CAUSAL",""))</f>
        <v/>
      </c>
    </row>
    <row r="2148" ht="15" customHeight="1" s="1">
      <c r="P2148">
        <f>IF(OR(F2148="",H2148="",J2148=""),"",J2148&amp;"|"&amp;F2148&amp;"|"&amp;IF(H2148="W3","W3_"&amp;IF(I2148="","unknown",I2148),H2148))</f>
        <v/>
      </c>
      <c r="Q2148">
        <f>IF(P2148="","",IFERROR(IF(AND(H2148="W7",OR(F2148="causal",F2148="predictive")),IF(AND(OR(K2148=1,K2148="1"),OR(L2148=1,L2148="1"),OR(M2148=1,M2148="1")),"adequate","partial"),IF(AND(H2148="W4",F2148="predictive",OR(J2148="P2",J2148="P3",J2148="P4")),IF(OR(U2148=1,U2148="1"),"adequate","partial"),INDEX(Fit_Matrix!$B:$B,MATCH(P2148,Fit_Matrix!$A:$A,0)))),"CHECK KEY"))</f>
        <v/>
      </c>
      <c r="U2148" s="10" t="n"/>
      <c r="V2148" s="10" t="n"/>
      <c r="W2148" s="10" t="n"/>
      <c r="X2148" s="10" t="n"/>
      <c r="Y2148" s="10" t="n"/>
      <c r="Z2148" s="10" t="n"/>
      <c r="AA2148" s="11">
        <f>IF(A2148="","",IF(AND(J2148="P4",F2148="causal"),"P4-CAUSAL",""))</f>
        <v/>
      </c>
    </row>
    <row r="2149" ht="15" customHeight="1" s="1">
      <c r="P2149">
        <f>IF(OR(F2149="",H2149="",J2149=""),"",J2149&amp;"|"&amp;F2149&amp;"|"&amp;IF(H2149="W3","W3_"&amp;IF(I2149="","unknown",I2149),H2149))</f>
        <v/>
      </c>
      <c r="Q2149">
        <f>IF(P2149="","",IFERROR(IF(AND(H2149="W7",OR(F2149="causal",F2149="predictive")),IF(AND(OR(K2149=1,K2149="1"),OR(L2149=1,L2149="1"),OR(M2149=1,M2149="1")),"adequate","partial"),IF(AND(H2149="W4",F2149="predictive",OR(J2149="P2",J2149="P3",J2149="P4")),IF(OR(U2149=1,U2149="1"),"adequate","partial"),INDEX(Fit_Matrix!$B:$B,MATCH(P2149,Fit_Matrix!$A:$A,0)))),"CHECK KEY"))</f>
        <v/>
      </c>
      <c r="U2149" s="10" t="n"/>
      <c r="V2149" s="10" t="n"/>
      <c r="W2149" s="10" t="n"/>
      <c r="X2149" s="10" t="n"/>
      <c r="Y2149" s="10" t="n"/>
      <c r="Z2149" s="10" t="n"/>
      <c r="AA2149" s="11">
        <f>IF(A2149="","",IF(AND(J2149="P4",F2149="causal"),"P4-CAUSAL",""))</f>
        <v/>
      </c>
    </row>
    <row r="2150" ht="15" customHeight="1" s="1">
      <c r="P2150">
        <f>IF(OR(F2150="",H2150="",J2150=""),"",J2150&amp;"|"&amp;F2150&amp;"|"&amp;IF(H2150="W3","W3_"&amp;IF(I2150="","unknown",I2150),H2150))</f>
        <v/>
      </c>
      <c r="Q2150">
        <f>IF(P2150="","",IFERROR(IF(AND(H2150="W7",OR(F2150="causal",F2150="predictive")),IF(AND(OR(K2150=1,K2150="1"),OR(L2150=1,L2150="1"),OR(M2150=1,M2150="1")),"adequate","partial"),IF(AND(H2150="W4",F2150="predictive",OR(J2150="P2",J2150="P3",J2150="P4")),IF(OR(U2150=1,U2150="1"),"adequate","partial"),INDEX(Fit_Matrix!$B:$B,MATCH(P2150,Fit_Matrix!$A:$A,0)))),"CHECK KEY"))</f>
        <v/>
      </c>
      <c r="U2150" s="10" t="n"/>
      <c r="V2150" s="10" t="n"/>
      <c r="W2150" s="10" t="n"/>
      <c r="X2150" s="10" t="n"/>
      <c r="Y2150" s="10" t="n"/>
      <c r="Z2150" s="10" t="n"/>
      <c r="AA2150" s="11">
        <f>IF(A2150="","",IF(AND(J2150="P4",F2150="causal"),"P4-CAUSAL",""))</f>
        <v/>
      </c>
    </row>
    <row r="2151" ht="15" customHeight="1" s="1">
      <c r="P2151">
        <f>IF(OR(F2151="",H2151="",J2151=""),"",J2151&amp;"|"&amp;F2151&amp;"|"&amp;IF(H2151="W3","W3_"&amp;IF(I2151="","unknown",I2151),H2151))</f>
        <v/>
      </c>
      <c r="Q2151">
        <f>IF(P2151="","",IFERROR(IF(AND(H2151="W7",OR(F2151="causal",F2151="predictive")),IF(AND(OR(K2151=1,K2151="1"),OR(L2151=1,L2151="1"),OR(M2151=1,M2151="1")),"adequate","partial"),IF(AND(H2151="W4",F2151="predictive",OR(J2151="P2",J2151="P3",J2151="P4")),IF(OR(U2151=1,U2151="1"),"adequate","partial"),INDEX(Fit_Matrix!$B:$B,MATCH(P2151,Fit_Matrix!$A:$A,0)))),"CHECK KEY"))</f>
        <v/>
      </c>
      <c r="U2151" s="10" t="n"/>
      <c r="V2151" s="10" t="n"/>
      <c r="W2151" s="10" t="n"/>
      <c r="X2151" s="10" t="n"/>
      <c r="Y2151" s="10" t="n"/>
      <c r="Z2151" s="10" t="n"/>
      <c r="AA2151" s="11">
        <f>IF(A2151="","",IF(AND(J2151="P4",F2151="causal"),"P4-CAUSAL",""))</f>
        <v/>
      </c>
    </row>
    <row r="2152" ht="15" customHeight="1" s="1">
      <c r="P2152">
        <f>IF(OR(F2152="",H2152="",J2152=""),"",J2152&amp;"|"&amp;F2152&amp;"|"&amp;IF(H2152="W3","W3_"&amp;IF(I2152="","unknown",I2152),H2152))</f>
        <v/>
      </c>
      <c r="Q2152">
        <f>IF(P2152="","",IFERROR(IF(AND(H2152="W7",OR(F2152="causal",F2152="predictive")),IF(AND(OR(K2152=1,K2152="1"),OR(L2152=1,L2152="1"),OR(M2152=1,M2152="1")),"adequate","partial"),IF(AND(H2152="W4",F2152="predictive",OR(J2152="P2",J2152="P3",J2152="P4")),IF(OR(U2152=1,U2152="1"),"adequate","partial"),INDEX(Fit_Matrix!$B:$B,MATCH(P2152,Fit_Matrix!$A:$A,0)))),"CHECK KEY"))</f>
        <v/>
      </c>
      <c r="U2152" s="10" t="n"/>
      <c r="V2152" s="10" t="n"/>
      <c r="W2152" s="10" t="n"/>
      <c r="X2152" s="10" t="n"/>
      <c r="Y2152" s="10" t="n"/>
      <c r="Z2152" s="10" t="n"/>
      <c r="AA2152" s="11">
        <f>IF(A2152="","",IF(AND(J2152="P4",F2152="causal"),"P4-CAUSAL",""))</f>
        <v/>
      </c>
    </row>
    <row r="2153" ht="15" customHeight="1" s="1">
      <c r="P2153">
        <f>IF(OR(F2153="",H2153="",J2153=""),"",J2153&amp;"|"&amp;F2153&amp;"|"&amp;IF(H2153="W3","W3_"&amp;IF(I2153="","unknown",I2153),H2153))</f>
        <v/>
      </c>
      <c r="Q2153">
        <f>IF(P2153="","",IFERROR(IF(AND(H2153="W7",OR(F2153="causal",F2153="predictive")),IF(AND(OR(K2153=1,K2153="1"),OR(L2153=1,L2153="1"),OR(M2153=1,M2153="1")),"adequate","partial"),IF(AND(H2153="W4",F2153="predictive",OR(J2153="P2",J2153="P3",J2153="P4")),IF(OR(U2153=1,U2153="1"),"adequate","partial"),INDEX(Fit_Matrix!$B:$B,MATCH(P2153,Fit_Matrix!$A:$A,0)))),"CHECK KEY"))</f>
        <v/>
      </c>
      <c r="U2153" s="10" t="n"/>
      <c r="V2153" s="10" t="n"/>
      <c r="W2153" s="10" t="n"/>
      <c r="X2153" s="10" t="n"/>
      <c r="Y2153" s="10" t="n"/>
      <c r="Z2153" s="10" t="n"/>
      <c r="AA2153" s="11">
        <f>IF(A2153="","",IF(AND(J2153="P4",F2153="causal"),"P4-CAUSAL",""))</f>
        <v/>
      </c>
    </row>
    <row r="2154" ht="15" customHeight="1" s="1">
      <c r="P2154">
        <f>IF(OR(F2154="",H2154="",J2154=""),"",J2154&amp;"|"&amp;F2154&amp;"|"&amp;IF(H2154="W3","W3_"&amp;IF(I2154="","unknown",I2154),H2154))</f>
        <v/>
      </c>
      <c r="Q2154">
        <f>IF(P2154="","",IFERROR(IF(AND(H2154="W7",OR(F2154="causal",F2154="predictive")),IF(AND(OR(K2154=1,K2154="1"),OR(L2154=1,L2154="1"),OR(M2154=1,M2154="1")),"adequate","partial"),IF(AND(H2154="W4",F2154="predictive",OR(J2154="P2",J2154="P3",J2154="P4")),IF(OR(U2154=1,U2154="1"),"adequate","partial"),INDEX(Fit_Matrix!$B:$B,MATCH(P2154,Fit_Matrix!$A:$A,0)))),"CHECK KEY"))</f>
        <v/>
      </c>
      <c r="U2154" s="10" t="n"/>
      <c r="V2154" s="10" t="n"/>
      <c r="W2154" s="10" t="n"/>
      <c r="X2154" s="10" t="n"/>
      <c r="Y2154" s="10" t="n"/>
      <c r="Z2154" s="10" t="n"/>
      <c r="AA2154" s="11">
        <f>IF(A2154="","",IF(AND(J2154="P4",F2154="causal"),"P4-CAUSAL",""))</f>
        <v/>
      </c>
    </row>
    <row r="2155" ht="15" customHeight="1" s="1">
      <c r="P2155">
        <f>IF(OR(F2155="",H2155="",J2155=""),"",J2155&amp;"|"&amp;F2155&amp;"|"&amp;IF(H2155="W3","W3_"&amp;IF(I2155="","unknown",I2155),H2155))</f>
        <v/>
      </c>
      <c r="Q2155">
        <f>IF(P2155="","",IFERROR(IF(AND(H2155="W7",OR(F2155="causal",F2155="predictive")),IF(AND(OR(K2155=1,K2155="1"),OR(L2155=1,L2155="1"),OR(M2155=1,M2155="1")),"adequate","partial"),IF(AND(H2155="W4",F2155="predictive",OR(J2155="P2",J2155="P3",J2155="P4")),IF(OR(U2155=1,U2155="1"),"adequate","partial"),INDEX(Fit_Matrix!$B:$B,MATCH(P2155,Fit_Matrix!$A:$A,0)))),"CHECK KEY"))</f>
        <v/>
      </c>
      <c r="U2155" s="10" t="n"/>
      <c r="V2155" s="10" t="n"/>
      <c r="W2155" s="10" t="n"/>
      <c r="X2155" s="10" t="n"/>
      <c r="Y2155" s="10" t="n"/>
      <c r="Z2155" s="10" t="n"/>
      <c r="AA2155" s="11">
        <f>IF(A2155="","",IF(AND(J2155="P4",F2155="causal"),"P4-CAUSAL",""))</f>
        <v/>
      </c>
    </row>
    <row r="2156" ht="15" customHeight="1" s="1">
      <c r="P2156">
        <f>IF(OR(F2156="",H2156="",J2156=""),"",J2156&amp;"|"&amp;F2156&amp;"|"&amp;IF(H2156="W3","W3_"&amp;IF(I2156="","unknown",I2156),H2156))</f>
        <v/>
      </c>
      <c r="Q2156">
        <f>IF(P2156="","",IFERROR(IF(AND(H2156="W7",OR(F2156="causal",F2156="predictive")),IF(AND(OR(K2156=1,K2156="1"),OR(L2156=1,L2156="1"),OR(M2156=1,M2156="1")),"adequate","partial"),IF(AND(H2156="W4",F2156="predictive",OR(J2156="P2",J2156="P3",J2156="P4")),IF(OR(U2156=1,U2156="1"),"adequate","partial"),INDEX(Fit_Matrix!$B:$B,MATCH(P2156,Fit_Matrix!$A:$A,0)))),"CHECK KEY"))</f>
        <v/>
      </c>
      <c r="U2156" s="10" t="n"/>
      <c r="V2156" s="10" t="n"/>
      <c r="W2156" s="10" t="n"/>
      <c r="X2156" s="10" t="n"/>
      <c r="Y2156" s="10" t="n"/>
      <c r="Z2156" s="10" t="n"/>
      <c r="AA2156" s="11">
        <f>IF(A2156="","",IF(AND(J2156="P4",F2156="causal"),"P4-CAUSAL",""))</f>
        <v/>
      </c>
    </row>
    <row r="2157" ht="15" customHeight="1" s="1">
      <c r="P2157">
        <f>IF(OR(F2157="",H2157="",J2157=""),"",J2157&amp;"|"&amp;F2157&amp;"|"&amp;IF(H2157="W3","W3_"&amp;IF(I2157="","unknown",I2157),H2157))</f>
        <v/>
      </c>
      <c r="Q2157">
        <f>IF(P2157="","",IFERROR(IF(AND(H2157="W7",OR(F2157="causal",F2157="predictive")),IF(AND(OR(K2157=1,K2157="1"),OR(L2157=1,L2157="1"),OR(M2157=1,M2157="1")),"adequate","partial"),IF(AND(H2157="W4",F2157="predictive",OR(J2157="P2",J2157="P3",J2157="P4")),IF(OR(U2157=1,U2157="1"),"adequate","partial"),INDEX(Fit_Matrix!$B:$B,MATCH(P2157,Fit_Matrix!$A:$A,0)))),"CHECK KEY"))</f>
        <v/>
      </c>
      <c r="U2157" s="10" t="n"/>
      <c r="V2157" s="10" t="n"/>
      <c r="W2157" s="10" t="n"/>
      <c r="X2157" s="10" t="n"/>
      <c r="Y2157" s="10" t="n"/>
      <c r="Z2157" s="10" t="n"/>
      <c r="AA2157" s="11">
        <f>IF(A2157="","",IF(AND(J2157="P4",F2157="causal"),"P4-CAUSAL",""))</f>
        <v/>
      </c>
    </row>
    <row r="2158" ht="15" customHeight="1" s="1">
      <c r="P2158">
        <f>IF(OR(F2158="",H2158="",J2158=""),"",J2158&amp;"|"&amp;F2158&amp;"|"&amp;IF(H2158="W3","W3_"&amp;IF(I2158="","unknown",I2158),H2158))</f>
        <v/>
      </c>
      <c r="Q2158">
        <f>IF(P2158="","",IFERROR(IF(AND(H2158="W7",OR(F2158="causal",F2158="predictive")),IF(AND(OR(K2158=1,K2158="1"),OR(L2158=1,L2158="1"),OR(M2158=1,M2158="1")),"adequate","partial"),IF(AND(H2158="W4",F2158="predictive",OR(J2158="P2",J2158="P3",J2158="P4")),IF(OR(U2158=1,U2158="1"),"adequate","partial"),INDEX(Fit_Matrix!$B:$B,MATCH(P2158,Fit_Matrix!$A:$A,0)))),"CHECK KEY"))</f>
        <v/>
      </c>
      <c r="U2158" s="10" t="n"/>
      <c r="V2158" s="10" t="n"/>
      <c r="W2158" s="10" t="n"/>
      <c r="X2158" s="10" t="n"/>
      <c r="Y2158" s="10" t="n"/>
      <c r="Z2158" s="10" t="n"/>
      <c r="AA2158" s="11">
        <f>IF(A2158="","",IF(AND(J2158="P4",F2158="causal"),"P4-CAUSAL",""))</f>
        <v/>
      </c>
    </row>
    <row r="2159" ht="15" customHeight="1" s="1">
      <c r="P2159">
        <f>IF(OR(F2159="",H2159="",J2159=""),"",J2159&amp;"|"&amp;F2159&amp;"|"&amp;IF(H2159="W3","W3_"&amp;IF(I2159="","unknown",I2159),H2159))</f>
        <v/>
      </c>
      <c r="Q2159">
        <f>IF(P2159="","",IFERROR(IF(AND(H2159="W7",OR(F2159="causal",F2159="predictive")),IF(AND(OR(K2159=1,K2159="1"),OR(L2159=1,L2159="1"),OR(M2159=1,M2159="1")),"adequate","partial"),IF(AND(H2159="W4",F2159="predictive",OR(J2159="P2",J2159="P3",J2159="P4")),IF(OR(U2159=1,U2159="1"),"adequate","partial"),INDEX(Fit_Matrix!$B:$B,MATCH(P2159,Fit_Matrix!$A:$A,0)))),"CHECK KEY"))</f>
        <v/>
      </c>
      <c r="U2159" s="10" t="n"/>
      <c r="V2159" s="10" t="n"/>
      <c r="W2159" s="10" t="n"/>
      <c r="X2159" s="10" t="n"/>
      <c r="Y2159" s="10" t="n"/>
      <c r="Z2159" s="10" t="n"/>
      <c r="AA2159" s="11">
        <f>IF(A2159="","",IF(AND(J2159="P4",F2159="causal"),"P4-CAUSAL",""))</f>
        <v/>
      </c>
    </row>
    <row r="2160" ht="15" customHeight="1" s="1">
      <c r="P2160">
        <f>IF(OR(F2160="",H2160="",J2160=""),"",J2160&amp;"|"&amp;F2160&amp;"|"&amp;IF(H2160="W3","W3_"&amp;IF(I2160="","unknown",I2160),H2160))</f>
        <v/>
      </c>
      <c r="Q2160">
        <f>IF(P2160="","",IFERROR(IF(AND(H2160="W7",OR(F2160="causal",F2160="predictive")),IF(AND(OR(K2160=1,K2160="1"),OR(L2160=1,L2160="1"),OR(M2160=1,M2160="1")),"adequate","partial"),IF(AND(H2160="W4",F2160="predictive",OR(J2160="P2",J2160="P3",J2160="P4")),IF(OR(U2160=1,U2160="1"),"adequate","partial"),INDEX(Fit_Matrix!$B:$B,MATCH(P2160,Fit_Matrix!$A:$A,0)))),"CHECK KEY"))</f>
        <v/>
      </c>
      <c r="U2160" s="10" t="n"/>
      <c r="V2160" s="10" t="n"/>
      <c r="W2160" s="10" t="n"/>
      <c r="X2160" s="10" t="n"/>
      <c r="Y2160" s="10" t="n"/>
      <c r="Z2160" s="10" t="n"/>
      <c r="AA2160" s="11">
        <f>IF(A2160="","",IF(AND(J2160="P4",F2160="causal"),"P4-CAUSAL",""))</f>
        <v/>
      </c>
    </row>
    <row r="2161" ht="15" customHeight="1" s="1">
      <c r="P2161">
        <f>IF(OR(F2161="",H2161="",J2161=""),"",J2161&amp;"|"&amp;F2161&amp;"|"&amp;IF(H2161="W3","W3_"&amp;IF(I2161="","unknown",I2161),H2161))</f>
        <v/>
      </c>
      <c r="Q2161">
        <f>IF(P2161="","",IFERROR(IF(AND(H2161="W7",OR(F2161="causal",F2161="predictive")),IF(AND(OR(K2161=1,K2161="1"),OR(L2161=1,L2161="1"),OR(M2161=1,M2161="1")),"adequate","partial"),IF(AND(H2161="W4",F2161="predictive",OR(J2161="P2",J2161="P3",J2161="P4")),IF(OR(U2161=1,U2161="1"),"adequate","partial"),INDEX(Fit_Matrix!$B:$B,MATCH(P2161,Fit_Matrix!$A:$A,0)))),"CHECK KEY"))</f>
        <v/>
      </c>
      <c r="U2161" s="10" t="n"/>
      <c r="V2161" s="10" t="n"/>
      <c r="W2161" s="10" t="n"/>
      <c r="X2161" s="10" t="n"/>
      <c r="Y2161" s="10" t="n"/>
      <c r="Z2161" s="10" t="n"/>
      <c r="AA2161" s="11">
        <f>IF(A2161="","",IF(AND(J2161="P4",F2161="causal"),"P4-CAUSAL",""))</f>
        <v/>
      </c>
    </row>
    <row r="2162" ht="15" customHeight="1" s="1">
      <c r="P2162">
        <f>IF(OR(F2162="",H2162="",J2162=""),"",J2162&amp;"|"&amp;F2162&amp;"|"&amp;IF(H2162="W3","W3_"&amp;IF(I2162="","unknown",I2162),H2162))</f>
        <v/>
      </c>
      <c r="Q2162">
        <f>IF(P2162="","",IFERROR(IF(AND(H2162="W7",OR(F2162="causal",F2162="predictive")),IF(AND(OR(K2162=1,K2162="1"),OR(L2162=1,L2162="1"),OR(M2162=1,M2162="1")),"adequate","partial"),IF(AND(H2162="W4",F2162="predictive",OR(J2162="P2",J2162="P3",J2162="P4")),IF(OR(U2162=1,U2162="1"),"adequate","partial"),INDEX(Fit_Matrix!$B:$B,MATCH(P2162,Fit_Matrix!$A:$A,0)))),"CHECK KEY"))</f>
        <v/>
      </c>
      <c r="U2162" s="10" t="n"/>
      <c r="V2162" s="10" t="n"/>
      <c r="W2162" s="10" t="n"/>
      <c r="X2162" s="10" t="n"/>
      <c r="Y2162" s="10" t="n"/>
      <c r="Z2162" s="10" t="n"/>
      <c r="AA2162" s="11">
        <f>IF(A2162="","",IF(AND(J2162="P4",F2162="causal"),"P4-CAUSAL",""))</f>
        <v/>
      </c>
    </row>
    <row r="2163" ht="15" customHeight="1" s="1">
      <c r="P2163">
        <f>IF(OR(F2163="",H2163="",J2163=""),"",J2163&amp;"|"&amp;F2163&amp;"|"&amp;IF(H2163="W3","W3_"&amp;IF(I2163="","unknown",I2163),H2163))</f>
        <v/>
      </c>
      <c r="Q2163">
        <f>IF(P2163="","",IFERROR(IF(AND(H2163="W7",OR(F2163="causal",F2163="predictive")),IF(AND(OR(K2163=1,K2163="1"),OR(L2163=1,L2163="1"),OR(M2163=1,M2163="1")),"adequate","partial"),IF(AND(H2163="W4",F2163="predictive",OR(J2163="P2",J2163="P3",J2163="P4")),IF(OR(U2163=1,U2163="1"),"adequate","partial"),INDEX(Fit_Matrix!$B:$B,MATCH(P2163,Fit_Matrix!$A:$A,0)))),"CHECK KEY"))</f>
        <v/>
      </c>
      <c r="U2163" s="10" t="n"/>
      <c r="V2163" s="10" t="n"/>
      <c r="W2163" s="10" t="n"/>
      <c r="X2163" s="10" t="n"/>
      <c r="Y2163" s="10" t="n"/>
      <c r="Z2163" s="10" t="n"/>
      <c r="AA2163" s="11">
        <f>IF(A2163="","",IF(AND(J2163="P4",F2163="causal"),"P4-CAUSAL",""))</f>
        <v/>
      </c>
    </row>
    <row r="2164" ht="15" customHeight="1" s="1">
      <c r="P2164">
        <f>IF(OR(F2164="",H2164="",J2164=""),"",J2164&amp;"|"&amp;F2164&amp;"|"&amp;IF(H2164="W3","W3_"&amp;IF(I2164="","unknown",I2164),H2164))</f>
        <v/>
      </c>
      <c r="Q2164">
        <f>IF(P2164="","",IFERROR(IF(AND(H2164="W7",OR(F2164="causal",F2164="predictive")),IF(AND(OR(K2164=1,K2164="1"),OR(L2164=1,L2164="1"),OR(M2164=1,M2164="1")),"adequate","partial"),IF(AND(H2164="W4",F2164="predictive",OR(J2164="P2",J2164="P3",J2164="P4")),IF(OR(U2164=1,U2164="1"),"adequate","partial"),INDEX(Fit_Matrix!$B:$B,MATCH(P2164,Fit_Matrix!$A:$A,0)))),"CHECK KEY"))</f>
        <v/>
      </c>
      <c r="U2164" s="10" t="n"/>
      <c r="V2164" s="10" t="n"/>
      <c r="W2164" s="10" t="n"/>
      <c r="X2164" s="10" t="n"/>
      <c r="Y2164" s="10" t="n"/>
      <c r="Z2164" s="10" t="n"/>
      <c r="AA2164" s="11">
        <f>IF(A2164="","",IF(AND(J2164="P4",F2164="causal"),"P4-CAUSAL",""))</f>
        <v/>
      </c>
    </row>
    <row r="2165" ht="15" customHeight="1" s="1">
      <c r="P2165">
        <f>IF(OR(F2165="",H2165="",J2165=""),"",J2165&amp;"|"&amp;F2165&amp;"|"&amp;IF(H2165="W3","W3_"&amp;IF(I2165="","unknown",I2165),H2165))</f>
        <v/>
      </c>
      <c r="Q2165">
        <f>IF(P2165="","",IFERROR(IF(AND(H2165="W7",OR(F2165="causal",F2165="predictive")),IF(AND(OR(K2165=1,K2165="1"),OR(L2165=1,L2165="1"),OR(M2165=1,M2165="1")),"adequate","partial"),IF(AND(H2165="W4",F2165="predictive",OR(J2165="P2",J2165="P3",J2165="P4")),IF(OR(U2165=1,U2165="1"),"adequate","partial"),INDEX(Fit_Matrix!$B:$B,MATCH(P2165,Fit_Matrix!$A:$A,0)))),"CHECK KEY"))</f>
        <v/>
      </c>
      <c r="U2165" s="10" t="n"/>
      <c r="V2165" s="10" t="n"/>
      <c r="W2165" s="10" t="n"/>
      <c r="X2165" s="10" t="n"/>
      <c r="Y2165" s="10" t="n"/>
      <c r="Z2165" s="10" t="n"/>
      <c r="AA2165" s="11">
        <f>IF(A2165="","",IF(AND(J2165="P4",F2165="causal"),"P4-CAUSAL",""))</f>
        <v/>
      </c>
    </row>
    <row r="2166" ht="15" customHeight="1" s="1">
      <c r="P2166">
        <f>IF(OR(F2166="",H2166="",J2166=""),"",J2166&amp;"|"&amp;F2166&amp;"|"&amp;IF(H2166="W3","W3_"&amp;IF(I2166="","unknown",I2166),H2166))</f>
        <v/>
      </c>
      <c r="Q2166">
        <f>IF(P2166="","",IFERROR(IF(AND(H2166="W7",OR(F2166="causal",F2166="predictive")),IF(AND(OR(K2166=1,K2166="1"),OR(L2166=1,L2166="1"),OR(M2166=1,M2166="1")),"adequate","partial"),IF(AND(H2166="W4",F2166="predictive",OR(J2166="P2",J2166="P3",J2166="P4")),IF(OR(U2166=1,U2166="1"),"adequate","partial"),INDEX(Fit_Matrix!$B:$B,MATCH(P2166,Fit_Matrix!$A:$A,0)))),"CHECK KEY"))</f>
        <v/>
      </c>
      <c r="U2166" s="10" t="n"/>
      <c r="V2166" s="10" t="n"/>
      <c r="W2166" s="10" t="n"/>
      <c r="X2166" s="10" t="n"/>
      <c r="Y2166" s="10" t="n"/>
      <c r="Z2166" s="10" t="n"/>
      <c r="AA2166" s="11">
        <f>IF(A2166="","",IF(AND(J2166="P4",F2166="causal"),"P4-CAUSAL",""))</f>
        <v/>
      </c>
    </row>
    <row r="2167" ht="15" customHeight="1" s="1">
      <c r="P2167">
        <f>IF(OR(F2167="",H2167="",J2167=""),"",J2167&amp;"|"&amp;F2167&amp;"|"&amp;IF(H2167="W3","W3_"&amp;IF(I2167="","unknown",I2167),H2167))</f>
        <v/>
      </c>
      <c r="Q2167">
        <f>IF(P2167="","",IFERROR(IF(AND(H2167="W7",OR(F2167="causal",F2167="predictive")),IF(AND(OR(K2167=1,K2167="1"),OR(L2167=1,L2167="1"),OR(M2167=1,M2167="1")),"adequate","partial"),IF(AND(H2167="W4",F2167="predictive",OR(J2167="P2",J2167="P3",J2167="P4")),IF(OR(U2167=1,U2167="1"),"adequate","partial"),INDEX(Fit_Matrix!$B:$B,MATCH(P2167,Fit_Matrix!$A:$A,0)))),"CHECK KEY"))</f>
        <v/>
      </c>
      <c r="U2167" s="10" t="n"/>
      <c r="V2167" s="10" t="n"/>
      <c r="W2167" s="10" t="n"/>
      <c r="X2167" s="10" t="n"/>
      <c r="Y2167" s="10" t="n"/>
      <c r="Z2167" s="10" t="n"/>
      <c r="AA2167" s="11">
        <f>IF(A2167="","",IF(AND(J2167="P4",F2167="causal"),"P4-CAUSAL",""))</f>
        <v/>
      </c>
    </row>
    <row r="2168" ht="15" customHeight="1" s="1">
      <c r="P2168">
        <f>IF(OR(F2168="",H2168="",J2168=""),"",J2168&amp;"|"&amp;F2168&amp;"|"&amp;IF(H2168="W3","W3_"&amp;IF(I2168="","unknown",I2168),H2168))</f>
        <v/>
      </c>
      <c r="Q2168">
        <f>IF(P2168="","",IFERROR(IF(AND(H2168="W7",OR(F2168="causal",F2168="predictive")),IF(AND(OR(K2168=1,K2168="1"),OR(L2168=1,L2168="1"),OR(M2168=1,M2168="1")),"adequate","partial"),IF(AND(H2168="W4",F2168="predictive",OR(J2168="P2",J2168="P3",J2168="P4")),IF(OR(U2168=1,U2168="1"),"adequate","partial"),INDEX(Fit_Matrix!$B:$B,MATCH(P2168,Fit_Matrix!$A:$A,0)))),"CHECK KEY"))</f>
        <v/>
      </c>
      <c r="U2168" s="10" t="n"/>
      <c r="V2168" s="10" t="n"/>
      <c r="W2168" s="10" t="n"/>
      <c r="X2168" s="10" t="n"/>
      <c r="Y2168" s="10" t="n"/>
      <c r="Z2168" s="10" t="n"/>
      <c r="AA2168" s="11">
        <f>IF(A2168="","",IF(AND(J2168="P4",F2168="causal"),"P4-CAUSAL",""))</f>
        <v/>
      </c>
    </row>
    <row r="2169" ht="15" customHeight="1" s="1">
      <c r="P2169">
        <f>IF(OR(F2169="",H2169="",J2169=""),"",J2169&amp;"|"&amp;F2169&amp;"|"&amp;IF(H2169="W3","W3_"&amp;IF(I2169="","unknown",I2169),H2169))</f>
        <v/>
      </c>
      <c r="Q2169">
        <f>IF(P2169="","",IFERROR(IF(AND(H2169="W7",OR(F2169="causal",F2169="predictive")),IF(AND(OR(K2169=1,K2169="1"),OR(L2169=1,L2169="1"),OR(M2169=1,M2169="1")),"adequate","partial"),IF(AND(H2169="W4",F2169="predictive",OR(J2169="P2",J2169="P3",J2169="P4")),IF(OR(U2169=1,U2169="1"),"adequate","partial"),INDEX(Fit_Matrix!$B:$B,MATCH(P2169,Fit_Matrix!$A:$A,0)))),"CHECK KEY"))</f>
        <v/>
      </c>
      <c r="U2169" s="10" t="n"/>
      <c r="V2169" s="10" t="n"/>
      <c r="W2169" s="10" t="n"/>
      <c r="X2169" s="10" t="n"/>
      <c r="Y2169" s="10" t="n"/>
      <c r="Z2169" s="10" t="n"/>
      <c r="AA2169" s="11">
        <f>IF(A2169="","",IF(AND(J2169="P4",F2169="causal"),"P4-CAUSAL",""))</f>
        <v/>
      </c>
    </row>
    <row r="2170" ht="15" customHeight="1" s="1">
      <c r="P2170">
        <f>IF(OR(F2170="",H2170="",J2170=""),"",J2170&amp;"|"&amp;F2170&amp;"|"&amp;IF(H2170="W3","W3_"&amp;IF(I2170="","unknown",I2170),H2170))</f>
        <v/>
      </c>
      <c r="Q2170">
        <f>IF(P2170="","",IFERROR(IF(AND(H2170="W7",OR(F2170="causal",F2170="predictive")),IF(AND(OR(K2170=1,K2170="1"),OR(L2170=1,L2170="1"),OR(M2170=1,M2170="1")),"adequate","partial"),IF(AND(H2170="W4",F2170="predictive",OR(J2170="P2",J2170="P3",J2170="P4")),IF(OR(U2170=1,U2170="1"),"adequate","partial"),INDEX(Fit_Matrix!$B:$B,MATCH(P2170,Fit_Matrix!$A:$A,0)))),"CHECK KEY"))</f>
        <v/>
      </c>
      <c r="U2170" s="10" t="n"/>
      <c r="V2170" s="10" t="n"/>
      <c r="W2170" s="10" t="n"/>
      <c r="X2170" s="10" t="n"/>
      <c r="Y2170" s="10" t="n"/>
      <c r="Z2170" s="10" t="n"/>
      <c r="AA2170" s="11">
        <f>IF(A2170="","",IF(AND(J2170="P4",F2170="causal"),"P4-CAUSAL",""))</f>
        <v/>
      </c>
    </row>
    <row r="2171" ht="15" customHeight="1" s="1">
      <c r="P2171">
        <f>IF(OR(F2171="",H2171="",J2171=""),"",J2171&amp;"|"&amp;F2171&amp;"|"&amp;IF(H2171="W3","W3_"&amp;IF(I2171="","unknown",I2171),H2171))</f>
        <v/>
      </c>
      <c r="Q2171">
        <f>IF(P2171="","",IFERROR(IF(AND(H2171="W7",OR(F2171="causal",F2171="predictive")),IF(AND(OR(K2171=1,K2171="1"),OR(L2171=1,L2171="1"),OR(M2171=1,M2171="1")),"adequate","partial"),IF(AND(H2171="W4",F2171="predictive",OR(J2171="P2",J2171="P3",J2171="P4")),IF(OR(U2171=1,U2171="1"),"adequate","partial"),INDEX(Fit_Matrix!$B:$B,MATCH(P2171,Fit_Matrix!$A:$A,0)))),"CHECK KEY"))</f>
        <v/>
      </c>
      <c r="U2171" s="10" t="n"/>
      <c r="V2171" s="10" t="n"/>
      <c r="W2171" s="10" t="n"/>
      <c r="X2171" s="10" t="n"/>
      <c r="Y2171" s="10" t="n"/>
      <c r="Z2171" s="10" t="n"/>
      <c r="AA2171" s="11">
        <f>IF(A2171="","",IF(AND(J2171="P4",F2171="causal"),"P4-CAUSAL",""))</f>
        <v/>
      </c>
    </row>
    <row r="2172" ht="15" customHeight="1" s="1">
      <c r="P2172">
        <f>IF(OR(F2172="",H2172="",J2172=""),"",J2172&amp;"|"&amp;F2172&amp;"|"&amp;IF(H2172="W3","W3_"&amp;IF(I2172="","unknown",I2172),H2172))</f>
        <v/>
      </c>
      <c r="Q2172">
        <f>IF(P2172="","",IFERROR(IF(AND(H2172="W7",OR(F2172="causal",F2172="predictive")),IF(AND(OR(K2172=1,K2172="1"),OR(L2172=1,L2172="1"),OR(M2172=1,M2172="1")),"adequate","partial"),IF(AND(H2172="W4",F2172="predictive",OR(J2172="P2",J2172="P3",J2172="P4")),IF(OR(U2172=1,U2172="1"),"adequate","partial"),INDEX(Fit_Matrix!$B:$B,MATCH(P2172,Fit_Matrix!$A:$A,0)))),"CHECK KEY"))</f>
        <v/>
      </c>
      <c r="U2172" s="10" t="n"/>
      <c r="V2172" s="10" t="n"/>
      <c r="W2172" s="10" t="n"/>
      <c r="X2172" s="10" t="n"/>
      <c r="Y2172" s="10" t="n"/>
      <c r="Z2172" s="10" t="n"/>
      <c r="AA2172" s="11">
        <f>IF(A2172="","",IF(AND(J2172="P4",F2172="causal"),"P4-CAUSAL",""))</f>
        <v/>
      </c>
    </row>
    <row r="2173" ht="15" customHeight="1" s="1">
      <c r="P2173">
        <f>IF(OR(F2173="",H2173="",J2173=""),"",J2173&amp;"|"&amp;F2173&amp;"|"&amp;IF(H2173="W3","W3_"&amp;IF(I2173="","unknown",I2173),H2173))</f>
        <v/>
      </c>
      <c r="Q2173">
        <f>IF(P2173="","",IFERROR(IF(AND(H2173="W7",OR(F2173="causal",F2173="predictive")),IF(AND(OR(K2173=1,K2173="1"),OR(L2173=1,L2173="1"),OR(M2173=1,M2173="1")),"adequate","partial"),IF(AND(H2173="W4",F2173="predictive",OR(J2173="P2",J2173="P3",J2173="P4")),IF(OR(U2173=1,U2173="1"),"adequate","partial"),INDEX(Fit_Matrix!$B:$B,MATCH(P2173,Fit_Matrix!$A:$A,0)))),"CHECK KEY"))</f>
        <v/>
      </c>
      <c r="U2173" s="10" t="n"/>
      <c r="V2173" s="10" t="n"/>
      <c r="W2173" s="10" t="n"/>
      <c r="X2173" s="10" t="n"/>
      <c r="Y2173" s="10" t="n"/>
      <c r="Z2173" s="10" t="n"/>
      <c r="AA2173" s="11">
        <f>IF(A2173="","",IF(AND(J2173="P4",F2173="causal"),"P4-CAUSAL",""))</f>
        <v/>
      </c>
    </row>
    <row r="2174" ht="15" customHeight="1" s="1">
      <c r="P2174">
        <f>IF(OR(F2174="",H2174="",J2174=""),"",J2174&amp;"|"&amp;F2174&amp;"|"&amp;IF(H2174="W3","W3_"&amp;IF(I2174="","unknown",I2174),H2174))</f>
        <v/>
      </c>
      <c r="Q2174">
        <f>IF(P2174="","",IFERROR(IF(AND(H2174="W7",OR(F2174="causal",F2174="predictive")),IF(AND(OR(K2174=1,K2174="1"),OR(L2174=1,L2174="1"),OR(M2174=1,M2174="1")),"adequate","partial"),IF(AND(H2174="W4",F2174="predictive",OR(J2174="P2",J2174="P3",J2174="P4")),IF(OR(U2174=1,U2174="1"),"adequate","partial"),INDEX(Fit_Matrix!$B:$B,MATCH(P2174,Fit_Matrix!$A:$A,0)))),"CHECK KEY"))</f>
        <v/>
      </c>
      <c r="U2174" s="10" t="n"/>
      <c r="V2174" s="10" t="n"/>
      <c r="W2174" s="10" t="n"/>
      <c r="X2174" s="10" t="n"/>
      <c r="Y2174" s="10" t="n"/>
      <c r="Z2174" s="10" t="n"/>
      <c r="AA2174" s="11">
        <f>IF(A2174="","",IF(AND(J2174="P4",F2174="causal"),"P4-CAUSAL",""))</f>
        <v/>
      </c>
    </row>
    <row r="2175" ht="15" customHeight="1" s="1">
      <c r="P2175">
        <f>IF(OR(F2175="",H2175="",J2175=""),"",J2175&amp;"|"&amp;F2175&amp;"|"&amp;IF(H2175="W3","W3_"&amp;IF(I2175="","unknown",I2175),H2175))</f>
        <v/>
      </c>
      <c r="Q2175">
        <f>IF(P2175="","",IFERROR(IF(AND(H2175="W7",OR(F2175="causal",F2175="predictive")),IF(AND(OR(K2175=1,K2175="1"),OR(L2175=1,L2175="1"),OR(M2175=1,M2175="1")),"adequate","partial"),IF(AND(H2175="W4",F2175="predictive",OR(J2175="P2",J2175="P3",J2175="P4")),IF(OR(U2175=1,U2175="1"),"adequate","partial"),INDEX(Fit_Matrix!$B:$B,MATCH(P2175,Fit_Matrix!$A:$A,0)))),"CHECK KEY"))</f>
        <v/>
      </c>
      <c r="U2175" s="10" t="n"/>
      <c r="V2175" s="10" t="n"/>
      <c r="W2175" s="10" t="n"/>
      <c r="X2175" s="10" t="n"/>
      <c r="Y2175" s="10" t="n"/>
      <c r="Z2175" s="10" t="n"/>
      <c r="AA2175" s="11">
        <f>IF(A2175="","",IF(AND(J2175="P4",F2175="causal"),"P4-CAUSAL",""))</f>
        <v/>
      </c>
    </row>
    <row r="2176" ht="15" customHeight="1" s="1">
      <c r="P2176">
        <f>IF(OR(F2176="",H2176="",J2176=""),"",J2176&amp;"|"&amp;F2176&amp;"|"&amp;IF(H2176="W3","W3_"&amp;IF(I2176="","unknown",I2176),H2176))</f>
        <v/>
      </c>
      <c r="Q2176">
        <f>IF(P2176="","",IFERROR(IF(AND(H2176="W7",OR(F2176="causal",F2176="predictive")),IF(AND(OR(K2176=1,K2176="1"),OR(L2176=1,L2176="1"),OR(M2176=1,M2176="1")),"adequate","partial"),IF(AND(H2176="W4",F2176="predictive",OR(J2176="P2",J2176="P3",J2176="P4")),IF(OR(U2176=1,U2176="1"),"adequate","partial"),INDEX(Fit_Matrix!$B:$B,MATCH(P2176,Fit_Matrix!$A:$A,0)))),"CHECK KEY"))</f>
        <v/>
      </c>
      <c r="U2176" s="10" t="n"/>
      <c r="V2176" s="10" t="n"/>
      <c r="W2176" s="10" t="n"/>
      <c r="X2176" s="10" t="n"/>
      <c r="Y2176" s="10" t="n"/>
      <c r="Z2176" s="10" t="n"/>
      <c r="AA2176" s="11">
        <f>IF(A2176="","",IF(AND(J2176="P4",F2176="causal"),"P4-CAUSAL",""))</f>
        <v/>
      </c>
    </row>
    <row r="2177" ht="15" customHeight="1" s="1">
      <c r="P2177">
        <f>IF(OR(F2177="",H2177="",J2177=""),"",J2177&amp;"|"&amp;F2177&amp;"|"&amp;IF(H2177="W3","W3_"&amp;IF(I2177="","unknown",I2177),H2177))</f>
        <v/>
      </c>
      <c r="Q2177">
        <f>IF(P2177="","",IFERROR(IF(AND(H2177="W7",OR(F2177="causal",F2177="predictive")),IF(AND(OR(K2177=1,K2177="1"),OR(L2177=1,L2177="1"),OR(M2177=1,M2177="1")),"adequate","partial"),IF(AND(H2177="W4",F2177="predictive",OR(J2177="P2",J2177="P3",J2177="P4")),IF(OR(U2177=1,U2177="1"),"adequate","partial"),INDEX(Fit_Matrix!$B:$B,MATCH(P2177,Fit_Matrix!$A:$A,0)))),"CHECK KEY"))</f>
        <v/>
      </c>
      <c r="U2177" s="10" t="n"/>
      <c r="V2177" s="10" t="n"/>
      <c r="W2177" s="10" t="n"/>
      <c r="X2177" s="10" t="n"/>
      <c r="Y2177" s="10" t="n"/>
      <c r="Z2177" s="10" t="n"/>
      <c r="AA2177" s="11">
        <f>IF(A2177="","",IF(AND(J2177="P4",F2177="causal"),"P4-CAUSAL",""))</f>
        <v/>
      </c>
    </row>
    <row r="2178" ht="15" customHeight="1" s="1">
      <c r="P2178">
        <f>IF(OR(F2178="",H2178="",J2178=""),"",J2178&amp;"|"&amp;F2178&amp;"|"&amp;IF(H2178="W3","W3_"&amp;IF(I2178="","unknown",I2178),H2178))</f>
        <v/>
      </c>
      <c r="Q2178">
        <f>IF(P2178="","",IFERROR(IF(AND(H2178="W7",OR(F2178="causal",F2178="predictive")),IF(AND(OR(K2178=1,K2178="1"),OR(L2178=1,L2178="1"),OR(M2178=1,M2178="1")),"adequate","partial"),IF(AND(H2178="W4",F2178="predictive",OR(J2178="P2",J2178="P3",J2178="P4")),IF(OR(U2178=1,U2178="1"),"adequate","partial"),INDEX(Fit_Matrix!$B:$B,MATCH(P2178,Fit_Matrix!$A:$A,0)))),"CHECK KEY"))</f>
        <v/>
      </c>
      <c r="U2178" s="10" t="n"/>
      <c r="V2178" s="10" t="n"/>
      <c r="W2178" s="10" t="n"/>
      <c r="X2178" s="10" t="n"/>
      <c r="Y2178" s="10" t="n"/>
      <c r="Z2178" s="10" t="n"/>
      <c r="AA2178" s="11">
        <f>IF(A2178="","",IF(AND(J2178="P4",F2178="causal"),"P4-CAUSAL",""))</f>
        <v/>
      </c>
    </row>
    <row r="2179" ht="15" customHeight="1" s="1">
      <c r="P2179">
        <f>IF(OR(F2179="",H2179="",J2179=""),"",J2179&amp;"|"&amp;F2179&amp;"|"&amp;IF(H2179="W3","W3_"&amp;IF(I2179="","unknown",I2179),H2179))</f>
        <v/>
      </c>
      <c r="Q2179">
        <f>IF(P2179="","",IFERROR(IF(AND(H2179="W7",OR(F2179="causal",F2179="predictive")),IF(AND(OR(K2179=1,K2179="1"),OR(L2179=1,L2179="1"),OR(M2179=1,M2179="1")),"adequate","partial"),IF(AND(H2179="W4",F2179="predictive",OR(J2179="P2",J2179="P3",J2179="P4")),IF(OR(U2179=1,U2179="1"),"adequate","partial"),INDEX(Fit_Matrix!$B:$B,MATCH(P2179,Fit_Matrix!$A:$A,0)))),"CHECK KEY"))</f>
        <v/>
      </c>
      <c r="U2179" s="10" t="n"/>
      <c r="V2179" s="10" t="n"/>
      <c r="W2179" s="10" t="n"/>
      <c r="X2179" s="10" t="n"/>
      <c r="Y2179" s="10" t="n"/>
      <c r="Z2179" s="10" t="n"/>
      <c r="AA2179" s="11">
        <f>IF(A2179="","",IF(AND(J2179="P4",F2179="causal"),"P4-CAUSAL",""))</f>
        <v/>
      </c>
    </row>
    <row r="2180" ht="15" customHeight="1" s="1">
      <c r="P2180">
        <f>IF(OR(F2180="",H2180="",J2180=""),"",J2180&amp;"|"&amp;F2180&amp;"|"&amp;IF(H2180="W3","W3_"&amp;IF(I2180="","unknown",I2180),H2180))</f>
        <v/>
      </c>
      <c r="Q2180">
        <f>IF(P2180="","",IFERROR(IF(AND(H2180="W7",OR(F2180="causal",F2180="predictive")),IF(AND(OR(K2180=1,K2180="1"),OR(L2180=1,L2180="1"),OR(M2180=1,M2180="1")),"adequate","partial"),IF(AND(H2180="W4",F2180="predictive",OR(J2180="P2",J2180="P3",J2180="P4")),IF(OR(U2180=1,U2180="1"),"adequate","partial"),INDEX(Fit_Matrix!$B:$B,MATCH(P2180,Fit_Matrix!$A:$A,0)))),"CHECK KEY"))</f>
        <v/>
      </c>
      <c r="U2180" s="10" t="n"/>
      <c r="V2180" s="10" t="n"/>
      <c r="W2180" s="10" t="n"/>
      <c r="X2180" s="10" t="n"/>
      <c r="Y2180" s="10" t="n"/>
      <c r="Z2180" s="10" t="n"/>
      <c r="AA2180" s="11">
        <f>IF(A2180="","",IF(AND(J2180="P4",F2180="causal"),"P4-CAUSAL",""))</f>
        <v/>
      </c>
    </row>
    <row r="2181" ht="15" customHeight="1" s="1">
      <c r="P2181">
        <f>IF(OR(F2181="",H2181="",J2181=""),"",J2181&amp;"|"&amp;F2181&amp;"|"&amp;IF(H2181="W3","W3_"&amp;IF(I2181="","unknown",I2181),H2181))</f>
        <v/>
      </c>
      <c r="Q2181">
        <f>IF(P2181="","",IFERROR(IF(AND(H2181="W7",OR(F2181="causal",F2181="predictive")),IF(AND(OR(K2181=1,K2181="1"),OR(L2181=1,L2181="1"),OR(M2181=1,M2181="1")),"adequate","partial"),IF(AND(H2181="W4",F2181="predictive",OR(J2181="P2",J2181="P3",J2181="P4")),IF(OR(U2181=1,U2181="1"),"adequate","partial"),INDEX(Fit_Matrix!$B:$B,MATCH(P2181,Fit_Matrix!$A:$A,0)))),"CHECK KEY"))</f>
        <v/>
      </c>
      <c r="U2181" s="10" t="n"/>
      <c r="V2181" s="10" t="n"/>
      <c r="W2181" s="10" t="n"/>
      <c r="X2181" s="10" t="n"/>
      <c r="Y2181" s="10" t="n"/>
      <c r="Z2181" s="10" t="n"/>
      <c r="AA2181" s="11">
        <f>IF(A2181="","",IF(AND(J2181="P4",F2181="causal"),"P4-CAUSAL",""))</f>
        <v/>
      </c>
    </row>
    <row r="2182" ht="15" customHeight="1" s="1">
      <c r="P2182">
        <f>IF(OR(F2182="",H2182="",J2182=""),"",J2182&amp;"|"&amp;F2182&amp;"|"&amp;IF(H2182="W3","W3_"&amp;IF(I2182="","unknown",I2182),H2182))</f>
        <v/>
      </c>
      <c r="Q2182">
        <f>IF(P2182="","",IFERROR(IF(AND(H2182="W7",OR(F2182="causal",F2182="predictive")),IF(AND(OR(K2182=1,K2182="1"),OR(L2182=1,L2182="1"),OR(M2182=1,M2182="1")),"adequate","partial"),IF(AND(H2182="W4",F2182="predictive",OR(J2182="P2",J2182="P3",J2182="P4")),IF(OR(U2182=1,U2182="1"),"adequate","partial"),INDEX(Fit_Matrix!$B:$B,MATCH(P2182,Fit_Matrix!$A:$A,0)))),"CHECK KEY"))</f>
        <v/>
      </c>
      <c r="U2182" s="10" t="n"/>
      <c r="V2182" s="10" t="n"/>
      <c r="W2182" s="10" t="n"/>
      <c r="X2182" s="10" t="n"/>
      <c r="Y2182" s="10" t="n"/>
      <c r="Z2182" s="10" t="n"/>
      <c r="AA2182" s="11">
        <f>IF(A2182="","",IF(AND(J2182="P4",F2182="causal"),"P4-CAUSAL",""))</f>
        <v/>
      </c>
    </row>
    <row r="2183" ht="15" customHeight="1" s="1">
      <c r="P2183">
        <f>IF(OR(F2183="",H2183="",J2183=""),"",J2183&amp;"|"&amp;F2183&amp;"|"&amp;IF(H2183="W3","W3_"&amp;IF(I2183="","unknown",I2183),H2183))</f>
        <v/>
      </c>
      <c r="Q2183">
        <f>IF(P2183="","",IFERROR(IF(AND(H2183="W7",OR(F2183="causal",F2183="predictive")),IF(AND(OR(K2183=1,K2183="1"),OR(L2183=1,L2183="1"),OR(M2183=1,M2183="1")),"adequate","partial"),IF(AND(H2183="W4",F2183="predictive",OR(J2183="P2",J2183="P3",J2183="P4")),IF(OR(U2183=1,U2183="1"),"adequate","partial"),INDEX(Fit_Matrix!$B:$B,MATCH(P2183,Fit_Matrix!$A:$A,0)))),"CHECK KEY"))</f>
        <v/>
      </c>
      <c r="U2183" s="10" t="n"/>
      <c r="V2183" s="10" t="n"/>
      <c r="W2183" s="10" t="n"/>
      <c r="X2183" s="10" t="n"/>
      <c r="Y2183" s="10" t="n"/>
      <c r="Z2183" s="10" t="n"/>
      <c r="AA2183" s="11">
        <f>IF(A2183="","",IF(AND(J2183="P4",F2183="causal"),"P4-CAUSAL",""))</f>
        <v/>
      </c>
    </row>
    <row r="2184" ht="15" customHeight="1" s="1">
      <c r="P2184">
        <f>IF(OR(F2184="",H2184="",J2184=""),"",J2184&amp;"|"&amp;F2184&amp;"|"&amp;IF(H2184="W3","W3_"&amp;IF(I2184="","unknown",I2184),H2184))</f>
        <v/>
      </c>
      <c r="Q2184">
        <f>IF(P2184="","",IFERROR(IF(AND(H2184="W7",OR(F2184="causal",F2184="predictive")),IF(AND(OR(K2184=1,K2184="1"),OR(L2184=1,L2184="1"),OR(M2184=1,M2184="1")),"adequate","partial"),IF(AND(H2184="W4",F2184="predictive",OR(J2184="P2",J2184="P3",J2184="P4")),IF(OR(U2184=1,U2184="1"),"adequate","partial"),INDEX(Fit_Matrix!$B:$B,MATCH(P2184,Fit_Matrix!$A:$A,0)))),"CHECK KEY"))</f>
        <v/>
      </c>
      <c r="U2184" s="10" t="n"/>
      <c r="V2184" s="10" t="n"/>
      <c r="W2184" s="10" t="n"/>
      <c r="X2184" s="10" t="n"/>
      <c r="Y2184" s="10" t="n"/>
      <c r="Z2184" s="10" t="n"/>
      <c r="AA2184" s="11">
        <f>IF(A2184="","",IF(AND(J2184="P4",F2184="causal"),"P4-CAUSAL",""))</f>
        <v/>
      </c>
    </row>
    <row r="2185" ht="15" customHeight="1" s="1">
      <c r="P2185">
        <f>IF(OR(F2185="",H2185="",J2185=""),"",J2185&amp;"|"&amp;F2185&amp;"|"&amp;IF(H2185="W3","W3_"&amp;IF(I2185="","unknown",I2185),H2185))</f>
        <v/>
      </c>
      <c r="Q2185">
        <f>IF(P2185="","",IFERROR(IF(AND(H2185="W7",OR(F2185="causal",F2185="predictive")),IF(AND(OR(K2185=1,K2185="1"),OR(L2185=1,L2185="1"),OR(M2185=1,M2185="1")),"adequate","partial"),IF(AND(H2185="W4",F2185="predictive",OR(J2185="P2",J2185="P3",J2185="P4")),IF(OR(U2185=1,U2185="1"),"adequate","partial"),INDEX(Fit_Matrix!$B:$B,MATCH(P2185,Fit_Matrix!$A:$A,0)))),"CHECK KEY"))</f>
        <v/>
      </c>
      <c r="U2185" s="10" t="n"/>
      <c r="V2185" s="10" t="n"/>
      <c r="W2185" s="10" t="n"/>
      <c r="X2185" s="10" t="n"/>
      <c r="Y2185" s="10" t="n"/>
      <c r="Z2185" s="10" t="n"/>
      <c r="AA2185" s="11">
        <f>IF(A2185="","",IF(AND(J2185="P4",F2185="causal"),"P4-CAUSAL",""))</f>
        <v/>
      </c>
    </row>
    <row r="2186" ht="15" customHeight="1" s="1">
      <c r="P2186">
        <f>IF(OR(F2186="",H2186="",J2186=""),"",J2186&amp;"|"&amp;F2186&amp;"|"&amp;IF(H2186="W3","W3_"&amp;IF(I2186="","unknown",I2186),H2186))</f>
        <v/>
      </c>
      <c r="Q2186">
        <f>IF(P2186="","",IFERROR(IF(AND(H2186="W7",OR(F2186="causal",F2186="predictive")),IF(AND(OR(K2186=1,K2186="1"),OR(L2186=1,L2186="1"),OR(M2186=1,M2186="1")),"adequate","partial"),IF(AND(H2186="W4",F2186="predictive",OR(J2186="P2",J2186="P3",J2186="P4")),IF(OR(U2186=1,U2186="1"),"adequate","partial"),INDEX(Fit_Matrix!$B:$B,MATCH(P2186,Fit_Matrix!$A:$A,0)))),"CHECK KEY"))</f>
        <v/>
      </c>
      <c r="U2186" s="10" t="n"/>
      <c r="V2186" s="10" t="n"/>
      <c r="W2186" s="10" t="n"/>
      <c r="X2186" s="10" t="n"/>
      <c r="Y2186" s="10" t="n"/>
      <c r="Z2186" s="10" t="n"/>
      <c r="AA2186" s="11">
        <f>IF(A2186="","",IF(AND(J2186="P4",F2186="causal"),"P4-CAUSAL",""))</f>
        <v/>
      </c>
    </row>
    <row r="2187" ht="15" customHeight="1" s="1">
      <c r="P2187">
        <f>IF(OR(F2187="",H2187="",J2187=""),"",J2187&amp;"|"&amp;F2187&amp;"|"&amp;IF(H2187="W3","W3_"&amp;IF(I2187="","unknown",I2187),H2187))</f>
        <v/>
      </c>
      <c r="Q2187">
        <f>IF(P2187="","",IFERROR(IF(AND(H2187="W7",OR(F2187="causal",F2187="predictive")),IF(AND(OR(K2187=1,K2187="1"),OR(L2187=1,L2187="1"),OR(M2187=1,M2187="1")),"adequate","partial"),IF(AND(H2187="W4",F2187="predictive",OR(J2187="P2",J2187="P3",J2187="P4")),IF(OR(U2187=1,U2187="1"),"adequate","partial"),INDEX(Fit_Matrix!$B:$B,MATCH(P2187,Fit_Matrix!$A:$A,0)))),"CHECK KEY"))</f>
        <v/>
      </c>
      <c r="U2187" s="10" t="n"/>
      <c r="V2187" s="10" t="n"/>
      <c r="W2187" s="10" t="n"/>
      <c r="X2187" s="10" t="n"/>
      <c r="Y2187" s="10" t="n"/>
      <c r="Z2187" s="10" t="n"/>
      <c r="AA2187" s="11">
        <f>IF(A2187="","",IF(AND(J2187="P4",F2187="causal"),"P4-CAUSAL",""))</f>
        <v/>
      </c>
    </row>
    <row r="2188" ht="15" customHeight="1" s="1">
      <c r="P2188">
        <f>IF(OR(F2188="",H2188="",J2188=""),"",J2188&amp;"|"&amp;F2188&amp;"|"&amp;IF(H2188="W3","W3_"&amp;IF(I2188="","unknown",I2188),H2188))</f>
        <v/>
      </c>
      <c r="Q2188">
        <f>IF(P2188="","",IFERROR(IF(AND(H2188="W7",OR(F2188="causal",F2188="predictive")),IF(AND(OR(K2188=1,K2188="1"),OR(L2188=1,L2188="1"),OR(M2188=1,M2188="1")),"adequate","partial"),IF(AND(H2188="W4",F2188="predictive",OR(J2188="P2",J2188="P3",J2188="P4")),IF(OR(U2188=1,U2188="1"),"adequate","partial"),INDEX(Fit_Matrix!$B:$B,MATCH(P2188,Fit_Matrix!$A:$A,0)))),"CHECK KEY"))</f>
        <v/>
      </c>
      <c r="U2188" s="10" t="n"/>
      <c r="V2188" s="10" t="n"/>
      <c r="W2188" s="10" t="n"/>
      <c r="X2188" s="10" t="n"/>
      <c r="Y2188" s="10" t="n"/>
      <c r="Z2188" s="10" t="n"/>
      <c r="AA2188" s="11">
        <f>IF(A2188="","",IF(AND(J2188="P4",F2188="causal"),"P4-CAUSAL",""))</f>
        <v/>
      </c>
    </row>
    <row r="2189" ht="15" customHeight="1" s="1">
      <c r="P2189">
        <f>IF(OR(F2189="",H2189="",J2189=""),"",J2189&amp;"|"&amp;F2189&amp;"|"&amp;IF(H2189="W3","W3_"&amp;IF(I2189="","unknown",I2189),H2189))</f>
        <v/>
      </c>
      <c r="Q2189">
        <f>IF(P2189="","",IFERROR(IF(AND(H2189="W7",OR(F2189="causal",F2189="predictive")),IF(AND(OR(K2189=1,K2189="1"),OR(L2189=1,L2189="1"),OR(M2189=1,M2189="1")),"adequate","partial"),IF(AND(H2189="W4",F2189="predictive",OR(J2189="P2",J2189="P3",J2189="P4")),IF(OR(U2189=1,U2189="1"),"adequate","partial"),INDEX(Fit_Matrix!$B:$B,MATCH(P2189,Fit_Matrix!$A:$A,0)))),"CHECK KEY"))</f>
        <v/>
      </c>
      <c r="U2189" s="10" t="n"/>
      <c r="V2189" s="10" t="n"/>
      <c r="W2189" s="10" t="n"/>
      <c r="X2189" s="10" t="n"/>
      <c r="Y2189" s="10" t="n"/>
      <c r="Z2189" s="10" t="n"/>
      <c r="AA2189" s="11">
        <f>IF(A2189="","",IF(AND(J2189="P4",F2189="causal"),"P4-CAUSAL",""))</f>
        <v/>
      </c>
    </row>
    <row r="2190" ht="15" customHeight="1" s="1">
      <c r="P2190">
        <f>IF(OR(F2190="",H2190="",J2190=""),"",J2190&amp;"|"&amp;F2190&amp;"|"&amp;IF(H2190="W3","W3_"&amp;IF(I2190="","unknown",I2190),H2190))</f>
        <v/>
      </c>
      <c r="Q2190">
        <f>IF(P2190="","",IFERROR(IF(AND(H2190="W7",OR(F2190="causal",F2190="predictive")),IF(AND(OR(K2190=1,K2190="1"),OR(L2190=1,L2190="1"),OR(M2190=1,M2190="1")),"adequate","partial"),IF(AND(H2190="W4",F2190="predictive",OR(J2190="P2",J2190="P3",J2190="P4")),IF(OR(U2190=1,U2190="1"),"adequate","partial"),INDEX(Fit_Matrix!$B:$B,MATCH(P2190,Fit_Matrix!$A:$A,0)))),"CHECK KEY"))</f>
        <v/>
      </c>
      <c r="U2190" s="10" t="n"/>
      <c r="V2190" s="10" t="n"/>
      <c r="W2190" s="10" t="n"/>
      <c r="X2190" s="10" t="n"/>
      <c r="Y2190" s="10" t="n"/>
      <c r="Z2190" s="10" t="n"/>
      <c r="AA2190" s="11">
        <f>IF(A2190="","",IF(AND(J2190="P4",F2190="causal"),"P4-CAUSAL",""))</f>
        <v/>
      </c>
    </row>
    <row r="2191" ht="15" customHeight="1" s="1">
      <c r="P2191">
        <f>IF(OR(F2191="",H2191="",J2191=""),"",J2191&amp;"|"&amp;F2191&amp;"|"&amp;IF(H2191="W3","W3_"&amp;IF(I2191="","unknown",I2191),H2191))</f>
        <v/>
      </c>
      <c r="Q2191">
        <f>IF(P2191="","",IFERROR(IF(AND(H2191="W7",OR(F2191="causal",F2191="predictive")),IF(AND(OR(K2191=1,K2191="1"),OR(L2191=1,L2191="1"),OR(M2191=1,M2191="1")),"adequate","partial"),IF(AND(H2191="W4",F2191="predictive",OR(J2191="P2",J2191="P3",J2191="P4")),IF(OR(U2191=1,U2191="1"),"adequate","partial"),INDEX(Fit_Matrix!$B:$B,MATCH(P2191,Fit_Matrix!$A:$A,0)))),"CHECK KEY"))</f>
        <v/>
      </c>
      <c r="U2191" s="10" t="n"/>
      <c r="V2191" s="10" t="n"/>
      <c r="W2191" s="10" t="n"/>
      <c r="X2191" s="10" t="n"/>
      <c r="Y2191" s="10" t="n"/>
      <c r="Z2191" s="10" t="n"/>
      <c r="AA2191" s="11">
        <f>IF(A2191="","",IF(AND(J2191="P4",F2191="causal"),"P4-CAUSAL",""))</f>
        <v/>
      </c>
    </row>
    <row r="2192" ht="15" customHeight="1" s="1">
      <c r="P2192">
        <f>IF(OR(F2192="",H2192="",J2192=""),"",J2192&amp;"|"&amp;F2192&amp;"|"&amp;IF(H2192="W3","W3_"&amp;IF(I2192="","unknown",I2192),H2192))</f>
        <v/>
      </c>
      <c r="Q2192">
        <f>IF(P2192="","",IFERROR(IF(AND(H2192="W7",OR(F2192="causal",F2192="predictive")),IF(AND(OR(K2192=1,K2192="1"),OR(L2192=1,L2192="1"),OR(M2192=1,M2192="1")),"adequate","partial"),IF(AND(H2192="W4",F2192="predictive",OR(J2192="P2",J2192="P3",J2192="P4")),IF(OR(U2192=1,U2192="1"),"adequate","partial"),INDEX(Fit_Matrix!$B:$B,MATCH(P2192,Fit_Matrix!$A:$A,0)))),"CHECK KEY"))</f>
        <v/>
      </c>
      <c r="U2192" s="10" t="n"/>
      <c r="V2192" s="10" t="n"/>
      <c r="W2192" s="10" t="n"/>
      <c r="X2192" s="10" t="n"/>
      <c r="Y2192" s="10" t="n"/>
      <c r="Z2192" s="10" t="n"/>
      <c r="AA2192" s="11">
        <f>IF(A2192="","",IF(AND(J2192="P4",F2192="causal"),"P4-CAUSAL",""))</f>
        <v/>
      </c>
    </row>
    <row r="2193" ht="15" customHeight="1" s="1">
      <c r="P2193">
        <f>IF(OR(F2193="",H2193="",J2193=""),"",J2193&amp;"|"&amp;F2193&amp;"|"&amp;IF(H2193="W3","W3_"&amp;IF(I2193="","unknown",I2193),H2193))</f>
        <v/>
      </c>
      <c r="Q2193">
        <f>IF(P2193="","",IFERROR(IF(AND(H2193="W7",OR(F2193="causal",F2193="predictive")),IF(AND(OR(K2193=1,K2193="1"),OR(L2193=1,L2193="1"),OR(M2193=1,M2193="1")),"adequate","partial"),IF(AND(H2193="W4",F2193="predictive",OR(J2193="P2",J2193="P3",J2193="P4")),IF(OR(U2193=1,U2193="1"),"adequate","partial"),INDEX(Fit_Matrix!$B:$B,MATCH(P2193,Fit_Matrix!$A:$A,0)))),"CHECK KEY"))</f>
        <v/>
      </c>
      <c r="U2193" s="10" t="n"/>
      <c r="V2193" s="10" t="n"/>
      <c r="W2193" s="10" t="n"/>
      <c r="X2193" s="10" t="n"/>
      <c r="Y2193" s="10" t="n"/>
      <c r="Z2193" s="10" t="n"/>
      <c r="AA2193" s="11">
        <f>IF(A2193="","",IF(AND(J2193="P4",F2193="causal"),"P4-CAUSAL",""))</f>
        <v/>
      </c>
    </row>
    <row r="2194" ht="15" customHeight="1" s="1">
      <c r="P2194">
        <f>IF(OR(F2194="",H2194="",J2194=""),"",J2194&amp;"|"&amp;F2194&amp;"|"&amp;IF(H2194="W3","W3_"&amp;IF(I2194="","unknown",I2194),H2194))</f>
        <v/>
      </c>
      <c r="Q2194">
        <f>IF(P2194="","",IFERROR(IF(AND(H2194="W7",OR(F2194="causal",F2194="predictive")),IF(AND(OR(K2194=1,K2194="1"),OR(L2194=1,L2194="1"),OR(M2194=1,M2194="1")),"adequate","partial"),IF(AND(H2194="W4",F2194="predictive",OR(J2194="P2",J2194="P3",J2194="P4")),IF(OR(U2194=1,U2194="1"),"adequate","partial"),INDEX(Fit_Matrix!$B:$B,MATCH(P2194,Fit_Matrix!$A:$A,0)))),"CHECK KEY"))</f>
        <v/>
      </c>
      <c r="U2194" s="10" t="n"/>
      <c r="V2194" s="10" t="n"/>
      <c r="W2194" s="10" t="n"/>
      <c r="X2194" s="10" t="n"/>
      <c r="Y2194" s="10" t="n"/>
      <c r="Z2194" s="10" t="n"/>
      <c r="AA2194" s="11">
        <f>IF(A2194="","",IF(AND(J2194="P4",F2194="causal"),"P4-CAUSAL",""))</f>
        <v/>
      </c>
    </row>
    <row r="2195" ht="15" customHeight="1" s="1">
      <c r="P2195">
        <f>IF(OR(F2195="",H2195="",J2195=""),"",J2195&amp;"|"&amp;F2195&amp;"|"&amp;IF(H2195="W3","W3_"&amp;IF(I2195="","unknown",I2195),H2195))</f>
        <v/>
      </c>
      <c r="Q2195">
        <f>IF(P2195="","",IFERROR(IF(AND(H2195="W7",OR(F2195="causal",F2195="predictive")),IF(AND(OR(K2195=1,K2195="1"),OR(L2195=1,L2195="1"),OR(M2195=1,M2195="1")),"adequate","partial"),IF(AND(H2195="W4",F2195="predictive",OR(J2195="P2",J2195="P3",J2195="P4")),IF(OR(U2195=1,U2195="1"),"adequate","partial"),INDEX(Fit_Matrix!$B:$B,MATCH(P2195,Fit_Matrix!$A:$A,0)))),"CHECK KEY"))</f>
        <v/>
      </c>
      <c r="U2195" s="10" t="n"/>
      <c r="V2195" s="10" t="n"/>
      <c r="W2195" s="10" t="n"/>
      <c r="X2195" s="10" t="n"/>
      <c r="Y2195" s="10" t="n"/>
      <c r="Z2195" s="10" t="n"/>
      <c r="AA2195" s="11">
        <f>IF(A2195="","",IF(AND(J2195="P4",F2195="causal"),"P4-CAUSAL",""))</f>
        <v/>
      </c>
    </row>
    <row r="2196" ht="15" customHeight="1" s="1">
      <c r="P2196">
        <f>IF(OR(F2196="",H2196="",J2196=""),"",J2196&amp;"|"&amp;F2196&amp;"|"&amp;IF(H2196="W3","W3_"&amp;IF(I2196="","unknown",I2196),H2196))</f>
        <v/>
      </c>
      <c r="Q2196">
        <f>IF(P2196="","",IFERROR(IF(AND(H2196="W7",OR(F2196="causal",F2196="predictive")),IF(AND(OR(K2196=1,K2196="1"),OR(L2196=1,L2196="1"),OR(M2196=1,M2196="1")),"adequate","partial"),IF(AND(H2196="W4",F2196="predictive",OR(J2196="P2",J2196="P3",J2196="P4")),IF(OR(U2196=1,U2196="1"),"adequate","partial"),INDEX(Fit_Matrix!$B:$B,MATCH(P2196,Fit_Matrix!$A:$A,0)))),"CHECK KEY"))</f>
        <v/>
      </c>
      <c r="U2196" s="10" t="n"/>
      <c r="V2196" s="10" t="n"/>
      <c r="W2196" s="10" t="n"/>
      <c r="X2196" s="10" t="n"/>
      <c r="Y2196" s="10" t="n"/>
      <c r="Z2196" s="10" t="n"/>
      <c r="AA2196" s="11">
        <f>IF(A2196="","",IF(AND(J2196="P4",F2196="causal"),"P4-CAUSAL",""))</f>
        <v/>
      </c>
    </row>
    <row r="2197" ht="15" customHeight="1" s="1">
      <c r="P2197">
        <f>IF(OR(F2197="",H2197="",J2197=""),"",J2197&amp;"|"&amp;F2197&amp;"|"&amp;IF(H2197="W3","W3_"&amp;IF(I2197="","unknown",I2197),H2197))</f>
        <v/>
      </c>
      <c r="Q2197">
        <f>IF(P2197="","",IFERROR(IF(AND(H2197="W7",OR(F2197="causal",F2197="predictive")),IF(AND(OR(K2197=1,K2197="1"),OR(L2197=1,L2197="1"),OR(M2197=1,M2197="1")),"adequate","partial"),IF(AND(H2197="W4",F2197="predictive",OR(J2197="P2",J2197="P3",J2197="P4")),IF(OR(U2197=1,U2197="1"),"adequate","partial"),INDEX(Fit_Matrix!$B:$B,MATCH(P2197,Fit_Matrix!$A:$A,0)))),"CHECK KEY"))</f>
        <v/>
      </c>
      <c r="U2197" s="10" t="n"/>
      <c r="V2197" s="10" t="n"/>
      <c r="W2197" s="10" t="n"/>
      <c r="X2197" s="10" t="n"/>
      <c r="Y2197" s="10" t="n"/>
      <c r="Z2197" s="10" t="n"/>
      <c r="AA2197" s="11">
        <f>IF(A2197="","",IF(AND(J2197="P4",F2197="causal"),"P4-CAUSAL",""))</f>
        <v/>
      </c>
    </row>
    <row r="2198" ht="15" customHeight="1" s="1">
      <c r="P2198">
        <f>IF(OR(F2198="",H2198="",J2198=""),"",J2198&amp;"|"&amp;F2198&amp;"|"&amp;IF(H2198="W3","W3_"&amp;IF(I2198="","unknown",I2198),H2198))</f>
        <v/>
      </c>
      <c r="Q2198">
        <f>IF(P2198="","",IFERROR(IF(AND(H2198="W7",OR(F2198="causal",F2198="predictive")),IF(AND(OR(K2198=1,K2198="1"),OR(L2198=1,L2198="1"),OR(M2198=1,M2198="1")),"adequate","partial"),IF(AND(H2198="W4",F2198="predictive",OR(J2198="P2",J2198="P3",J2198="P4")),IF(OR(U2198=1,U2198="1"),"adequate","partial"),INDEX(Fit_Matrix!$B:$B,MATCH(P2198,Fit_Matrix!$A:$A,0)))),"CHECK KEY"))</f>
        <v/>
      </c>
      <c r="U2198" s="10" t="n"/>
      <c r="V2198" s="10" t="n"/>
      <c r="W2198" s="10" t="n"/>
      <c r="X2198" s="10" t="n"/>
      <c r="Y2198" s="10" t="n"/>
      <c r="Z2198" s="10" t="n"/>
      <c r="AA2198" s="11">
        <f>IF(A2198="","",IF(AND(J2198="P4",F2198="causal"),"P4-CAUSAL",""))</f>
        <v/>
      </c>
    </row>
    <row r="2199" ht="15" customHeight="1" s="1">
      <c r="P2199">
        <f>IF(OR(F2199="",H2199="",J2199=""),"",J2199&amp;"|"&amp;F2199&amp;"|"&amp;IF(H2199="W3","W3_"&amp;IF(I2199="","unknown",I2199),H2199))</f>
        <v/>
      </c>
      <c r="Q2199">
        <f>IF(P2199="","",IFERROR(IF(AND(H2199="W7",OR(F2199="causal",F2199="predictive")),IF(AND(OR(K2199=1,K2199="1"),OR(L2199=1,L2199="1"),OR(M2199=1,M2199="1")),"adequate","partial"),IF(AND(H2199="W4",F2199="predictive",OR(J2199="P2",J2199="P3",J2199="P4")),IF(OR(U2199=1,U2199="1"),"adequate","partial"),INDEX(Fit_Matrix!$B:$B,MATCH(P2199,Fit_Matrix!$A:$A,0)))),"CHECK KEY"))</f>
        <v/>
      </c>
      <c r="U2199" s="10" t="n"/>
      <c r="V2199" s="10" t="n"/>
      <c r="W2199" s="10" t="n"/>
      <c r="X2199" s="10" t="n"/>
      <c r="Y2199" s="10" t="n"/>
      <c r="Z2199" s="10" t="n"/>
      <c r="AA2199" s="11">
        <f>IF(A2199="","",IF(AND(J2199="P4",F2199="causal"),"P4-CAUSAL",""))</f>
        <v/>
      </c>
    </row>
    <row r="2200" ht="15" customHeight="1" s="1">
      <c r="P2200">
        <f>IF(OR(F2200="",H2200="",J2200=""),"",J2200&amp;"|"&amp;F2200&amp;"|"&amp;IF(H2200="W3","W3_"&amp;IF(I2200="","unknown",I2200),H2200))</f>
        <v/>
      </c>
      <c r="Q2200">
        <f>IF(P2200="","",IFERROR(IF(AND(H2200="W7",OR(F2200="causal",F2200="predictive")),IF(AND(OR(K2200=1,K2200="1"),OR(L2200=1,L2200="1"),OR(M2200=1,M2200="1")),"adequate","partial"),IF(AND(H2200="W4",F2200="predictive",OR(J2200="P2",J2200="P3",J2200="P4")),IF(OR(U2200=1,U2200="1"),"adequate","partial"),INDEX(Fit_Matrix!$B:$B,MATCH(P2200,Fit_Matrix!$A:$A,0)))),"CHECK KEY"))</f>
        <v/>
      </c>
      <c r="U2200" s="10" t="n"/>
      <c r="V2200" s="10" t="n"/>
      <c r="W2200" s="10" t="n"/>
      <c r="X2200" s="10" t="n"/>
      <c r="Y2200" s="10" t="n"/>
      <c r="Z2200" s="10" t="n"/>
      <c r="AA2200" s="11">
        <f>IF(A2200="","",IF(AND(J2200="P4",F2200="causal"),"P4-CAUSAL",""))</f>
        <v/>
      </c>
    </row>
    <row r="2201" ht="15" customHeight="1" s="1">
      <c r="P2201">
        <f>IF(OR(F2201="",H2201="",J2201=""),"",J2201&amp;"|"&amp;F2201&amp;"|"&amp;IF(H2201="W3","W3_"&amp;IF(I2201="","unknown",I2201),H2201))</f>
        <v/>
      </c>
      <c r="Q2201">
        <f>IF(P2201="","",IFERROR(IF(AND(H2201="W7",OR(F2201="causal",F2201="predictive")),IF(AND(OR(K2201=1,K2201="1"),OR(L2201=1,L2201="1"),OR(M2201=1,M2201="1")),"adequate","partial"),IF(AND(H2201="W4",F2201="predictive",OR(J2201="P2",J2201="P3",J2201="P4")),IF(OR(U2201=1,U2201="1"),"adequate","partial"),INDEX(Fit_Matrix!$B:$B,MATCH(P2201,Fit_Matrix!$A:$A,0)))),"CHECK KEY"))</f>
        <v/>
      </c>
      <c r="U2201" s="10" t="n"/>
      <c r="V2201" s="10" t="n"/>
      <c r="W2201" s="10" t="n"/>
      <c r="X2201" s="10" t="n"/>
      <c r="Y2201" s="10" t="n"/>
      <c r="Z2201" s="10" t="n"/>
      <c r="AA2201" s="11">
        <f>IF(A2201="","",IF(AND(J2201="P4",F2201="causal"),"P4-CAUSAL",""))</f>
        <v/>
      </c>
    </row>
    <row r="2202" ht="15" customHeight="1" s="1">
      <c r="P2202">
        <f>IF(OR(F2202="",H2202="",J2202=""),"",J2202&amp;"|"&amp;F2202&amp;"|"&amp;IF(H2202="W3","W3_"&amp;IF(I2202="","unknown",I2202),H2202))</f>
        <v/>
      </c>
      <c r="Q2202">
        <f>IF(P2202="","",IFERROR(IF(AND(H2202="W7",OR(F2202="causal",F2202="predictive")),IF(AND(OR(K2202=1,K2202="1"),OR(L2202=1,L2202="1"),OR(M2202=1,M2202="1")),"adequate","partial"),IF(AND(H2202="W4",F2202="predictive",OR(J2202="P2",J2202="P3",J2202="P4")),IF(OR(U2202=1,U2202="1"),"adequate","partial"),INDEX(Fit_Matrix!$B:$B,MATCH(P2202,Fit_Matrix!$A:$A,0)))),"CHECK KEY"))</f>
        <v/>
      </c>
      <c r="U2202" s="10" t="n"/>
      <c r="V2202" s="10" t="n"/>
      <c r="W2202" s="10" t="n"/>
      <c r="X2202" s="10" t="n"/>
      <c r="Y2202" s="10" t="n"/>
      <c r="Z2202" s="10" t="n"/>
      <c r="AA2202" s="11">
        <f>IF(A2202="","",IF(AND(J2202="P4",F2202="causal"),"P4-CAUSAL",""))</f>
        <v/>
      </c>
    </row>
    <row r="2203" ht="15" customHeight="1" s="1">
      <c r="P2203">
        <f>IF(OR(F2203="",H2203="",J2203=""),"",J2203&amp;"|"&amp;F2203&amp;"|"&amp;IF(H2203="W3","W3_"&amp;IF(I2203="","unknown",I2203),H2203))</f>
        <v/>
      </c>
      <c r="Q2203">
        <f>IF(P2203="","",IFERROR(IF(AND(H2203="W7",OR(F2203="causal",F2203="predictive")),IF(AND(OR(K2203=1,K2203="1"),OR(L2203=1,L2203="1"),OR(M2203=1,M2203="1")),"adequate","partial"),IF(AND(H2203="W4",F2203="predictive",OR(J2203="P2",J2203="P3",J2203="P4")),IF(OR(U2203=1,U2203="1"),"adequate","partial"),INDEX(Fit_Matrix!$B:$B,MATCH(P2203,Fit_Matrix!$A:$A,0)))),"CHECK KEY"))</f>
        <v/>
      </c>
      <c r="U2203" s="10" t="n"/>
      <c r="V2203" s="10" t="n"/>
      <c r="W2203" s="10" t="n"/>
      <c r="X2203" s="10" t="n"/>
      <c r="Y2203" s="10" t="n"/>
      <c r="Z2203" s="10" t="n"/>
      <c r="AA2203" s="11">
        <f>IF(A2203="","",IF(AND(J2203="P4",F2203="causal"),"P4-CAUSAL",""))</f>
        <v/>
      </c>
    </row>
    <row r="2204" ht="15" customHeight="1" s="1">
      <c r="P2204">
        <f>IF(OR(F2204="",H2204="",J2204=""),"",J2204&amp;"|"&amp;F2204&amp;"|"&amp;IF(H2204="W3","W3_"&amp;IF(I2204="","unknown",I2204),H2204))</f>
        <v/>
      </c>
      <c r="Q2204">
        <f>IF(P2204="","",IFERROR(IF(AND(H2204="W7",OR(F2204="causal",F2204="predictive")),IF(AND(OR(K2204=1,K2204="1"),OR(L2204=1,L2204="1"),OR(M2204=1,M2204="1")),"adequate","partial"),IF(AND(H2204="W4",F2204="predictive",OR(J2204="P2",J2204="P3",J2204="P4")),IF(OR(U2204=1,U2204="1"),"adequate","partial"),INDEX(Fit_Matrix!$B:$B,MATCH(P2204,Fit_Matrix!$A:$A,0)))),"CHECK KEY"))</f>
        <v/>
      </c>
      <c r="U2204" s="10" t="n"/>
      <c r="V2204" s="10" t="n"/>
      <c r="W2204" s="10" t="n"/>
      <c r="X2204" s="10" t="n"/>
      <c r="Y2204" s="10" t="n"/>
      <c r="Z2204" s="10" t="n"/>
      <c r="AA2204" s="11">
        <f>IF(A2204="","",IF(AND(J2204="P4",F2204="causal"),"P4-CAUSAL",""))</f>
        <v/>
      </c>
    </row>
    <row r="2205" ht="15" customHeight="1" s="1">
      <c r="P2205">
        <f>IF(OR(F2205="",H2205="",J2205=""),"",J2205&amp;"|"&amp;F2205&amp;"|"&amp;IF(H2205="W3","W3_"&amp;IF(I2205="","unknown",I2205),H2205))</f>
        <v/>
      </c>
      <c r="Q2205">
        <f>IF(P2205="","",IFERROR(IF(AND(H2205="W7",OR(F2205="causal",F2205="predictive")),IF(AND(OR(K2205=1,K2205="1"),OR(L2205=1,L2205="1"),OR(M2205=1,M2205="1")),"adequate","partial"),IF(AND(H2205="W4",F2205="predictive",OR(J2205="P2",J2205="P3",J2205="P4")),IF(OR(U2205=1,U2205="1"),"adequate","partial"),INDEX(Fit_Matrix!$B:$B,MATCH(P2205,Fit_Matrix!$A:$A,0)))),"CHECK KEY"))</f>
        <v/>
      </c>
      <c r="U2205" s="10" t="n"/>
      <c r="V2205" s="10" t="n"/>
      <c r="W2205" s="10" t="n"/>
      <c r="X2205" s="10" t="n"/>
      <c r="Y2205" s="10" t="n"/>
      <c r="Z2205" s="10" t="n"/>
      <c r="AA2205" s="11">
        <f>IF(A2205="","",IF(AND(J2205="P4",F2205="causal"),"P4-CAUSAL",""))</f>
        <v/>
      </c>
    </row>
    <row r="2206" ht="15" customHeight="1" s="1">
      <c r="P2206">
        <f>IF(OR(F2206="",H2206="",J2206=""),"",J2206&amp;"|"&amp;F2206&amp;"|"&amp;IF(H2206="W3","W3_"&amp;IF(I2206="","unknown",I2206),H2206))</f>
        <v/>
      </c>
      <c r="Q2206">
        <f>IF(P2206="","",IFERROR(IF(AND(H2206="W7",OR(F2206="causal",F2206="predictive")),IF(AND(OR(K2206=1,K2206="1"),OR(L2206=1,L2206="1"),OR(M2206=1,M2206="1")),"adequate","partial"),IF(AND(H2206="W4",F2206="predictive",OR(J2206="P2",J2206="P3",J2206="P4")),IF(OR(U2206=1,U2206="1"),"adequate","partial"),INDEX(Fit_Matrix!$B:$B,MATCH(P2206,Fit_Matrix!$A:$A,0)))),"CHECK KEY"))</f>
        <v/>
      </c>
      <c r="U2206" s="10" t="n"/>
      <c r="V2206" s="10" t="n"/>
      <c r="W2206" s="10" t="n"/>
      <c r="X2206" s="10" t="n"/>
      <c r="Y2206" s="10" t="n"/>
      <c r="Z2206" s="10" t="n"/>
      <c r="AA2206" s="11">
        <f>IF(A2206="","",IF(AND(J2206="P4",F2206="causal"),"P4-CAUSAL",""))</f>
        <v/>
      </c>
    </row>
    <row r="2207" ht="15" customHeight="1" s="1">
      <c r="P2207">
        <f>IF(OR(F2207="",H2207="",J2207=""),"",J2207&amp;"|"&amp;F2207&amp;"|"&amp;IF(H2207="W3","W3_"&amp;IF(I2207="","unknown",I2207),H2207))</f>
        <v/>
      </c>
      <c r="Q2207">
        <f>IF(P2207="","",IFERROR(IF(AND(H2207="W7",OR(F2207="causal",F2207="predictive")),IF(AND(OR(K2207=1,K2207="1"),OR(L2207=1,L2207="1"),OR(M2207=1,M2207="1")),"adequate","partial"),IF(AND(H2207="W4",F2207="predictive",OR(J2207="P2",J2207="P3",J2207="P4")),IF(OR(U2207=1,U2207="1"),"adequate","partial"),INDEX(Fit_Matrix!$B:$B,MATCH(P2207,Fit_Matrix!$A:$A,0)))),"CHECK KEY"))</f>
        <v/>
      </c>
      <c r="U2207" s="10" t="n"/>
      <c r="V2207" s="10" t="n"/>
      <c r="W2207" s="10" t="n"/>
      <c r="X2207" s="10" t="n"/>
      <c r="Y2207" s="10" t="n"/>
      <c r="Z2207" s="10" t="n"/>
      <c r="AA2207" s="11">
        <f>IF(A2207="","",IF(AND(J2207="P4",F2207="causal"),"P4-CAUSAL",""))</f>
        <v/>
      </c>
    </row>
    <row r="2208" ht="15" customHeight="1" s="1">
      <c r="P2208">
        <f>IF(OR(F2208="",H2208="",J2208=""),"",J2208&amp;"|"&amp;F2208&amp;"|"&amp;IF(H2208="W3","W3_"&amp;IF(I2208="","unknown",I2208),H2208))</f>
        <v/>
      </c>
      <c r="Q2208">
        <f>IF(P2208="","",IFERROR(IF(AND(H2208="W7",OR(F2208="causal",F2208="predictive")),IF(AND(OR(K2208=1,K2208="1"),OR(L2208=1,L2208="1"),OR(M2208=1,M2208="1")),"adequate","partial"),IF(AND(H2208="W4",F2208="predictive",OR(J2208="P2",J2208="P3",J2208="P4")),IF(OR(U2208=1,U2208="1"),"adequate","partial"),INDEX(Fit_Matrix!$B:$B,MATCH(P2208,Fit_Matrix!$A:$A,0)))),"CHECK KEY"))</f>
        <v/>
      </c>
      <c r="U2208" s="10" t="n"/>
      <c r="V2208" s="10" t="n"/>
      <c r="W2208" s="10" t="n"/>
      <c r="X2208" s="10" t="n"/>
      <c r="Y2208" s="10" t="n"/>
      <c r="Z2208" s="10" t="n"/>
      <c r="AA2208" s="11">
        <f>IF(A2208="","",IF(AND(J2208="P4",F2208="causal"),"P4-CAUSAL",""))</f>
        <v/>
      </c>
    </row>
    <row r="2209" ht="15" customHeight="1" s="1">
      <c r="P2209">
        <f>IF(OR(F2209="",H2209="",J2209=""),"",J2209&amp;"|"&amp;F2209&amp;"|"&amp;IF(H2209="W3","W3_"&amp;IF(I2209="","unknown",I2209),H2209))</f>
        <v/>
      </c>
      <c r="Q2209">
        <f>IF(P2209="","",IFERROR(IF(AND(H2209="W7",OR(F2209="causal",F2209="predictive")),IF(AND(OR(K2209=1,K2209="1"),OR(L2209=1,L2209="1"),OR(M2209=1,M2209="1")),"adequate","partial"),IF(AND(H2209="W4",F2209="predictive",OR(J2209="P2",J2209="P3",J2209="P4")),IF(OR(U2209=1,U2209="1"),"adequate","partial"),INDEX(Fit_Matrix!$B:$B,MATCH(P2209,Fit_Matrix!$A:$A,0)))),"CHECK KEY"))</f>
        <v/>
      </c>
      <c r="U2209" s="10" t="n"/>
      <c r="V2209" s="10" t="n"/>
      <c r="W2209" s="10" t="n"/>
      <c r="X2209" s="10" t="n"/>
      <c r="Y2209" s="10" t="n"/>
      <c r="Z2209" s="10" t="n"/>
      <c r="AA2209" s="11">
        <f>IF(A2209="","",IF(AND(J2209="P4",F2209="causal"),"P4-CAUSAL",""))</f>
        <v/>
      </c>
    </row>
    <row r="2210" ht="15" customHeight="1" s="1">
      <c r="P2210">
        <f>IF(OR(F2210="",H2210="",J2210=""),"",J2210&amp;"|"&amp;F2210&amp;"|"&amp;IF(H2210="W3","W3_"&amp;IF(I2210="","unknown",I2210),H2210))</f>
        <v/>
      </c>
      <c r="Q2210">
        <f>IF(P2210="","",IFERROR(IF(AND(H2210="W7",OR(F2210="causal",F2210="predictive")),IF(AND(OR(K2210=1,K2210="1"),OR(L2210=1,L2210="1"),OR(M2210=1,M2210="1")),"adequate","partial"),IF(AND(H2210="W4",F2210="predictive",OR(J2210="P2",J2210="P3",J2210="P4")),IF(OR(U2210=1,U2210="1"),"adequate","partial"),INDEX(Fit_Matrix!$B:$B,MATCH(P2210,Fit_Matrix!$A:$A,0)))),"CHECK KEY"))</f>
        <v/>
      </c>
      <c r="U2210" s="10" t="n"/>
      <c r="V2210" s="10" t="n"/>
      <c r="W2210" s="10" t="n"/>
      <c r="X2210" s="10" t="n"/>
      <c r="Y2210" s="10" t="n"/>
      <c r="Z2210" s="10" t="n"/>
      <c r="AA2210" s="11">
        <f>IF(A2210="","",IF(AND(J2210="P4",F2210="causal"),"P4-CAUSAL",""))</f>
        <v/>
      </c>
    </row>
    <row r="2211" ht="15" customHeight="1" s="1">
      <c r="P2211">
        <f>IF(OR(F2211="",H2211="",J2211=""),"",J2211&amp;"|"&amp;F2211&amp;"|"&amp;IF(H2211="W3","W3_"&amp;IF(I2211="","unknown",I2211),H2211))</f>
        <v/>
      </c>
      <c r="Q2211">
        <f>IF(P2211="","",IFERROR(IF(AND(H2211="W7",OR(F2211="causal",F2211="predictive")),IF(AND(OR(K2211=1,K2211="1"),OR(L2211=1,L2211="1"),OR(M2211=1,M2211="1")),"adequate","partial"),IF(AND(H2211="W4",F2211="predictive",OR(J2211="P2",J2211="P3",J2211="P4")),IF(OR(U2211=1,U2211="1"),"adequate","partial"),INDEX(Fit_Matrix!$B:$B,MATCH(P2211,Fit_Matrix!$A:$A,0)))),"CHECK KEY"))</f>
        <v/>
      </c>
      <c r="U2211" s="10" t="n"/>
      <c r="V2211" s="10" t="n"/>
      <c r="W2211" s="10" t="n"/>
      <c r="X2211" s="10" t="n"/>
      <c r="Y2211" s="10" t="n"/>
      <c r="Z2211" s="10" t="n"/>
      <c r="AA2211" s="11">
        <f>IF(A2211="","",IF(AND(J2211="P4",F2211="causal"),"P4-CAUSAL",""))</f>
        <v/>
      </c>
    </row>
    <row r="2212" ht="15" customHeight="1" s="1">
      <c r="P2212">
        <f>IF(OR(F2212="",H2212="",J2212=""),"",J2212&amp;"|"&amp;F2212&amp;"|"&amp;IF(H2212="W3","W3_"&amp;IF(I2212="","unknown",I2212),H2212))</f>
        <v/>
      </c>
      <c r="Q2212">
        <f>IF(P2212="","",IFERROR(IF(AND(H2212="W7",OR(F2212="causal",F2212="predictive")),IF(AND(OR(K2212=1,K2212="1"),OR(L2212=1,L2212="1"),OR(M2212=1,M2212="1")),"adequate","partial"),IF(AND(H2212="W4",F2212="predictive",OR(J2212="P2",J2212="P3",J2212="P4")),IF(OR(U2212=1,U2212="1"),"adequate","partial"),INDEX(Fit_Matrix!$B:$B,MATCH(P2212,Fit_Matrix!$A:$A,0)))),"CHECK KEY"))</f>
        <v/>
      </c>
      <c r="U2212" s="10" t="n"/>
      <c r="V2212" s="10" t="n"/>
      <c r="W2212" s="10" t="n"/>
      <c r="X2212" s="10" t="n"/>
      <c r="Y2212" s="10" t="n"/>
      <c r="Z2212" s="10" t="n"/>
      <c r="AA2212" s="11">
        <f>IF(A2212="","",IF(AND(J2212="P4",F2212="causal"),"P4-CAUSAL",""))</f>
        <v/>
      </c>
    </row>
    <row r="2213" ht="15" customHeight="1" s="1">
      <c r="P2213">
        <f>IF(OR(F2213="",H2213="",J2213=""),"",J2213&amp;"|"&amp;F2213&amp;"|"&amp;IF(H2213="W3","W3_"&amp;IF(I2213="","unknown",I2213),H2213))</f>
        <v/>
      </c>
      <c r="Q2213">
        <f>IF(P2213="","",IFERROR(IF(AND(H2213="W7",OR(F2213="causal",F2213="predictive")),IF(AND(OR(K2213=1,K2213="1"),OR(L2213=1,L2213="1"),OR(M2213=1,M2213="1")),"adequate","partial"),IF(AND(H2213="W4",F2213="predictive",OR(J2213="P2",J2213="P3",J2213="P4")),IF(OR(U2213=1,U2213="1"),"adequate","partial"),INDEX(Fit_Matrix!$B:$B,MATCH(P2213,Fit_Matrix!$A:$A,0)))),"CHECK KEY"))</f>
        <v/>
      </c>
      <c r="U2213" s="10" t="n"/>
      <c r="V2213" s="10" t="n"/>
      <c r="W2213" s="10" t="n"/>
      <c r="X2213" s="10" t="n"/>
      <c r="Y2213" s="10" t="n"/>
      <c r="Z2213" s="10" t="n"/>
      <c r="AA2213" s="11">
        <f>IF(A2213="","",IF(AND(J2213="P4",F2213="causal"),"P4-CAUSAL",""))</f>
        <v/>
      </c>
    </row>
    <row r="2214" ht="15" customHeight="1" s="1">
      <c r="P2214">
        <f>IF(OR(F2214="",H2214="",J2214=""),"",J2214&amp;"|"&amp;F2214&amp;"|"&amp;IF(H2214="W3","W3_"&amp;IF(I2214="","unknown",I2214),H2214))</f>
        <v/>
      </c>
      <c r="Q2214">
        <f>IF(P2214="","",IFERROR(IF(AND(H2214="W7",OR(F2214="causal",F2214="predictive")),IF(AND(OR(K2214=1,K2214="1"),OR(L2214=1,L2214="1"),OR(M2214=1,M2214="1")),"adequate","partial"),IF(AND(H2214="W4",F2214="predictive",OR(J2214="P2",J2214="P3",J2214="P4")),IF(OR(U2214=1,U2214="1"),"adequate","partial"),INDEX(Fit_Matrix!$B:$B,MATCH(P2214,Fit_Matrix!$A:$A,0)))),"CHECK KEY"))</f>
        <v/>
      </c>
      <c r="U2214" s="10" t="n"/>
      <c r="V2214" s="10" t="n"/>
      <c r="W2214" s="10" t="n"/>
      <c r="X2214" s="10" t="n"/>
      <c r="Y2214" s="10" t="n"/>
      <c r="Z2214" s="10" t="n"/>
      <c r="AA2214" s="11">
        <f>IF(A2214="","",IF(AND(J2214="P4",F2214="causal"),"P4-CAUSAL",""))</f>
        <v/>
      </c>
    </row>
    <row r="2215" ht="15" customHeight="1" s="1">
      <c r="P2215">
        <f>IF(OR(F2215="",H2215="",J2215=""),"",J2215&amp;"|"&amp;F2215&amp;"|"&amp;IF(H2215="W3","W3_"&amp;IF(I2215="","unknown",I2215),H2215))</f>
        <v/>
      </c>
      <c r="Q2215">
        <f>IF(P2215="","",IFERROR(IF(AND(H2215="W7",OR(F2215="causal",F2215="predictive")),IF(AND(OR(K2215=1,K2215="1"),OR(L2215=1,L2215="1"),OR(M2215=1,M2215="1")),"adequate","partial"),IF(AND(H2215="W4",F2215="predictive",OR(J2215="P2",J2215="P3",J2215="P4")),IF(OR(U2215=1,U2215="1"),"adequate","partial"),INDEX(Fit_Matrix!$B:$B,MATCH(P2215,Fit_Matrix!$A:$A,0)))),"CHECK KEY"))</f>
        <v/>
      </c>
      <c r="U2215" s="10" t="n"/>
      <c r="V2215" s="10" t="n"/>
      <c r="W2215" s="10" t="n"/>
      <c r="X2215" s="10" t="n"/>
      <c r="Y2215" s="10" t="n"/>
      <c r="Z2215" s="10" t="n"/>
      <c r="AA2215" s="11">
        <f>IF(A2215="","",IF(AND(J2215="P4",F2215="causal"),"P4-CAUSAL",""))</f>
        <v/>
      </c>
    </row>
    <row r="2216" ht="15" customHeight="1" s="1">
      <c r="P2216">
        <f>IF(OR(F2216="",H2216="",J2216=""),"",J2216&amp;"|"&amp;F2216&amp;"|"&amp;IF(H2216="W3","W3_"&amp;IF(I2216="","unknown",I2216),H2216))</f>
        <v/>
      </c>
      <c r="Q2216">
        <f>IF(P2216="","",IFERROR(IF(AND(H2216="W7",OR(F2216="causal",F2216="predictive")),IF(AND(OR(K2216=1,K2216="1"),OR(L2216=1,L2216="1"),OR(M2216=1,M2216="1")),"adequate","partial"),IF(AND(H2216="W4",F2216="predictive",OR(J2216="P2",J2216="P3",J2216="P4")),IF(OR(U2216=1,U2216="1"),"adequate","partial"),INDEX(Fit_Matrix!$B:$B,MATCH(P2216,Fit_Matrix!$A:$A,0)))),"CHECK KEY"))</f>
        <v/>
      </c>
      <c r="U2216" s="10" t="n"/>
      <c r="V2216" s="10" t="n"/>
      <c r="W2216" s="10" t="n"/>
      <c r="X2216" s="10" t="n"/>
      <c r="Y2216" s="10" t="n"/>
      <c r="Z2216" s="10" t="n"/>
      <c r="AA2216" s="11">
        <f>IF(A2216="","",IF(AND(J2216="P4",F2216="causal"),"P4-CAUSAL",""))</f>
        <v/>
      </c>
    </row>
    <row r="2217" ht="15" customHeight="1" s="1">
      <c r="P2217">
        <f>IF(OR(F2217="",H2217="",J2217=""),"",J2217&amp;"|"&amp;F2217&amp;"|"&amp;IF(H2217="W3","W3_"&amp;IF(I2217="","unknown",I2217),H2217))</f>
        <v/>
      </c>
      <c r="Q2217">
        <f>IF(P2217="","",IFERROR(IF(AND(H2217="W7",OR(F2217="causal",F2217="predictive")),IF(AND(OR(K2217=1,K2217="1"),OR(L2217=1,L2217="1"),OR(M2217=1,M2217="1")),"adequate","partial"),IF(AND(H2217="W4",F2217="predictive",OR(J2217="P2",J2217="P3",J2217="P4")),IF(OR(U2217=1,U2217="1"),"adequate","partial"),INDEX(Fit_Matrix!$B:$B,MATCH(P2217,Fit_Matrix!$A:$A,0)))),"CHECK KEY"))</f>
        <v/>
      </c>
      <c r="U2217" s="10" t="n"/>
      <c r="V2217" s="10" t="n"/>
      <c r="W2217" s="10" t="n"/>
      <c r="X2217" s="10" t="n"/>
      <c r="Y2217" s="10" t="n"/>
      <c r="Z2217" s="10" t="n"/>
      <c r="AA2217" s="11">
        <f>IF(A2217="","",IF(AND(J2217="P4",F2217="causal"),"P4-CAUSAL",""))</f>
        <v/>
      </c>
    </row>
    <row r="2218" ht="15" customHeight="1" s="1">
      <c r="P2218">
        <f>IF(OR(F2218="",H2218="",J2218=""),"",J2218&amp;"|"&amp;F2218&amp;"|"&amp;IF(H2218="W3","W3_"&amp;IF(I2218="","unknown",I2218),H2218))</f>
        <v/>
      </c>
      <c r="Q2218">
        <f>IF(P2218="","",IFERROR(IF(AND(H2218="W7",OR(F2218="causal",F2218="predictive")),IF(AND(OR(K2218=1,K2218="1"),OR(L2218=1,L2218="1"),OR(M2218=1,M2218="1")),"adequate","partial"),IF(AND(H2218="W4",F2218="predictive",OR(J2218="P2",J2218="P3",J2218="P4")),IF(OR(U2218=1,U2218="1"),"adequate","partial"),INDEX(Fit_Matrix!$B:$B,MATCH(P2218,Fit_Matrix!$A:$A,0)))),"CHECK KEY"))</f>
        <v/>
      </c>
      <c r="U2218" s="10" t="n"/>
      <c r="V2218" s="10" t="n"/>
      <c r="W2218" s="10" t="n"/>
      <c r="X2218" s="10" t="n"/>
      <c r="Y2218" s="10" t="n"/>
      <c r="Z2218" s="10" t="n"/>
      <c r="AA2218" s="11">
        <f>IF(A2218="","",IF(AND(J2218="P4",F2218="causal"),"P4-CAUSAL",""))</f>
        <v/>
      </c>
    </row>
    <row r="2219" ht="15" customHeight="1" s="1">
      <c r="P2219">
        <f>IF(OR(F2219="",H2219="",J2219=""),"",J2219&amp;"|"&amp;F2219&amp;"|"&amp;IF(H2219="W3","W3_"&amp;IF(I2219="","unknown",I2219),H2219))</f>
        <v/>
      </c>
      <c r="Q2219">
        <f>IF(P2219="","",IFERROR(IF(AND(H2219="W7",OR(F2219="causal",F2219="predictive")),IF(AND(OR(K2219=1,K2219="1"),OR(L2219=1,L2219="1"),OR(M2219=1,M2219="1")),"adequate","partial"),IF(AND(H2219="W4",F2219="predictive",OR(J2219="P2",J2219="P3",J2219="P4")),IF(OR(U2219=1,U2219="1"),"adequate","partial"),INDEX(Fit_Matrix!$B:$B,MATCH(P2219,Fit_Matrix!$A:$A,0)))),"CHECK KEY"))</f>
        <v/>
      </c>
      <c r="U2219" s="10" t="n"/>
      <c r="V2219" s="10" t="n"/>
      <c r="W2219" s="10" t="n"/>
      <c r="X2219" s="10" t="n"/>
      <c r="Y2219" s="10" t="n"/>
      <c r="Z2219" s="10" t="n"/>
      <c r="AA2219" s="11">
        <f>IF(A2219="","",IF(AND(J2219="P4",F2219="causal"),"P4-CAUSAL",""))</f>
        <v/>
      </c>
    </row>
    <row r="2220" ht="15" customHeight="1" s="1">
      <c r="P2220">
        <f>IF(OR(F2220="",H2220="",J2220=""),"",J2220&amp;"|"&amp;F2220&amp;"|"&amp;IF(H2220="W3","W3_"&amp;IF(I2220="","unknown",I2220),H2220))</f>
        <v/>
      </c>
      <c r="Q2220">
        <f>IF(P2220="","",IFERROR(IF(AND(H2220="W7",OR(F2220="causal",F2220="predictive")),IF(AND(OR(K2220=1,K2220="1"),OR(L2220=1,L2220="1"),OR(M2220=1,M2220="1")),"adequate","partial"),IF(AND(H2220="W4",F2220="predictive",OR(J2220="P2",J2220="P3",J2220="P4")),IF(OR(U2220=1,U2220="1"),"adequate","partial"),INDEX(Fit_Matrix!$B:$B,MATCH(P2220,Fit_Matrix!$A:$A,0)))),"CHECK KEY"))</f>
        <v/>
      </c>
      <c r="U2220" s="10" t="n"/>
      <c r="V2220" s="10" t="n"/>
      <c r="W2220" s="10" t="n"/>
      <c r="X2220" s="10" t="n"/>
      <c r="Y2220" s="10" t="n"/>
      <c r="Z2220" s="10" t="n"/>
      <c r="AA2220" s="11">
        <f>IF(A2220="","",IF(AND(J2220="P4",F2220="causal"),"P4-CAUSAL",""))</f>
        <v/>
      </c>
    </row>
    <row r="2221" ht="15" customHeight="1" s="1">
      <c r="P2221">
        <f>IF(OR(F2221="",H2221="",J2221=""),"",J2221&amp;"|"&amp;F2221&amp;"|"&amp;IF(H2221="W3","W3_"&amp;IF(I2221="","unknown",I2221),H2221))</f>
        <v/>
      </c>
      <c r="Q2221">
        <f>IF(P2221="","",IFERROR(IF(AND(H2221="W7",OR(F2221="causal",F2221="predictive")),IF(AND(OR(K2221=1,K2221="1"),OR(L2221=1,L2221="1"),OR(M2221=1,M2221="1")),"adequate","partial"),IF(AND(H2221="W4",F2221="predictive",OR(J2221="P2",J2221="P3",J2221="P4")),IF(OR(U2221=1,U2221="1"),"adequate","partial"),INDEX(Fit_Matrix!$B:$B,MATCH(P2221,Fit_Matrix!$A:$A,0)))),"CHECK KEY"))</f>
        <v/>
      </c>
      <c r="U2221" s="10" t="n"/>
      <c r="V2221" s="10" t="n"/>
      <c r="W2221" s="10" t="n"/>
      <c r="X2221" s="10" t="n"/>
      <c r="Y2221" s="10" t="n"/>
      <c r="Z2221" s="10" t="n"/>
      <c r="AA2221" s="11">
        <f>IF(A2221="","",IF(AND(J2221="P4",F2221="causal"),"P4-CAUSAL",""))</f>
        <v/>
      </c>
    </row>
    <row r="2222" ht="15" customHeight="1" s="1">
      <c r="P2222">
        <f>IF(OR(F2222="",H2222="",J2222=""),"",J2222&amp;"|"&amp;F2222&amp;"|"&amp;IF(H2222="W3","W3_"&amp;IF(I2222="","unknown",I2222),H2222))</f>
        <v/>
      </c>
      <c r="Q2222">
        <f>IF(P2222="","",IFERROR(IF(AND(H2222="W7",OR(F2222="causal",F2222="predictive")),IF(AND(OR(K2222=1,K2222="1"),OR(L2222=1,L2222="1"),OR(M2222=1,M2222="1")),"adequate","partial"),IF(AND(H2222="W4",F2222="predictive",OR(J2222="P2",J2222="P3",J2222="P4")),IF(OR(U2222=1,U2222="1"),"adequate","partial"),INDEX(Fit_Matrix!$B:$B,MATCH(P2222,Fit_Matrix!$A:$A,0)))),"CHECK KEY"))</f>
        <v/>
      </c>
      <c r="U2222" s="10" t="n"/>
      <c r="V2222" s="10" t="n"/>
      <c r="W2222" s="10" t="n"/>
      <c r="X2222" s="10" t="n"/>
      <c r="Y2222" s="10" t="n"/>
      <c r="Z2222" s="10" t="n"/>
      <c r="AA2222" s="11">
        <f>IF(A2222="","",IF(AND(J2222="P4",F2222="causal"),"P4-CAUSAL",""))</f>
        <v/>
      </c>
    </row>
    <row r="2223" ht="15" customHeight="1" s="1">
      <c r="P2223">
        <f>IF(OR(F2223="",H2223="",J2223=""),"",J2223&amp;"|"&amp;F2223&amp;"|"&amp;IF(H2223="W3","W3_"&amp;IF(I2223="","unknown",I2223),H2223))</f>
        <v/>
      </c>
      <c r="Q2223">
        <f>IF(P2223="","",IFERROR(IF(AND(H2223="W7",OR(F2223="causal",F2223="predictive")),IF(AND(OR(K2223=1,K2223="1"),OR(L2223=1,L2223="1"),OR(M2223=1,M2223="1")),"adequate","partial"),IF(AND(H2223="W4",F2223="predictive",OR(J2223="P2",J2223="P3",J2223="P4")),IF(OR(U2223=1,U2223="1"),"adequate","partial"),INDEX(Fit_Matrix!$B:$B,MATCH(P2223,Fit_Matrix!$A:$A,0)))),"CHECK KEY"))</f>
        <v/>
      </c>
      <c r="U2223" s="10" t="n"/>
      <c r="V2223" s="10" t="n"/>
      <c r="W2223" s="10" t="n"/>
      <c r="X2223" s="10" t="n"/>
      <c r="Y2223" s="10" t="n"/>
      <c r="Z2223" s="10" t="n"/>
      <c r="AA2223" s="11">
        <f>IF(A2223="","",IF(AND(J2223="P4",F2223="causal"),"P4-CAUSAL",""))</f>
        <v/>
      </c>
    </row>
    <row r="2224" ht="15" customHeight="1" s="1">
      <c r="P2224">
        <f>IF(OR(F2224="",H2224="",J2224=""),"",J2224&amp;"|"&amp;F2224&amp;"|"&amp;IF(H2224="W3","W3_"&amp;IF(I2224="","unknown",I2224),H2224))</f>
        <v/>
      </c>
      <c r="Q2224">
        <f>IF(P2224="","",IFERROR(IF(AND(H2224="W7",OR(F2224="causal",F2224="predictive")),IF(AND(OR(K2224=1,K2224="1"),OR(L2224=1,L2224="1"),OR(M2224=1,M2224="1")),"adequate","partial"),IF(AND(H2224="W4",F2224="predictive",OR(J2224="P2",J2224="P3",J2224="P4")),IF(OR(U2224=1,U2224="1"),"adequate","partial"),INDEX(Fit_Matrix!$B:$B,MATCH(P2224,Fit_Matrix!$A:$A,0)))),"CHECK KEY"))</f>
        <v/>
      </c>
      <c r="U2224" s="10" t="n"/>
      <c r="V2224" s="10" t="n"/>
      <c r="W2224" s="10" t="n"/>
      <c r="X2224" s="10" t="n"/>
      <c r="Y2224" s="10" t="n"/>
      <c r="Z2224" s="10" t="n"/>
      <c r="AA2224" s="11">
        <f>IF(A2224="","",IF(AND(J2224="P4",F2224="causal"),"P4-CAUSAL",""))</f>
        <v/>
      </c>
    </row>
    <row r="2225" ht="15" customHeight="1" s="1">
      <c r="P2225">
        <f>IF(OR(F2225="",H2225="",J2225=""),"",J2225&amp;"|"&amp;F2225&amp;"|"&amp;IF(H2225="W3","W3_"&amp;IF(I2225="","unknown",I2225),H2225))</f>
        <v/>
      </c>
      <c r="Q2225">
        <f>IF(P2225="","",IFERROR(IF(AND(H2225="W7",OR(F2225="causal",F2225="predictive")),IF(AND(OR(K2225=1,K2225="1"),OR(L2225=1,L2225="1"),OR(M2225=1,M2225="1")),"adequate","partial"),IF(AND(H2225="W4",F2225="predictive",OR(J2225="P2",J2225="P3",J2225="P4")),IF(OR(U2225=1,U2225="1"),"adequate","partial"),INDEX(Fit_Matrix!$B:$B,MATCH(P2225,Fit_Matrix!$A:$A,0)))),"CHECK KEY"))</f>
        <v/>
      </c>
      <c r="U2225" s="10" t="n"/>
      <c r="V2225" s="10" t="n"/>
      <c r="W2225" s="10" t="n"/>
      <c r="X2225" s="10" t="n"/>
      <c r="Y2225" s="10" t="n"/>
      <c r="Z2225" s="10" t="n"/>
      <c r="AA2225" s="11">
        <f>IF(A2225="","",IF(AND(J2225="P4",F2225="causal"),"P4-CAUSAL",""))</f>
        <v/>
      </c>
    </row>
    <row r="2226" ht="15" customHeight="1" s="1">
      <c r="P2226">
        <f>IF(OR(F2226="",H2226="",J2226=""),"",J2226&amp;"|"&amp;F2226&amp;"|"&amp;IF(H2226="W3","W3_"&amp;IF(I2226="","unknown",I2226),H2226))</f>
        <v/>
      </c>
      <c r="Q2226">
        <f>IF(P2226="","",IFERROR(IF(AND(H2226="W7",OR(F2226="causal",F2226="predictive")),IF(AND(OR(K2226=1,K2226="1"),OR(L2226=1,L2226="1"),OR(M2226=1,M2226="1")),"adequate","partial"),IF(AND(H2226="W4",F2226="predictive",OR(J2226="P2",J2226="P3",J2226="P4")),IF(OR(U2226=1,U2226="1"),"adequate","partial"),INDEX(Fit_Matrix!$B:$B,MATCH(P2226,Fit_Matrix!$A:$A,0)))),"CHECK KEY"))</f>
        <v/>
      </c>
      <c r="U2226" s="10" t="n"/>
      <c r="V2226" s="10" t="n"/>
      <c r="W2226" s="10" t="n"/>
      <c r="X2226" s="10" t="n"/>
      <c r="Y2226" s="10" t="n"/>
      <c r="Z2226" s="10" t="n"/>
      <c r="AA2226" s="11">
        <f>IF(A2226="","",IF(AND(J2226="P4",F2226="causal"),"P4-CAUSAL",""))</f>
        <v/>
      </c>
    </row>
    <row r="2227" ht="15" customHeight="1" s="1">
      <c r="P2227">
        <f>IF(OR(F2227="",H2227="",J2227=""),"",J2227&amp;"|"&amp;F2227&amp;"|"&amp;IF(H2227="W3","W3_"&amp;IF(I2227="","unknown",I2227),H2227))</f>
        <v/>
      </c>
      <c r="Q2227">
        <f>IF(P2227="","",IFERROR(IF(AND(H2227="W7",OR(F2227="causal",F2227="predictive")),IF(AND(OR(K2227=1,K2227="1"),OR(L2227=1,L2227="1"),OR(M2227=1,M2227="1")),"adequate","partial"),IF(AND(H2227="W4",F2227="predictive",OR(J2227="P2",J2227="P3",J2227="P4")),IF(OR(U2227=1,U2227="1"),"adequate","partial"),INDEX(Fit_Matrix!$B:$B,MATCH(P2227,Fit_Matrix!$A:$A,0)))),"CHECK KEY"))</f>
        <v/>
      </c>
      <c r="U2227" s="10" t="n"/>
      <c r="V2227" s="10" t="n"/>
      <c r="W2227" s="10" t="n"/>
      <c r="X2227" s="10" t="n"/>
      <c r="Y2227" s="10" t="n"/>
      <c r="Z2227" s="10" t="n"/>
      <c r="AA2227" s="11">
        <f>IF(A2227="","",IF(AND(J2227="P4",F2227="causal"),"P4-CAUSAL",""))</f>
        <v/>
      </c>
    </row>
    <row r="2228" ht="15" customHeight="1" s="1">
      <c r="P2228">
        <f>IF(OR(F2228="",H2228="",J2228=""),"",J2228&amp;"|"&amp;F2228&amp;"|"&amp;IF(H2228="W3","W3_"&amp;IF(I2228="","unknown",I2228),H2228))</f>
        <v/>
      </c>
      <c r="Q2228">
        <f>IF(P2228="","",IFERROR(IF(AND(H2228="W7",OR(F2228="causal",F2228="predictive")),IF(AND(OR(K2228=1,K2228="1"),OR(L2228=1,L2228="1"),OR(M2228=1,M2228="1")),"adequate","partial"),IF(AND(H2228="W4",F2228="predictive",OR(J2228="P2",J2228="P3",J2228="P4")),IF(OR(U2228=1,U2228="1"),"adequate","partial"),INDEX(Fit_Matrix!$B:$B,MATCH(P2228,Fit_Matrix!$A:$A,0)))),"CHECK KEY"))</f>
        <v/>
      </c>
      <c r="U2228" s="10" t="n"/>
      <c r="V2228" s="10" t="n"/>
      <c r="W2228" s="10" t="n"/>
      <c r="X2228" s="10" t="n"/>
      <c r="Y2228" s="10" t="n"/>
      <c r="Z2228" s="10" t="n"/>
      <c r="AA2228" s="11">
        <f>IF(A2228="","",IF(AND(J2228="P4",F2228="causal"),"P4-CAUSAL",""))</f>
        <v/>
      </c>
    </row>
    <row r="2229" ht="15" customHeight="1" s="1">
      <c r="P2229">
        <f>IF(OR(F2229="",H2229="",J2229=""),"",J2229&amp;"|"&amp;F2229&amp;"|"&amp;IF(H2229="W3","W3_"&amp;IF(I2229="","unknown",I2229),H2229))</f>
        <v/>
      </c>
      <c r="Q2229">
        <f>IF(P2229="","",IFERROR(IF(AND(H2229="W7",OR(F2229="causal",F2229="predictive")),IF(AND(OR(K2229=1,K2229="1"),OR(L2229=1,L2229="1"),OR(M2229=1,M2229="1")),"adequate","partial"),IF(AND(H2229="W4",F2229="predictive",OR(J2229="P2",J2229="P3",J2229="P4")),IF(OR(U2229=1,U2229="1"),"adequate","partial"),INDEX(Fit_Matrix!$B:$B,MATCH(P2229,Fit_Matrix!$A:$A,0)))),"CHECK KEY"))</f>
        <v/>
      </c>
      <c r="U2229" s="10" t="n"/>
      <c r="V2229" s="10" t="n"/>
      <c r="W2229" s="10" t="n"/>
      <c r="X2229" s="10" t="n"/>
      <c r="Y2229" s="10" t="n"/>
      <c r="Z2229" s="10" t="n"/>
      <c r="AA2229" s="11">
        <f>IF(A2229="","",IF(AND(J2229="P4",F2229="causal"),"P4-CAUSAL",""))</f>
        <v/>
      </c>
    </row>
    <row r="2230" ht="15" customHeight="1" s="1">
      <c r="P2230">
        <f>IF(OR(F2230="",H2230="",J2230=""),"",J2230&amp;"|"&amp;F2230&amp;"|"&amp;IF(H2230="W3","W3_"&amp;IF(I2230="","unknown",I2230),H2230))</f>
        <v/>
      </c>
      <c r="Q2230">
        <f>IF(P2230="","",IFERROR(IF(AND(H2230="W7",OR(F2230="causal",F2230="predictive")),IF(AND(OR(K2230=1,K2230="1"),OR(L2230=1,L2230="1"),OR(M2230=1,M2230="1")),"adequate","partial"),IF(AND(H2230="W4",F2230="predictive",OR(J2230="P2",J2230="P3",J2230="P4")),IF(OR(U2230=1,U2230="1"),"adequate","partial"),INDEX(Fit_Matrix!$B:$B,MATCH(P2230,Fit_Matrix!$A:$A,0)))),"CHECK KEY"))</f>
        <v/>
      </c>
      <c r="U2230" s="10" t="n"/>
      <c r="V2230" s="10" t="n"/>
      <c r="W2230" s="10" t="n"/>
      <c r="X2230" s="10" t="n"/>
      <c r="Y2230" s="10" t="n"/>
      <c r="Z2230" s="10" t="n"/>
      <c r="AA2230" s="11">
        <f>IF(A2230="","",IF(AND(J2230="P4",F2230="causal"),"P4-CAUSAL",""))</f>
        <v/>
      </c>
    </row>
    <row r="2231" ht="15" customHeight="1" s="1">
      <c r="P2231">
        <f>IF(OR(F2231="",H2231="",J2231=""),"",J2231&amp;"|"&amp;F2231&amp;"|"&amp;IF(H2231="W3","W3_"&amp;IF(I2231="","unknown",I2231),H2231))</f>
        <v/>
      </c>
      <c r="Q2231">
        <f>IF(P2231="","",IFERROR(IF(AND(H2231="W7",OR(F2231="causal",F2231="predictive")),IF(AND(OR(K2231=1,K2231="1"),OR(L2231=1,L2231="1"),OR(M2231=1,M2231="1")),"adequate","partial"),IF(AND(H2231="W4",F2231="predictive",OR(J2231="P2",J2231="P3",J2231="P4")),IF(OR(U2231=1,U2231="1"),"adequate","partial"),INDEX(Fit_Matrix!$B:$B,MATCH(P2231,Fit_Matrix!$A:$A,0)))),"CHECK KEY"))</f>
        <v/>
      </c>
      <c r="U2231" s="10" t="n"/>
      <c r="V2231" s="10" t="n"/>
      <c r="W2231" s="10" t="n"/>
      <c r="X2231" s="10" t="n"/>
      <c r="Y2231" s="10" t="n"/>
      <c r="Z2231" s="10" t="n"/>
      <c r="AA2231" s="11">
        <f>IF(A2231="","",IF(AND(J2231="P4",F2231="causal"),"P4-CAUSAL",""))</f>
        <v/>
      </c>
    </row>
    <row r="2232" ht="15" customHeight="1" s="1">
      <c r="P2232">
        <f>IF(OR(F2232="",H2232="",J2232=""),"",J2232&amp;"|"&amp;F2232&amp;"|"&amp;IF(H2232="W3","W3_"&amp;IF(I2232="","unknown",I2232),H2232))</f>
        <v/>
      </c>
      <c r="Q2232">
        <f>IF(P2232="","",IFERROR(IF(AND(H2232="W7",OR(F2232="causal",F2232="predictive")),IF(AND(OR(K2232=1,K2232="1"),OR(L2232=1,L2232="1"),OR(M2232=1,M2232="1")),"adequate","partial"),IF(AND(H2232="W4",F2232="predictive",OR(J2232="P2",J2232="P3",J2232="P4")),IF(OR(U2232=1,U2232="1"),"adequate","partial"),INDEX(Fit_Matrix!$B:$B,MATCH(P2232,Fit_Matrix!$A:$A,0)))),"CHECK KEY"))</f>
        <v/>
      </c>
      <c r="U2232" s="10" t="n"/>
      <c r="V2232" s="10" t="n"/>
      <c r="W2232" s="10" t="n"/>
      <c r="X2232" s="10" t="n"/>
      <c r="Y2232" s="10" t="n"/>
      <c r="Z2232" s="10" t="n"/>
      <c r="AA2232" s="11">
        <f>IF(A2232="","",IF(AND(J2232="P4",F2232="causal"),"P4-CAUSAL",""))</f>
        <v/>
      </c>
    </row>
    <row r="2233" ht="15" customHeight="1" s="1">
      <c r="P2233">
        <f>IF(OR(F2233="",H2233="",J2233=""),"",J2233&amp;"|"&amp;F2233&amp;"|"&amp;IF(H2233="W3","W3_"&amp;IF(I2233="","unknown",I2233),H2233))</f>
        <v/>
      </c>
      <c r="Q2233">
        <f>IF(P2233="","",IFERROR(IF(AND(H2233="W7",OR(F2233="causal",F2233="predictive")),IF(AND(OR(K2233=1,K2233="1"),OR(L2233=1,L2233="1"),OR(M2233=1,M2233="1")),"adequate","partial"),IF(AND(H2233="W4",F2233="predictive",OR(J2233="P2",J2233="P3",J2233="P4")),IF(OR(U2233=1,U2233="1"),"adequate","partial"),INDEX(Fit_Matrix!$B:$B,MATCH(P2233,Fit_Matrix!$A:$A,0)))),"CHECK KEY"))</f>
        <v/>
      </c>
      <c r="U2233" s="10" t="n"/>
      <c r="V2233" s="10" t="n"/>
      <c r="W2233" s="10" t="n"/>
      <c r="X2233" s="10" t="n"/>
      <c r="Y2233" s="10" t="n"/>
      <c r="Z2233" s="10" t="n"/>
      <c r="AA2233" s="11">
        <f>IF(A2233="","",IF(AND(J2233="P4",F2233="causal"),"P4-CAUSAL",""))</f>
        <v/>
      </c>
    </row>
    <row r="2234" ht="15" customHeight="1" s="1">
      <c r="P2234">
        <f>IF(OR(F2234="",H2234="",J2234=""),"",J2234&amp;"|"&amp;F2234&amp;"|"&amp;IF(H2234="W3","W3_"&amp;IF(I2234="","unknown",I2234),H2234))</f>
        <v/>
      </c>
      <c r="Q2234">
        <f>IF(P2234="","",IFERROR(IF(AND(H2234="W7",OR(F2234="causal",F2234="predictive")),IF(AND(OR(K2234=1,K2234="1"),OR(L2234=1,L2234="1"),OR(M2234=1,M2234="1")),"adequate","partial"),IF(AND(H2234="W4",F2234="predictive",OR(J2234="P2",J2234="P3",J2234="P4")),IF(OR(U2234=1,U2234="1"),"adequate","partial"),INDEX(Fit_Matrix!$B:$B,MATCH(P2234,Fit_Matrix!$A:$A,0)))),"CHECK KEY"))</f>
        <v/>
      </c>
      <c r="U2234" s="10" t="n"/>
      <c r="V2234" s="10" t="n"/>
      <c r="W2234" s="10" t="n"/>
      <c r="X2234" s="10" t="n"/>
      <c r="Y2234" s="10" t="n"/>
      <c r="Z2234" s="10" t="n"/>
      <c r="AA2234" s="11">
        <f>IF(A2234="","",IF(AND(J2234="P4",F2234="causal"),"P4-CAUSAL",""))</f>
        <v/>
      </c>
    </row>
    <row r="2235" ht="15" customHeight="1" s="1">
      <c r="P2235">
        <f>IF(OR(F2235="",H2235="",J2235=""),"",J2235&amp;"|"&amp;F2235&amp;"|"&amp;IF(H2235="W3","W3_"&amp;IF(I2235="","unknown",I2235),H2235))</f>
        <v/>
      </c>
      <c r="Q2235">
        <f>IF(P2235="","",IFERROR(IF(AND(H2235="W7",OR(F2235="causal",F2235="predictive")),IF(AND(OR(K2235=1,K2235="1"),OR(L2235=1,L2235="1"),OR(M2235=1,M2235="1")),"adequate","partial"),IF(AND(H2235="W4",F2235="predictive",OR(J2235="P2",J2235="P3",J2235="P4")),IF(OR(U2235=1,U2235="1"),"adequate","partial"),INDEX(Fit_Matrix!$B:$B,MATCH(P2235,Fit_Matrix!$A:$A,0)))),"CHECK KEY"))</f>
        <v/>
      </c>
      <c r="U2235" s="10" t="n"/>
      <c r="V2235" s="10" t="n"/>
      <c r="W2235" s="10" t="n"/>
      <c r="X2235" s="10" t="n"/>
      <c r="Y2235" s="10" t="n"/>
      <c r="Z2235" s="10" t="n"/>
      <c r="AA2235" s="11">
        <f>IF(A2235="","",IF(AND(J2235="P4",F2235="causal"),"P4-CAUSAL",""))</f>
        <v/>
      </c>
    </row>
    <row r="2236" ht="15" customHeight="1" s="1">
      <c r="P2236">
        <f>IF(OR(F2236="",H2236="",J2236=""),"",J2236&amp;"|"&amp;F2236&amp;"|"&amp;IF(H2236="W3","W3_"&amp;IF(I2236="","unknown",I2236),H2236))</f>
        <v/>
      </c>
      <c r="Q2236">
        <f>IF(P2236="","",IFERROR(IF(AND(H2236="W7",OR(F2236="causal",F2236="predictive")),IF(AND(OR(K2236=1,K2236="1"),OR(L2236=1,L2236="1"),OR(M2236=1,M2236="1")),"adequate","partial"),IF(AND(H2236="W4",F2236="predictive",OR(J2236="P2",J2236="P3",J2236="P4")),IF(OR(U2236=1,U2236="1"),"adequate","partial"),INDEX(Fit_Matrix!$B:$B,MATCH(P2236,Fit_Matrix!$A:$A,0)))),"CHECK KEY"))</f>
        <v/>
      </c>
      <c r="U2236" s="10" t="n"/>
      <c r="V2236" s="10" t="n"/>
      <c r="W2236" s="10" t="n"/>
      <c r="X2236" s="10" t="n"/>
      <c r="Y2236" s="10" t="n"/>
      <c r="Z2236" s="10" t="n"/>
      <c r="AA2236" s="11">
        <f>IF(A2236="","",IF(AND(J2236="P4",F2236="causal"),"P4-CAUSAL",""))</f>
        <v/>
      </c>
    </row>
    <row r="2237" ht="15" customHeight="1" s="1">
      <c r="P2237">
        <f>IF(OR(F2237="",H2237="",J2237=""),"",J2237&amp;"|"&amp;F2237&amp;"|"&amp;IF(H2237="W3","W3_"&amp;IF(I2237="","unknown",I2237),H2237))</f>
        <v/>
      </c>
      <c r="Q2237">
        <f>IF(P2237="","",IFERROR(IF(AND(H2237="W7",OR(F2237="causal",F2237="predictive")),IF(AND(OR(K2237=1,K2237="1"),OR(L2237=1,L2237="1"),OR(M2237=1,M2237="1")),"adequate","partial"),IF(AND(H2237="W4",F2237="predictive",OR(J2237="P2",J2237="P3",J2237="P4")),IF(OR(U2237=1,U2237="1"),"adequate","partial"),INDEX(Fit_Matrix!$B:$B,MATCH(P2237,Fit_Matrix!$A:$A,0)))),"CHECK KEY"))</f>
        <v/>
      </c>
      <c r="U2237" s="10" t="n"/>
      <c r="V2237" s="10" t="n"/>
      <c r="W2237" s="10" t="n"/>
      <c r="X2237" s="10" t="n"/>
      <c r="Y2237" s="10" t="n"/>
      <c r="Z2237" s="10" t="n"/>
      <c r="AA2237" s="11">
        <f>IF(A2237="","",IF(AND(J2237="P4",F2237="causal"),"P4-CAUSAL",""))</f>
        <v/>
      </c>
    </row>
    <row r="2238" ht="15" customHeight="1" s="1">
      <c r="P2238">
        <f>IF(OR(F2238="",H2238="",J2238=""),"",J2238&amp;"|"&amp;F2238&amp;"|"&amp;IF(H2238="W3","W3_"&amp;IF(I2238="","unknown",I2238),H2238))</f>
        <v/>
      </c>
      <c r="Q2238">
        <f>IF(P2238="","",IFERROR(IF(AND(H2238="W7",OR(F2238="causal",F2238="predictive")),IF(AND(OR(K2238=1,K2238="1"),OR(L2238=1,L2238="1"),OR(M2238=1,M2238="1")),"adequate","partial"),IF(AND(H2238="W4",F2238="predictive",OR(J2238="P2",J2238="P3",J2238="P4")),IF(OR(U2238=1,U2238="1"),"adequate","partial"),INDEX(Fit_Matrix!$B:$B,MATCH(P2238,Fit_Matrix!$A:$A,0)))),"CHECK KEY"))</f>
        <v/>
      </c>
      <c r="U2238" s="10" t="n"/>
      <c r="V2238" s="10" t="n"/>
      <c r="W2238" s="10" t="n"/>
      <c r="X2238" s="10" t="n"/>
      <c r="Y2238" s="10" t="n"/>
      <c r="Z2238" s="10" t="n"/>
      <c r="AA2238" s="11">
        <f>IF(A2238="","",IF(AND(J2238="P4",F2238="causal"),"P4-CAUSAL",""))</f>
        <v/>
      </c>
    </row>
    <row r="2239" ht="15" customHeight="1" s="1">
      <c r="P2239">
        <f>IF(OR(F2239="",H2239="",J2239=""),"",J2239&amp;"|"&amp;F2239&amp;"|"&amp;IF(H2239="W3","W3_"&amp;IF(I2239="","unknown",I2239),H2239))</f>
        <v/>
      </c>
      <c r="Q2239">
        <f>IF(P2239="","",IFERROR(IF(AND(H2239="W7",OR(F2239="causal",F2239="predictive")),IF(AND(OR(K2239=1,K2239="1"),OR(L2239=1,L2239="1"),OR(M2239=1,M2239="1")),"adequate","partial"),IF(AND(H2239="W4",F2239="predictive",OR(J2239="P2",J2239="P3",J2239="P4")),IF(OR(U2239=1,U2239="1"),"adequate","partial"),INDEX(Fit_Matrix!$B:$B,MATCH(P2239,Fit_Matrix!$A:$A,0)))),"CHECK KEY"))</f>
        <v/>
      </c>
      <c r="U2239" s="10" t="n"/>
      <c r="V2239" s="10" t="n"/>
      <c r="W2239" s="10" t="n"/>
      <c r="X2239" s="10" t="n"/>
      <c r="Y2239" s="10" t="n"/>
      <c r="Z2239" s="10" t="n"/>
      <c r="AA2239" s="11">
        <f>IF(A2239="","",IF(AND(J2239="P4",F2239="causal"),"P4-CAUSAL",""))</f>
        <v/>
      </c>
    </row>
    <row r="2240" ht="15" customHeight="1" s="1">
      <c r="P2240">
        <f>IF(OR(F2240="",H2240="",J2240=""),"",J2240&amp;"|"&amp;F2240&amp;"|"&amp;IF(H2240="W3","W3_"&amp;IF(I2240="","unknown",I2240),H2240))</f>
        <v/>
      </c>
      <c r="Q2240">
        <f>IF(P2240="","",IFERROR(IF(AND(H2240="W7",OR(F2240="causal",F2240="predictive")),IF(AND(OR(K2240=1,K2240="1"),OR(L2240=1,L2240="1"),OR(M2240=1,M2240="1")),"adequate","partial"),IF(AND(H2240="W4",F2240="predictive",OR(J2240="P2",J2240="P3",J2240="P4")),IF(OR(U2240=1,U2240="1"),"adequate","partial"),INDEX(Fit_Matrix!$B:$B,MATCH(P2240,Fit_Matrix!$A:$A,0)))),"CHECK KEY"))</f>
        <v/>
      </c>
      <c r="U2240" s="10" t="n"/>
      <c r="V2240" s="10" t="n"/>
      <c r="W2240" s="10" t="n"/>
      <c r="X2240" s="10" t="n"/>
      <c r="Y2240" s="10" t="n"/>
      <c r="Z2240" s="10" t="n"/>
      <c r="AA2240" s="11">
        <f>IF(A2240="","",IF(AND(J2240="P4",F2240="causal"),"P4-CAUSAL",""))</f>
        <v/>
      </c>
    </row>
    <row r="2241" ht="15" customHeight="1" s="1">
      <c r="P2241">
        <f>IF(OR(F2241="",H2241="",J2241=""),"",J2241&amp;"|"&amp;F2241&amp;"|"&amp;IF(H2241="W3","W3_"&amp;IF(I2241="","unknown",I2241),H2241))</f>
        <v/>
      </c>
      <c r="Q2241">
        <f>IF(P2241="","",IFERROR(IF(AND(H2241="W7",OR(F2241="causal",F2241="predictive")),IF(AND(OR(K2241=1,K2241="1"),OR(L2241=1,L2241="1"),OR(M2241=1,M2241="1")),"adequate","partial"),IF(AND(H2241="W4",F2241="predictive",OR(J2241="P2",J2241="P3",J2241="P4")),IF(OR(U2241=1,U2241="1"),"adequate","partial"),INDEX(Fit_Matrix!$B:$B,MATCH(P2241,Fit_Matrix!$A:$A,0)))),"CHECK KEY"))</f>
        <v/>
      </c>
      <c r="U2241" s="10" t="n"/>
      <c r="V2241" s="10" t="n"/>
      <c r="W2241" s="10" t="n"/>
      <c r="X2241" s="10" t="n"/>
      <c r="Y2241" s="10" t="n"/>
      <c r="Z2241" s="10" t="n"/>
      <c r="AA2241" s="11">
        <f>IF(A2241="","",IF(AND(J2241="P4",F2241="causal"),"P4-CAUSAL",""))</f>
        <v/>
      </c>
    </row>
    <row r="2242" ht="15" customHeight="1" s="1">
      <c r="P2242">
        <f>IF(OR(F2242="",H2242="",J2242=""),"",J2242&amp;"|"&amp;F2242&amp;"|"&amp;IF(H2242="W3","W3_"&amp;IF(I2242="","unknown",I2242),H2242))</f>
        <v/>
      </c>
      <c r="Q2242">
        <f>IF(P2242="","",IFERROR(IF(AND(H2242="W7",OR(F2242="causal",F2242="predictive")),IF(AND(OR(K2242=1,K2242="1"),OR(L2242=1,L2242="1"),OR(M2242=1,M2242="1")),"adequate","partial"),IF(AND(H2242="W4",F2242="predictive",OR(J2242="P2",J2242="P3",J2242="P4")),IF(OR(U2242=1,U2242="1"),"adequate","partial"),INDEX(Fit_Matrix!$B:$B,MATCH(P2242,Fit_Matrix!$A:$A,0)))),"CHECK KEY"))</f>
        <v/>
      </c>
      <c r="U2242" s="10" t="n"/>
      <c r="V2242" s="10" t="n"/>
      <c r="W2242" s="10" t="n"/>
      <c r="X2242" s="10" t="n"/>
      <c r="Y2242" s="10" t="n"/>
      <c r="Z2242" s="10" t="n"/>
      <c r="AA2242" s="11">
        <f>IF(A2242="","",IF(AND(J2242="P4",F2242="causal"),"P4-CAUSAL",""))</f>
        <v/>
      </c>
    </row>
    <row r="2243" ht="15" customHeight="1" s="1">
      <c r="P2243">
        <f>IF(OR(F2243="",H2243="",J2243=""),"",J2243&amp;"|"&amp;F2243&amp;"|"&amp;IF(H2243="W3","W3_"&amp;IF(I2243="","unknown",I2243),H2243))</f>
        <v/>
      </c>
      <c r="Q2243">
        <f>IF(P2243="","",IFERROR(IF(AND(H2243="W7",OR(F2243="causal",F2243="predictive")),IF(AND(OR(K2243=1,K2243="1"),OR(L2243=1,L2243="1"),OR(M2243=1,M2243="1")),"adequate","partial"),IF(AND(H2243="W4",F2243="predictive",OR(J2243="P2",J2243="P3",J2243="P4")),IF(OR(U2243=1,U2243="1"),"adequate","partial"),INDEX(Fit_Matrix!$B:$B,MATCH(P2243,Fit_Matrix!$A:$A,0)))),"CHECK KEY"))</f>
        <v/>
      </c>
      <c r="U2243" s="10" t="n"/>
      <c r="V2243" s="10" t="n"/>
      <c r="W2243" s="10" t="n"/>
      <c r="X2243" s="10" t="n"/>
      <c r="Y2243" s="10" t="n"/>
      <c r="Z2243" s="10" t="n"/>
      <c r="AA2243" s="11">
        <f>IF(A2243="","",IF(AND(J2243="P4",F2243="causal"),"P4-CAUSAL",""))</f>
        <v/>
      </c>
    </row>
    <row r="2244" ht="15" customHeight="1" s="1">
      <c r="P2244">
        <f>IF(OR(F2244="",H2244="",J2244=""),"",J2244&amp;"|"&amp;F2244&amp;"|"&amp;IF(H2244="W3","W3_"&amp;IF(I2244="","unknown",I2244),H2244))</f>
        <v/>
      </c>
      <c r="Q2244">
        <f>IF(P2244="","",IFERROR(IF(AND(H2244="W7",OR(F2244="causal",F2244="predictive")),IF(AND(OR(K2244=1,K2244="1"),OR(L2244=1,L2244="1"),OR(M2244=1,M2244="1")),"adequate","partial"),IF(AND(H2244="W4",F2244="predictive",OR(J2244="P2",J2244="P3",J2244="P4")),IF(OR(U2244=1,U2244="1"),"adequate","partial"),INDEX(Fit_Matrix!$B:$B,MATCH(P2244,Fit_Matrix!$A:$A,0)))),"CHECK KEY"))</f>
        <v/>
      </c>
      <c r="U2244" s="10" t="n"/>
      <c r="V2244" s="10" t="n"/>
      <c r="W2244" s="10" t="n"/>
      <c r="X2244" s="10" t="n"/>
      <c r="Y2244" s="10" t="n"/>
      <c r="Z2244" s="10" t="n"/>
      <c r="AA2244" s="11">
        <f>IF(A2244="","",IF(AND(J2244="P4",F2244="causal"),"P4-CAUSAL",""))</f>
        <v/>
      </c>
    </row>
    <row r="2245" ht="15" customHeight="1" s="1">
      <c r="P2245">
        <f>IF(OR(F2245="",H2245="",J2245=""),"",J2245&amp;"|"&amp;F2245&amp;"|"&amp;IF(H2245="W3","W3_"&amp;IF(I2245="","unknown",I2245),H2245))</f>
        <v/>
      </c>
      <c r="Q2245">
        <f>IF(P2245="","",IFERROR(IF(AND(H2245="W7",OR(F2245="causal",F2245="predictive")),IF(AND(OR(K2245=1,K2245="1"),OR(L2245=1,L2245="1"),OR(M2245=1,M2245="1")),"adequate","partial"),IF(AND(H2245="W4",F2245="predictive",OR(J2245="P2",J2245="P3",J2245="P4")),IF(OR(U2245=1,U2245="1"),"adequate","partial"),INDEX(Fit_Matrix!$B:$B,MATCH(P2245,Fit_Matrix!$A:$A,0)))),"CHECK KEY"))</f>
        <v/>
      </c>
      <c r="U2245" s="10" t="n"/>
      <c r="V2245" s="10" t="n"/>
      <c r="W2245" s="10" t="n"/>
      <c r="X2245" s="10" t="n"/>
      <c r="Y2245" s="10" t="n"/>
      <c r="Z2245" s="10" t="n"/>
      <c r="AA2245" s="11">
        <f>IF(A2245="","",IF(AND(J2245="P4",F2245="causal"),"P4-CAUSAL",""))</f>
        <v/>
      </c>
    </row>
    <row r="2246" ht="15" customHeight="1" s="1">
      <c r="P2246">
        <f>IF(OR(F2246="",H2246="",J2246=""),"",J2246&amp;"|"&amp;F2246&amp;"|"&amp;IF(H2246="W3","W3_"&amp;IF(I2246="","unknown",I2246),H2246))</f>
        <v/>
      </c>
      <c r="Q2246">
        <f>IF(P2246="","",IFERROR(IF(AND(H2246="W7",OR(F2246="causal",F2246="predictive")),IF(AND(OR(K2246=1,K2246="1"),OR(L2246=1,L2246="1"),OR(M2246=1,M2246="1")),"adequate","partial"),IF(AND(H2246="W4",F2246="predictive",OR(J2246="P2",J2246="P3",J2246="P4")),IF(OR(U2246=1,U2246="1"),"adequate","partial"),INDEX(Fit_Matrix!$B:$B,MATCH(P2246,Fit_Matrix!$A:$A,0)))),"CHECK KEY"))</f>
        <v/>
      </c>
      <c r="U2246" s="10" t="n"/>
      <c r="V2246" s="10" t="n"/>
      <c r="W2246" s="10" t="n"/>
      <c r="X2246" s="10" t="n"/>
      <c r="Y2246" s="10" t="n"/>
      <c r="Z2246" s="10" t="n"/>
      <c r="AA2246" s="11">
        <f>IF(A2246="","",IF(AND(J2246="P4",F2246="causal"),"P4-CAUSAL",""))</f>
        <v/>
      </c>
    </row>
    <row r="2247" ht="15" customHeight="1" s="1">
      <c r="P2247">
        <f>IF(OR(F2247="",H2247="",J2247=""),"",J2247&amp;"|"&amp;F2247&amp;"|"&amp;IF(H2247="W3","W3_"&amp;IF(I2247="","unknown",I2247),H2247))</f>
        <v/>
      </c>
      <c r="Q2247">
        <f>IF(P2247="","",IFERROR(IF(AND(H2247="W7",OR(F2247="causal",F2247="predictive")),IF(AND(OR(K2247=1,K2247="1"),OR(L2247=1,L2247="1"),OR(M2247=1,M2247="1")),"adequate","partial"),IF(AND(H2247="W4",F2247="predictive",OR(J2247="P2",J2247="P3",J2247="P4")),IF(OR(U2247=1,U2247="1"),"adequate","partial"),INDEX(Fit_Matrix!$B:$B,MATCH(P2247,Fit_Matrix!$A:$A,0)))),"CHECK KEY"))</f>
        <v/>
      </c>
      <c r="U2247" s="10" t="n"/>
      <c r="V2247" s="10" t="n"/>
      <c r="W2247" s="10" t="n"/>
      <c r="X2247" s="10" t="n"/>
      <c r="Y2247" s="10" t="n"/>
      <c r="Z2247" s="10" t="n"/>
      <c r="AA2247" s="11">
        <f>IF(A2247="","",IF(AND(J2247="P4",F2247="causal"),"P4-CAUSAL",""))</f>
        <v/>
      </c>
    </row>
    <row r="2248" ht="15" customHeight="1" s="1">
      <c r="P2248">
        <f>IF(OR(F2248="",H2248="",J2248=""),"",J2248&amp;"|"&amp;F2248&amp;"|"&amp;IF(H2248="W3","W3_"&amp;IF(I2248="","unknown",I2248),H2248))</f>
        <v/>
      </c>
      <c r="Q2248">
        <f>IF(P2248="","",IFERROR(IF(AND(H2248="W7",OR(F2248="causal",F2248="predictive")),IF(AND(OR(K2248=1,K2248="1"),OR(L2248=1,L2248="1"),OR(M2248=1,M2248="1")),"adequate","partial"),IF(AND(H2248="W4",F2248="predictive",OR(J2248="P2",J2248="P3",J2248="P4")),IF(OR(U2248=1,U2248="1"),"adequate","partial"),INDEX(Fit_Matrix!$B:$B,MATCH(P2248,Fit_Matrix!$A:$A,0)))),"CHECK KEY"))</f>
        <v/>
      </c>
      <c r="U2248" s="10" t="n"/>
      <c r="V2248" s="10" t="n"/>
      <c r="W2248" s="10" t="n"/>
      <c r="X2248" s="10" t="n"/>
      <c r="Y2248" s="10" t="n"/>
      <c r="Z2248" s="10" t="n"/>
      <c r="AA2248" s="11">
        <f>IF(A2248="","",IF(AND(J2248="P4",F2248="causal"),"P4-CAUSAL",""))</f>
        <v/>
      </c>
    </row>
    <row r="2249" ht="15" customHeight="1" s="1">
      <c r="P2249">
        <f>IF(OR(F2249="",H2249="",J2249=""),"",J2249&amp;"|"&amp;F2249&amp;"|"&amp;IF(H2249="W3","W3_"&amp;IF(I2249="","unknown",I2249),H2249))</f>
        <v/>
      </c>
      <c r="Q2249">
        <f>IF(P2249="","",IFERROR(IF(AND(H2249="W7",OR(F2249="causal",F2249="predictive")),IF(AND(OR(K2249=1,K2249="1"),OR(L2249=1,L2249="1"),OR(M2249=1,M2249="1")),"adequate","partial"),IF(AND(H2249="W4",F2249="predictive",OR(J2249="P2",J2249="P3",J2249="P4")),IF(OR(U2249=1,U2249="1"),"adequate","partial"),INDEX(Fit_Matrix!$B:$B,MATCH(P2249,Fit_Matrix!$A:$A,0)))),"CHECK KEY"))</f>
        <v/>
      </c>
      <c r="U2249" s="10" t="n"/>
      <c r="V2249" s="10" t="n"/>
      <c r="W2249" s="10" t="n"/>
      <c r="X2249" s="10" t="n"/>
      <c r="Y2249" s="10" t="n"/>
      <c r="Z2249" s="10" t="n"/>
      <c r="AA2249" s="11">
        <f>IF(A2249="","",IF(AND(J2249="P4",F2249="causal"),"P4-CAUSAL",""))</f>
        <v/>
      </c>
    </row>
    <row r="2250" ht="15" customHeight="1" s="1">
      <c r="P2250">
        <f>IF(OR(F2250="",H2250="",J2250=""),"",J2250&amp;"|"&amp;F2250&amp;"|"&amp;IF(H2250="W3","W3_"&amp;IF(I2250="","unknown",I2250),H2250))</f>
        <v/>
      </c>
      <c r="Q2250">
        <f>IF(P2250="","",IFERROR(IF(AND(H2250="W7",OR(F2250="causal",F2250="predictive")),IF(AND(OR(K2250=1,K2250="1"),OR(L2250=1,L2250="1"),OR(M2250=1,M2250="1")),"adequate","partial"),IF(AND(H2250="W4",F2250="predictive",OR(J2250="P2",J2250="P3",J2250="P4")),IF(OR(U2250=1,U2250="1"),"adequate","partial"),INDEX(Fit_Matrix!$B:$B,MATCH(P2250,Fit_Matrix!$A:$A,0)))),"CHECK KEY"))</f>
        <v/>
      </c>
      <c r="U2250" s="10" t="n"/>
      <c r="V2250" s="10" t="n"/>
      <c r="W2250" s="10" t="n"/>
      <c r="X2250" s="10" t="n"/>
      <c r="Y2250" s="10" t="n"/>
      <c r="Z2250" s="10" t="n"/>
      <c r="AA2250" s="11">
        <f>IF(A2250="","",IF(AND(J2250="P4",F2250="causal"),"P4-CAUSAL",""))</f>
        <v/>
      </c>
    </row>
    <row r="2251" ht="15" customHeight="1" s="1">
      <c r="P2251">
        <f>IF(OR(F2251="",H2251="",J2251=""),"",J2251&amp;"|"&amp;F2251&amp;"|"&amp;IF(H2251="W3","W3_"&amp;IF(I2251="","unknown",I2251),H2251))</f>
        <v/>
      </c>
      <c r="Q2251">
        <f>IF(P2251="","",IFERROR(IF(AND(H2251="W7",OR(F2251="causal",F2251="predictive")),IF(AND(OR(K2251=1,K2251="1"),OR(L2251=1,L2251="1"),OR(M2251=1,M2251="1")),"adequate","partial"),IF(AND(H2251="W4",F2251="predictive",OR(J2251="P2",J2251="P3",J2251="P4")),IF(OR(U2251=1,U2251="1"),"adequate","partial"),INDEX(Fit_Matrix!$B:$B,MATCH(P2251,Fit_Matrix!$A:$A,0)))),"CHECK KEY"))</f>
        <v/>
      </c>
      <c r="U2251" s="10" t="n"/>
      <c r="V2251" s="10" t="n"/>
      <c r="W2251" s="10" t="n"/>
      <c r="X2251" s="10" t="n"/>
      <c r="Y2251" s="10" t="n"/>
      <c r="Z2251" s="10" t="n"/>
      <c r="AA2251" s="11">
        <f>IF(A2251="","",IF(AND(J2251="P4",F2251="causal"),"P4-CAUSAL",""))</f>
        <v/>
      </c>
    </row>
    <row r="2252" ht="15" customHeight="1" s="1">
      <c r="P2252">
        <f>IF(OR(F2252="",H2252="",J2252=""),"",J2252&amp;"|"&amp;F2252&amp;"|"&amp;IF(H2252="W3","W3_"&amp;IF(I2252="","unknown",I2252),H2252))</f>
        <v/>
      </c>
      <c r="Q2252">
        <f>IF(P2252="","",IFERROR(IF(AND(H2252="W7",OR(F2252="causal",F2252="predictive")),IF(AND(OR(K2252=1,K2252="1"),OR(L2252=1,L2252="1"),OR(M2252=1,M2252="1")),"adequate","partial"),IF(AND(H2252="W4",F2252="predictive",OR(J2252="P2",J2252="P3",J2252="P4")),IF(OR(U2252=1,U2252="1"),"adequate","partial"),INDEX(Fit_Matrix!$B:$B,MATCH(P2252,Fit_Matrix!$A:$A,0)))),"CHECK KEY"))</f>
        <v/>
      </c>
      <c r="U2252" s="10" t="n"/>
      <c r="V2252" s="10" t="n"/>
      <c r="W2252" s="10" t="n"/>
      <c r="X2252" s="10" t="n"/>
      <c r="Y2252" s="10" t="n"/>
      <c r="Z2252" s="10" t="n"/>
      <c r="AA2252" s="11">
        <f>IF(A2252="","",IF(AND(J2252="P4",F2252="causal"),"P4-CAUSAL",""))</f>
        <v/>
      </c>
    </row>
    <row r="2253" ht="15" customHeight="1" s="1">
      <c r="P2253">
        <f>IF(OR(F2253="",H2253="",J2253=""),"",J2253&amp;"|"&amp;F2253&amp;"|"&amp;IF(H2253="W3","W3_"&amp;IF(I2253="","unknown",I2253),H2253))</f>
        <v/>
      </c>
      <c r="Q2253">
        <f>IF(P2253="","",IFERROR(IF(AND(H2253="W7",OR(F2253="causal",F2253="predictive")),IF(AND(OR(K2253=1,K2253="1"),OR(L2253=1,L2253="1"),OR(M2253=1,M2253="1")),"adequate","partial"),IF(AND(H2253="W4",F2253="predictive",OR(J2253="P2",J2253="P3",J2253="P4")),IF(OR(U2253=1,U2253="1"),"adequate","partial"),INDEX(Fit_Matrix!$B:$B,MATCH(P2253,Fit_Matrix!$A:$A,0)))),"CHECK KEY"))</f>
        <v/>
      </c>
      <c r="U2253" s="10" t="n"/>
      <c r="V2253" s="10" t="n"/>
      <c r="W2253" s="10" t="n"/>
      <c r="X2253" s="10" t="n"/>
      <c r="Y2253" s="10" t="n"/>
      <c r="Z2253" s="10" t="n"/>
      <c r="AA2253" s="11">
        <f>IF(A2253="","",IF(AND(J2253="P4",F2253="causal"),"P4-CAUSAL",""))</f>
        <v/>
      </c>
    </row>
    <row r="2254" ht="15" customHeight="1" s="1">
      <c r="P2254">
        <f>IF(OR(F2254="",H2254="",J2254=""),"",J2254&amp;"|"&amp;F2254&amp;"|"&amp;IF(H2254="W3","W3_"&amp;IF(I2254="","unknown",I2254),H2254))</f>
        <v/>
      </c>
      <c r="Q2254">
        <f>IF(P2254="","",IFERROR(IF(AND(H2254="W7",OR(F2254="causal",F2254="predictive")),IF(AND(OR(K2254=1,K2254="1"),OR(L2254=1,L2254="1"),OR(M2254=1,M2254="1")),"adequate","partial"),IF(AND(H2254="W4",F2254="predictive",OR(J2254="P2",J2254="P3",J2254="P4")),IF(OR(U2254=1,U2254="1"),"adequate","partial"),INDEX(Fit_Matrix!$B:$B,MATCH(P2254,Fit_Matrix!$A:$A,0)))),"CHECK KEY"))</f>
        <v/>
      </c>
      <c r="U2254" s="10" t="n"/>
      <c r="V2254" s="10" t="n"/>
      <c r="W2254" s="10" t="n"/>
      <c r="X2254" s="10" t="n"/>
      <c r="Y2254" s="10" t="n"/>
      <c r="Z2254" s="10" t="n"/>
      <c r="AA2254" s="11">
        <f>IF(A2254="","",IF(AND(J2254="P4",F2254="causal"),"P4-CAUSAL",""))</f>
        <v/>
      </c>
    </row>
    <row r="2255" ht="15" customHeight="1" s="1">
      <c r="P2255">
        <f>IF(OR(F2255="",H2255="",J2255=""),"",J2255&amp;"|"&amp;F2255&amp;"|"&amp;IF(H2255="W3","W3_"&amp;IF(I2255="","unknown",I2255),H2255))</f>
        <v/>
      </c>
      <c r="Q2255">
        <f>IF(P2255="","",IFERROR(IF(AND(H2255="W7",OR(F2255="causal",F2255="predictive")),IF(AND(OR(K2255=1,K2255="1"),OR(L2255=1,L2255="1"),OR(M2255=1,M2255="1")),"adequate","partial"),IF(AND(H2255="W4",F2255="predictive",OR(J2255="P2",J2255="P3",J2255="P4")),IF(OR(U2255=1,U2255="1"),"adequate","partial"),INDEX(Fit_Matrix!$B:$B,MATCH(P2255,Fit_Matrix!$A:$A,0)))),"CHECK KEY"))</f>
        <v/>
      </c>
      <c r="U2255" s="10" t="n"/>
      <c r="V2255" s="10" t="n"/>
      <c r="W2255" s="10" t="n"/>
      <c r="X2255" s="10" t="n"/>
      <c r="Y2255" s="10" t="n"/>
      <c r="Z2255" s="10" t="n"/>
      <c r="AA2255" s="11">
        <f>IF(A2255="","",IF(AND(J2255="P4",F2255="causal"),"P4-CAUSAL",""))</f>
        <v/>
      </c>
    </row>
    <row r="2256" ht="15" customHeight="1" s="1">
      <c r="P2256">
        <f>IF(OR(F2256="",H2256="",J2256=""),"",J2256&amp;"|"&amp;F2256&amp;"|"&amp;IF(H2256="W3","W3_"&amp;IF(I2256="","unknown",I2256),H2256))</f>
        <v/>
      </c>
      <c r="Q2256">
        <f>IF(P2256="","",IFERROR(IF(AND(H2256="W7",OR(F2256="causal",F2256="predictive")),IF(AND(OR(K2256=1,K2256="1"),OR(L2256=1,L2256="1"),OR(M2256=1,M2256="1")),"adequate","partial"),IF(AND(H2256="W4",F2256="predictive",OR(J2256="P2",J2256="P3",J2256="P4")),IF(OR(U2256=1,U2256="1"),"adequate","partial"),INDEX(Fit_Matrix!$B:$B,MATCH(P2256,Fit_Matrix!$A:$A,0)))),"CHECK KEY"))</f>
        <v/>
      </c>
      <c r="U2256" s="10" t="n"/>
      <c r="V2256" s="10" t="n"/>
      <c r="W2256" s="10" t="n"/>
      <c r="X2256" s="10" t="n"/>
      <c r="Y2256" s="10" t="n"/>
      <c r="Z2256" s="10" t="n"/>
      <c r="AA2256" s="11">
        <f>IF(A2256="","",IF(AND(J2256="P4",F2256="causal"),"P4-CAUSAL",""))</f>
        <v/>
      </c>
    </row>
    <row r="2257" ht="15" customHeight="1" s="1">
      <c r="P2257">
        <f>IF(OR(F2257="",H2257="",J2257=""),"",J2257&amp;"|"&amp;F2257&amp;"|"&amp;IF(H2257="W3","W3_"&amp;IF(I2257="","unknown",I2257),H2257))</f>
        <v/>
      </c>
      <c r="Q2257">
        <f>IF(P2257="","",IFERROR(IF(AND(H2257="W7",OR(F2257="causal",F2257="predictive")),IF(AND(OR(K2257=1,K2257="1"),OR(L2257=1,L2257="1"),OR(M2257=1,M2257="1")),"adequate","partial"),IF(AND(H2257="W4",F2257="predictive",OR(J2257="P2",J2257="P3",J2257="P4")),IF(OR(U2257=1,U2257="1"),"adequate","partial"),INDEX(Fit_Matrix!$B:$B,MATCH(P2257,Fit_Matrix!$A:$A,0)))),"CHECK KEY"))</f>
        <v/>
      </c>
      <c r="U2257" s="10" t="n"/>
      <c r="V2257" s="10" t="n"/>
      <c r="W2257" s="10" t="n"/>
      <c r="X2257" s="10" t="n"/>
      <c r="Y2257" s="10" t="n"/>
      <c r="Z2257" s="10" t="n"/>
      <c r="AA2257" s="11">
        <f>IF(A2257="","",IF(AND(J2257="P4",F2257="causal"),"P4-CAUSAL",""))</f>
        <v/>
      </c>
    </row>
    <row r="2258" ht="15" customHeight="1" s="1">
      <c r="P2258">
        <f>IF(OR(F2258="",H2258="",J2258=""),"",J2258&amp;"|"&amp;F2258&amp;"|"&amp;IF(H2258="W3","W3_"&amp;IF(I2258="","unknown",I2258),H2258))</f>
        <v/>
      </c>
      <c r="Q2258">
        <f>IF(P2258="","",IFERROR(IF(AND(H2258="W7",OR(F2258="causal",F2258="predictive")),IF(AND(OR(K2258=1,K2258="1"),OR(L2258=1,L2258="1"),OR(M2258=1,M2258="1")),"adequate","partial"),IF(AND(H2258="W4",F2258="predictive",OR(J2258="P2",J2258="P3",J2258="P4")),IF(OR(U2258=1,U2258="1"),"adequate","partial"),INDEX(Fit_Matrix!$B:$B,MATCH(P2258,Fit_Matrix!$A:$A,0)))),"CHECK KEY"))</f>
        <v/>
      </c>
      <c r="U2258" s="10" t="n"/>
      <c r="V2258" s="10" t="n"/>
      <c r="W2258" s="10" t="n"/>
      <c r="X2258" s="10" t="n"/>
      <c r="Y2258" s="10" t="n"/>
      <c r="Z2258" s="10" t="n"/>
      <c r="AA2258" s="11">
        <f>IF(A2258="","",IF(AND(J2258="P4",F2258="causal"),"P4-CAUSAL",""))</f>
        <v/>
      </c>
    </row>
    <row r="2259" ht="15" customHeight="1" s="1">
      <c r="P2259">
        <f>IF(OR(F2259="",H2259="",J2259=""),"",J2259&amp;"|"&amp;F2259&amp;"|"&amp;IF(H2259="W3","W3_"&amp;IF(I2259="","unknown",I2259),H2259))</f>
        <v/>
      </c>
      <c r="Q2259">
        <f>IF(P2259="","",IFERROR(IF(AND(H2259="W7",OR(F2259="causal",F2259="predictive")),IF(AND(OR(K2259=1,K2259="1"),OR(L2259=1,L2259="1"),OR(M2259=1,M2259="1")),"adequate","partial"),IF(AND(H2259="W4",F2259="predictive",OR(J2259="P2",J2259="P3",J2259="P4")),IF(OR(U2259=1,U2259="1"),"adequate","partial"),INDEX(Fit_Matrix!$B:$B,MATCH(P2259,Fit_Matrix!$A:$A,0)))),"CHECK KEY"))</f>
        <v/>
      </c>
      <c r="U2259" s="10" t="n"/>
      <c r="V2259" s="10" t="n"/>
      <c r="W2259" s="10" t="n"/>
      <c r="X2259" s="10" t="n"/>
      <c r="Y2259" s="10" t="n"/>
      <c r="Z2259" s="10" t="n"/>
      <c r="AA2259" s="11">
        <f>IF(A2259="","",IF(AND(J2259="P4",F2259="causal"),"P4-CAUSAL",""))</f>
        <v/>
      </c>
    </row>
    <row r="2260" ht="15" customHeight="1" s="1">
      <c r="P2260">
        <f>IF(OR(F2260="",H2260="",J2260=""),"",J2260&amp;"|"&amp;F2260&amp;"|"&amp;IF(H2260="W3","W3_"&amp;IF(I2260="","unknown",I2260),H2260))</f>
        <v/>
      </c>
      <c r="Q2260">
        <f>IF(P2260="","",IFERROR(IF(AND(H2260="W7",OR(F2260="causal",F2260="predictive")),IF(AND(OR(K2260=1,K2260="1"),OR(L2260=1,L2260="1"),OR(M2260=1,M2260="1")),"adequate","partial"),IF(AND(H2260="W4",F2260="predictive",OR(J2260="P2",J2260="P3",J2260="P4")),IF(OR(U2260=1,U2260="1"),"adequate","partial"),INDEX(Fit_Matrix!$B:$B,MATCH(P2260,Fit_Matrix!$A:$A,0)))),"CHECK KEY"))</f>
        <v/>
      </c>
      <c r="U2260" s="10" t="n"/>
      <c r="V2260" s="10" t="n"/>
      <c r="W2260" s="10" t="n"/>
      <c r="X2260" s="10" t="n"/>
      <c r="Y2260" s="10" t="n"/>
      <c r="Z2260" s="10" t="n"/>
      <c r="AA2260" s="11">
        <f>IF(A2260="","",IF(AND(J2260="P4",F2260="causal"),"P4-CAUSAL",""))</f>
        <v/>
      </c>
    </row>
    <row r="2261" ht="15" customHeight="1" s="1">
      <c r="P2261">
        <f>IF(OR(F2261="",H2261="",J2261=""),"",J2261&amp;"|"&amp;F2261&amp;"|"&amp;IF(H2261="W3","W3_"&amp;IF(I2261="","unknown",I2261),H2261))</f>
        <v/>
      </c>
      <c r="Q2261">
        <f>IF(P2261="","",IFERROR(IF(AND(H2261="W7",OR(F2261="causal",F2261="predictive")),IF(AND(OR(K2261=1,K2261="1"),OR(L2261=1,L2261="1"),OR(M2261=1,M2261="1")),"adequate","partial"),IF(AND(H2261="W4",F2261="predictive",OR(J2261="P2",J2261="P3",J2261="P4")),IF(OR(U2261=1,U2261="1"),"adequate","partial"),INDEX(Fit_Matrix!$B:$B,MATCH(P2261,Fit_Matrix!$A:$A,0)))),"CHECK KEY"))</f>
        <v/>
      </c>
      <c r="U2261" s="10" t="n"/>
      <c r="V2261" s="10" t="n"/>
      <c r="W2261" s="10" t="n"/>
      <c r="X2261" s="10" t="n"/>
      <c r="Y2261" s="10" t="n"/>
      <c r="Z2261" s="10" t="n"/>
      <c r="AA2261" s="11">
        <f>IF(A2261="","",IF(AND(J2261="P4",F2261="causal"),"P4-CAUSAL",""))</f>
        <v/>
      </c>
    </row>
    <row r="2262" ht="15" customHeight="1" s="1">
      <c r="P2262">
        <f>IF(OR(F2262="",H2262="",J2262=""),"",J2262&amp;"|"&amp;F2262&amp;"|"&amp;IF(H2262="W3","W3_"&amp;IF(I2262="","unknown",I2262),H2262))</f>
        <v/>
      </c>
      <c r="Q2262">
        <f>IF(P2262="","",IFERROR(IF(AND(H2262="W7",OR(F2262="causal",F2262="predictive")),IF(AND(OR(K2262=1,K2262="1"),OR(L2262=1,L2262="1"),OR(M2262=1,M2262="1")),"adequate","partial"),IF(AND(H2262="W4",F2262="predictive",OR(J2262="P2",J2262="P3",J2262="P4")),IF(OR(U2262=1,U2262="1"),"adequate","partial"),INDEX(Fit_Matrix!$B:$B,MATCH(P2262,Fit_Matrix!$A:$A,0)))),"CHECK KEY"))</f>
        <v/>
      </c>
      <c r="U2262" s="10" t="n"/>
      <c r="V2262" s="10" t="n"/>
      <c r="W2262" s="10" t="n"/>
      <c r="X2262" s="10" t="n"/>
      <c r="Y2262" s="10" t="n"/>
      <c r="Z2262" s="10" t="n"/>
      <c r="AA2262" s="11">
        <f>IF(A2262="","",IF(AND(J2262="P4",F2262="causal"),"P4-CAUSAL",""))</f>
        <v/>
      </c>
    </row>
    <row r="2263" ht="15" customHeight="1" s="1">
      <c r="P2263">
        <f>IF(OR(F2263="",H2263="",J2263=""),"",J2263&amp;"|"&amp;F2263&amp;"|"&amp;IF(H2263="W3","W3_"&amp;IF(I2263="","unknown",I2263),H2263))</f>
        <v/>
      </c>
      <c r="Q2263">
        <f>IF(P2263="","",IFERROR(IF(AND(H2263="W7",OR(F2263="causal",F2263="predictive")),IF(AND(OR(K2263=1,K2263="1"),OR(L2263=1,L2263="1"),OR(M2263=1,M2263="1")),"adequate","partial"),IF(AND(H2263="W4",F2263="predictive",OR(J2263="P2",J2263="P3",J2263="P4")),IF(OR(U2263=1,U2263="1"),"adequate","partial"),INDEX(Fit_Matrix!$B:$B,MATCH(P2263,Fit_Matrix!$A:$A,0)))),"CHECK KEY"))</f>
        <v/>
      </c>
      <c r="U2263" s="10" t="n"/>
      <c r="V2263" s="10" t="n"/>
      <c r="W2263" s="10" t="n"/>
      <c r="X2263" s="10" t="n"/>
      <c r="Y2263" s="10" t="n"/>
      <c r="Z2263" s="10" t="n"/>
      <c r="AA2263" s="11">
        <f>IF(A2263="","",IF(AND(J2263="P4",F2263="causal"),"P4-CAUSAL",""))</f>
        <v/>
      </c>
    </row>
    <row r="2264" ht="15" customHeight="1" s="1">
      <c r="P2264">
        <f>IF(OR(F2264="",H2264="",J2264=""),"",J2264&amp;"|"&amp;F2264&amp;"|"&amp;IF(H2264="W3","W3_"&amp;IF(I2264="","unknown",I2264),H2264))</f>
        <v/>
      </c>
      <c r="Q2264">
        <f>IF(P2264="","",IFERROR(IF(AND(H2264="W7",OR(F2264="causal",F2264="predictive")),IF(AND(OR(K2264=1,K2264="1"),OR(L2264=1,L2264="1"),OR(M2264=1,M2264="1")),"adequate","partial"),IF(AND(H2264="W4",F2264="predictive",OR(J2264="P2",J2264="P3",J2264="P4")),IF(OR(U2264=1,U2264="1"),"adequate","partial"),INDEX(Fit_Matrix!$B:$B,MATCH(P2264,Fit_Matrix!$A:$A,0)))),"CHECK KEY"))</f>
        <v/>
      </c>
      <c r="U2264" s="10" t="n"/>
      <c r="V2264" s="10" t="n"/>
      <c r="W2264" s="10" t="n"/>
      <c r="X2264" s="10" t="n"/>
      <c r="Y2264" s="10" t="n"/>
      <c r="Z2264" s="10" t="n"/>
      <c r="AA2264" s="11">
        <f>IF(A2264="","",IF(AND(J2264="P4",F2264="causal"),"P4-CAUSAL",""))</f>
        <v/>
      </c>
    </row>
    <row r="2265" ht="15" customHeight="1" s="1">
      <c r="P2265">
        <f>IF(OR(F2265="",H2265="",J2265=""),"",J2265&amp;"|"&amp;F2265&amp;"|"&amp;IF(H2265="W3","W3_"&amp;IF(I2265="","unknown",I2265),H2265))</f>
        <v/>
      </c>
      <c r="Q2265">
        <f>IF(P2265="","",IFERROR(IF(AND(H2265="W7",OR(F2265="causal",F2265="predictive")),IF(AND(OR(K2265=1,K2265="1"),OR(L2265=1,L2265="1"),OR(M2265=1,M2265="1")),"adequate","partial"),IF(AND(H2265="W4",F2265="predictive",OR(J2265="P2",J2265="P3",J2265="P4")),IF(OR(U2265=1,U2265="1"),"adequate","partial"),INDEX(Fit_Matrix!$B:$B,MATCH(P2265,Fit_Matrix!$A:$A,0)))),"CHECK KEY"))</f>
        <v/>
      </c>
      <c r="U2265" s="10" t="n"/>
      <c r="V2265" s="10" t="n"/>
      <c r="W2265" s="10" t="n"/>
      <c r="X2265" s="10" t="n"/>
      <c r="Y2265" s="10" t="n"/>
      <c r="Z2265" s="10" t="n"/>
      <c r="AA2265" s="11">
        <f>IF(A2265="","",IF(AND(J2265="P4",F2265="causal"),"P4-CAUSAL",""))</f>
        <v/>
      </c>
    </row>
    <row r="2266" ht="15" customHeight="1" s="1">
      <c r="P2266">
        <f>IF(OR(F2266="",H2266="",J2266=""),"",J2266&amp;"|"&amp;F2266&amp;"|"&amp;IF(H2266="W3","W3_"&amp;IF(I2266="","unknown",I2266),H2266))</f>
        <v/>
      </c>
      <c r="Q2266">
        <f>IF(P2266="","",IFERROR(IF(AND(H2266="W7",OR(F2266="causal",F2266="predictive")),IF(AND(OR(K2266=1,K2266="1"),OR(L2266=1,L2266="1"),OR(M2266=1,M2266="1")),"adequate","partial"),IF(AND(H2266="W4",F2266="predictive",OR(J2266="P2",J2266="P3",J2266="P4")),IF(OR(U2266=1,U2266="1"),"adequate","partial"),INDEX(Fit_Matrix!$B:$B,MATCH(P2266,Fit_Matrix!$A:$A,0)))),"CHECK KEY"))</f>
        <v/>
      </c>
      <c r="U2266" s="10" t="n"/>
      <c r="V2266" s="10" t="n"/>
      <c r="W2266" s="10" t="n"/>
      <c r="X2266" s="10" t="n"/>
      <c r="Y2266" s="10" t="n"/>
      <c r="Z2266" s="10" t="n"/>
      <c r="AA2266" s="11">
        <f>IF(A2266="","",IF(AND(J2266="P4",F2266="causal"),"P4-CAUSAL",""))</f>
        <v/>
      </c>
    </row>
    <row r="2267" ht="15" customHeight="1" s="1">
      <c r="P2267">
        <f>IF(OR(F2267="",H2267="",J2267=""),"",J2267&amp;"|"&amp;F2267&amp;"|"&amp;IF(H2267="W3","W3_"&amp;IF(I2267="","unknown",I2267),H2267))</f>
        <v/>
      </c>
      <c r="Q2267">
        <f>IF(P2267="","",IFERROR(IF(AND(H2267="W7",OR(F2267="causal",F2267="predictive")),IF(AND(OR(K2267=1,K2267="1"),OR(L2267=1,L2267="1"),OR(M2267=1,M2267="1")),"adequate","partial"),IF(AND(H2267="W4",F2267="predictive",OR(J2267="P2",J2267="P3",J2267="P4")),IF(OR(U2267=1,U2267="1"),"adequate","partial"),INDEX(Fit_Matrix!$B:$B,MATCH(P2267,Fit_Matrix!$A:$A,0)))),"CHECK KEY"))</f>
        <v/>
      </c>
      <c r="U2267" s="10" t="n"/>
      <c r="V2267" s="10" t="n"/>
      <c r="W2267" s="10" t="n"/>
      <c r="X2267" s="10" t="n"/>
      <c r="Y2267" s="10" t="n"/>
      <c r="Z2267" s="10" t="n"/>
      <c r="AA2267" s="11">
        <f>IF(A2267="","",IF(AND(J2267="P4",F2267="causal"),"P4-CAUSAL",""))</f>
        <v/>
      </c>
    </row>
    <row r="2268" ht="15" customHeight="1" s="1">
      <c r="P2268">
        <f>IF(OR(F2268="",H2268="",J2268=""),"",J2268&amp;"|"&amp;F2268&amp;"|"&amp;IF(H2268="W3","W3_"&amp;IF(I2268="","unknown",I2268),H2268))</f>
        <v/>
      </c>
      <c r="Q2268">
        <f>IF(P2268="","",IFERROR(IF(AND(H2268="W7",OR(F2268="causal",F2268="predictive")),IF(AND(OR(K2268=1,K2268="1"),OR(L2268=1,L2268="1"),OR(M2268=1,M2268="1")),"adequate","partial"),IF(AND(H2268="W4",F2268="predictive",OR(J2268="P2",J2268="P3",J2268="P4")),IF(OR(U2268=1,U2268="1"),"adequate","partial"),INDEX(Fit_Matrix!$B:$B,MATCH(P2268,Fit_Matrix!$A:$A,0)))),"CHECK KEY"))</f>
        <v/>
      </c>
      <c r="U2268" s="10" t="n"/>
      <c r="V2268" s="10" t="n"/>
      <c r="W2268" s="10" t="n"/>
      <c r="X2268" s="10" t="n"/>
      <c r="Y2268" s="10" t="n"/>
      <c r="Z2268" s="10" t="n"/>
      <c r="AA2268" s="11">
        <f>IF(A2268="","",IF(AND(J2268="P4",F2268="causal"),"P4-CAUSAL",""))</f>
        <v/>
      </c>
    </row>
    <row r="2269" ht="15" customHeight="1" s="1">
      <c r="P2269">
        <f>IF(OR(F2269="",H2269="",J2269=""),"",J2269&amp;"|"&amp;F2269&amp;"|"&amp;IF(H2269="W3","W3_"&amp;IF(I2269="","unknown",I2269),H2269))</f>
        <v/>
      </c>
      <c r="Q2269">
        <f>IF(P2269="","",IFERROR(IF(AND(H2269="W7",OR(F2269="causal",F2269="predictive")),IF(AND(OR(K2269=1,K2269="1"),OR(L2269=1,L2269="1"),OR(M2269=1,M2269="1")),"adequate","partial"),IF(AND(H2269="W4",F2269="predictive",OR(J2269="P2",J2269="P3",J2269="P4")),IF(OR(U2269=1,U2269="1"),"adequate","partial"),INDEX(Fit_Matrix!$B:$B,MATCH(P2269,Fit_Matrix!$A:$A,0)))),"CHECK KEY"))</f>
        <v/>
      </c>
      <c r="U2269" s="10" t="n"/>
      <c r="V2269" s="10" t="n"/>
      <c r="W2269" s="10" t="n"/>
      <c r="X2269" s="10" t="n"/>
      <c r="Y2269" s="10" t="n"/>
      <c r="Z2269" s="10" t="n"/>
      <c r="AA2269" s="11">
        <f>IF(A2269="","",IF(AND(J2269="P4",F2269="causal"),"P4-CAUSAL",""))</f>
        <v/>
      </c>
    </row>
    <row r="2270" ht="15" customHeight="1" s="1">
      <c r="P2270">
        <f>IF(OR(F2270="",H2270="",J2270=""),"",J2270&amp;"|"&amp;F2270&amp;"|"&amp;IF(H2270="W3","W3_"&amp;IF(I2270="","unknown",I2270),H2270))</f>
        <v/>
      </c>
      <c r="Q2270">
        <f>IF(P2270="","",IFERROR(IF(AND(H2270="W7",OR(F2270="causal",F2270="predictive")),IF(AND(OR(K2270=1,K2270="1"),OR(L2270=1,L2270="1"),OR(M2270=1,M2270="1")),"adequate","partial"),IF(AND(H2270="W4",F2270="predictive",OR(J2270="P2",J2270="P3",J2270="P4")),IF(OR(U2270=1,U2270="1"),"adequate","partial"),INDEX(Fit_Matrix!$B:$B,MATCH(P2270,Fit_Matrix!$A:$A,0)))),"CHECK KEY"))</f>
        <v/>
      </c>
      <c r="U2270" s="10" t="n"/>
      <c r="V2270" s="10" t="n"/>
      <c r="W2270" s="10" t="n"/>
      <c r="X2270" s="10" t="n"/>
      <c r="Y2270" s="10" t="n"/>
      <c r="Z2270" s="10" t="n"/>
      <c r="AA2270" s="11">
        <f>IF(A2270="","",IF(AND(J2270="P4",F2270="causal"),"P4-CAUSAL",""))</f>
        <v/>
      </c>
    </row>
    <row r="2271" ht="15" customHeight="1" s="1">
      <c r="P2271">
        <f>IF(OR(F2271="",H2271="",J2271=""),"",J2271&amp;"|"&amp;F2271&amp;"|"&amp;IF(H2271="W3","W3_"&amp;IF(I2271="","unknown",I2271),H2271))</f>
        <v/>
      </c>
      <c r="Q2271">
        <f>IF(P2271="","",IFERROR(IF(AND(H2271="W7",OR(F2271="causal",F2271="predictive")),IF(AND(OR(K2271=1,K2271="1"),OR(L2271=1,L2271="1"),OR(M2271=1,M2271="1")),"adequate","partial"),IF(AND(H2271="W4",F2271="predictive",OR(J2271="P2",J2271="P3",J2271="P4")),IF(OR(U2271=1,U2271="1"),"adequate","partial"),INDEX(Fit_Matrix!$B:$B,MATCH(P2271,Fit_Matrix!$A:$A,0)))),"CHECK KEY"))</f>
        <v/>
      </c>
      <c r="U2271" s="10" t="n"/>
      <c r="V2271" s="10" t="n"/>
      <c r="W2271" s="10" t="n"/>
      <c r="X2271" s="10" t="n"/>
      <c r="Y2271" s="10" t="n"/>
      <c r="Z2271" s="10" t="n"/>
      <c r="AA2271" s="11">
        <f>IF(A2271="","",IF(AND(J2271="P4",F2271="causal"),"P4-CAUSAL",""))</f>
        <v/>
      </c>
    </row>
    <row r="2272" ht="15" customHeight="1" s="1">
      <c r="P2272">
        <f>IF(OR(F2272="",H2272="",J2272=""),"",J2272&amp;"|"&amp;F2272&amp;"|"&amp;IF(H2272="W3","W3_"&amp;IF(I2272="","unknown",I2272),H2272))</f>
        <v/>
      </c>
      <c r="Q2272">
        <f>IF(P2272="","",IFERROR(IF(AND(H2272="W7",OR(F2272="causal",F2272="predictive")),IF(AND(OR(K2272=1,K2272="1"),OR(L2272=1,L2272="1"),OR(M2272=1,M2272="1")),"adequate","partial"),IF(AND(H2272="W4",F2272="predictive",OR(J2272="P2",J2272="P3",J2272="P4")),IF(OR(U2272=1,U2272="1"),"adequate","partial"),INDEX(Fit_Matrix!$B:$B,MATCH(P2272,Fit_Matrix!$A:$A,0)))),"CHECK KEY"))</f>
        <v/>
      </c>
      <c r="U2272" s="10" t="n"/>
      <c r="V2272" s="10" t="n"/>
      <c r="W2272" s="10" t="n"/>
      <c r="X2272" s="10" t="n"/>
      <c r="Y2272" s="10" t="n"/>
      <c r="Z2272" s="10" t="n"/>
      <c r="AA2272" s="11">
        <f>IF(A2272="","",IF(AND(J2272="P4",F2272="causal"),"P4-CAUSAL",""))</f>
        <v/>
      </c>
    </row>
    <row r="2273" ht="15" customHeight="1" s="1">
      <c r="P2273">
        <f>IF(OR(F2273="",H2273="",J2273=""),"",J2273&amp;"|"&amp;F2273&amp;"|"&amp;IF(H2273="W3","W3_"&amp;IF(I2273="","unknown",I2273),H2273))</f>
        <v/>
      </c>
      <c r="Q2273">
        <f>IF(P2273="","",IFERROR(IF(AND(H2273="W7",OR(F2273="causal",F2273="predictive")),IF(AND(OR(K2273=1,K2273="1"),OR(L2273=1,L2273="1"),OR(M2273=1,M2273="1")),"adequate","partial"),IF(AND(H2273="W4",F2273="predictive",OR(J2273="P2",J2273="P3",J2273="P4")),IF(OR(U2273=1,U2273="1"),"adequate","partial"),INDEX(Fit_Matrix!$B:$B,MATCH(P2273,Fit_Matrix!$A:$A,0)))),"CHECK KEY"))</f>
        <v/>
      </c>
      <c r="U2273" s="10" t="n"/>
      <c r="V2273" s="10" t="n"/>
      <c r="W2273" s="10" t="n"/>
      <c r="X2273" s="10" t="n"/>
      <c r="Y2273" s="10" t="n"/>
      <c r="Z2273" s="10" t="n"/>
      <c r="AA2273" s="11">
        <f>IF(A2273="","",IF(AND(J2273="P4",F2273="causal"),"P4-CAUSAL",""))</f>
        <v/>
      </c>
    </row>
    <row r="2274" ht="15" customHeight="1" s="1">
      <c r="P2274">
        <f>IF(OR(F2274="",H2274="",J2274=""),"",J2274&amp;"|"&amp;F2274&amp;"|"&amp;IF(H2274="W3","W3_"&amp;IF(I2274="","unknown",I2274),H2274))</f>
        <v/>
      </c>
      <c r="Q2274">
        <f>IF(P2274="","",IFERROR(IF(AND(H2274="W7",OR(F2274="causal",F2274="predictive")),IF(AND(OR(K2274=1,K2274="1"),OR(L2274=1,L2274="1"),OR(M2274=1,M2274="1")),"adequate","partial"),IF(AND(H2274="W4",F2274="predictive",OR(J2274="P2",J2274="P3",J2274="P4")),IF(OR(U2274=1,U2274="1"),"adequate","partial"),INDEX(Fit_Matrix!$B:$B,MATCH(P2274,Fit_Matrix!$A:$A,0)))),"CHECK KEY"))</f>
        <v/>
      </c>
      <c r="U2274" s="10" t="n"/>
      <c r="V2274" s="10" t="n"/>
      <c r="W2274" s="10" t="n"/>
      <c r="X2274" s="10" t="n"/>
      <c r="Y2274" s="10" t="n"/>
      <c r="Z2274" s="10" t="n"/>
      <c r="AA2274" s="11">
        <f>IF(A2274="","",IF(AND(J2274="P4",F2274="causal"),"P4-CAUSAL",""))</f>
        <v/>
      </c>
    </row>
    <row r="2275" ht="15" customHeight="1" s="1">
      <c r="P2275">
        <f>IF(OR(F2275="",H2275="",J2275=""),"",J2275&amp;"|"&amp;F2275&amp;"|"&amp;IF(H2275="W3","W3_"&amp;IF(I2275="","unknown",I2275),H2275))</f>
        <v/>
      </c>
      <c r="Q2275">
        <f>IF(P2275="","",IFERROR(IF(AND(H2275="W7",OR(F2275="causal",F2275="predictive")),IF(AND(OR(K2275=1,K2275="1"),OR(L2275=1,L2275="1"),OR(M2275=1,M2275="1")),"adequate","partial"),IF(AND(H2275="W4",F2275="predictive",OR(J2275="P2",J2275="P3",J2275="P4")),IF(OR(U2275=1,U2275="1"),"adequate","partial"),INDEX(Fit_Matrix!$B:$B,MATCH(P2275,Fit_Matrix!$A:$A,0)))),"CHECK KEY"))</f>
        <v/>
      </c>
      <c r="U2275" s="10" t="n"/>
      <c r="V2275" s="10" t="n"/>
      <c r="W2275" s="10" t="n"/>
      <c r="X2275" s="10" t="n"/>
      <c r="Y2275" s="10" t="n"/>
      <c r="Z2275" s="10" t="n"/>
      <c r="AA2275" s="11">
        <f>IF(A2275="","",IF(AND(J2275="P4",F2275="causal"),"P4-CAUSAL",""))</f>
        <v/>
      </c>
    </row>
    <row r="2276" ht="15" customHeight="1" s="1">
      <c r="P2276">
        <f>IF(OR(F2276="",H2276="",J2276=""),"",J2276&amp;"|"&amp;F2276&amp;"|"&amp;IF(H2276="W3","W3_"&amp;IF(I2276="","unknown",I2276),H2276))</f>
        <v/>
      </c>
      <c r="Q2276">
        <f>IF(P2276="","",IFERROR(IF(AND(H2276="W7",OR(F2276="causal",F2276="predictive")),IF(AND(OR(K2276=1,K2276="1"),OR(L2276=1,L2276="1"),OR(M2276=1,M2276="1")),"adequate","partial"),IF(AND(H2276="W4",F2276="predictive",OR(J2276="P2",J2276="P3",J2276="P4")),IF(OR(U2276=1,U2276="1"),"adequate","partial"),INDEX(Fit_Matrix!$B:$B,MATCH(P2276,Fit_Matrix!$A:$A,0)))),"CHECK KEY"))</f>
        <v/>
      </c>
      <c r="U2276" s="10" t="n"/>
      <c r="V2276" s="10" t="n"/>
      <c r="W2276" s="10" t="n"/>
      <c r="X2276" s="10" t="n"/>
      <c r="Y2276" s="10" t="n"/>
      <c r="Z2276" s="10" t="n"/>
      <c r="AA2276" s="11">
        <f>IF(A2276="","",IF(AND(J2276="P4",F2276="causal"),"P4-CAUSAL",""))</f>
        <v/>
      </c>
    </row>
    <row r="2277" ht="15" customHeight="1" s="1">
      <c r="P2277">
        <f>IF(OR(F2277="",H2277="",J2277=""),"",J2277&amp;"|"&amp;F2277&amp;"|"&amp;IF(H2277="W3","W3_"&amp;IF(I2277="","unknown",I2277),H2277))</f>
        <v/>
      </c>
      <c r="Q2277">
        <f>IF(P2277="","",IFERROR(IF(AND(H2277="W7",OR(F2277="causal",F2277="predictive")),IF(AND(OR(K2277=1,K2277="1"),OR(L2277=1,L2277="1"),OR(M2277=1,M2277="1")),"adequate","partial"),IF(AND(H2277="W4",F2277="predictive",OR(J2277="P2",J2277="P3",J2277="P4")),IF(OR(U2277=1,U2277="1"),"adequate","partial"),INDEX(Fit_Matrix!$B:$B,MATCH(P2277,Fit_Matrix!$A:$A,0)))),"CHECK KEY"))</f>
        <v/>
      </c>
      <c r="U2277" s="10" t="n"/>
      <c r="V2277" s="10" t="n"/>
      <c r="W2277" s="10" t="n"/>
      <c r="X2277" s="10" t="n"/>
      <c r="Y2277" s="10" t="n"/>
      <c r="Z2277" s="10" t="n"/>
      <c r="AA2277" s="11">
        <f>IF(A2277="","",IF(AND(J2277="P4",F2277="causal"),"P4-CAUSAL",""))</f>
        <v/>
      </c>
    </row>
    <row r="2278" ht="15" customHeight="1" s="1">
      <c r="P2278">
        <f>IF(OR(F2278="",H2278="",J2278=""),"",J2278&amp;"|"&amp;F2278&amp;"|"&amp;IF(H2278="W3","W3_"&amp;IF(I2278="","unknown",I2278),H2278))</f>
        <v/>
      </c>
      <c r="Q2278">
        <f>IF(P2278="","",IFERROR(IF(AND(H2278="W7",OR(F2278="causal",F2278="predictive")),IF(AND(OR(K2278=1,K2278="1"),OR(L2278=1,L2278="1"),OR(M2278=1,M2278="1")),"adequate","partial"),IF(AND(H2278="W4",F2278="predictive",OR(J2278="P2",J2278="P3",J2278="P4")),IF(OR(U2278=1,U2278="1"),"adequate","partial"),INDEX(Fit_Matrix!$B:$B,MATCH(P2278,Fit_Matrix!$A:$A,0)))),"CHECK KEY"))</f>
        <v/>
      </c>
      <c r="U2278" s="10" t="n"/>
      <c r="V2278" s="10" t="n"/>
      <c r="W2278" s="10" t="n"/>
      <c r="X2278" s="10" t="n"/>
      <c r="Y2278" s="10" t="n"/>
      <c r="Z2278" s="10" t="n"/>
      <c r="AA2278" s="11">
        <f>IF(A2278="","",IF(AND(J2278="P4",F2278="causal"),"P4-CAUSAL",""))</f>
        <v/>
      </c>
    </row>
    <row r="2279" ht="15" customHeight="1" s="1">
      <c r="P2279">
        <f>IF(OR(F2279="",H2279="",J2279=""),"",J2279&amp;"|"&amp;F2279&amp;"|"&amp;IF(H2279="W3","W3_"&amp;IF(I2279="","unknown",I2279),H2279))</f>
        <v/>
      </c>
      <c r="Q2279">
        <f>IF(P2279="","",IFERROR(IF(AND(H2279="W7",OR(F2279="causal",F2279="predictive")),IF(AND(OR(K2279=1,K2279="1"),OR(L2279=1,L2279="1"),OR(M2279=1,M2279="1")),"adequate","partial"),IF(AND(H2279="W4",F2279="predictive",OR(J2279="P2",J2279="P3",J2279="P4")),IF(OR(U2279=1,U2279="1"),"adequate","partial"),INDEX(Fit_Matrix!$B:$B,MATCH(P2279,Fit_Matrix!$A:$A,0)))),"CHECK KEY"))</f>
        <v/>
      </c>
      <c r="U2279" s="10" t="n"/>
      <c r="V2279" s="10" t="n"/>
      <c r="W2279" s="10" t="n"/>
      <c r="X2279" s="10" t="n"/>
      <c r="Y2279" s="10" t="n"/>
      <c r="Z2279" s="10" t="n"/>
      <c r="AA2279" s="11">
        <f>IF(A2279="","",IF(AND(J2279="P4",F2279="causal"),"P4-CAUSAL",""))</f>
        <v/>
      </c>
    </row>
    <row r="2280" ht="15" customHeight="1" s="1">
      <c r="P2280">
        <f>IF(OR(F2280="",H2280="",J2280=""),"",J2280&amp;"|"&amp;F2280&amp;"|"&amp;IF(H2280="W3","W3_"&amp;IF(I2280="","unknown",I2280),H2280))</f>
        <v/>
      </c>
      <c r="Q2280">
        <f>IF(P2280="","",IFERROR(IF(AND(H2280="W7",OR(F2280="causal",F2280="predictive")),IF(AND(OR(K2280=1,K2280="1"),OR(L2280=1,L2280="1"),OR(M2280=1,M2280="1")),"adequate","partial"),IF(AND(H2280="W4",F2280="predictive",OR(J2280="P2",J2280="P3",J2280="P4")),IF(OR(U2280=1,U2280="1"),"adequate","partial"),INDEX(Fit_Matrix!$B:$B,MATCH(P2280,Fit_Matrix!$A:$A,0)))),"CHECK KEY"))</f>
        <v/>
      </c>
      <c r="U2280" s="10" t="n"/>
      <c r="V2280" s="10" t="n"/>
      <c r="W2280" s="10" t="n"/>
      <c r="X2280" s="10" t="n"/>
      <c r="Y2280" s="10" t="n"/>
      <c r="Z2280" s="10" t="n"/>
      <c r="AA2280" s="11">
        <f>IF(A2280="","",IF(AND(J2280="P4",F2280="causal"),"P4-CAUSAL",""))</f>
        <v/>
      </c>
    </row>
    <row r="2281" ht="15" customHeight="1" s="1">
      <c r="P2281">
        <f>IF(OR(F2281="",H2281="",J2281=""),"",J2281&amp;"|"&amp;F2281&amp;"|"&amp;IF(H2281="W3","W3_"&amp;IF(I2281="","unknown",I2281),H2281))</f>
        <v/>
      </c>
      <c r="Q2281">
        <f>IF(P2281="","",IFERROR(IF(AND(H2281="W7",OR(F2281="causal",F2281="predictive")),IF(AND(OR(K2281=1,K2281="1"),OR(L2281=1,L2281="1"),OR(M2281=1,M2281="1")),"adequate","partial"),IF(AND(H2281="W4",F2281="predictive",OR(J2281="P2",J2281="P3",J2281="P4")),IF(OR(U2281=1,U2281="1"),"adequate","partial"),INDEX(Fit_Matrix!$B:$B,MATCH(P2281,Fit_Matrix!$A:$A,0)))),"CHECK KEY"))</f>
        <v/>
      </c>
      <c r="U2281" s="10" t="n"/>
      <c r="V2281" s="10" t="n"/>
      <c r="W2281" s="10" t="n"/>
      <c r="X2281" s="10" t="n"/>
      <c r="Y2281" s="10" t="n"/>
      <c r="Z2281" s="10" t="n"/>
      <c r="AA2281" s="11">
        <f>IF(A2281="","",IF(AND(J2281="P4",F2281="causal"),"P4-CAUSAL",""))</f>
        <v/>
      </c>
    </row>
    <row r="2282" ht="15" customHeight="1" s="1">
      <c r="P2282">
        <f>IF(OR(F2282="",H2282="",J2282=""),"",J2282&amp;"|"&amp;F2282&amp;"|"&amp;IF(H2282="W3","W3_"&amp;IF(I2282="","unknown",I2282),H2282))</f>
        <v/>
      </c>
      <c r="Q2282">
        <f>IF(P2282="","",IFERROR(IF(AND(H2282="W7",OR(F2282="causal",F2282="predictive")),IF(AND(OR(K2282=1,K2282="1"),OR(L2282=1,L2282="1"),OR(M2282=1,M2282="1")),"adequate","partial"),IF(AND(H2282="W4",F2282="predictive",OR(J2282="P2",J2282="P3",J2282="P4")),IF(OR(U2282=1,U2282="1"),"adequate","partial"),INDEX(Fit_Matrix!$B:$B,MATCH(P2282,Fit_Matrix!$A:$A,0)))),"CHECK KEY"))</f>
        <v/>
      </c>
      <c r="U2282" s="10" t="n"/>
      <c r="V2282" s="10" t="n"/>
      <c r="W2282" s="10" t="n"/>
      <c r="X2282" s="10" t="n"/>
      <c r="Y2282" s="10" t="n"/>
      <c r="Z2282" s="10" t="n"/>
      <c r="AA2282" s="11">
        <f>IF(A2282="","",IF(AND(J2282="P4",F2282="causal"),"P4-CAUSAL",""))</f>
        <v/>
      </c>
    </row>
    <row r="2283" ht="15" customHeight="1" s="1">
      <c r="P2283">
        <f>IF(OR(F2283="",H2283="",J2283=""),"",J2283&amp;"|"&amp;F2283&amp;"|"&amp;IF(H2283="W3","W3_"&amp;IF(I2283="","unknown",I2283),H2283))</f>
        <v/>
      </c>
      <c r="Q2283">
        <f>IF(P2283="","",IFERROR(IF(AND(H2283="W7",OR(F2283="causal",F2283="predictive")),IF(AND(OR(K2283=1,K2283="1"),OR(L2283=1,L2283="1"),OR(M2283=1,M2283="1")),"adequate","partial"),IF(AND(H2283="W4",F2283="predictive",OR(J2283="P2",J2283="P3",J2283="P4")),IF(OR(U2283=1,U2283="1"),"adequate","partial"),INDEX(Fit_Matrix!$B:$B,MATCH(P2283,Fit_Matrix!$A:$A,0)))),"CHECK KEY"))</f>
        <v/>
      </c>
      <c r="U2283" s="10" t="n"/>
      <c r="V2283" s="10" t="n"/>
      <c r="W2283" s="10" t="n"/>
      <c r="X2283" s="10" t="n"/>
      <c r="Y2283" s="10" t="n"/>
      <c r="Z2283" s="10" t="n"/>
      <c r="AA2283" s="11">
        <f>IF(A2283="","",IF(AND(J2283="P4",F2283="causal"),"P4-CAUSAL",""))</f>
        <v/>
      </c>
    </row>
    <row r="2284" ht="15" customHeight="1" s="1">
      <c r="P2284">
        <f>IF(OR(F2284="",H2284="",J2284=""),"",J2284&amp;"|"&amp;F2284&amp;"|"&amp;IF(H2284="W3","W3_"&amp;IF(I2284="","unknown",I2284),H2284))</f>
        <v/>
      </c>
      <c r="Q2284">
        <f>IF(P2284="","",IFERROR(IF(AND(H2284="W7",OR(F2284="causal",F2284="predictive")),IF(AND(OR(K2284=1,K2284="1"),OR(L2284=1,L2284="1"),OR(M2284=1,M2284="1")),"adequate","partial"),IF(AND(H2284="W4",F2284="predictive",OR(J2284="P2",J2284="P3",J2284="P4")),IF(OR(U2284=1,U2284="1"),"adequate","partial"),INDEX(Fit_Matrix!$B:$B,MATCH(P2284,Fit_Matrix!$A:$A,0)))),"CHECK KEY"))</f>
        <v/>
      </c>
      <c r="U2284" s="10" t="n"/>
      <c r="V2284" s="10" t="n"/>
      <c r="W2284" s="10" t="n"/>
      <c r="X2284" s="10" t="n"/>
      <c r="Y2284" s="10" t="n"/>
      <c r="Z2284" s="10" t="n"/>
      <c r="AA2284" s="11">
        <f>IF(A2284="","",IF(AND(J2284="P4",F2284="causal"),"P4-CAUSAL",""))</f>
        <v/>
      </c>
    </row>
    <row r="2285" ht="15" customHeight="1" s="1">
      <c r="P2285">
        <f>IF(OR(F2285="",H2285="",J2285=""),"",J2285&amp;"|"&amp;F2285&amp;"|"&amp;IF(H2285="W3","W3_"&amp;IF(I2285="","unknown",I2285),H2285))</f>
        <v/>
      </c>
      <c r="Q2285">
        <f>IF(P2285="","",IFERROR(IF(AND(H2285="W7",OR(F2285="causal",F2285="predictive")),IF(AND(OR(K2285=1,K2285="1"),OR(L2285=1,L2285="1"),OR(M2285=1,M2285="1")),"adequate","partial"),IF(AND(H2285="W4",F2285="predictive",OR(J2285="P2",J2285="P3",J2285="P4")),IF(OR(U2285=1,U2285="1"),"adequate","partial"),INDEX(Fit_Matrix!$B:$B,MATCH(P2285,Fit_Matrix!$A:$A,0)))),"CHECK KEY"))</f>
        <v/>
      </c>
      <c r="U2285" s="10" t="n"/>
      <c r="V2285" s="10" t="n"/>
      <c r="W2285" s="10" t="n"/>
      <c r="X2285" s="10" t="n"/>
      <c r="Y2285" s="10" t="n"/>
      <c r="Z2285" s="10" t="n"/>
      <c r="AA2285" s="11">
        <f>IF(A2285="","",IF(AND(J2285="P4",F2285="causal"),"P4-CAUSAL",""))</f>
        <v/>
      </c>
    </row>
    <row r="2286" ht="15" customHeight="1" s="1">
      <c r="P2286">
        <f>IF(OR(F2286="",H2286="",J2286=""),"",J2286&amp;"|"&amp;F2286&amp;"|"&amp;IF(H2286="W3","W3_"&amp;IF(I2286="","unknown",I2286),H2286))</f>
        <v/>
      </c>
      <c r="Q2286">
        <f>IF(P2286="","",IFERROR(IF(AND(H2286="W7",OR(F2286="causal",F2286="predictive")),IF(AND(OR(K2286=1,K2286="1"),OR(L2286=1,L2286="1"),OR(M2286=1,M2286="1")),"adequate","partial"),IF(AND(H2286="W4",F2286="predictive",OR(J2286="P2",J2286="P3",J2286="P4")),IF(OR(U2286=1,U2286="1"),"adequate","partial"),INDEX(Fit_Matrix!$B:$B,MATCH(P2286,Fit_Matrix!$A:$A,0)))),"CHECK KEY"))</f>
        <v/>
      </c>
      <c r="U2286" s="10" t="n"/>
      <c r="V2286" s="10" t="n"/>
      <c r="W2286" s="10" t="n"/>
      <c r="X2286" s="10" t="n"/>
      <c r="Y2286" s="10" t="n"/>
      <c r="Z2286" s="10" t="n"/>
      <c r="AA2286" s="11">
        <f>IF(A2286="","",IF(AND(J2286="P4",F2286="causal"),"P4-CAUSAL",""))</f>
        <v/>
      </c>
    </row>
    <row r="2287" ht="15" customHeight="1" s="1">
      <c r="P2287">
        <f>IF(OR(F2287="",H2287="",J2287=""),"",J2287&amp;"|"&amp;F2287&amp;"|"&amp;IF(H2287="W3","W3_"&amp;IF(I2287="","unknown",I2287),H2287))</f>
        <v/>
      </c>
      <c r="Q2287">
        <f>IF(P2287="","",IFERROR(IF(AND(H2287="W7",OR(F2287="causal",F2287="predictive")),IF(AND(OR(K2287=1,K2287="1"),OR(L2287=1,L2287="1"),OR(M2287=1,M2287="1")),"adequate","partial"),IF(AND(H2287="W4",F2287="predictive",OR(J2287="P2",J2287="P3",J2287="P4")),IF(OR(U2287=1,U2287="1"),"adequate","partial"),INDEX(Fit_Matrix!$B:$B,MATCH(P2287,Fit_Matrix!$A:$A,0)))),"CHECK KEY"))</f>
        <v/>
      </c>
      <c r="U2287" s="10" t="n"/>
      <c r="V2287" s="10" t="n"/>
      <c r="W2287" s="10" t="n"/>
      <c r="X2287" s="10" t="n"/>
      <c r="Y2287" s="10" t="n"/>
      <c r="Z2287" s="10" t="n"/>
      <c r="AA2287" s="11">
        <f>IF(A2287="","",IF(AND(J2287="P4",F2287="causal"),"P4-CAUSAL",""))</f>
        <v/>
      </c>
    </row>
    <row r="2288" ht="15" customHeight="1" s="1">
      <c r="P2288">
        <f>IF(OR(F2288="",H2288="",J2288=""),"",J2288&amp;"|"&amp;F2288&amp;"|"&amp;IF(H2288="W3","W3_"&amp;IF(I2288="","unknown",I2288),H2288))</f>
        <v/>
      </c>
      <c r="Q2288">
        <f>IF(P2288="","",IFERROR(IF(AND(H2288="W7",OR(F2288="causal",F2288="predictive")),IF(AND(OR(K2288=1,K2288="1"),OR(L2288=1,L2288="1"),OR(M2288=1,M2288="1")),"adequate","partial"),IF(AND(H2288="W4",F2288="predictive",OR(J2288="P2",J2288="P3",J2288="P4")),IF(OR(U2288=1,U2288="1"),"adequate","partial"),INDEX(Fit_Matrix!$B:$B,MATCH(P2288,Fit_Matrix!$A:$A,0)))),"CHECK KEY"))</f>
        <v/>
      </c>
      <c r="U2288" s="10" t="n"/>
      <c r="V2288" s="10" t="n"/>
      <c r="W2288" s="10" t="n"/>
      <c r="X2288" s="10" t="n"/>
      <c r="Y2288" s="10" t="n"/>
      <c r="Z2288" s="10" t="n"/>
      <c r="AA2288" s="11">
        <f>IF(A2288="","",IF(AND(J2288="P4",F2288="causal"),"P4-CAUSAL",""))</f>
        <v/>
      </c>
    </row>
    <row r="2289" ht="15" customHeight="1" s="1">
      <c r="P2289">
        <f>IF(OR(F2289="",H2289="",J2289=""),"",J2289&amp;"|"&amp;F2289&amp;"|"&amp;IF(H2289="W3","W3_"&amp;IF(I2289="","unknown",I2289),H2289))</f>
        <v/>
      </c>
      <c r="Q2289">
        <f>IF(P2289="","",IFERROR(IF(AND(H2289="W7",OR(F2289="causal",F2289="predictive")),IF(AND(OR(K2289=1,K2289="1"),OR(L2289=1,L2289="1"),OR(M2289=1,M2289="1")),"adequate","partial"),IF(AND(H2289="W4",F2289="predictive",OR(J2289="P2",J2289="P3",J2289="P4")),IF(OR(U2289=1,U2289="1"),"adequate","partial"),INDEX(Fit_Matrix!$B:$B,MATCH(P2289,Fit_Matrix!$A:$A,0)))),"CHECK KEY"))</f>
        <v/>
      </c>
      <c r="U2289" s="10" t="n"/>
      <c r="V2289" s="10" t="n"/>
      <c r="W2289" s="10" t="n"/>
      <c r="X2289" s="10" t="n"/>
      <c r="Y2289" s="10" t="n"/>
      <c r="Z2289" s="10" t="n"/>
      <c r="AA2289" s="11">
        <f>IF(A2289="","",IF(AND(J2289="P4",F2289="causal"),"P4-CAUSAL",""))</f>
        <v/>
      </c>
    </row>
    <row r="2290" ht="15" customHeight="1" s="1">
      <c r="P2290">
        <f>IF(OR(F2290="",H2290="",J2290=""),"",J2290&amp;"|"&amp;F2290&amp;"|"&amp;IF(H2290="W3","W3_"&amp;IF(I2290="","unknown",I2290),H2290))</f>
        <v/>
      </c>
      <c r="Q2290">
        <f>IF(P2290="","",IFERROR(IF(AND(H2290="W7",OR(F2290="causal",F2290="predictive")),IF(AND(OR(K2290=1,K2290="1"),OR(L2290=1,L2290="1"),OR(M2290=1,M2290="1")),"adequate","partial"),IF(AND(H2290="W4",F2290="predictive",OR(J2290="P2",J2290="P3",J2290="P4")),IF(OR(U2290=1,U2290="1"),"adequate","partial"),INDEX(Fit_Matrix!$B:$B,MATCH(P2290,Fit_Matrix!$A:$A,0)))),"CHECK KEY"))</f>
        <v/>
      </c>
      <c r="U2290" s="10" t="n"/>
      <c r="V2290" s="10" t="n"/>
      <c r="W2290" s="10" t="n"/>
      <c r="X2290" s="10" t="n"/>
      <c r="Y2290" s="10" t="n"/>
      <c r="Z2290" s="10" t="n"/>
      <c r="AA2290" s="11">
        <f>IF(A2290="","",IF(AND(J2290="P4",F2290="causal"),"P4-CAUSAL",""))</f>
        <v/>
      </c>
    </row>
    <row r="2291" ht="15" customHeight="1" s="1">
      <c r="P2291">
        <f>IF(OR(F2291="",H2291="",J2291=""),"",J2291&amp;"|"&amp;F2291&amp;"|"&amp;IF(H2291="W3","W3_"&amp;IF(I2291="","unknown",I2291),H2291))</f>
        <v/>
      </c>
      <c r="Q2291">
        <f>IF(P2291="","",IFERROR(IF(AND(H2291="W7",OR(F2291="causal",F2291="predictive")),IF(AND(OR(K2291=1,K2291="1"),OR(L2291=1,L2291="1"),OR(M2291=1,M2291="1")),"adequate","partial"),IF(AND(H2291="W4",F2291="predictive",OR(J2291="P2",J2291="P3",J2291="P4")),IF(OR(U2291=1,U2291="1"),"adequate","partial"),INDEX(Fit_Matrix!$B:$B,MATCH(P2291,Fit_Matrix!$A:$A,0)))),"CHECK KEY"))</f>
        <v/>
      </c>
      <c r="U2291" s="10" t="n"/>
      <c r="V2291" s="10" t="n"/>
      <c r="W2291" s="10" t="n"/>
      <c r="X2291" s="10" t="n"/>
      <c r="Y2291" s="10" t="n"/>
      <c r="Z2291" s="10" t="n"/>
      <c r="AA2291" s="11">
        <f>IF(A2291="","",IF(AND(J2291="P4",F2291="causal"),"P4-CAUSAL",""))</f>
        <v/>
      </c>
    </row>
    <row r="2292" ht="15" customHeight="1" s="1">
      <c r="P2292">
        <f>IF(OR(F2292="",H2292="",J2292=""),"",J2292&amp;"|"&amp;F2292&amp;"|"&amp;IF(H2292="W3","W3_"&amp;IF(I2292="","unknown",I2292),H2292))</f>
        <v/>
      </c>
      <c r="Q2292">
        <f>IF(P2292="","",IFERROR(IF(AND(H2292="W7",OR(F2292="causal",F2292="predictive")),IF(AND(OR(K2292=1,K2292="1"),OR(L2292=1,L2292="1"),OR(M2292=1,M2292="1")),"adequate","partial"),IF(AND(H2292="W4",F2292="predictive",OR(J2292="P2",J2292="P3",J2292="P4")),IF(OR(U2292=1,U2292="1"),"adequate","partial"),INDEX(Fit_Matrix!$B:$B,MATCH(P2292,Fit_Matrix!$A:$A,0)))),"CHECK KEY"))</f>
        <v/>
      </c>
      <c r="U2292" s="10" t="n"/>
      <c r="V2292" s="10" t="n"/>
      <c r="W2292" s="10" t="n"/>
      <c r="X2292" s="10" t="n"/>
      <c r="Y2292" s="10" t="n"/>
      <c r="Z2292" s="10" t="n"/>
      <c r="AA2292" s="11">
        <f>IF(A2292="","",IF(AND(J2292="P4",F2292="causal"),"P4-CAUSAL",""))</f>
        <v/>
      </c>
    </row>
    <row r="2293" ht="15" customHeight="1" s="1">
      <c r="P2293">
        <f>IF(OR(F2293="",H2293="",J2293=""),"",J2293&amp;"|"&amp;F2293&amp;"|"&amp;IF(H2293="W3","W3_"&amp;IF(I2293="","unknown",I2293),H2293))</f>
        <v/>
      </c>
      <c r="Q2293">
        <f>IF(P2293="","",IFERROR(IF(AND(H2293="W7",OR(F2293="causal",F2293="predictive")),IF(AND(OR(K2293=1,K2293="1"),OR(L2293=1,L2293="1"),OR(M2293=1,M2293="1")),"adequate","partial"),IF(AND(H2293="W4",F2293="predictive",OR(J2293="P2",J2293="P3",J2293="P4")),IF(OR(U2293=1,U2293="1"),"adequate","partial"),INDEX(Fit_Matrix!$B:$B,MATCH(P2293,Fit_Matrix!$A:$A,0)))),"CHECK KEY"))</f>
        <v/>
      </c>
      <c r="U2293" s="10" t="n"/>
      <c r="V2293" s="10" t="n"/>
      <c r="W2293" s="10" t="n"/>
      <c r="X2293" s="10" t="n"/>
      <c r="Y2293" s="10" t="n"/>
      <c r="Z2293" s="10" t="n"/>
      <c r="AA2293" s="11">
        <f>IF(A2293="","",IF(AND(J2293="P4",F2293="causal"),"P4-CAUSAL",""))</f>
        <v/>
      </c>
    </row>
    <row r="2294" ht="15" customHeight="1" s="1">
      <c r="P2294">
        <f>IF(OR(F2294="",H2294="",J2294=""),"",J2294&amp;"|"&amp;F2294&amp;"|"&amp;IF(H2294="W3","W3_"&amp;IF(I2294="","unknown",I2294),H2294))</f>
        <v/>
      </c>
      <c r="Q2294">
        <f>IF(P2294="","",IFERROR(IF(AND(H2294="W7",OR(F2294="causal",F2294="predictive")),IF(AND(OR(K2294=1,K2294="1"),OR(L2294=1,L2294="1"),OR(M2294=1,M2294="1")),"adequate","partial"),IF(AND(H2294="W4",F2294="predictive",OR(J2294="P2",J2294="P3",J2294="P4")),IF(OR(U2294=1,U2294="1"),"adequate","partial"),INDEX(Fit_Matrix!$B:$B,MATCH(P2294,Fit_Matrix!$A:$A,0)))),"CHECK KEY"))</f>
        <v/>
      </c>
      <c r="U2294" s="10" t="n"/>
      <c r="V2294" s="10" t="n"/>
      <c r="W2294" s="10" t="n"/>
      <c r="X2294" s="10" t="n"/>
      <c r="Y2294" s="10" t="n"/>
      <c r="Z2294" s="10" t="n"/>
      <c r="AA2294" s="11">
        <f>IF(A2294="","",IF(AND(J2294="P4",F2294="causal"),"P4-CAUSAL",""))</f>
        <v/>
      </c>
    </row>
    <row r="2295" ht="15" customHeight="1" s="1">
      <c r="P2295">
        <f>IF(OR(F2295="",H2295="",J2295=""),"",J2295&amp;"|"&amp;F2295&amp;"|"&amp;IF(H2295="W3","W3_"&amp;IF(I2295="","unknown",I2295),H2295))</f>
        <v/>
      </c>
      <c r="Q2295">
        <f>IF(P2295="","",IFERROR(IF(AND(H2295="W7",OR(F2295="causal",F2295="predictive")),IF(AND(OR(K2295=1,K2295="1"),OR(L2295=1,L2295="1"),OR(M2295=1,M2295="1")),"adequate","partial"),IF(AND(H2295="W4",F2295="predictive",OR(J2295="P2",J2295="P3",J2295="P4")),IF(OR(U2295=1,U2295="1"),"adequate","partial"),INDEX(Fit_Matrix!$B:$B,MATCH(P2295,Fit_Matrix!$A:$A,0)))),"CHECK KEY"))</f>
        <v/>
      </c>
      <c r="U2295" s="10" t="n"/>
      <c r="V2295" s="10" t="n"/>
      <c r="W2295" s="10" t="n"/>
      <c r="X2295" s="10" t="n"/>
      <c r="Y2295" s="10" t="n"/>
      <c r="Z2295" s="10" t="n"/>
      <c r="AA2295" s="11">
        <f>IF(A2295="","",IF(AND(J2295="P4",F2295="causal"),"P4-CAUSAL",""))</f>
        <v/>
      </c>
    </row>
    <row r="2296" ht="15" customHeight="1" s="1">
      <c r="P2296">
        <f>IF(OR(F2296="",H2296="",J2296=""),"",J2296&amp;"|"&amp;F2296&amp;"|"&amp;IF(H2296="W3","W3_"&amp;IF(I2296="","unknown",I2296),H2296))</f>
        <v/>
      </c>
      <c r="Q2296">
        <f>IF(P2296="","",IFERROR(IF(AND(H2296="W7",OR(F2296="causal",F2296="predictive")),IF(AND(OR(K2296=1,K2296="1"),OR(L2296=1,L2296="1"),OR(M2296=1,M2296="1")),"adequate","partial"),IF(AND(H2296="W4",F2296="predictive",OR(J2296="P2",J2296="P3",J2296="P4")),IF(OR(U2296=1,U2296="1"),"adequate","partial"),INDEX(Fit_Matrix!$B:$B,MATCH(P2296,Fit_Matrix!$A:$A,0)))),"CHECK KEY"))</f>
        <v/>
      </c>
      <c r="U2296" s="10" t="n"/>
      <c r="V2296" s="10" t="n"/>
      <c r="W2296" s="10" t="n"/>
      <c r="X2296" s="10" t="n"/>
      <c r="Y2296" s="10" t="n"/>
      <c r="Z2296" s="10" t="n"/>
      <c r="AA2296" s="11">
        <f>IF(A2296="","",IF(AND(J2296="P4",F2296="causal"),"P4-CAUSAL",""))</f>
        <v/>
      </c>
    </row>
    <row r="2297" ht="15" customHeight="1" s="1">
      <c r="P2297">
        <f>IF(OR(F2297="",H2297="",J2297=""),"",J2297&amp;"|"&amp;F2297&amp;"|"&amp;IF(H2297="W3","W3_"&amp;IF(I2297="","unknown",I2297),H2297))</f>
        <v/>
      </c>
      <c r="Q2297">
        <f>IF(P2297="","",IFERROR(IF(AND(H2297="W7",OR(F2297="causal",F2297="predictive")),IF(AND(OR(K2297=1,K2297="1"),OR(L2297=1,L2297="1"),OR(M2297=1,M2297="1")),"adequate","partial"),IF(AND(H2297="W4",F2297="predictive",OR(J2297="P2",J2297="P3",J2297="P4")),IF(OR(U2297=1,U2297="1"),"adequate","partial"),INDEX(Fit_Matrix!$B:$B,MATCH(P2297,Fit_Matrix!$A:$A,0)))),"CHECK KEY"))</f>
        <v/>
      </c>
      <c r="U2297" s="10" t="n"/>
      <c r="V2297" s="10" t="n"/>
      <c r="W2297" s="10" t="n"/>
      <c r="X2297" s="10" t="n"/>
      <c r="Y2297" s="10" t="n"/>
      <c r="Z2297" s="10" t="n"/>
      <c r="AA2297" s="11">
        <f>IF(A2297="","",IF(AND(J2297="P4",F2297="causal"),"P4-CAUSAL",""))</f>
        <v/>
      </c>
    </row>
    <row r="2298" ht="15" customHeight="1" s="1">
      <c r="P2298">
        <f>IF(OR(F2298="",H2298="",J2298=""),"",J2298&amp;"|"&amp;F2298&amp;"|"&amp;IF(H2298="W3","W3_"&amp;IF(I2298="","unknown",I2298),H2298))</f>
        <v/>
      </c>
      <c r="Q2298">
        <f>IF(P2298="","",IFERROR(IF(AND(H2298="W7",OR(F2298="causal",F2298="predictive")),IF(AND(OR(K2298=1,K2298="1"),OR(L2298=1,L2298="1"),OR(M2298=1,M2298="1")),"adequate","partial"),IF(AND(H2298="W4",F2298="predictive",OR(J2298="P2",J2298="P3",J2298="P4")),IF(OR(U2298=1,U2298="1"),"adequate","partial"),INDEX(Fit_Matrix!$B:$B,MATCH(P2298,Fit_Matrix!$A:$A,0)))),"CHECK KEY"))</f>
        <v/>
      </c>
      <c r="U2298" s="10" t="n"/>
      <c r="V2298" s="10" t="n"/>
      <c r="W2298" s="10" t="n"/>
      <c r="X2298" s="10" t="n"/>
      <c r="Y2298" s="10" t="n"/>
      <c r="Z2298" s="10" t="n"/>
      <c r="AA2298" s="11">
        <f>IF(A2298="","",IF(AND(J2298="P4",F2298="causal"),"P4-CAUSAL",""))</f>
        <v/>
      </c>
    </row>
    <row r="2299" ht="15" customHeight="1" s="1">
      <c r="P2299">
        <f>IF(OR(F2299="",H2299="",J2299=""),"",J2299&amp;"|"&amp;F2299&amp;"|"&amp;IF(H2299="W3","W3_"&amp;IF(I2299="","unknown",I2299),H2299))</f>
        <v/>
      </c>
      <c r="Q2299">
        <f>IF(P2299="","",IFERROR(IF(AND(H2299="W7",OR(F2299="causal",F2299="predictive")),IF(AND(OR(K2299=1,K2299="1"),OR(L2299=1,L2299="1"),OR(M2299=1,M2299="1")),"adequate","partial"),IF(AND(H2299="W4",F2299="predictive",OR(J2299="P2",J2299="P3",J2299="P4")),IF(OR(U2299=1,U2299="1"),"adequate","partial"),INDEX(Fit_Matrix!$B:$B,MATCH(P2299,Fit_Matrix!$A:$A,0)))),"CHECK KEY"))</f>
        <v/>
      </c>
      <c r="U2299" s="10" t="n"/>
      <c r="V2299" s="10" t="n"/>
      <c r="W2299" s="10" t="n"/>
      <c r="X2299" s="10" t="n"/>
      <c r="Y2299" s="10" t="n"/>
      <c r="Z2299" s="10" t="n"/>
      <c r="AA2299" s="11">
        <f>IF(A2299="","",IF(AND(J2299="P4",F2299="causal"),"P4-CAUSAL",""))</f>
        <v/>
      </c>
    </row>
    <row r="2300" ht="15" customHeight="1" s="1">
      <c r="P2300">
        <f>IF(OR(F2300="",H2300="",J2300=""),"",J2300&amp;"|"&amp;F2300&amp;"|"&amp;IF(H2300="W3","W3_"&amp;IF(I2300="","unknown",I2300),H2300))</f>
        <v/>
      </c>
      <c r="Q2300">
        <f>IF(P2300="","",IFERROR(IF(AND(H2300="W7",OR(F2300="causal",F2300="predictive")),IF(AND(OR(K2300=1,K2300="1"),OR(L2300=1,L2300="1"),OR(M2300=1,M2300="1")),"adequate","partial"),IF(AND(H2300="W4",F2300="predictive",OR(J2300="P2",J2300="P3",J2300="P4")),IF(OR(U2300=1,U2300="1"),"adequate","partial"),INDEX(Fit_Matrix!$B:$B,MATCH(P2300,Fit_Matrix!$A:$A,0)))),"CHECK KEY"))</f>
        <v/>
      </c>
      <c r="U2300" s="10" t="n"/>
      <c r="V2300" s="10" t="n"/>
      <c r="W2300" s="10" t="n"/>
      <c r="X2300" s="10" t="n"/>
      <c r="Y2300" s="10" t="n"/>
      <c r="Z2300" s="10" t="n"/>
      <c r="AA2300" s="11">
        <f>IF(A2300="","",IF(AND(J2300="P4",F2300="causal"),"P4-CAUSAL",""))</f>
        <v/>
      </c>
    </row>
    <row r="2301" ht="15" customHeight="1" s="1">
      <c r="P2301">
        <f>IF(OR(F2301="",H2301="",J2301=""),"",J2301&amp;"|"&amp;F2301&amp;"|"&amp;IF(H2301="W3","W3_"&amp;IF(I2301="","unknown",I2301),H2301))</f>
        <v/>
      </c>
      <c r="Q2301">
        <f>IF(P2301="","",IFERROR(IF(AND(H2301="W7",OR(F2301="causal",F2301="predictive")),IF(AND(OR(K2301=1,K2301="1"),OR(L2301=1,L2301="1"),OR(M2301=1,M2301="1")),"adequate","partial"),IF(AND(H2301="W4",F2301="predictive",OR(J2301="P2",J2301="P3",J2301="P4")),IF(OR(U2301=1,U2301="1"),"adequate","partial"),INDEX(Fit_Matrix!$B:$B,MATCH(P2301,Fit_Matrix!$A:$A,0)))),"CHECK KEY"))</f>
        <v/>
      </c>
      <c r="U2301" s="10" t="n"/>
      <c r="V2301" s="10" t="n"/>
      <c r="W2301" s="10" t="n"/>
      <c r="X2301" s="10" t="n"/>
      <c r="Y2301" s="10" t="n"/>
      <c r="Z2301" s="10" t="n"/>
      <c r="AA2301" s="11">
        <f>IF(A2301="","",IF(AND(J2301="P4",F2301="causal"),"P4-CAUSAL",""))</f>
        <v/>
      </c>
    </row>
    <row r="2302" ht="15" customHeight="1" s="1">
      <c r="P2302">
        <f>IF(OR(F2302="",H2302="",J2302=""),"",J2302&amp;"|"&amp;F2302&amp;"|"&amp;IF(H2302="W3","W3_"&amp;IF(I2302="","unknown",I2302),H2302))</f>
        <v/>
      </c>
      <c r="Q2302">
        <f>IF(P2302="","",IFERROR(IF(AND(H2302="W7",OR(F2302="causal",F2302="predictive")),IF(AND(OR(K2302=1,K2302="1"),OR(L2302=1,L2302="1"),OR(M2302=1,M2302="1")),"adequate","partial"),IF(AND(H2302="W4",F2302="predictive",OR(J2302="P2",J2302="P3",J2302="P4")),IF(OR(U2302=1,U2302="1"),"adequate","partial"),INDEX(Fit_Matrix!$B:$B,MATCH(P2302,Fit_Matrix!$A:$A,0)))),"CHECK KEY"))</f>
        <v/>
      </c>
      <c r="U2302" s="10" t="n"/>
      <c r="V2302" s="10" t="n"/>
      <c r="W2302" s="10" t="n"/>
      <c r="X2302" s="10" t="n"/>
      <c r="Y2302" s="10" t="n"/>
      <c r="Z2302" s="10" t="n"/>
      <c r="AA2302" s="11">
        <f>IF(A2302="","",IF(AND(J2302="P4",F2302="causal"),"P4-CAUSAL",""))</f>
        <v/>
      </c>
    </row>
    <row r="2303" ht="15" customHeight="1" s="1">
      <c r="P2303">
        <f>IF(OR(F2303="",H2303="",J2303=""),"",J2303&amp;"|"&amp;F2303&amp;"|"&amp;IF(H2303="W3","W3_"&amp;IF(I2303="","unknown",I2303),H2303))</f>
        <v/>
      </c>
      <c r="Q2303">
        <f>IF(P2303="","",IFERROR(IF(AND(H2303="W7",OR(F2303="causal",F2303="predictive")),IF(AND(OR(K2303=1,K2303="1"),OR(L2303=1,L2303="1"),OR(M2303=1,M2303="1")),"adequate","partial"),IF(AND(H2303="W4",F2303="predictive",OR(J2303="P2",J2303="P3",J2303="P4")),IF(OR(U2303=1,U2303="1"),"adequate","partial"),INDEX(Fit_Matrix!$B:$B,MATCH(P2303,Fit_Matrix!$A:$A,0)))),"CHECK KEY"))</f>
        <v/>
      </c>
      <c r="U2303" s="10" t="n"/>
      <c r="V2303" s="10" t="n"/>
      <c r="W2303" s="10" t="n"/>
      <c r="X2303" s="10" t="n"/>
      <c r="Y2303" s="10" t="n"/>
      <c r="Z2303" s="10" t="n"/>
      <c r="AA2303" s="11">
        <f>IF(A2303="","",IF(AND(J2303="P4",F2303="causal"),"P4-CAUSAL",""))</f>
        <v/>
      </c>
    </row>
    <row r="2304" ht="15" customHeight="1" s="1">
      <c r="P2304">
        <f>IF(OR(F2304="",H2304="",J2304=""),"",J2304&amp;"|"&amp;F2304&amp;"|"&amp;IF(H2304="W3","W3_"&amp;IF(I2304="","unknown",I2304),H2304))</f>
        <v/>
      </c>
      <c r="Q2304">
        <f>IF(P2304="","",IFERROR(IF(AND(H2304="W7",OR(F2304="causal",F2304="predictive")),IF(AND(OR(K2304=1,K2304="1"),OR(L2304=1,L2304="1"),OR(M2304=1,M2304="1")),"adequate","partial"),IF(AND(H2304="W4",F2304="predictive",OR(J2304="P2",J2304="P3",J2304="P4")),IF(OR(U2304=1,U2304="1"),"adequate","partial"),INDEX(Fit_Matrix!$B:$B,MATCH(P2304,Fit_Matrix!$A:$A,0)))),"CHECK KEY"))</f>
        <v/>
      </c>
      <c r="U2304" s="10" t="n"/>
      <c r="V2304" s="10" t="n"/>
      <c r="W2304" s="10" t="n"/>
      <c r="X2304" s="10" t="n"/>
      <c r="Y2304" s="10" t="n"/>
      <c r="Z2304" s="10" t="n"/>
      <c r="AA2304" s="11">
        <f>IF(A2304="","",IF(AND(J2304="P4",F2304="causal"),"P4-CAUSAL",""))</f>
        <v/>
      </c>
    </row>
    <row r="2305" ht="15" customHeight="1" s="1">
      <c r="P2305">
        <f>IF(OR(F2305="",H2305="",J2305=""),"",J2305&amp;"|"&amp;F2305&amp;"|"&amp;IF(H2305="W3","W3_"&amp;IF(I2305="","unknown",I2305),H2305))</f>
        <v/>
      </c>
      <c r="Q2305">
        <f>IF(P2305="","",IFERROR(IF(AND(H2305="W7",OR(F2305="causal",F2305="predictive")),IF(AND(OR(K2305=1,K2305="1"),OR(L2305=1,L2305="1"),OR(M2305=1,M2305="1")),"adequate","partial"),IF(AND(H2305="W4",F2305="predictive",OR(J2305="P2",J2305="P3",J2305="P4")),IF(OR(U2305=1,U2305="1"),"adequate","partial"),INDEX(Fit_Matrix!$B:$B,MATCH(P2305,Fit_Matrix!$A:$A,0)))),"CHECK KEY"))</f>
        <v/>
      </c>
      <c r="U2305" s="10" t="n"/>
      <c r="V2305" s="10" t="n"/>
      <c r="W2305" s="10" t="n"/>
      <c r="X2305" s="10" t="n"/>
      <c r="Y2305" s="10" t="n"/>
      <c r="Z2305" s="10" t="n"/>
      <c r="AA2305" s="11">
        <f>IF(A2305="","",IF(AND(J2305="P4",F2305="causal"),"P4-CAUSAL",""))</f>
        <v/>
      </c>
    </row>
    <row r="2306" ht="15" customHeight="1" s="1">
      <c r="P2306">
        <f>IF(OR(F2306="",H2306="",J2306=""),"",J2306&amp;"|"&amp;F2306&amp;"|"&amp;IF(H2306="W3","W3_"&amp;IF(I2306="","unknown",I2306),H2306))</f>
        <v/>
      </c>
      <c r="Q2306">
        <f>IF(P2306="","",IFERROR(IF(AND(H2306="W7",OR(F2306="causal",F2306="predictive")),IF(AND(OR(K2306=1,K2306="1"),OR(L2306=1,L2306="1"),OR(M2306=1,M2306="1")),"adequate","partial"),IF(AND(H2306="W4",F2306="predictive",OR(J2306="P2",J2306="P3",J2306="P4")),IF(OR(U2306=1,U2306="1"),"adequate","partial"),INDEX(Fit_Matrix!$B:$B,MATCH(P2306,Fit_Matrix!$A:$A,0)))),"CHECK KEY"))</f>
        <v/>
      </c>
      <c r="U2306" s="10" t="n"/>
      <c r="V2306" s="10" t="n"/>
      <c r="W2306" s="10" t="n"/>
      <c r="X2306" s="10" t="n"/>
      <c r="Y2306" s="10" t="n"/>
      <c r="Z2306" s="10" t="n"/>
      <c r="AA2306" s="11">
        <f>IF(A2306="","",IF(AND(J2306="P4",F2306="causal"),"P4-CAUSAL",""))</f>
        <v/>
      </c>
    </row>
    <row r="2307" ht="15" customHeight="1" s="1">
      <c r="P2307">
        <f>IF(OR(F2307="",H2307="",J2307=""),"",J2307&amp;"|"&amp;F2307&amp;"|"&amp;IF(H2307="W3","W3_"&amp;IF(I2307="","unknown",I2307),H2307))</f>
        <v/>
      </c>
      <c r="Q2307">
        <f>IF(P2307="","",IFERROR(IF(AND(H2307="W7",OR(F2307="causal",F2307="predictive")),IF(AND(OR(K2307=1,K2307="1"),OR(L2307=1,L2307="1"),OR(M2307=1,M2307="1")),"adequate","partial"),IF(AND(H2307="W4",F2307="predictive",OR(J2307="P2",J2307="P3",J2307="P4")),IF(OR(U2307=1,U2307="1"),"adequate","partial"),INDEX(Fit_Matrix!$B:$B,MATCH(P2307,Fit_Matrix!$A:$A,0)))),"CHECK KEY"))</f>
        <v/>
      </c>
      <c r="U2307" s="10" t="n"/>
      <c r="V2307" s="10" t="n"/>
      <c r="W2307" s="10" t="n"/>
      <c r="X2307" s="10" t="n"/>
      <c r="Y2307" s="10" t="n"/>
      <c r="Z2307" s="10" t="n"/>
      <c r="AA2307" s="11">
        <f>IF(A2307="","",IF(AND(J2307="P4",F2307="causal"),"P4-CAUSAL",""))</f>
        <v/>
      </c>
    </row>
    <row r="2308" ht="15" customHeight="1" s="1">
      <c r="P2308">
        <f>IF(OR(F2308="",H2308="",J2308=""),"",J2308&amp;"|"&amp;F2308&amp;"|"&amp;IF(H2308="W3","W3_"&amp;IF(I2308="","unknown",I2308),H2308))</f>
        <v/>
      </c>
      <c r="Q2308">
        <f>IF(P2308="","",IFERROR(IF(AND(H2308="W7",OR(F2308="causal",F2308="predictive")),IF(AND(OR(K2308=1,K2308="1"),OR(L2308=1,L2308="1"),OR(M2308=1,M2308="1")),"adequate","partial"),IF(AND(H2308="W4",F2308="predictive",OR(J2308="P2",J2308="P3",J2308="P4")),IF(OR(U2308=1,U2308="1"),"adequate","partial"),INDEX(Fit_Matrix!$B:$B,MATCH(P2308,Fit_Matrix!$A:$A,0)))),"CHECK KEY"))</f>
        <v/>
      </c>
      <c r="U2308" s="10" t="n"/>
      <c r="V2308" s="10" t="n"/>
      <c r="W2308" s="10" t="n"/>
      <c r="X2308" s="10" t="n"/>
      <c r="Y2308" s="10" t="n"/>
      <c r="Z2308" s="10" t="n"/>
      <c r="AA2308" s="11">
        <f>IF(A2308="","",IF(AND(J2308="P4",F2308="causal"),"P4-CAUSAL",""))</f>
        <v/>
      </c>
    </row>
    <row r="2309" ht="15" customHeight="1" s="1">
      <c r="P2309">
        <f>IF(OR(F2309="",H2309="",J2309=""),"",J2309&amp;"|"&amp;F2309&amp;"|"&amp;IF(H2309="W3","W3_"&amp;IF(I2309="","unknown",I2309),H2309))</f>
        <v/>
      </c>
      <c r="Q2309">
        <f>IF(P2309="","",IFERROR(IF(AND(H2309="W7",OR(F2309="causal",F2309="predictive")),IF(AND(OR(K2309=1,K2309="1"),OR(L2309=1,L2309="1"),OR(M2309=1,M2309="1")),"adequate","partial"),IF(AND(H2309="W4",F2309="predictive",OR(J2309="P2",J2309="P3",J2309="P4")),IF(OR(U2309=1,U2309="1"),"adequate","partial"),INDEX(Fit_Matrix!$B:$B,MATCH(P2309,Fit_Matrix!$A:$A,0)))),"CHECK KEY"))</f>
        <v/>
      </c>
      <c r="U2309" s="10" t="n"/>
      <c r="V2309" s="10" t="n"/>
      <c r="W2309" s="10" t="n"/>
      <c r="X2309" s="10" t="n"/>
      <c r="Y2309" s="10" t="n"/>
      <c r="Z2309" s="10" t="n"/>
      <c r="AA2309" s="11">
        <f>IF(A2309="","",IF(AND(J2309="P4",F2309="causal"),"P4-CAUSAL",""))</f>
        <v/>
      </c>
    </row>
    <row r="2310" ht="15" customHeight="1" s="1">
      <c r="P2310">
        <f>IF(OR(F2310="",H2310="",J2310=""),"",J2310&amp;"|"&amp;F2310&amp;"|"&amp;IF(H2310="W3","W3_"&amp;IF(I2310="","unknown",I2310),H2310))</f>
        <v/>
      </c>
      <c r="Q2310">
        <f>IF(P2310="","",IFERROR(IF(AND(H2310="W7",OR(F2310="causal",F2310="predictive")),IF(AND(OR(K2310=1,K2310="1"),OR(L2310=1,L2310="1"),OR(M2310=1,M2310="1")),"adequate","partial"),IF(AND(H2310="W4",F2310="predictive",OR(J2310="P2",J2310="P3",J2310="P4")),IF(OR(U2310=1,U2310="1"),"adequate","partial"),INDEX(Fit_Matrix!$B:$B,MATCH(P2310,Fit_Matrix!$A:$A,0)))),"CHECK KEY"))</f>
        <v/>
      </c>
      <c r="U2310" s="10" t="n"/>
      <c r="V2310" s="10" t="n"/>
      <c r="W2310" s="10" t="n"/>
      <c r="X2310" s="10" t="n"/>
      <c r="Y2310" s="10" t="n"/>
      <c r="Z2310" s="10" t="n"/>
      <c r="AA2310" s="11">
        <f>IF(A2310="","",IF(AND(J2310="P4",F2310="causal"),"P4-CAUSAL",""))</f>
        <v/>
      </c>
    </row>
    <row r="2311" ht="15" customHeight="1" s="1">
      <c r="P2311">
        <f>IF(OR(F2311="",H2311="",J2311=""),"",J2311&amp;"|"&amp;F2311&amp;"|"&amp;IF(H2311="W3","W3_"&amp;IF(I2311="","unknown",I2311),H2311))</f>
        <v/>
      </c>
      <c r="Q2311">
        <f>IF(P2311="","",IFERROR(IF(AND(H2311="W7",OR(F2311="causal",F2311="predictive")),IF(AND(OR(K2311=1,K2311="1"),OR(L2311=1,L2311="1"),OR(M2311=1,M2311="1")),"adequate","partial"),IF(AND(H2311="W4",F2311="predictive",OR(J2311="P2",J2311="P3",J2311="P4")),IF(OR(U2311=1,U2311="1"),"adequate","partial"),INDEX(Fit_Matrix!$B:$B,MATCH(P2311,Fit_Matrix!$A:$A,0)))),"CHECK KEY"))</f>
        <v/>
      </c>
      <c r="U2311" s="10" t="n"/>
      <c r="V2311" s="10" t="n"/>
      <c r="W2311" s="10" t="n"/>
      <c r="X2311" s="10" t="n"/>
      <c r="Y2311" s="10" t="n"/>
      <c r="Z2311" s="10" t="n"/>
      <c r="AA2311" s="11">
        <f>IF(A2311="","",IF(AND(J2311="P4",F2311="causal"),"P4-CAUSAL",""))</f>
        <v/>
      </c>
    </row>
    <row r="2312" ht="15" customHeight="1" s="1">
      <c r="P2312">
        <f>IF(OR(F2312="",H2312="",J2312=""),"",J2312&amp;"|"&amp;F2312&amp;"|"&amp;IF(H2312="W3","W3_"&amp;IF(I2312="","unknown",I2312),H2312))</f>
        <v/>
      </c>
      <c r="Q2312">
        <f>IF(P2312="","",IFERROR(IF(AND(H2312="W7",OR(F2312="causal",F2312="predictive")),IF(AND(OR(K2312=1,K2312="1"),OR(L2312=1,L2312="1"),OR(M2312=1,M2312="1")),"adequate","partial"),IF(AND(H2312="W4",F2312="predictive",OR(J2312="P2",J2312="P3",J2312="P4")),IF(OR(U2312=1,U2312="1"),"adequate","partial"),INDEX(Fit_Matrix!$B:$B,MATCH(P2312,Fit_Matrix!$A:$A,0)))),"CHECK KEY"))</f>
        <v/>
      </c>
      <c r="U2312" s="10" t="n"/>
      <c r="V2312" s="10" t="n"/>
      <c r="W2312" s="10" t="n"/>
      <c r="X2312" s="10" t="n"/>
      <c r="Y2312" s="10" t="n"/>
      <c r="Z2312" s="10" t="n"/>
      <c r="AA2312" s="11">
        <f>IF(A2312="","",IF(AND(J2312="P4",F2312="causal"),"P4-CAUSAL",""))</f>
        <v/>
      </c>
    </row>
    <row r="2313" ht="15" customHeight="1" s="1">
      <c r="P2313">
        <f>IF(OR(F2313="",H2313="",J2313=""),"",J2313&amp;"|"&amp;F2313&amp;"|"&amp;IF(H2313="W3","W3_"&amp;IF(I2313="","unknown",I2313),H2313))</f>
        <v/>
      </c>
      <c r="Q2313">
        <f>IF(P2313="","",IFERROR(IF(AND(H2313="W7",OR(F2313="causal",F2313="predictive")),IF(AND(OR(K2313=1,K2313="1"),OR(L2313=1,L2313="1"),OR(M2313=1,M2313="1")),"adequate","partial"),IF(AND(H2313="W4",F2313="predictive",OR(J2313="P2",J2313="P3",J2313="P4")),IF(OR(U2313=1,U2313="1"),"adequate","partial"),INDEX(Fit_Matrix!$B:$B,MATCH(P2313,Fit_Matrix!$A:$A,0)))),"CHECK KEY"))</f>
        <v/>
      </c>
      <c r="U2313" s="10" t="n"/>
      <c r="V2313" s="10" t="n"/>
      <c r="W2313" s="10" t="n"/>
      <c r="X2313" s="10" t="n"/>
      <c r="Y2313" s="10" t="n"/>
      <c r="Z2313" s="10" t="n"/>
      <c r="AA2313" s="11">
        <f>IF(A2313="","",IF(AND(J2313="P4",F2313="causal"),"P4-CAUSAL",""))</f>
        <v/>
      </c>
    </row>
    <row r="2314" ht="15" customHeight="1" s="1">
      <c r="P2314">
        <f>IF(OR(F2314="",H2314="",J2314=""),"",J2314&amp;"|"&amp;F2314&amp;"|"&amp;IF(H2314="W3","W3_"&amp;IF(I2314="","unknown",I2314),H2314))</f>
        <v/>
      </c>
      <c r="Q2314">
        <f>IF(P2314="","",IFERROR(IF(AND(H2314="W7",OR(F2314="causal",F2314="predictive")),IF(AND(OR(K2314=1,K2314="1"),OR(L2314=1,L2314="1"),OR(M2314=1,M2314="1")),"adequate","partial"),IF(AND(H2314="W4",F2314="predictive",OR(J2314="P2",J2314="P3",J2314="P4")),IF(OR(U2314=1,U2314="1"),"adequate","partial"),INDEX(Fit_Matrix!$B:$B,MATCH(P2314,Fit_Matrix!$A:$A,0)))),"CHECK KEY"))</f>
        <v/>
      </c>
      <c r="U2314" s="10" t="n"/>
      <c r="V2314" s="10" t="n"/>
      <c r="W2314" s="10" t="n"/>
      <c r="X2314" s="10" t="n"/>
      <c r="Y2314" s="10" t="n"/>
      <c r="Z2314" s="10" t="n"/>
      <c r="AA2314" s="11">
        <f>IF(A2314="","",IF(AND(J2314="P4",F2314="causal"),"P4-CAUSAL",""))</f>
        <v/>
      </c>
    </row>
    <row r="2315" ht="15" customHeight="1" s="1">
      <c r="P2315">
        <f>IF(OR(F2315="",H2315="",J2315=""),"",J2315&amp;"|"&amp;F2315&amp;"|"&amp;IF(H2315="W3","W3_"&amp;IF(I2315="","unknown",I2315),H2315))</f>
        <v/>
      </c>
      <c r="Q2315">
        <f>IF(P2315="","",IFERROR(IF(AND(H2315="W7",OR(F2315="causal",F2315="predictive")),IF(AND(OR(K2315=1,K2315="1"),OR(L2315=1,L2315="1"),OR(M2315=1,M2315="1")),"adequate","partial"),IF(AND(H2315="W4",F2315="predictive",OR(J2315="P2",J2315="P3",J2315="P4")),IF(OR(U2315=1,U2315="1"),"adequate","partial"),INDEX(Fit_Matrix!$B:$B,MATCH(P2315,Fit_Matrix!$A:$A,0)))),"CHECK KEY"))</f>
        <v/>
      </c>
      <c r="U2315" s="10" t="n"/>
      <c r="V2315" s="10" t="n"/>
      <c r="W2315" s="10" t="n"/>
      <c r="X2315" s="10" t="n"/>
      <c r="Y2315" s="10" t="n"/>
      <c r="Z2315" s="10" t="n"/>
      <c r="AA2315" s="11">
        <f>IF(A2315="","",IF(AND(J2315="P4",F2315="causal"),"P4-CAUSAL",""))</f>
        <v/>
      </c>
    </row>
    <row r="2316" ht="15" customHeight="1" s="1">
      <c r="P2316">
        <f>IF(OR(F2316="",H2316="",J2316=""),"",J2316&amp;"|"&amp;F2316&amp;"|"&amp;IF(H2316="W3","W3_"&amp;IF(I2316="","unknown",I2316),H2316))</f>
        <v/>
      </c>
      <c r="Q2316">
        <f>IF(P2316="","",IFERROR(IF(AND(H2316="W7",OR(F2316="causal",F2316="predictive")),IF(AND(OR(K2316=1,K2316="1"),OR(L2316=1,L2316="1"),OR(M2316=1,M2316="1")),"adequate","partial"),IF(AND(H2316="W4",F2316="predictive",OR(J2316="P2",J2316="P3",J2316="P4")),IF(OR(U2316=1,U2316="1"),"adequate","partial"),INDEX(Fit_Matrix!$B:$B,MATCH(P2316,Fit_Matrix!$A:$A,0)))),"CHECK KEY"))</f>
        <v/>
      </c>
      <c r="U2316" s="10" t="n"/>
      <c r="V2316" s="10" t="n"/>
      <c r="W2316" s="10" t="n"/>
      <c r="X2316" s="10" t="n"/>
      <c r="Y2316" s="10" t="n"/>
      <c r="Z2316" s="10" t="n"/>
      <c r="AA2316" s="11">
        <f>IF(A2316="","",IF(AND(J2316="P4",F2316="causal"),"P4-CAUSAL",""))</f>
        <v/>
      </c>
    </row>
    <row r="2317" ht="15" customHeight="1" s="1">
      <c r="P2317">
        <f>IF(OR(F2317="",H2317="",J2317=""),"",J2317&amp;"|"&amp;F2317&amp;"|"&amp;IF(H2317="W3","W3_"&amp;IF(I2317="","unknown",I2317),H2317))</f>
        <v/>
      </c>
      <c r="Q2317">
        <f>IF(P2317="","",IFERROR(IF(AND(H2317="W7",OR(F2317="causal",F2317="predictive")),IF(AND(OR(K2317=1,K2317="1"),OR(L2317=1,L2317="1"),OR(M2317=1,M2317="1")),"adequate","partial"),IF(AND(H2317="W4",F2317="predictive",OR(J2317="P2",J2317="P3",J2317="P4")),IF(OR(U2317=1,U2317="1"),"adequate","partial"),INDEX(Fit_Matrix!$B:$B,MATCH(P2317,Fit_Matrix!$A:$A,0)))),"CHECK KEY"))</f>
        <v/>
      </c>
      <c r="U2317" s="10" t="n"/>
      <c r="V2317" s="10" t="n"/>
      <c r="W2317" s="10" t="n"/>
      <c r="X2317" s="10" t="n"/>
      <c r="Y2317" s="10" t="n"/>
      <c r="Z2317" s="10" t="n"/>
      <c r="AA2317" s="11">
        <f>IF(A2317="","",IF(AND(J2317="P4",F2317="causal"),"P4-CAUSAL",""))</f>
        <v/>
      </c>
    </row>
    <row r="2318" ht="15" customHeight="1" s="1">
      <c r="P2318">
        <f>IF(OR(F2318="",H2318="",J2318=""),"",J2318&amp;"|"&amp;F2318&amp;"|"&amp;IF(H2318="W3","W3_"&amp;IF(I2318="","unknown",I2318),H2318))</f>
        <v/>
      </c>
      <c r="Q2318">
        <f>IF(P2318="","",IFERROR(IF(AND(H2318="W7",OR(F2318="causal",F2318="predictive")),IF(AND(OR(K2318=1,K2318="1"),OR(L2318=1,L2318="1"),OR(M2318=1,M2318="1")),"adequate","partial"),IF(AND(H2318="W4",F2318="predictive",OR(J2318="P2",J2318="P3",J2318="P4")),IF(OR(U2318=1,U2318="1"),"adequate","partial"),INDEX(Fit_Matrix!$B:$B,MATCH(P2318,Fit_Matrix!$A:$A,0)))),"CHECK KEY"))</f>
        <v/>
      </c>
      <c r="U2318" s="10" t="n"/>
      <c r="V2318" s="10" t="n"/>
      <c r="W2318" s="10" t="n"/>
      <c r="X2318" s="10" t="n"/>
      <c r="Y2318" s="10" t="n"/>
      <c r="Z2318" s="10" t="n"/>
      <c r="AA2318" s="11">
        <f>IF(A2318="","",IF(AND(J2318="P4",F2318="causal"),"P4-CAUSAL",""))</f>
        <v/>
      </c>
    </row>
    <row r="2319" ht="15" customHeight="1" s="1">
      <c r="P2319">
        <f>IF(OR(F2319="",H2319="",J2319=""),"",J2319&amp;"|"&amp;F2319&amp;"|"&amp;IF(H2319="W3","W3_"&amp;IF(I2319="","unknown",I2319),H2319))</f>
        <v/>
      </c>
      <c r="Q2319">
        <f>IF(P2319="","",IFERROR(IF(AND(H2319="W7",OR(F2319="causal",F2319="predictive")),IF(AND(OR(K2319=1,K2319="1"),OR(L2319=1,L2319="1"),OR(M2319=1,M2319="1")),"adequate","partial"),IF(AND(H2319="W4",F2319="predictive",OR(J2319="P2",J2319="P3",J2319="P4")),IF(OR(U2319=1,U2319="1"),"adequate","partial"),INDEX(Fit_Matrix!$B:$B,MATCH(P2319,Fit_Matrix!$A:$A,0)))),"CHECK KEY"))</f>
        <v/>
      </c>
      <c r="U2319" s="10" t="n"/>
      <c r="V2319" s="10" t="n"/>
      <c r="W2319" s="10" t="n"/>
      <c r="X2319" s="10" t="n"/>
      <c r="Y2319" s="10" t="n"/>
      <c r="Z2319" s="10" t="n"/>
      <c r="AA2319" s="11">
        <f>IF(A2319="","",IF(AND(J2319="P4",F2319="causal"),"P4-CAUSAL",""))</f>
        <v/>
      </c>
    </row>
    <row r="2320" ht="15" customHeight="1" s="1">
      <c r="P2320">
        <f>IF(OR(F2320="",H2320="",J2320=""),"",J2320&amp;"|"&amp;F2320&amp;"|"&amp;IF(H2320="W3","W3_"&amp;IF(I2320="","unknown",I2320),H2320))</f>
        <v/>
      </c>
      <c r="Q2320">
        <f>IF(P2320="","",IFERROR(IF(AND(H2320="W7",OR(F2320="causal",F2320="predictive")),IF(AND(OR(K2320=1,K2320="1"),OR(L2320=1,L2320="1"),OR(M2320=1,M2320="1")),"adequate","partial"),IF(AND(H2320="W4",F2320="predictive",OR(J2320="P2",J2320="P3",J2320="P4")),IF(OR(U2320=1,U2320="1"),"adequate","partial"),INDEX(Fit_Matrix!$B:$B,MATCH(P2320,Fit_Matrix!$A:$A,0)))),"CHECK KEY"))</f>
        <v/>
      </c>
      <c r="U2320" s="10" t="n"/>
      <c r="V2320" s="10" t="n"/>
      <c r="W2320" s="10" t="n"/>
      <c r="X2320" s="10" t="n"/>
      <c r="Y2320" s="10" t="n"/>
      <c r="Z2320" s="10" t="n"/>
      <c r="AA2320" s="11">
        <f>IF(A2320="","",IF(AND(J2320="P4",F2320="causal"),"P4-CAUSAL",""))</f>
        <v/>
      </c>
    </row>
    <row r="2321" ht="15" customHeight="1" s="1">
      <c r="P2321">
        <f>IF(OR(F2321="",H2321="",J2321=""),"",J2321&amp;"|"&amp;F2321&amp;"|"&amp;IF(H2321="W3","W3_"&amp;IF(I2321="","unknown",I2321),H2321))</f>
        <v/>
      </c>
      <c r="Q2321">
        <f>IF(P2321="","",IFERROR(IF(AND(H2321="W7",OR(F2321="causal",F2321="predictive")),IF(AND(OR(K2321=1,K2321="1"),OR(L2321=1,L2321="1"),OR(M2321=1,M2321="1")),"adequate","partial"),IF(AND(H2321="W4",F2321="predictive",OR(J2321="P2",J2321="P3",J2321="P4")),IF(OR(U2321=1,U2321="1"),"adequate","partial"),INDEX(Fit_Matrix!$B:$B,MATCH(P2321,Fit_Matrix!$A:$A,0)))),"CHECK KEY"))</f>
        <v/>
      </c>
      <c r="U2321" s="10" t="n"/>
      <c r="V2321" s="10" t="n"/>
      <c r="W2321" s="10" t="n"/>
      <c r="X2321" s="10" t="n"/>
      <c r="Y2321" s="10" t="n"/>
      <c r="Z2321" s="10" t="n"/>
      <c r="AA2321" s="11">
        <f>IF(A2321="","",IF(AND(J2321="P4",F2321="causal"),"P4-CAUSAL",""))</f>
        <v/>
      </c>
    </row>
    <row r="2322" ht="15" customHeight="1" s="1">
      <c r="P2322">
        <f>IF(OR(F2322="",H2322="",J2322=""),"",J2322&amp;"|"&amp;F2322&amp;"|"&amp;IF(H2322="W3","W3_"&amp;IF(I2322="","unknown",I2322),H2322))</f>
        <v/>
      </c>
      <c r="Q2322">
        <f>IF(P2322="","",IFERROR(IF(AND(H2322="W7",OR(F2322="causal",F2322="predictive")),IF(AND(OR(K2322=1,K2322="1"),OR(L2322=1,L2322="1"),OR(M2322=1,M2322="1")),"adequate","partial"),IF(AND(H2322="W4",F2322="predictive",OR(J2322="P2",J2322="P3",J2322="P4")),IF(OR(U2322=1,U2322="1"),"adequate","partial"),INDEX(Fit_Matrix!$B:$B,MATCH(P2322,Fit_Matrix!$A:$A,0)))),"CHECK KEY"))</f>
        <v/>
      </c>
      <c r="U2322" s="10" t="n"/>
      <c r="V2322" s="10" t="n"/>
      <c r="W2322" s="10" t="n"/>
      <c r="X2322" s="10" t="n"/>
      <c r="Y2322" s="10" t="n"/>
      <c r="Z2322" s="10" t="n"/>
      <c r="AA2322" s="11">
        <f>IF(A2322="","",IF(AND(J2322="P4",F2322="causal"),"P4-CAUSAL",""))</f>
        <v/>
      </c>
    </row>
    <row r="2323" ht="15" customHeight="1" s="1">
      <c r="P2323">
        <f>IF(OR(F2323="",H2323="",J2323=""),"",J2323&amp;"|"&amp;F2323&amp;"|"&amp;IF(H2323="W3","W3_"&amp;IF(I2323="","unknown",I2323),H2323))</f>
        <v/>
      </c>
      <c r="Q2323">
        <f>IF(P2323="","",IFERROR(IF(AND(H2323="W7",OR(F2323="causal",F2323="predictive")),IF(AND(OR(K2323=1,K2323="1"),OR(L2323=1,L2323="1"),OR(M2323=1,M2323="1")),"adequate","partial"),IF(AND(H2323="W4",F2323="predictive",OR(J2323="P2",J2323="P3",J2323="P4")),IF(OR(U2323=1,U2323="1"),"adequate","partial"),INDEX(Fit_Matrix!$B:$B,MATCH(P2323,Fit_Matrix!$A:$A,0)))),"CHECK KEY"))</f>
        <v/>
      </c>
      <c r="U2323" s="10" t="n"/>
      <c r="V2323" s="10" t="n"/>
      <c r="W2323" s="10" t="n"/>
      <c r="X2323" s="10" t="n"/>
      <c r="Y2323" s="10" t="n"/>
      <c r="Z2323" s="10" t="n"/>
      <c r="AA2323" s="11">
        <f>IF(A2323="","",IF(AND(J2323="P4",F2323="causal"),"P4-CAUSAL",""))</f>
        <v/>
      </c>
    </row>
    <row r="2324" ht="15" customHeight="1" s="1">
      <c r="P2324">
        <f>IF(OR(F2324="",H2324="",J2324=""),"",J2324&amp;"|"&amp;F2324&amp;"|"&amp;IF(H2324="W3","W3_"&amp;IF(I2324="","unknown",I2324),H2324))</f>
        <v/>
      </c>
      <c r="Q2324">
        <f>IF(P2324="","",IFERROR(IF(AND(H2324="W7",OR(F2324="causal",F2324="predictive")),IF(AND(OR(K2324=1,K2324="1"),OR(L2324=1,L2324="1"),OR(M2324=1,M2324="1")),"adequate","partial"),IF(AND(H2324="W4",F2324="predictive",OR(J2324="P2",J2324="P3",J2324="P4")),IF(OR(U2324=1,U2324="1"),"adequate","partial"),INDEX(Fit_Matrix!$B:$B,MATCH(P2324,Fit_Matrix!$A:$A,0)))),"CHECK KEY"))</f>
        <v/>
      </c>
      <c r="U2324" s="10" t="n"/>
      <c r="V2324" s="10" t="n"/>
      <c r="W2324" s="10" t="n"/>
      <c r="X2324" s="10" t="n"/>
      <c r="Y2324" s="10" t="n"/>
      <c r="Z2324" s="10" t="n"/>
      <c r="AA2324" s="11">
        <f>IF(A2324="","",IF(AND(J2324="P4",F2324="causal"),"P4-CAUSAL",""))</f>
        <v/>
      </c>
    </row>
    <row r="2325" ht="15" customHeight="1" s="1">
      <c r="P2325">
        <f>IF(OR(F2325="",H2325="",J2325=""),"",J2325&amp;"|"&amp;F2325&amp;"|"&amp;IF(H2325="W3","W3_"&amp;IF(I2325="","unknown",I2325),H2325))</f>
        <v/>
      </c>
      <c r="Q2325">
        <f>IF(P2325="","",IFERROR(IF(AND(H2325="W7",OR(F2325="causal",F2325="predictive")),IF(AND(OR(K2325=1,K2325="1"),OR(L2325=1,L2325="1"),OR(M2325=1,M2325="1")),"adequate","partial"),IF(AND(H2325="W4",F2325="predictive",OR(J2325="P2",J2325="P3",J2325="P4")),IF(OR(U2325=1,U2325="1"),"adequate","partial"),INDEX(Fit_Matrix!$B:$B,MATCH(P2325,Fit_Matrix!$A:$A,0)))),"CHECK KEY"))</f>
        <v/>
      </c>
      <c r="U2325" s="10" t="n"/>
      <c r="V2325" s="10" t="n"/>
      <c r="W2325" s="10" t="n"/>
      <c r="X2325" s="10" t="n"/>
      <c r="Y2325" s="10" t="n"/>
      <c r="Z2325" s="10" t="n"/>
      <c r="AA2325" s="11">
        <f>IF(A2325="","",IF(AND(J2325="P4",F2325="causal"),"P4-CAUSAL",""))</f>
        <v/>
      </c>
    </row>
    <row r="2326" ht="15" customHeight="1" s="1">
      <c r="P2326">
        <f>IF(OR(F2326="",H2326="",J2326=""),"",J2326&amp;"|"&amp;F2326&amp;"|"&amp;IF(H2326="W3","W3_"&amp;IF(I2326="","unknown",I2326),H2326))</f>
        <v/>
      </c>
      <c r="Q2326">
        <f>IF(P2326="","",IFERROR(IF(AND(H2326="W7",OR(F2326="causal",F2326="predictive")),IF(AND(OR(K2326=1,K2326="1"),OR(L2326=1,L2326="1"),OR(M2326=1,M2326="1")),"adequate","partial"),IF(AND(H2326="W4",F2326="predictive",OR(J2326="P2",J2326="P3",J2326="P4")),IF(OR(U2326=1,U2326="1"),"adequate","partial"),INDEX(Fit_Matrix!$B:$B,MATCH(P2326,Fit_Matrix!$A:$A,0)))),"CHECK KEY"))</f>
        <v/>
      </c>
      <c r="U2326" s="10" t="n"/>
      <c r="V2326" s="10" t="n"/>
      <c r="W2326" s="10" t="n"/>
      <c r="X2326" s="10" t="n"/>
      <c r="Y2326" s="10" t="n"/>
      <c r="Z2326" s="10" t="n"/>
      <c r="AA2326" s="11">
        <f>IF(A2326="","",IF(AND(J2326="P4",F2326="causal"),"P4-CAUSAL",""))</f>
        <v/>
      </c>
    </row>
    <row r="2327" ht="15" customHeight="1" s="1">
      <c r="P2327">
        <f>IF(OR(F2327="",H2327="",J2327=""),"",J2327&amp;"|"&amp;F2327&amp;"|"&amp;IF(H2327="W3","W3_"&amp;IF(I2327="","unknown",I2327),H2327))</f>
        <v/>
      </c>
      <c r="Q2327">
        <f>IF(P2327="","",IFERROR(IF(AND(H2327="W7",OR(F2327="causal",F2327="predictive")),IF(AND(OR(K2327=1,K2327="1"),OR(L2327=1,L2327="1"),OR(M2327=1,M2327="1")),"adequate","partial"),IF(AND(H2327="W4",F2327="predictive",OR(J2327="P2",J2327="P3",J2327="P4")),IF(OR(U2327=1,U2327="1"),"adequate","partial"),INDEX(Fit_Matrix!$B:$B,MATCH(P2327,Fit_Matrix!$A:$A,0)))),"CHECK KEY"))</f>
        <v/>
      </c>
      <c r="U2327" s="10" t="n"/>
      <c r="V2327" s="10" t="n"/>
      <c r="W2327" s="10" t="n"/>
      <c r="X2327" s="10" t="n"/>
      <c r="Y2327" s="10" t="n"/>
      <c r="Z2327" s="10" t="n"/>
      <c r="AA2327" s="11">
        <f>IF(A2327="","",IF(AND(J2327="P4",F2327="causal"),"P4-CAUSAL",""))</f>
        <v/>
      </c>
    </row>
    <row r="2328" ht="15" customHeight="1" s="1">
      <c r="P2328">
        <f>IF(OR(F2328="",H2328="",J2328=""),"",J2328&amp;"|"&amp;F2328&amp;"|"&amp;IF(H2328="W3","W3_"&amp;IF(I2328="","unknown",I2328),H2328))</f>
        <v/>
      </c>
      <c r="Q2328">
        <f>IF(P2328="","",IFERROR(IF(AND(H2328="W7",OR(F2328="causal",F2328="predictive")),IF(AND(OR(K2328=1,K2328="1"),OR(L2328=1,L2328="1"),OR(M2328=1,M2328="1")),"adequate","partial"),IF(AND(H2328="W4",F2328="predictive",OR(J2328="P2",J2328="P3",J2328="P4")),IF(OR(U2328=1,U2328="1"),"adequate","partial"),INDEX(Fit_Matrix!$B:$B,MATCH(P2328,Fit_Matrix!$A:$A,0)))),"CHECK KEY"))</f>
        <v/>
      </c>
      <c r="U2328" s="10" t="n"/>
      <c r="V2328" s="10" t="n"/>
      <c r="W2328" s="10" t="n"/>
      <c r="X2328" s="10" t="n"/>
      <c r="Y2328" s="10" t="n"/>
      <c r="Z2328" s="10" t="n"/>
      <c r="AA2328" s="11">
        <f>IF(A2328="","",IF(AND(J2328="P4",F2328="causal"),"P4-CAUSAL",""))</f>
        <v/>
      </c>
    </row>
    <row r="2329" ht="15" customHeight="1" s="1">
      <c r="P2329">
        <f>IF(OR(F2329="",H2329="",J2329=""),"",J2329&amp;"|"&amp;F2329&amp;"|"&amp;IF(H2329="W3","W3_"&amp;IF(I2329="","unknown",I2329),H2329))</f>
        <v/>
      </c>
      <c r="Q2329">
        <f>IF(P2329="","",IFERROR(IF(AND(H2329="W7",OR(F2329="causal",F2329="predictive")),IF(AND(OR(K2329=1,K2329="1"),OR(L2329=1,L2329="1"),OR(M2329=1,M2329="1")),"adequate","partial"),IF(AND(H2329="W4",F2329="predictive",OR(J2329="P2",J2329="P3",J2329="P4")),IF(OR(U2329=1,U2329="1"),"adequate","partial"),INDEX(Fit_Matrix!$B:$B,MATCH(P2329,Fit_Matrix!$A:$A,0)))),"CHECK KEY"))</f>
        <v/>
      </c>
      <c r="U2329" s="10" t="n"/>
      <c r="V2329" s="10" t="n"/>
      <c r="W2329" s="10" t="n"/>
      <c r="X2329" s="10" t="n"/>
      <c r="Y2329" s="10" t="n"/>
      <c r="Z2329" s="10" t="n"/>
      <c r="AA2329" s="11">
        <f>IF(A2329="","",IF(AND(J2329="P4",F2329="causal"),"P4-CAUSAL",""))</f>
        <v/>
      </c>
    </row>
    <row r="2330" ht="15" customHeight="1" s="1">
      <c r="P2330">
        <f>IF(OR(F2330="",H2330="",J2330=""),"",J2330&amp;"|"&amp;F2330&amp;"|"&amp;IF(H2330="W3","W3_"&amp;IF(I2330="","unknown",I2330),H2330))</f>
        <v/>
      </c>
      <c r="Q2330">
        <f>IF(P2330="","",IFERROR(IF(AND(H2330="W7",OR(F2330="causal",F2330="predictive")),IF(AND(OR(K2330=1,K2330="1"),OR(L2330=1,L2330="1"),OR(M2330=1,M2330="1")),"adequate","partial"),IF(AND(H2330="W4",F2330="predictive",OR(J2330="P2",J2330="P3",J2330="P4")),IF(OR(U2330=1,U2330="1"),"adequate","partial"),INDEX(Fit_Matrix!$B:$B,MATCH(P2330,Fit_Matrix!$A:$A,0)))),"CHECK KEY"))</f>
        <v/>
      </c>
      <c r="U2330" s="10" t="n"/>
      <c r="V2330" s="10" t="n"/>
      <c r="W2330" s="10" t="n"/>
      <c r="X2330" s="10" t="n"/>
      <c r="Y2330" s="10" t="n"/>
      <c r="Z2330" s="10" t="n"/>
      <c r="AA2330" s="11">
        <f>IF(A2330="","",IF(AND(J2330="P4",F2330="causal"),"P4-CAUSAL",""))</f>
        <v/>
      </c>
    </row>
    <row r="2331" ht="15" customHeight="1" s="1">
      <c r="P2331">
        <f>IF(OR(F2331="",H2331="",J2331=""),"",J2331&amp;"|"&amp;F2331&amp;"|"&amp;IF(H2331="W3","W3_"&amp;IF(I2331="","unknown",I2331),H2331))</f>
        <v/>
      </c>
      <c r="Q2331">
        <f>IF(P2331="","",IFERROR(IF(AND(H2331="W7",OR(F2331="causal",F2331="predictive")),IF(AND(OR(K2331=1,K2331="1"),OR(L2331=1,L2331="1"),OR(M2331=1,M2331="1")),"adequate","partial"),IF(AND(H2331="W4",F2331="predictive",OR(J2331="P2",J2331="P3",J2331="P4")),IF(OR(U2331=1,U2331="1"),"adequate","partial"),INDEX(Fit_Matrix!$B:$B,MATCH(P2331,Fit_Matrix!$A:$A,0)))),"CHECK KEY"))</f>
        <v/>
      </c>
      <c r="U2331" s="10" t="n"/>
      <c r="V2331" s="10" t="n"/>
      <c r="W2331" s="10" t="n"/>
      <c r="X2331" s="10" t="n"/>
      <c r="Y2331" s="10" t="n"/>
      <c r="Z2331" s="10" t="n"/>
      <c r="AA2331" s="11">
        <f>IF(A2331="","",IF(AND(J2331="P4",F2331="causal"),"P4-CAUSAL",""))</f>
        <v/>
      </c>
    </row>
    <row r="2332" ht="15" customHeight="1" s="1">
      <c r="P2332">
        <f>IF(OR(F2332="",H2332="",J2332=""),"",J2332&amp;"|"&amp;F2332&amp;"|"&amp;IF(H2332="W3","W3_"&amp;IF(I2332="","unknown",I2332),H2332))</f>
        <v/>
      </c>
      <c r="Q2332">
        <f>IF(P2332="","",IFERROR(IF(AND(H2332="W7",OR(F2332="causal",F2332="predictive")),IF(AND(OR(K2332=1,K2332="1"),OR(L2332=1,L2332="1"),OR(M2332=1,M2332="1")),"adequate","partial"),IF(AND(H2332="W4",F2332="predictive",OR(J2332="P2",J2332="P3",J2332="P4")),IF(OR(U2332=1,U2332="1"),"adequate","partial"),INDEX(Fit_Matrix!$B:$B,MATCH(P2332,Fit_Matrix!$A:$A,0)))),"CHECK KEY"))</f>
        <v/>
      </c>
      <c r="U2332" s="10" t="n"/>
      <c r="V2332" s="10" t="n"/>
      <c r="W2332" s="10" t="n"/>
      <c r="X2332" s="10" t="n"/>
      <c r="Y2332" s="10" t="n"/>
      <c r="Z2332" s="10" t="n"/>
      <c r="AA2332" s="11">
        <f>IF(A2332="","",IF(AND(J2332="P4",F2332="causal"),"P4-CAUSAL",""))</f>
        <v/>
      </c>
    </row>
    <row r="2333" ht="15" customHeight="1" s="1">
      <c r="P2333">
        <f>IF(OR(F2333="",H2333="",J2333=""),"",J2333&amp;"|"&amp;F2333&amp;"|"&amp;IF(H2333="W3","W3_"&amp;IF(I2333="","unknown",I2333),H2333))</f>
        <v/>
      </c>
      <c r="Q2333">
        <f>IF(P2333="","",IFERROR(IF(AND(H2333="W7",OR(F2333="causal",F2333="predictive")),IF(AND(OR(K2333=1,K2333="1"),OR(L2333=1,L2333="1"),OR(M2333=1,M2333="1")),"adequate","partial"),IF(AND(H2333="W4",F2333="predictive",OR(J2333="P2",J2333="P3",J2333="P4")),IF(OR(U2333=1,U2333="1"),"adequate","partial"),INDEX(Fit_Matrix!$B:$B,MATCH(P2333,Fit_Matrix!$A:$A,0)))),"CHECK KEY"))</f>
        <v/>
      </c>
      <c r="U2333" s="10" t="n"/>
      <c r="V2333" s="10" t="n"/>
      <c r="W2333" s="10" t="n"/>
      <c r="X2333" s="10" t="n"/>
      <c r="Y2333" s="10" t="n"/>
      <c r="Z2333" s="10" t="n"/>
      <c r="AA2333" s="11">
        <f>IF(A2333="","",IF(AND(J2333="P4",F2333="causal"),"P4-CAUSAL",""))</f>
        <v/>
      </c>
    </row>
    <row r="2334" ht="15" customHeight="1" s="1">
      <c r="P2334">
        <f>IF(OR(F2334="",H2334="",J2334=""),"",J2334&amp;"|"&amp;F2334&amp;"|"&amp;IF(H2334="W3","W3_"&amp;IF(I2334="","unknown",I2334),H2334))</f>
        <v/>
      </c>
      <c r="Q2334">
        <f>IF(P2334="","",IFERROR(IF(AND(H2334="W7",OR(F2334="causal",F2334="predictive")),IF(AND(OR(K2334=1,K2334="1"),OR(L2334=1,L2334="1"),OR(M2334=1,M2334="1")),"adequate","partial"),IF(AND(H2334="W4",F2334="predictive",OR(J2334="P2",J2334="P3",J2334="P4")),IF(OR(U2334=1,U2334="1"),"adequate","partial"),INDEX(Fit_Matrix!$B:$B,MATCH(P2334,Fit_Matrix!$A:$A,0)))),"CHECK KEY"))</f>
        <v/>
      </c>
      <c r="U2334" s="10" t="n"/>
      <c r="V2334" s="10" t="n"/>
      <c r="W2334" s="10" t="n"/>
      <c r="X2334" s="10" t="n"/>
      <c r="Y2334" s="10" t="n"/>
      <c r="Z2334" s="10" t="n"/>
      <c r="AA2334" s="11">
        <f>IF(A2334="","",IF(AND(J2334="P4",F2334="causal"),"P4-CAUSAL",""))</f>
        <v/>
      </c>
    </row>
    <row r="2335" ht="15" customHeight="1" s="1">
      <c r="P2335">
        <f>IF(OR(F2335="",H2335="",J2335=""),"",J2335&amp;"|"&amp;F2335&amp;"|"&amp;IF(H2335="W3","W3_"&amp;IF(I2335="","unknown",I2335),H2335))</f>
        <v/>
      </c>
      <c r="Q2335">
        <f>IF(P2335="","",IFERROR(IF(AND(H2335="W7",OR(F2335="causal",F2335="predictive")),IF(AND(OR(K2335=1,K2335="1"),OR(L2335=1,L2335="1"),OR(M2335=1,M2335="1")),"adequate","partial"),IF(AND(H2335="W4",F2335="predictive",OR(J2335="P2",J2335="P3",J2335="P4")),IF(OR(U2335=1,U2335="1"),"adequate","partial"),INDEX(Fit_Matrix!$B:$B,MATCH(P2335,Fit_Matrix!$A:$A,0)))),"CHECK KEY"))</f>
        <v/>
      </c>
      <c r="U2335" s="10" t="n"/>
      <c r="V2335" s="10" t="n"/>
      <c r="W2335" s="10" t="n"/>
      <c r="X2335" s="10" t="n"/>
      <c r="Y2335" s="10" t="n"/>
      <c r="Z2335" s="10" t="n"/>
      <c r="AA2335" s="11">
        <f>IF(A2335="","",IF(AND(J2335="P4",F2335="causal"),"P4-CAUSAL",""))</f>
        <v/>
      </c>
    </row>
    <row r="2336" ht="15" customHeight="1" s="1">
      <c r="P2336">
        <f>IF(OR(F2336="",H2336="",J2336=""),"",J2336&amp;"|"&amp;F2336&amp;"|"&amp;IF(H2336="W3","W3_"&amp;IF(I2336="","unknown",I2336),H2336))</f>
        <v/>
      </c>
      <c r="Q2336">
        <f>IF(P2336="","",IFERROR(IF(AND(H2336="W7",OR(F2336="causal",F2336="predictive")),IF(AND(OR(K2336=1,K2336="1"),OR(L2336=1,L2336="1"),OR(M2336=1,M2336="1")),"adequate","partial"),IF(AND(H2336="W4",F2336="predictive",OR(J2336="P2",J2336="P3",J2336="P4")),IF(OR(U2336=1,U2336="1"),"adequate","partial"),INDEX(Fit_Matrix!$B:$B,MATCH(P2336,Fit_Matrix!$A:$A,0)))),"CHECK KEY"))</f>
        <v/>
      </c>
      <c r="U2336" s="10" t="n"/>
      <c r="V2336" s="10" t="n"/>
      <c r="W2336" s="10" t="n"/>
      <c r="X2336" s="10" t="n"/>
      <c r="Y2336" s="10" t="n"/>
      <c r="Z2336" s="10" t="n"/>
      <c r="AA2336" s="11">
        <f>IF(A2336="","",IF(AND(J2336="P4",F2336="causal"),"P4-CAUSAL",""))</f>
        <v/>
      </c>
    </row>
    <row r="2337" ht="15" customHeight="1" s="1">
      <c r="P2337">
        <f>IF(OR(F2337="",H2337="",J2337=""),"",J2337&amp;"|"&amp;F2337&amp;"|"&amp;IF(H2337="W3","W3_"&amp;IF(I2337="","unknown",I2337),H2337))</f>
        <v/>
      </c>
      <c r="Q2337">
        <f>IF(P2337="","",IFERROR(IF(AND(H2337="W7",OR(F2337="causal",F2337="predictive")),IF(AND(OR(K2337=1,K2337="1"),OR(L2337=1,L2337="1"),OR(M2337=1,M2337="1")),"adequate","partial"),IF(AND(H2337="W4",F2337="predictive",OR(J2337="P2",J2337="P3",J2337="P4")),IF(OR(U2337=1,U2337="1"),"adequate","partial"),INDEX(Fit_Matrix!$B:$B,MATCH(P2337,Fit_Matrix!$A:$A,0)))),"CHECK KEY"))</f>
        <v/>
      </c>
      <c r="U2337" s="10" t="n"/>
      <c r="V2337" s="10" t="n"/>
      <c r="W2337" s="10" t="n"/>
      <c r="X2337" s="10" t="n"/>
      <c r="Y2337" s="10" t="n"/>
      <c r="Z2337" s="10" t="n"/>
      <c r="AA2337" s="11">
        <f>IF(A2337="","",IF(AND(J2337="P4",F2337="causal"),"P4-CAUSAL",""))</f>
        <v/>
      </c>
    </row>
    <row r="2338" ht="15" customHeight="1" s="1">
      <c r="P2338">
        <f>IF(OR(F2338="",H2338="",J2338=""),"",J2338&amp;"|"&amp;F2338&amp;"|"&amp;IF(H2338="W3","W3_"&amp;IF(I2338="","unknown",I2338),H2338))</f>
        <v/>
      </c>
      <c r="Q2338">
        <f>IF(P2338="","",IFERROR(IF(AND(H2338="W7",OR(F2338="causal",F2338="predictive")),IF(AND(OR(K2338=1,K2338="1"),OR(L2338=1,L2338="1"),OR(M2338=1,M2338="1")),"adequate","partial"),IF(AND(H2338="W4",F2338="predictive",OR(J2338="P2",J2338="P3",J2338="P4")),IF(OR(U2338=1,U2338="1"),"adequate","partial"),INDEX(Fit_Matrix!$B:$B,MATCH(P2338,Fit_Matrix!$A:$A,0)))),"CHECK KEY"))</f>
        <v/>
      </c>
      <c r="U2338" s="10" t="n"/>
      <c r="V2338" s="10" t="n"/>
      <c r="W2338" s="10" t="n"/>
      <c r="X2338" s="10" t="n"/>
      <c r="Y2338" s="10" t="n"/>
      <c r="Z2338" s="10" t="n"/>
      <c r="AA2338" s="11">
        <f>IF(A2338="","",IF(AND(J2338="P4",F2338="causal"),"P4-CAUSAL",""))</f>
        <v/>
      </c>
    </row>
    <row r="2339" ht="15" customHeight="1" s="1">
      <c r="P2339">
        <f>IF(OR(F2339="",H2339="",J2339=""),"",J2339&amp;"|"&amp;F2339&amp;"|"&amp;IF(H2339="W3","W3_"&amp;IF(I2339="","unknown",I2339),H2339))</f>
        <v/>
      </c>
      <c r="Q2339">
        <f>IF(P2339="","",IFERROR(IF(AND(H2339="W7",OR(F2339="causal",F2339="predictive")),IF(AND(OR(K2339=1,K2339="1"),OR(L2339=1,L2339="1"),OR(M2339=1,M2339="1")),"adequate","partial"),IF(AND(H2339="W4",F2339="predictive",OR(J2339="P2",J2339="P3",J2339="P4")),IF(OR(U2339=1,U2339="1"),"adequate","partial"),INDEX(Fit_Matrix!$B:$B,MATCH(P2339,Fit_Matrix!$A:$A,0)))),"CHECK KEY"))</f>
        <v/>
      </c>
      <c r="U2339" s="10" t="n"/>
      <c r="V2339" s="10" t="n"/>
      <c r="W2339" s="10" t="n"/>
      <c r="X2339" s="10" t="n"/>
      <c r="Y2339" s="10" t="n"/>
      <c r="Z2339" s="10" t="n"/>
      <c r="AA2339" s="11">
        <f>IF(A2339="","",IF(AND(J2339="P4",F2339="causal"),"P4-CAUSAL",""))</f>
        <v/>
      </c>
    </row>
    <row r="2340" ht="15" customHeight="1" s="1">
      <c r="P2340">
        <f>IF(OR(F2340="",H2340="",J2340=""),"",J2340&amp;"|"&amp;F2340&amp;"|"&amp;IF(H2340="W3","W3_"&amp;IF(I2340="","unknown",I2340),H2340))</f>
        <v/>
      </c>
      <c r="Q2340">
        <f>IF(P2340="","",IFERROR(IF(AND(H2340="W7",OR(F2340="causal",F2340="predictive")),IF(AND(OR(K2340=1,K2340="1"),OR(L2340=1,L2340="1"),OR(M2340=1,M2340="1")),"adequate","partial"),IF(AND(H2340="W4",F2340="predictive",OR(J2340="P2",J2340="P3",J2340="P4")),IF(OR(U2340=1,U2340="1"),"adequate","partial"),INDEX(Fit_Matrix!$B:$B,MATCH(P2340,Fit_Matrix!$A:$A,0)))),"CHECK KEY"))</f>
        <v/>
      </c>
      <c r="U2340" s="10" t="n"/>
      <c r="V2340" s="10" t="n"/>
      <c r="W2340" s="10" t="n"/>
      <c r="X2340" s="10" t="n"/>
      <c r="Y2340" s="10" t="n"/>
      <c r="Z2340" s="10" t="n"/>
      <c r="AA2340" s="11">
        <f>IF(A2340="","",IF(AND(J2340="P4",F2340="causal"),"P4-CAUSAL",""))</f>
        <v/>
      </c>
    </row>
    <row r="2341" ht="15" customHeight="1" s="1">
      <c r="P2341">
        <f>IF(OR(F2341="",H2341="",J2341=""),"",J2341&amp;"|"&amp;F2341&amp;"|"&amp;IF(H2341="W3","W3_"&amp;IF(I2341="","unknown",I2341),H2341))</f>
        <v/>
      </c>
      <c r="Q2341">
        <f>IF(P2341="","",IFERROR(IF(AND(H2341="W7",OR(F2341="causal",F2341="predictive")),IF(AND(OR(K2341=1,K2341="1"),OR(L2341=1,L2341="1"),OR(M2341=1,M2341="1")),"adequate","partial"),IF(AND(H2341="W4",F2341="predictive",OR(J2341="P2",J2341="P3",J2341="P4")),IF(OR(U2341=1,U2341="1"),"adequate","partial"),INDEX(Fit_Matrix!$B:$B,MATCH(P2341,Fit_Matrix!$A:$A,0)))),"CHECK KEY"))</f>
        <v/>
      </c>
      <c r="U2341" s="10" t="n"/>
      <c r="V2341" s="10" t="n"/>
      <c r="W2341" s="10" t="n"/>
      <c r="X2341" s="10" t="n"/>
      <c r="Y2341" s="10" t="n"/>
      <c r="Z2341" s="10" t="n"/>
      <c r="AA2341" s="11">
        <f>IF(A2341="","",IF(AND(J2341="P4",F2341="causal"),"P4-CAUSAL",""))</f>
        <v/>
      </c>
    </row>
    <row r="2342" ht="15" customHeight="1" s="1">
      <c r="P2342">
        <f>IF(OR(F2342="",H2342="",J2342=""),"",J2342&amp;"|"&amp;F2342&amp;"|"&amp;IF(H2342="W3","W3_"&amp;IF(I2342="","unknown",I2342),H2342))</f>
        <v/>
      </c>
      <c r="Q2342">
        <f>IF(P2342="","",IFERROR(IF(AND(H2342="W7",OR(F2342="causal",F2342="predictive")),IF(AND(OR(K2342=1,K2342="1"),OR(L2342=1,L2342="1"),OR(M2342=1,M2342="1")),"adequate","partial"),IF(AND(H2342="W4",F2342="predictive",OR(J2342="P2",J2342="P3",J2342="P4")),IF(OR(U2342=1,U2342="1"),"adequate","partial"),INDEX(Fit_Matrix!$B:$B,MATCH(P2342,Fit_Matrix!$A:$A,0)))),"CHECK KEY"))</f>
        <v/>
      </c>
      <c r="U2342" s="10" t="n"/>
      <c r="V2342" s="10" t="n"/>
      <c r="W2342" s="10" t="n"/>
      <c r="X2342" s="10" t="n"/>
      <c r="Y2342" s="10" t="n"/>
      <c r="Z2342" s="10" t="n"/>
      <c r="AA2342" s="11">
        <f>IF(A2342="","",IF(AND(J2342="P4",F2342="causal"),"P4-CAUSAL",""))</f>
        <v/>
      </c>
    </row>
    <row r="2343" ht="15" customHeight="1" s="1">
      <c r="P2343">
        <f>IF(OR(F2343="",H2343="",J2343=""),"",J2343&amp;"|"&amp;F2343&amp;"|"&amp;IF(H2343="W3","W3_"&amp;IF(I2343="","unknown",I2343),H2343))</f>
        <v/>
      </c>
      <c r="Q2343">
        <f>IF(P2343="","",IFERROR(IF(AND(H2343="W7",OR(F2343="causal",F2343="predictive")),IF(AND(OR(K2343=1,K2343="1"),OR(L2343=1,L2343="1"),OR(M2343=1,M2343="1")),"adequate","partial"),IF(AND(H2343="W4",F2343="predictive",OR(J2343="P2",J2343="P3",J2343="P4")),IF(OR(U2343=1,U2343="1"),"adequate","partial"),INDEX(Fit_Matrix!$B:$B,MATCH(P2343,Fit_Matrix!$A:$A,0)))),"CHECK KEY"))</f>
        <v/>
      </c>
      <c r="U2343" s="10" t="n"/>
      <c r="V2343" s="10" t="n"/>
      <c r="W2343" s="10" t="n"/>
      <c r="X2343" s="10" t="n"/>
      <c r="Y2343" s="10" t="n"/>
      <c r="Z2343" s="10" t="n"/>
      <c r="AA2343" s="11">
        <f>IF(A2343="","",IF(AND(J2343="P4",F2343="causal"),"P4-CAUSAL",""))</f>
        <v/>
      </c>
    </row>
    <row r="2344" ht="15" customHeight="1" s="1">
      <c r="P2344">
        <f>IF(OR(F2344="",H2344="",J2344=""),"",J2344&amp;"|"&amp;F2344&amp;"|"&amp;IF(H2344="W3","W3_"&amp;IF(I2344="","unknown",I2344),H2344))</f>
        <v/>
      </c>
      <c r="Q2344">
        <f>IF(P2344="","",IFERROR(IF(AND(H2344="W7",OR(F2344="causal",F2344="predictive")),IF(AND(OR(K2344=1,K2344="1"),OR(L2344=1,L2344="1"),OR(M2344=1,M2344="1")),"adequate","partial"),IF(AND(H2344="W4",F2344="predictive",OR(J2344="P2",J2344="P3",J2344="P4")),IF(OR(U2344=1,U2344="1"),"adequate","partial"),INDEX(Fit_Matrix!$B:$B,MATCH(P2344,Fit_Matrix!$A:$A,0)))),"CHECK KEY"))</f>
        <v/>
      </c>
      <c r="U2344" s="10" t="n"/>
      <c r="V2344" s="10" t="n"/>
      <c r="W2344" s="10" t="n"/>
      <c r="X2344" s="10" t="n"/>
      <c r="Y2344" s="10" t="n"/>
      <c r="Z2344" s="10" t="n"/>
      <c r="AA2344" s="11">
        <f>IF(A2344="","",IF(AND(J2344="P4",F2344="causal"),"P4-CAUSAL",""))</f>
        <v/>
      </c>
    </row>
    <row r="2345" ht="15" customHeight="1" s="1">
      <c r="P2345">
        <f>IF(OR(F2345="",H2345="",J2345=""),"",J2345&amp;"|"&amp;F2345&amp;"|"&amp;IF(H2345="W3","W3_"&amp;IF(I2345="","unknown",I2345),H2345))</f>
        <v/>
      </c>
      <c r="Q2345">
        <f>IF(P2345="","",IFERROR(IF(AND(H2345="W7",OR(F2345="causal",F2345="predictive")),IF(AND(OR(K2345=1,K2345="1"),OR(L2345=1,L2345="1"),OR(M2345=1,M2345="1")),"adequate","partial"),IF(AND(H2345="W4",F2345="predictive",OR(J2345="P2",J2345="P3",J2345="P4")),IF(OR(U2345=1,U2345="1"),"adequate","partial"),INDEX(Fit_Matrix!$B:$B,MATCH(P2345,Fit_Matrix!$A:$A,0)))),"CHECK KEY"))</f>
        <v/>
      </c>
      <c r="U2345" s="10" t="n"/>
      <c r="V2345" s="10" t="n"/>
      <c r="W2345" s="10" t="n"/>
      <c r="X2345" s="10" t="n"/>
      <c r="Y2345" s="10" t="n"/>
      <c r="Z2345" s="10" t="n"/>
      <c r="AA2345" s="11">
        <f>IF(A2345="","",IF(AND(J2345="P4",F2345="causal"),"P4-CAUSAL",""))</f>
        <v/>
      </c>
    </row>
    <row r="2346" ht="15" customHeight="1" s="1">
      <c r="P2346">
        <f>IF(OR(F2346="",H2346="",J2346=""),"",J2346&amp;"|"&amp;F2346&amp;"|"&amp;IF(H2346="W3","W3_"&amp;IF(I2346="","unknown",I2346),H2346))</f>
        <v/>
      </c>
      <c r="Q2346">
        <f>IF(P2346="","",IFERROR(IF(AND(H2346="W7",OR(F2346="causal",F2346="predictive")),IF(AND(OR(K2346=1,K2346="1"),OR(L2346=1,L2346="1"),OR(M2346=1,M2346="1")),"adequate","partial"),IF(AND(H2346="W4",F2346="predictive",OR(J2346="P2",J2346="P3",J2346="P4")),IF(OR(U2346=1,U2346="1"),"adequate","partial"),INDEX(Fit_Matrix!$B:$B,MATCH(P2346,Fit_Matrix!$A:$A,0)))),"CHECK KEY"))</f>
        <v/>
      </c>
      <c r="U2346" s="10" t="n"/>
      <c r="V2346" s="10" t="n"/>
      <c r="W2346" s="10" t="n"/>
      <c r="X2346" s="10" t="n"/>
      <c r="Y2346" s="10" t="n"/>
      <c r="Z2346" s="10" t="n"/>
      <c r="AA2346" s="11">
        <f>IF(A2346="","",IF(AND(J2346="P4",F2346="causal"),"P4-CAUSAL",""))</f>
        <v/>
      </c>
    </row>
    <row r="2347" ht="15" customHeight="1" s="1">
      <c r="P2347">
        <f>IF(OR(F2347="",H2347="",J2347=""),"",J2347&amp;"|"&amp;F2347&amp;"|"&amp;IF(H2347="W3","W3_"&amp;IF(I2347="","unknown",I2347),H2347))</f>
        <v/>
      </c>
      <c r="Q2347">
        <f>IF(P2347="","",IFERROR(IF(AND(H2347="W7",OR(F2347="causal",F2347="predictive")),IF(AND(OR(K2347=1,K2347="1"),OR(L2347=1,L2347="1"),OR(M2347=1,M2347="1")),"adequate","partial"),IF(AND(H2347="W4",F2347="predictive",OR(J2347="P2",J2347="P3",J2347="P4")),IF(OR(U2347=1,U2347="1"),"adequate","partial"),INDEX(Fit_Matrix!$B:$B,MATCH(P2347,Fit_Matrix!$A:$A,0)))),"CHECK KEY"))</f>
        <v/>
      </c>
      <c r="U2347" s="10" t="n"/>
      <c r="V2347" s="10" t="n"/>
      <c r="W2347" s="10" t="n"/>
      <c r="X2347" s="10" t="n"/>
      <c r="Y2347" s="10" t="n"/>
      <c r="Z2347" s="10" t="n"/>
      <c r="AA2347" s="11">
        <f>IF(A2347="","",IF(AND(J2347="P4",F2347="causal"),"P4-CAUSAL",""))</f>
        <v/>
      </c>
    </row>
    <row r="2348" ht="15" customHeight="1" s="1">
      <c r="P2348">
        <f>IF(OR(F2348="",H2348="",J2348=""),"",J2348&amp;"|"&amp;F2348&amp;"|"&amp;IF(H2348="W3","W3_"&amp;IF(I2348="","unknown",I2348),H2348))</f>
        <v/>
      </c>
      <c r="Q2348">
        <f>IF(P2348="","",IFERROR(IF(AND(H2348="W7",OR(F2348="causal",F2348="predictive")),IF(AND(OR(K2348=1,K2348="1"),OR(L2348=1,L2348="1"),OR(M2348=1,M2348="1")),"adequate","partial"),IF(AND(H2348="W4",F2348="predictive",OR(J2348="P2",J2348="P3",J2348="P4")),IF(OR(U2348=1,U2348="1"),"adequate","partial"),INDEX(Fit_Matrix!$B:$B,MATCH(P2348,Fit_Matrix!$A:$A,0)))),"CHECK KEY"))</f>
        <v/>
      </c>
      <c r="U2348" s="10" t="n"/>
      <c r="V2348" s="10" t="n"/>
      <c r="W2348" s="10" t="n"/>
      <c r="X2348" s="10" t="n"/>
      <c r="Y2348" s="10" t="n"/>
      <c r="Z2348" s="10" t="n"/>
      <c r="AA2348" s="11">
        <f>IF(A2348="","",IF(AND(J2348="P4",F2348="causal"),"P4-CAUSAL",""))</f>
        <v/>
      </c>
    </row>
    <row r="2349" ht="15" customHeight="1" s="1">
      <c r="P2349">
        <f>IF(OR(F2349="",H2349="",J2349=""),"",J2349&amp;"|"&amp;F2349&amp;"|"&amp;IF(H2349="W3","W3_"&amp;IF(I2349="","unknown",I2349),H2349))</f>
        <v/>
      </c>
      <c r="Q2349">
        <f>IF(P2349="","",IFERROR(IF(AND(H2349="W7",OR(F2349="causal",F2349="predictive")),IF(AND(OR(K2349=1,K2349="1"),OR(L2349=1,L2349="1"),OR(M2349=1,M2349="1")),"adequate","partial"),IF(AND(H2349="W4",F2349="predictive",OR(J2349="P2",J2349="P3",J2349="P4")),IF(OR(U2349=1,U2349="1"),"adequate","partial"),INDEX(Fit_Matrix!$B:$B,MATCH(P2349,Fit_Matrix!$A:$A,0)))),"CHECK KEY"))</f>
        <v/>
      </c>
      <c r="U2349" s="10" t="n"/>
      <c r="V2349" s="10" t="n"/>
      <c r="W2349" s="10" t="n"/>
      <c r="X2349" s="10" t="n"/>
      <c r="Y2349" s="10" t="n"/>
      <c r="Z2349" s="10" t="n"/>
      <c r="AA2349" s="11">
        <f>IF(A2349="","",IF(AND(J2349="P4",F2349="causal"),"P4-CAUSAL",""))</f>
        <v/>
      </c>
    </row>
    <row r="2350" ht="15" customHeight="1" s="1">
      <c r="P2350">
        <f>IF(OR(F2350="",H2350="",J2350=""),"",J2350&amp;"|"&amp;F2350&amp;"|"&amp;IF(H2350="W3","W3_"&amp;IF(I2350="","unknown",I2350),H2350))</f>
        <v/>
      </c>
      <c r="Q2350">
        <f>IF(P2350="","",IFERROR(IF(AND(H2350="W7",OR(F2350="causal",F2350="predictive")),IF(AND(OR(K2350=1,K2350="1"),OR(L2350=1,L2350="1"),OR(M2350=1,M2350="1")),"adequate","partial"),IF(AND(H2350="W4",F2350="predictive",OR(J2350="P2",J2350="P3",J2350="P4")),IF(OR(U2350=1,U2350="1"),"adequate","partial"),INDEX(Fit_Matrix!$B:$B,MATCH(P2350,Fit_Matrix!$A:$A,0)))),"CHECK KEY"))</f>
        <v/>
      </c>
      <c r="U2350" s="10" t="n"/>
      <c r="V2350" s="10" t="n"/>
      <c r="W2350" s="10" t="n"/>
      <c r="X2350" s="10" t="n"/>
      <c r="Y2350" s="10" t="n"/>
      <c r="Z2350" s="10" t="n"/>
      <c r="AA2350" s="11">
        <f>IF(A2350="","",IF(AND(J2350="P4",F2350="causal"),"P4-CAUSAL",""))</f>
        <v/>
      </c>
    </row>
    <row r="2351" ht="15" customHeight="1" s="1">
      <c r="P2351">
        <f>IF(OR(F2351="",H2351="",J2351=""),"",J2351&amp;"|"&amp;F2351&amp;"|"&amp;IF(H2351="W3","W3_"&amp;IF(I2351="","unknown",I2351),H2351))</f>
        <v/>
      </c>
      <c r="Q2351">
        <f>IF(P2351="","",IFERROR(IF(AND(H2351="W7",OR(F2351="causal",F2351="predictive")),IF(AND(OR(K2351=1,K2351="1"),OR(L2351=1,L2351="1"),OR(M2351=1,M2351="1")),"adequate","partial"),IF(AND(H2351="W4",F2351="predictive",OR(J2351="P2",J2351="P3",J2351="P4")),IF(OR(U2351=1,U2351="1"),"adequate","partial"),INDEX(Fit_Matrix!$B:$B,MATCH(P2351,Fit_Matrix!$A:$A,0)))),"CHECK KEY"))</f>
        <v/>
      </c>
      <c r="U2351" s="10" t="n"/>
      <c r="V2351" s="10" t="n"/>
      <c r="W2351" s="10" t="n"/>
      <c r="X2351" s="10" t="n"/>
      <c r="Y2351" s="10" t="n"/>
      <c r="Z2351" s="10" t="n"/>
      <c r="AA2351" s="11">
        <f>IF(A2351="","",IF(AND(J2351="P4",F2351="causal"),"P4-CAUSAL",""))</f>
        <v/>
      </c>
    </row>
    <row r="2352" ht="15" customHeight="1" s="1">
      <c r="P2352">
        <f>IF(OR(F2352="",H2352="",J2352=""),"",J2352&amp;"|"&amp;F2352&amp;"|"&amp;IF(H2352="W3","W3_"&amp;IF(I2352="","unknown",I2352),H2352))</f>
        <v/>
      </c>
      <c r="Q2352">
        <f>IF(P2352="","",IFERROR(IF(AND(H2352="W7",OR(F2352="causal",F2352="predictive")),IF(AND(OR(K2352=1,K2352="1"),OR(L2352=1,L2352="1"),OR(M2352=1,M2352="1")),"adequate","partial"),IF(AND(H2352="W4",F2352="predictive",OR(J2352="P2",J2352="P3",J2352="P4")),IF(OR(U2352=1,U2352="1"),"adequate","partial"),INDEX(Fit_Matrix!$B:$B,MATCH(P2352,Fit_Matrix!$A:$A,0)))),"CHECK KEY"))</f>
        <v/>
      </c>
      <c r="U2352" s="10" t="n"/>
      <c r="V2352" s="10" t="n"/>
      <c r="W2352" s="10" t="n"/>
      <c r="X2352" s="10" t="n"/>
      <c r="Y2352" s="10" t="n"/>
      <c r="Z2352" s="10" t="n"/>
      <c r="AA2352" s="11">
        <f>IF(A2352="","",IF(AND(J2352="P4",F2352="causal"),"P4-CAUSAL",""))</f>
        <v/>
      </c>
    </row>
    <row r="2353" ht="15" customHeight="1" s="1">
      <c r="P2353">
        <f>IF(OR(F2353="",H2353="",J2353=""),"",J2353&amp;"|"&amp;F2353&amp;"|"&amp;IF(H2353="W3","W3_"&amp;IF(I2353="","unknown",I2353),H2353))</f>
        <v/>
      </c>
      <c r="Q2353">
        <f>IF(P2353="","",IFERROR(IF(AND(H2353="W7",OR(F2353="causal",F2353="predictive")),IF(AND(OR(K2353=1,K2353="1"),OR(L2353=1,L2353="1"),OR(M2353=1,M2353="1")),"adequate","partial"),IF(AND(H2353="W4",F2353="predictive",OR(J2353="P2",J2353="P3",J2353="P4")),IF(OR(U2353=1,U2353="1"),"adequate","partial"),INDEX(Fit_Matrix!$B:$B,MATCH(P2353,Fit_Matrix!$A:$A,0)))),"CHECK KEY"))</f>
        <v/>
      </c>
      <c r="U2353" s="10" t="n"/>
      <c r="V2353" s="10" t="n"/>
      <c r="W2353" s="10" t="n"/>
      <c r="X2353" s="10" t="n"/>
      <c r="Y2353" s="10" t="n"/>
      <c r="Z2353" s="10" t="n"/>
      <c r="AA2353" s="11">
        <f>IF(A2353="","",IF(AND(J2353="P4",F2353="causal"),"P4-CAUSAL",""))</f>
        <v/>
      </c>
    </row>
    <row r="2354" ht="15" customHeight="1" s="1">
      <c r="P2354">
        <f>IF(OR(F2354="",H2354="",J2354=""),"",J2354&amp;"|"&amp;F2354&amp;"|"&amp;IF(H2354="W3","W3_"&amp;IF(I2354="","unknown",I2354),H2354))</f>
        <v/>
      </c>
      <c r="Q2354">
        <f>IF(P2354="","",IFERROR(IF(AND(H2354="W7",OR(F2354="causal",F2354="predictive")),IF(AND(OR(K2354=1,K2354="1"),OR(L2354=1,L2354="1"),OR(M2354=1,M2354="1")),"adequate","partial"),IF(AND(H2354="W4",F2354="predictive",OR(J2354="P2",J2354="P3",J2354="P4")),IF(OR(U2354=1,U2354="1"),"adequate","partial"),INDEX(Fit_Matrix!$B:$B,MATCH(P2354,Fit_Matrix!$A:$A,0)))),"CHECK KEY"))</f>
        <v/>
      </c>
      <c r="U2354" s="10" t="n"/>
      <c r="V2354" s="10" t="n"/>
      <c r="W2354" s="10" t="n"/>
      <c r="X2354" s="10" t="n"/>
      <c r="Y2354" s="10" t="n"/>
      <c r="Z2354" s="10" t="n"/>
      <c r="AA2354" s="11">
        <f>IF(A2354="","",IF(AND(J2354="P4",F2354="causal"),"P4-CAUSAL",""))</f>
        <v/>
      </c>
    </row>
    <row r="2355" ht="15" customHeight="1" s="1">
      <c r="P2355">
        <f>IF(OR(F2355="",H2355="",J2355=""),"",J2355&amp;"|"&amp;F2355&amp;"|"&amp;IF(H2355="W3","W3_"&amp;IF(I2355="","unknown",I2355),H2355))</f>
        <v/>
      </c>
      <c r="Q2355">
        <f>IF(P2355="","",IFERROR(IF(AND(H2355="W7",OR(F2355="causal",F2355="predictive")),IF(AND(OR(K2355=1,K2355="1"),OR(L2355=1,L2355="1"),OR(M2355=1,M2355="1")),"adequate","partial"),IF(AND(H2355="W4",F2355="predictive",OR(J2355="P2",J2355="P3",J2355="P4")),IF(OR(U2355=1,U2355="1"),"adequate","partial"),INDEX(Fit_Matrix!$B:$B,MATCH(P2355,Fit_Matrix!$A:$A,0)))),"CHECK KEY"))</f>
        <v/>
      </c>
      <c r="U2355" s="10" t="n"/>
      <c r="V2355" s="10" t="n"/>
      <c r="W2355" s="10" t="n"/>
      <c r="X2355" s="10" t="n"/>
      <c r="Y2355" s="10" t="n"/>
      <c r="Z2355" s="10" t="n"/>
      <c r="AA2355" s="11">
        <f>IF(A2355="","",IF(AND(J2355="P4",F2355="causal"),"P4-CAUSAL",""))</f>
        <v/>
      </c>
    </row>
    <row r="2356" ht="15" customHeight="1" s="1">
      <c r="P2356">
        <f>IF(OR(F2356="",H2356="",J2356=""),"",J2356&amp;"|"&amp;F2356&amp;"|"&amp;IF(H2356="W3","W3_"&amp;IF(I2356="","unknown",I2356),H2356))</f>
        <v/>
      </c>
      <c r="Q2356">
        <f>IF(P2356="","",IFERROR(IF(AND(H2356="W7",OR(F2356="causal",F2356="predictive")),IF(AND(OR(K2356=1,K2356="1"),OR(L2356=1,L2356="1"),OR(M2356=1,M2356="1")),"adequate","partial"),IF(AND(H2356="W4",F2356="predictive",OR(J2356="P2",J2356="P3",J2356="P4")),IF(OR(U2356=1,U2356="1"),"adequate","partial"),INDEX(Fit_Matrix!$B:$B,MATCH(P2356,Fit_Matrix!$A:$A,0)))),"CHECK KEY"))</f>
        <v/>
      </c>
      <c r="U2356" s="10" t="n"/>
      <c r="V2356" s="10" t="n"/>
      <c r="W2356" s="10" t="n"/>
      <c r="X2356" s="10" t="n"/>
      <c r="Y2356" s="10" t="n"/>
      <c r="Z2356" s="10" t="n"/>
      <c r="AA2356" s="11">
        <f>IF(A2356="","",IF(AND(J2356="P4",F2356="causal"),"P4-CAUSAL",""))</f>
        <v/>
      </c>
    </row>
    <row r="2357" ht="15" customHeight="1" s="1">
      <c r="P2357">
        <f>IF(OR(F2357="",H2357="",J2357=""),"",J2357&amp;"|"&amp;F2357&amp;"|"&amp;IF(H2357="W3","W3_"&amp;IF(I2357="","unknown",I2357),H2357))</f>
        <v/>
      </c>
      <c r="Q2357">
        <f>IF(P2357="","",IFERROR(IF(AND(H2357="W7",OR(F2357="causal",F2357="predictive")),IF(AND(OR(K2357=1,K2357="1"),OR(L2357=1,L2357="1"),OR(M2357=1,M2357="1")),"adequate","partial"),IF(AND(H2357="W4",F2357="predictive",OR(J2357="P2",J2357="P3",J2357="P4")),IF(OR(U2357=1,U2357="1"),"adequate","partial"),INDEX(Fit_Matrix!$B:$B,MATCH(P2357,Fit_Matrix!$A:$A,0)))),"CHECK KEY"))</f>
        <v/>
      </c>
      <c r="U2357" s="10" t="n"/>
      <c r="V2357" s="10" t="n"/>
      <c r="W2357" s="10" t="n"/>
      <c r="X2357" s="10" t="n"/>
      <c r="Y2357" s="10" t="n"/>
      <c r="Z2357" s="10" t="n"/>
      <c r="AA2357" s="11">
        <f>IF(A2357="","",IF(AND(J2357="P4",F2357="causal"),"P4-CAUSAL",""))</f>
        <v/>
      </c>
    </row>
    <row r="2358" ht="15" customHeight="1" s="1">
      <c r="P2358">
        <f>IF(OR(F2358="",H2358="",J2358=""),"",J2358&amp;"|"&amp;F2358&amp;"|"&amp;IF(H2358="W3","W3_"&amp;IF(I2358="","unknown",I2358),H2358))</f>
        <v/>
      </c>
      <c r="Q2358">
        <f>IF(P2358="","",IFERROR(IF(AND(H2358="W7",OR(F2358="causal",F2358="predictive")),IF(AND(OR(K2358=1,K2358="1"),OR(L2358=1,L2358="1"),OR(M2358=1,M2358="1")),"adequate","partial"),IF(AND(H2358="W4",F2358="predictive",OR(J2358="P2",J2358="P3",J2358="P4")),IF(OR(U2358=1,U2358="1"),"adequate","partial"),INDEX(Fit_Matrix!$B:$B,MATCH(P2358,Fit_Matrix!$A:$A,0)))),"CHECK KEY"))</f>
        <v/>
      </c>
      <c r="U2358" s="10" t="n"/>
      <c r="V2358" s="10" t="n"/>
      <c r="W2358" s="10" t="n"/>
      <c r="X2358" s="10" t="n"/>
      <c r="Y2358" s="10" t="n"/>
      <c r="Z2358" s="10" t="n"/>
      <c r="AA2358" s="11">
        <f>IF(A2358="","",IF(AND(J2358="P4",F2358="causal"),"P4-CAUSAL",""))</f>
        <v/>
      </c>
    </row>
    <row r="2359" ht="15" customHeight="1" s="1">
      <c r="P2359">
        <f>IF(OR(F2359="",H2359="",J2359=""),"",J2359&amp;"|"&amp;F2359&amp;"|"&amp;IF(H2359="W3","W3_"&amp;IF(I2359="","unknown",I2359),H2359))</f>
        <v/>
      </c>
      <c r="Q2359">
        <f>IF(P2359="","",IFERROR(IF(AND(H2359="W7",OR(F2359="causal",F2359="predictive")),IF(AND(OR(K2359=1,K2359="1"),OR(L2359=1,L2359="1"),OR(M2359=1,M2359="1")),"adequate","partial"),IF(AND(H2359="W4",F2359="predictive",OR(J2359="P2",J2359="P3",J2359="P4")),IF(OR(U2359=1,U2359="1"),"adequate","partial"),INDEX(Fit_Matrix!$B:$B,MATCH(P2359,Fit_Matrix!$A:$A,0)))),"CHECK KEY"))</f>
        <v/>
      </c>
      <c r="U2359" s="10" t="n"/>
      <c r="V2359" s="10" t="n"/>
      <c r="W2359" s="10" t="n"/>
      <c r="X2359" s="10" t="n"/>
      <c r="Y2359" s="10" t="n"/>
      <c r="Z2359" s="10" t="n"/>
      <c r="AA2359" s="11">
        <f>IF(A2359="","",IF(AND(J2359="P4",F2359="causal"),"P4-CAUSAL",""))</f>
        <v/>
      </c>
    </row>
    <row r="2360" ht="15" customHeight="1" s="1">
      <c r="P2360">
        <f>IF(OR(F2360="",H2360="",J2360=""),"",J2360&amp;"|"&amp;F2360&amp;"|"&amp;IF(H2360="W3","W3_"&amp;IF(I2360="","unknown",I2360),H2360))</f>
        <v/>
      </c>
      <c r="Q2360">
        <f>IF(P2360="","",IFERROR(IF(AND(H2360="W7",OR(F2360="causal",F2360="predictive")),IF(AND(OR(K2360=1,K2360="1"),OR(L2360=1,L2360="1"),OR(M2360=1,M2360="1")),"adequate","partial"),IF(AND(H2360="W4",F2360="predictive",OR(J2360="P2",J2360="P3",J2360="P4")),IF(OR(U2360=1,U2360="1"),"adequate","partial"),INDEX(Fit_Matrix!$B:$B,MATCH(P2360,Fit_Matrix!$A:$A,0)))),"CHECK KEY"))</f>
        <v/>
      </c>
      <c r="U2360" s="10" t="n"/>
      <c r="V2360" s="10" t="n"/>
      <c r="W2360" s="10" t="n"/>
      <c r="X2360" s="10" t="n"/>
      <c r="Y2360" s="10" t="n"/>
      <c r="Z2360" s="10" t="n"/>
      <c r="AA2360" s="11">
        <f>IF(A2360="","",IF(AND(J2360="P4",F2360="causal"),"P4-CAUSAL",""))</f>
        <v/>
      </c>
    </row>
    <row r="2361" ht="15" customHeight="1" s="1">
      <c r="P2361">
        <f>IF(OR(F2361="",H2361="",J2361=""),"",J2361&amp;"|"&amp;F2361&amp;"|"&amp;IF(H2361="W3","W3_"&amp;IF(I2361="","unknown",I2361),H2361))</f>
        <v/>
      </c>
      <c r="Q2361">
        <f>IF(P2361="","",IFERROR(IF(AND(H2361="W7",OR(F2361="causal",F2361="predictive")),IF(AND(OR(K2361=1,K2361="1"),OR(L2361=1,L2361="1"),OR(M2361=1,M2361="1")),"adequate","partial"),IF(AND(H2361="W4",F2361="predictive",OR(J2361="P2",J2361="P3",J2361="P4")),IF(OR(U2361=1,U2361="1"),"adequate","partial"),INDEX(Fit_Matrix!$B:$B,MATCH(P2361,Fit_Matrix!$A:$A,0)))),"CHECK KEY"))</f>
        <v/>
      </c>
      <c r="U2361" s="10" t="n"/>
      <c r="V2361" s="10" t="n"/>
      <c r="W2361" s="10" t="n"/>
      <c r="X2361" s="10" t="n"/>
      <c r="Y2361" s="10" t="n"/>
      <c r="Z2361" s="10" t="n"/>
      <c r="AA2361" s="11">
        <f>IF(A2361="","",IF(AND(J2361="P4",F2361="causal"),"P4-CAUSAL",""))</f>
        <v/>
      </c>
    </row>
    <row r="2362" ht="15" customHeight="1" s="1">
      <c r="P2362">
        <f>IF(OR(F2362="",H2362="",J2362=""),"",J2362&amp;"|"&amp;F2362&amp;"|"&amp;IF(H2362="W3","W3_"&amp;IF(I2362="","unknown",I2362),H2362))</f>
        <v/>
      </c>
      <c r="Q2362">
        <f>IF(P2362="","",IFERROR(IF(AND(H2362="W7",OR(F2362="causal",F2362="predictive")),IF(AND(OR(K2362=1,K2362="1"),OR(L2362=1,L2362="1"),OR(M2362=1,M2362="1")),"adequate","partial"),IF(AND(H2362="W4",F2362="predictive",OR(J2362="P2",J2362="P3",J2362="P4")),IF(OR(U2362=1,U2362="1"),"adequate","partial"),INDEX(Fit_Matrix!$B:$B,MATCH(P2362,Fit_Matrix!$A:$A,0)))),"CHECK KEY"))</f>
        <v/>
      </c>
      <c r="U2362" s="10" t="n"/>
      <c r="V2362" s="10" t="n"/>
      <c r="W2362" s="10" t="n"/>
      <c r="X2362" s="10" t="n"/>
      <c r="Y2362" s="10" t="n"/>
      <c r="Z2362" s="10" t="n"/>
      <c r="AA2362" s="11">
        <f>IF(A2362="","",IF(AND(J2362="P4",F2362="causal"),"P4-CAUSAL",""))</f>
        <v/>
      </c>
    </row>
    <row r="2363" ht="15" customHeight="1" s="1">
      <c r="P2363">
        <f>IF(OR(F2363="",H2363="",J2363=""),"",J2363&amp;"|"&amp;F2363&amp;"|"&amp;IF(H2363="W3","W3_"&amp;IF(I2363="","unknown",I2363),H2363))</f>
        <v/>
      </c>
      <c r="Q2363">
        <f>IF(P2363="","",IFERROR(IF(AND(H2363="W7",OR(F2363="causal",F2363="predictive")),IF(AND(OR(K2363=1,K2363="1"),OR(L2363=1,L2363="1"),OR(M2363=1,M2363="1")),"adequate","partial"),IF(AND(H2363="W4",F2363="predictive",OR(J2363="P2",J2363="P3",J2363="P4")),IF(OR(U2363=1,U2363="1"),"adequate","partial"),INDEX(Fit_Matrix!$B:$B,MATCH(P2363,Fit_Matrix!$A:$A,0)))),"CHECK KEY"))</f>
        <v/>
      </c>
      <c r="U2363" s="10" t="n"/>
      <c r="V2363" s="10" t="n"/>
      <c r="W2363" s="10" t="n"/>
      <c r="X2363" s="10" t="n"/>
      <c r="Y2363" s="10" t="n"/>
      <c r="Z2363" s="10" t="n"/>
      <c r="AA2363" s="11">
        <f>IF(A2363="","",IF(AND(J2363="P4",F2363="causal"),"P4-CAUSAL",""))</f>
        <v/>
      </c>
    </row>
    <row r="2364" ht="15" customHeight="1" s="1">
      <c r="P2364">
        <f>IF(OR(F2364="",H2364="",J2364=""),"",J2364&amp;"|"&amp;F2364&amp;"|"&amp;IF(H2364="W3","W3_"&amp;IF(I2364="","unknown",I2364),H2364))</f>
        <v/>
      </c>
      <c r="Q2364">
        <f>IF(P2364="","",IFERROR(IF(AND(H2364="W7",OR(F2364="causal",F2364="predictive")),IF(AND(OR(K2364=1,K2364="1"),OR(L2364=1,L2364="1"),OR(M2364=1,M2364="1")),"adequate","partial"),IF(AND(H2364="W4",F2364="predictive",OR(J2364="P2",J2364="P3",J2364="P4")),IF(OR(U2364=1,U2364="1"),"adequate","partial"),INDEX(Fit_Matrix!$B:$B,MATCH(P2364,Fit_Matrix!$A:$A,0)))),"CHECK KEY"))</f>
        <v/>
      </c>
      <c r="U2364" s="10" t="n"/>
      <c r="V2364" s="10" t="n"/>
      <c r="W2364" s="10" t="n"/>
      <c r="X2364" s="10" t="n"/>
      <c r="Y2364" s="10" t="n"/>
      <c r="Z2364" s="10" t="n"/>
      <c r="AA2364" s="11">
        <f>IF(A2364="","",IF(AND(J2364="P4",F2364="causal"),"P4-CAUSAL",""))</f>
        <v/>
      </c>
    </row>
    <row r="2365" ht="15" customHeight="1" s="1">
      <c r="P2365">
        <f>IF(OR(F2365="",H2365="",J2365=""),"",J2365&amp;"|"&amp;F2365&amp;"|"&amp;IF(H2365="W3","W3_"&amp;IF(I2365="","unknown",I2365),H2365))</f>
        <v/>
      </c>
      <c r="Q2365">
        <f>IF(P2365="","",IFERROR(IF(AND(H2365="W7",OR(F2365="causal",F2365="predictive")),IF(AND(OR(K2365=1,K2365="1"),OR(L2365=1,L2365="1"),OR(M2365=1,M2365="1")),"adequate","partial"),IF(AND(H2365="W4",F2365="predictive",OR(J2365="P2",J2365="P3",J2365="P4")),IF(OR(U2365=1,U2365="1"),"adequate","partial"),INDEX(Fit_Matrix!$B:$B,MATCH(P2365,Fit_Matrix!$A:$A,0)))),"CHECK KEY"))</f>
        <v/>
      </c>
      <c r="U2365" s="10" t="n"/>
      <c r="V2365" s="10" t="n"/>
      <c r="W2365" s="10" t="n"/>
      <c r="X2365" s="10" t="n"/>
      <c r="Y2365" s="10" t="n"/>
      <c r="Z2365" s="10" t="n"/>
      <c r="AA2365" s="11">
        <f>IF(A2365="","",IF(AND(J2365="P4",F2365="causal"),"P4-CAUSAL",""))</f>
        <v/>
      </c>
    </row>
    <row r="2366" ht="15" customHeight="1" s="1">
      <c r="P2366">
        <f>IF(OR(F2366="",H2366="",J2366=""),"",J2366&amp;"|"&amp;F2366&amp;"|"&amp;IF(H2366="W3","W3_"&amp;IF(I2366="","unknown",I2366),H2366))</f>
        <v/>
      </c>
      <c r="Q2366">
        <f>IF(P2366="","",IFERROR(IF(AND(H2366="W7",OR(F2366="causal",F2366="predictive")),IF(AND(OR(K2366=1,K2366="1"),OR(L2366=1,L2366="1"),OR(M2366=1,M2366="1")),"adequate","partial"),IF(AND(H2366="W4",F2366="predictive",OR(J2366="P2",J2366="P3",J2366="P4")),IF(OR(U2366=1,U2366="1"),"adequate","partial"),INDEX(Fit_Matrix!$B:$B,MATCH(P2366,Fit_Matrix!$A:$A,0)))),"CHECK KEY"))</f>
        <v/>
      </c>
      <c r="U2366" s="10" t="n"/>
      <c r="V2366" s="10" t="n"/>
      <c r="W2366" s="10" t="n"/>
      <c r="X2366" s="10" t="n"/>
      <c r="Y2366" s="10" t="n"/>
      <c r="Z2366" s="10" t="n"/>
      <c r="AA2366" s="11">
        <f>IF(A2366="","",IF(AND(J2366="P4",F2366="causal"),"P4-CAUSAL",""))</f>
        <v/>
      </c>
    </row>
    <row r="2367" ht="15" customHeight="1" s="1">
      <c r="P2367">
        <f>IF(OR(F2367="",H2367="",J2367=""),"",J2367&amp;"|"&amp;F2367&amp;"|"&amp;IF(H2367="W3","W3_"&amp;IF(I2367="","unknown",I2367),H2367))</f>
        <v/>
      </c>
      <c r="Q2367">
        <f>IF(P2367="","",IFERROR(IF(AND(H2367="W7",OR(F2367="causal",F2367="predictive")),IF(AND(OR(K2367=1,K2367="1"),OR(L2367=1,L2367="1"),OR(M2367=1,M2367="1")),"adequate","partial"),IF(AND(H2367="W4",F2367="predictive",OR(J2367="P2",J2367="P3",J2367="P4")),IF(OR(U2367=1,U2367="1"),"adequate","partial"),INDEX(Fit_Matrix!$B:$B,MATCH(P2367,Fit_Matrix!$A:$A,0)))),"CHECK KEY"))</f>
        <v/>
      </c>
      <c r="U2367" s="10" t="n"/>
      <c r="V2367" s="10" t="n"/>
      <c r="W2367" s="10" t="n"/>
      <c r="X2367" s="10" t="n"/>
      <c r="Y2367" s="10" t="n"/>
      <c r="Z2367" s="10" t="n"/>
      <c r="AA2367" s="11">
        <f>IF(A2367="","",IF(AND(J2367="P4",F2367="causal"),"P4-CAUSAL",""))</f>
        <v/>
      </c>
    </row>
    <row r="2368" ht="15" customHeight="1" s="1">
      <c r="P2368">
        <f>IF(OR(F2368="",H2368="",J2368=""),"",J2368&amp;"|"&amp;F2368&amp;"|"&amp;IF(H2368="W3","W3_"&amp;IF(I2368="","unknown",I2368),H2368))</f>
        <v/>
      </c>
      <c r="Q2368">
        <f>IF(P2368="","",IFERROR(IF(AND(H2368="W7",OR(F2368="causal",F2368="predictive")),IF(AND(OR(K2368=1,K2368="1"),OR(L2368=1,L2368="1"),OR(M2368=1,M2368="1")),"adequate","partial"),IF(AND(H2368="W4",F2368="predictive",OR(J2368="P2",J2368="P3",J2368="P4")),IF(OR(U2368=1,U2368="1"),"adequate","partial"),INDEX(Fit_Matrix!$B:$B,MATCH(P2368,Fit_Matrix!$A:$A,0)))),"CHECK KEY"))</f>
        <v/>
      </c>
      <c r="U2368" s="10" t="n"/>
      <c r="V2368" s="10" t="n"/>
      <c r="W2368" s="10" t="n"/>
      <c r="X2368" s="10" t="n"/>
      <c r="Y2368" s="10" t="n"/>
      <c r="Z2368" s="10" t="n"/>
      <c r="AA2368" s="11">
        <f>IF(A2368="","",IF(AND(J2368="P4",F2368="causal"),"P4-CAUSAL",""))</f>
        <v/>
      </c>
    </row>
    <row r="2369" ht="15" customHeight="1" s="1">
      <c r="P2369">
        <f>IF(OR(F2369="",H2369="",J2369=""),"",J2369&amp;"|"&amp;F2369&amp;"|"&amp;IF(H2369="W3","W3_"&amp;IF(I2369="","unknown",I2369),H2369))</f>
        <v/>
      </c>
      <c r="Q2369">
        <f>IF(P2369="","",IFERROR(IF(AND(H2369="W7",OR(F2369="causal",F2369="predictive")),IF(AND(OR(K2369=1,K2369="1"),OR(L2369=1,L2369="1"),OR(M2369=1,M2369="1")),"adequate","partial"),IF(AND(H2369="W4",F2369="predictive",OR(J2369="P2",J2369="P3",J2369="P4")),IF(OR(U2369=1,U2369="1"),"adequate","partial"),INDEX(Fit_Matrix!$B:$B,MATCH(P2369,Fit_Matrix!$A:$A,0)))),"CHECK KEY"))</f>
        <v/>
      </c>
      <c r="U2369" s="10" t="n"/>
      <c r="V2369" s="10" t="n"/>
      <c r="W2369" s="10" t="n"/>
      <c r="X2369" s="10" t="n"/>
      <c r="Y2369" s="10" t="n"/>
      <c r="Z2369" s="10" t="n"/>
      <c r="AA2369" s="11">
        <f>IF(A2369="","",IF(AND(J2369="P4",F2369="causal"),"P4-CAUSAL",""))</f>
        <v/>
      </c>
    </row>
    <row r="2370" ht="15" customHeight="1" s="1">
      <c r="P2370">
        <f>IF(OR(F2370="",H2370="",J2370=""),"",J2370&amp;"|"&amp;F2370&amp;"|"&amp;IF(H2370="W3","W3_"&amp;IF(I2370="","unknown",I2370),H2370))</f>
        <v/>
      </c>
      <c r="Q2370">
        <f>IF(P2370="","",IFERROR(IF(AND(H2370="W7",OR(F2370="causal",F2370="predictive")),IF(AND(OR(K2370=1,K2370="1"),OR(L2370=1,L2370="1"),OR(M2370=1,M2370="1")),"adequate","partial"),IF(AND(H2370="W4",F2370="predictive",OR(J2370="P2",J2370="P3",J2370="P4")),IF(OR(U2370=1,U2370="1"),"adequate","partial"),INDEX(Fit_Matrix!$B:$B,MATCH(P2370,Fit_Matrix!$A:$A,0)))),"CHECK KEY"))</f>
        <v/>
      </c>
      <c r="U2370" s="10" t="n"/>
      <c r="V2370" s="10" t="n"/>
      <c r="W2370" s="10" t="n"/>
      <c r="X2370" s="10" t="n"/>
      <c r="Y2370" s="10" t="n"/>
      <c r="Z2370" s="10" t="n"/>
      <c r="AA2370" s="11">
        <f>IF(A2370="","",IF(AND(J2370="P4",F2370="causal"),"P4-CAUSAL",""))</f>
        <v/>
      </c>
    </row>
    <row r="2371" ht="15" customHeight="1" s="1">
      <c r="P2371">
        <f>IF(OR(F2371="",H2371="",J2371=""),"",J2371&amp;"|"&amp;F2371&amp;"|"&amp;IF(H2371="W3","W3_"&amp;IF(I2371="","unknown",I2371),H2371))</f>
        <v/>
      </c>
      <c r="Q2371">
        <f>IF(P2371="","",IFERROR(IF(AND(H2371="W7",OR(F2371="causal",F2371="predictive")),IF(AND(OR(K2371=1,K2371="1"),OR(L2371=1,L2371="1"),OR(M2371=1,M2371="1")),"adequate","partial"),IF(AND(H2371="W4",F2371="predictive",OR(J2371="P2",J2371="P3",J2371="P4")),IF(OR(U2371=1,U2371="1"),"adequate","partial"),INDEX(Fit_Matrix!$B:$B,MATCH(P2371,Fit_Matrix!$A:$A,0)))),"CHECK KEY"))</f>
        <v/>
      </c>
      <c r="U2371" s="10" t="n"/>
      <c r="V2371" s="10" t="n"/>
      <c r="W2371" s="10" t="n"/>
      <c r="X2371" s="10" t="n"/>
      <c r="Y2371" s="10" t="n"/>
      <c r="Z2371" s="10" t="n"/>
      <c r="AA2371" s="11">
        <f>IF(A2371="","",IF(AND(J2371="P4",F2371="causal"),"P4-CAUSAL",""))</f>
        <v/>
      </c>
    </row>
    <row r="2372" ht="15" customHeight="1" s="1">
      <c r="P2372">
        <f>IF(OR(F2372="",H2372="",J2372=""),"",J2372&amp;"|"&amp;F2372&amp;"|"&amp;IF(H2372="W3","W3_"&amp;IF(I2372="","unknown",I2372),H2372))</f>
        <v/>
      </c>
      <c r="Q2372">
        <f>IF(P2372="","",IFERROR(IF(AND(H2372="W7",OR(F2372="causal",F2372="predictive")),IF(AND(OR(K2372=1,K2372="1"),OR(L2372=1,L2372="1"),OR(M2372=1,M2372="1")),"adequate","partial"),IF(AND(H2372="W4",F2372="predictive",OR(J2372="P2",J2372="P3",J2372="P4")),IF(OR(U2372=1,U2372="1"),"adequate","partial"),INDEX(Fit_Matrix!$B:$B,MATCH(P2372,Fit_Matrix!$A:$A,0)))),"CHECK KEY"))</f>
        <v/>
      </c>
      <c r="U2372" s="10" t="n"/>
      <c r="V2372" s="10" t="n"/>
      <c r="W2372" s="10" t="n"/>
      <c r="X2372" s="10" t="n"/>
      <c r="Y2372" s="10" t="n"/>
      <c r="Z2372" s="10" t="n"/>
      <c r="AA2372" s="11">
        <f>IF(A2372="","",IF(AND(J2372="P4",F2372="causal"),"P4-CAUSAL",""))</f>
        <v/>
      </c>
    </row>
    <row r="2373" ht="15" customHeight="1" s="1">
      <c r="P2373">
        <f>IF(OR(F2373="",H2373="",J2373=""),"",J2373&amp;"|"&amp;F2373&amp;"|"&amp;IF(H2373="W3","W3_"&amp;IF(I2373="","unknown",I2373),H2373))</f>
        <v/>
      </c>
      <c r="Q2373">
        <f>IF(P2373="","",IFERROR(IF(AND(H2373="W7",OR(F2373="causal",F2373="predictive")),IF(AND(OR(K2373=1,K2373="1"),OR(L2373=1,L2373="1"),OR(M2373=1,M2373="1")),"adequate","partial"),IF(AND(H2373="W4",F2373="predictive",OR(J2373="P2",J2373="P3",J2373="P4")),IF(OR(U2373=1,U2373="1"),"adequate","partial"),INDEX(Fit_Matrix!$B:$B,MATCH(P2373,Fit_Matrix!$A:$A,0)))),"CHECK KEY"))</f>
        <v/>
      </c>
      <c r="U2373" s="10" t="n"/>
      <c r="V2373" s="10" t="n"/>
      <c r="W2373" s="10" t="n"/>
      <c r="X2373" s="10" t="n"/>
      <c r="Y2373" s="10" t="n"/>
      <c r="Z2373" s="10" t="n"/>
      <c r="AA2373" s="11">
        <f>IF(A2373="","",IF(AND(J2373="P4",F2373="causal"),"P4-CAUSAL",""))</f>
        <v/>
      </c>
    </row>
    <row r="2374" ht="15" customHeight="1" s="1">
      <c r="P2374">
        <f>IF(OR(F2374="",H2374="",J2374=""),"",J2374&amp;"|"&amp;F2374&amp;"|"&amp;IF(H2374="W3","W3_"&amp;IF(I2374="","unknown",I2374),H2374))</f>
        <v/>
      </c>
      <c r="Q2374">
        <f>IF(P2374="","",IFERROR(IF(AND(H2374="W7",OR(F2374="causal",F2374="predictive")),IF(AND(OR(K2374=1,K2374="1"),OR(L2374=1,L2374="1"),OR(M2374=1,M2374="1")),"adequate","partial"),IF(AND(H2374="W4",F2374="predictive",OR(J2374="P2",J2374="P3",J2374="P4")),IF(OR(U2374=1,U2374="1"),"adequate","partial"),INDEX(Fit_Matrix!$B:$B,MATCH(P2374,Fit_Matrix!$A:$A,0)))),"CHECK KEY"))</f>
        <v/>
      </c>
      <c r="U2374" s="10" t="n"/>
      <c r="V2374" s="10" t="n"/>
      <c r="W2374" s="10" t="n"/>
      <c r="X2374" s="10" t="n"/>
      <c r="Y2374" s="10" t="n"/>
      <c r="Z2374" s="10" t="n"/>
      <c r="AA2374" s="11">
        <f>IF(A2374="","",IF(AND(J2374="P4",F2374="causal"),"P4-CAUSAL",""))</f>
        <v/>
      </c>
    </row>
    <row r="2375" ht="15" customHeight="1" s="1">
      <c r="P2375">
        <f>IF(OR(F2375="",H2375="",J2375=""),"",J2375&amp;"|"&amp;F2375&amp;"|"&amp;IF(H2375="W3","W3_"&amp;IF(I2375="","unknown",I2375),H2375))</f>
        <v/>
      </c>
      <c r="Q2375">
        <f>IF(P2375="","",IFERROR(IF(AND(H2375="W7",OR(F2375="causal",F2375="predictive")),IF(AND(OR(K2375=1,K2375="1"),OR(L2375=1,L2375="1"),OR(M2375=1,M2375="1")),"adequate","partial"),IF(AND(H2375="W4",F2375="predictive",OR(J2375="P2",J2375="P3",J2375="P4")),IF(OR(U2375=1,U2375="1"),"adequate","partial"),INDEX(Fit_Matrix!$B:$B,MATCH(P2375,Fit_Matrix!$A:$A,0)))),"CHECK KEY"))</f>
        <v/>
      </c>
      <c r="U2375" s="10" t="n"/>
      <c r="V2375" s="10" t="n"/>
      <c r="W2375" s="10" t="n"/>
      <c r="X2375" s="10" t="n"/>
      <c r="Y2375" s="10" t="n"/>
      <c r="Z2375" s="10" t="n"/>
      <c r="AA2375" s="11">
        <f>IF(A2375="","",IF(AND(J2375="P4",F2375="causal"),"P4-CAUSAL",""))</f>
        <v/>
      </c>
    </row>
    <row r="2376" ht="15" customHeight="1" s="1">
      <c r="P2376">
        <f>IF(OR(F2376="",H2376="",J2376=""),"",J2376&amp;"|"&amp;F2376&amp;"|"&amp;IF(H2376="W3","W3_"&amp;IF(I2376="","unknown",I2376),H2376))</f>
        <v/>
      </c>
      <c r="Q2376">
        <f>IF(P2376="","",IFERROR(IF(AND(H2376="W7",OR(F2376="causal",F2376="predictive")),IF(AND(OR(K2376=1,K2376="1"),OR(L2376=1,L2376="1"),OR(M2376=1,M2376="1")),"adequate","partial"),IF(AND(H2376="W4",F2376="predictive",OR(J2376="P2",J2376="P3",J2376="P4")),IF(OR(U2376=1,U2376="1"),"adequate","partial"),INDEX(Fit_Matrix!$B:$B,MATCH(P2376,Fit_Matrix!$A:$A,0)))),"CHECK KEY"))</f>
        <v/>
      </c>
      <c r="U2376" s="10" t="n"/>
      <c r="V2376" s="10" t="n"/>
      <c r="W2376" s="10" t="n"/>
      <c r="X2376" s="10" t="n"/>
      <c r="Y2376" s="10" t="n"/>
      <c r="Z2376" s="10" t="n"/>
      <c r="AA2376" s="11">
        <f>IF(A2376="","",IF(AND(J2376="P4",F2376="causal"),"P4-CAUSAL",""))</f>
        <v/>
      </c>
    </row>
    <row r="2377" ht="15" customHeight="1" s="1">
      <c r="P2377">
        <f>IF(OR(F2377="",H2377="",J2377=""),"",J2377&amp;"|"&amp;F2377&amp;"|"&amp;IF(H2377="W3","W3_"&amp;IF(I2377="","unknown",I2377),H2377))</f>
        <v/>
      </c>
      <c r="Q2377">
        <f>IF(P2377="","",IFERROR(IF(AND(H2377="W7",OR(F2377="causal",F2377="predictive")),IF(AND(OR(K2377=1,K2377="1"),OR(L2377=1,L2377="1"),OR(M2377=1,M2377="1")),"adequate","partial"),IF(AND(H2377="W4",F2377="predictive",OR(J2377="P2",J2377="P3",J2377="P4")),IF(OR(U2377=1,U2377="1"),"adequate","partial"),INDEX(Fit_Matrix!$B:$B,MATCH(P2377,Fit_Matrix!$A:$A,0)))),"CHECK KEY"))</f>
        <v/>
      </c>
      <c r="U2377" s="10" t="n"/>
      <c r="V2377" s="10" t="n"/>
      <c r="W2377" s="10" t="n"/>
      <c r="X2377" s="10" t="n"/>
      <c r="Y2377" s="10" t="n"/>
      <c r="Z2377" s="10" t="n"/>
      <c r="AA2377" s="11">
        <f>IF(A2377="","",IF(AND(J2377="P4",F2377="causal"),"P4-CAUSAL",""))</f>
        <v/>
      </c>
    </row>
    <row r="2378" ht="15" customHeight="1" s="1">
      <c r="P2378">
        <f>IF(OR(F2378="",H2378="",J2378=""),"",J2378&amp;"|"&amp;F2378&amp;"|"&amp;IF(H2378="W3","W3_"&amp;IF(I2378="","unknown",I2378),H2378))</f>
        <v/>
      </c>
      <c r="Q2378">
        <f>IF(P2378="","",IFERROR(IF(AND(H2378="W7",OR(F2378="causal",F2378="predictive")),IF(AND(OR(K2378=1,K2378="1"),OR(L2378=1,L2378="1"),OR(M2378=1,M2378="1")),"adequate","partial"),IF(AND(H2378="W4",F2378="predictive",OR(J2378="P2",J2378="P3",J2378="P4")),IF(OR(U2378=1,U2378="1"),"adequate","partial"),INDEX(Fit_Matrix!$B:$B,MATCH(P2378,Fit_Matrix!$A:$A,0)))),"CHECK KEY"))</f>
        <v/>
      </c>
      <c r="U2378" s="10" t="n"/>
      <c r="V2378" s="10" t="n"/>
      <c r="W2378" s="10" t="n"/>
      <c r="X2378" s="10" t="n"/>
      <c r="Y2378" s="10" t="n"/>
      <c r="Z2378" s="10" t="n"/>
      <c r="AA2378" s="11">
        <f>IF(A2378="","",IF(AND(J2378="P4",F2378="causal"),"P4-CAUSAL",""))</f>
        <v/>
      </c>
    </row>
    <row r="2379" ht="15" customHeight="1" s="1">
      <c r="P2379">
        <f>IF(OR(F2379="",H2379="",J2379=""),"",J2379&amp;"|"&amp;F2379&amp;"|"&amp;IF(H2379="W3","W3_"&amp;IF(I2379="","unknown",I2379),H2379))</f>
        <v/>
      </c>
      <c r="Q2379">
        <f>IF(P2379="","",IFERROR(IF(AND(H2379="W7",OR(F2379="causal",F2379="predictive")),IF(AND(OR(K2379=1,K2379="1"),OR(L2379=1,L2379="1"),OR(M2379=1,M2379="1")),"adequate","partial"),IF(AND(H2379="W4",F2379="predictive",OR(J2379="P2",J2379="P3",J2379="P4")),IF(OR(U2379=1,U2379="1"),"adequate","partial"),INDEX(Fit_Matrix!$B:$B,MATCH(P2379,Fit_Matrix!$A:$A,0)))),"CHECK KEY"))</f>
        <v/>
      </c>
      <c r="U2379" s="10" t="n"/>
      <c r="V2379" s="10" t="n"/>
      <c r="W2379" s="10" t="n"/>
      <c r="X2379" s="10" t="n"/>
      <c r="Y2379" s="10" t="n"/>
      <c r="Z2379" s="10" t="n"/>
      <c r="AA2379" s="11">
        <f>IF(A2379="","",IF(AND(J2379="P4",F2379="causal"),"P4-CAUSAL",""))</f>
        <v/>
      </c>
    </row>
    <row r="2380" ht="15" customHeight="1" s="1">
      <c r="P2380">
        <f>IF(OR(F2380="",H2380="",J2380=""),"",J2380&amp;"|"&amp;F2380&amp;"|"&amp;IF(H2380="W3","W3_"&amp;IF(I2380="","unknown",I2380),H2380))</f>
        <v/>
      </c>
      <c r="Q2380">
        <f>IF(P2380="","",IFERROR(IF(AND(H2380="W7",OR(F2380="causal",F2380="predictive")),IF(AND(OR(K2380=1,K2380="1"),OR(L2380=1,L2380="1"),OR(M2380=1,M2380="1")),"adequate","partial"),IF(AND(H2380="W4",F2380="predictive",OR(J2380="P2",J2380="P3",J2380="P4")),IF(OR(U2380=1,U2380="1"),"adequate","partial"),INDEX(Fit_Matrix!$B:$B,MATCH(P2380,Fit_Matrix!$A:$A,0)))),"CHECK KEY"))</f>
        <v/>
      </c>
      <c r="U2380" s="10" t="n"/>
      <c r="V2380" s="10" t="n"/>
      <c r="W2380" s="10" t="n"/>
      <c r="X2380" s="10" t="n"/>
      <c r="Y2380" s="10" t="n"/>
      <c r="Z2380" s="10" t="n"/>
      <c r="AA2380" s="11">
        <f>IF(A2380="","",IF(AND(J2380="P4",F2380="causal"),"P4-CAUSAL",""))</f>
        <v/>
      </c>
    </row>
    <row r="2381" ht="15" customHeight="1" s="1">
      <c r="P2381">
        <f>IF(OR(F2381="",H2381="",J2381=""),"",J2381&amp;"|"&amp;F2381&amp;"|"&amp;IF(H2381="W3","W3_"&amp;IF(I2381="","unknown",I2381),H2381))</f>
        <v/>
      </c>
      <c r="Q2381">
        <f>IF(P2381="","",IFERROR(IF(AND(H2381="W7",OR(F2381="causal",F2381="predictive")),IF(AND(OR(K2381=1,K2381="1"),OR(L2381=1,L2381="1"),OR(M2381=1,M2381="1")),"adequate","partial"),IF(AND(H2381="W4",F2381="predictive",OR(J2381="P2",J2381="P3",J2381="P4")),IF(OR(U2381=1,U2381="1"),"adequate","partial"),INDEX(Fit_Matrix!$B:$B,MATCH(P2381,Fit_Matrix!$A:$A,0)))),"CHECK KEY"))</f>
        <v/>
      </c>
      <c r="U2381" s="10" t="n"/>
      <c r="V2381" s="10" t="n"/>
      <c r="W2381" s="10" t="n"/>
      <c r="X2381" s="10" t="n"/>
      <c r="Y2381" s="10" t="n"/>
      <c r="Z2381" s="10" t="n"/>
      <c r="AA2381" s="11">
        <f>IF(A2381="","",IF(AND(J2381="P4",F2381="causal"),"P4-CAUSAL",""))</f>
        <v/>
      </c>
    </row>
    <row r="2382" ht="15" customHeight="1" s="1">
      <c r="P2382">
        <f>IF(OR(F2382="",H2382="",J2382=""),"",J2382&amp;"|"&amp;F2382&amp;"|"&amp;IF(H2382="W3","W3_"&amp;IF(I2382="","unknown",I2382),H2382))</f>
        <v/>
      </c>
      <c r="Q2382">
        <f>IF(P2382="","",IFERROR(IF(AND(H2382="W7",OR(F2382="causal",F2382="predictive")),IF(AND(OR(K2382=1,K2382="1"),OR(L2382=1,L2382="1"),OR(M2382=1,M2382="1")),"adequate","partial"),IF(AND(H2382="W4",F2382="predictive",OR(J2382="P2",J2382="P3",J2382="P4")),IF(OR(U2382=1,U2382="1"),"adequate","partial"),INDEX(Fit_Matrix!$B:$B,MATCH(P2382,Fit_Matrix!$A:$A,0)))),"CHECK KEY"))</f>
        <v/>
      </c>
      <c r="U2382" s="10" t="n"/>
      <c r="V2382" s="10" t="n"/>
      <c r="W2382" s="10" t="n"/>
      <c r="X2382" s="10" t="n"/>
      <c r="Y2382" s="10" t="n"/>
      <c r="Z2382" s="10" t="n"/>
      <c r="AA2382" s="11">
        <f>IF(A2382="","",IF(AND(J2382="P4",F2382="causal"),"P4-CAUSAL",""))</f>
        <v/>
      </c>
    </row>
    <row r="2383" ht="15" customHeight="1" s="1">
      <c r="P2383">
        <f>IF(OR(F2383="",H2383="",J2383=""),"",J2383&amp;"|"&amp;F2383&amp;"|"&amp;IF(H2383="W3","W3_"&amp;IF(I2383="","unknown",I2383),H2383))</f>
        <v/>
      </c>
      <c r="Q2383">
        <f>IF(P2383="","",IFERROR(IF(AND(H2383="W7",OR(F2383="causal",F2383="predictive")),IF(AND(OR(K2383=1,K2383="1"),OR(L2383=1,L2383="1"),OR(M2383=1,M2383="1")),"adequate","partial"),IF(AND(H2383="W4",F2383="predictive",OR(J2383="P2",J2383="P3",J2383="P4")),IF(OR(U2383=1,U2383="1"),"adequate","partial"),INDEX(Fit_Matrix!$B:$B,MATCH(P2383,Fit_Matrix!$A:$A,0)))),"CHECK KEY"))</f>
        <v/>
      </c>
      <c r="U2383" s="10" t="n"/>
      <c r="V2383" s="10" t="n"/>
      <c r="W2383" s="10" t="n"/>
      <c r="X2383" s="10" t="n"/>
      <c r="Y2383" s="10" t="n"/>
      <c r="Z2383" s="10" t="n"/>
      <c r="AA2383" s="11">
        <f>IF(A2383="","",IF(AND(J2383="P4",F2383="causal"),"P4-CAUSAL",""))</f>
        <v/>
      </c>
    </row>
    <row r="2384" ht="15" customHeight="1" s="1">
      <c r="P2384">
        <f>IF(OR(F2384="",H2384="",J2384=""),"",J2384&amp;"|"&amp;F2384&amp;"|"&amp;IF(H2384="W3","W3_"&amp;IF(I2384="","unknown",I2384),H2384))</f>
        <v/>
      </c>
      <c r="Q2384">
        <f>IF(P2384="","",IFERROR(IF(AND(H2384="W7",OR(F2384="causal",F2384="predictive")),IF(AND(OR(K2384=1,K2384="1"),OR(L2384=1,L2384="1"),OR(M2384=1,M2384="1")),"adequate","partial"),IF(AND(H2384="W4",F2384="predictive",OR(J2384="P2",J2384="P3",J2384="P4")),IF(OR(U2384=1,U2384="1"),"adequate","partial"),INDEX(Fit_Matrix!$B:$B,MATCH(P2384,Fit_Matrix!$A:$A,0)))),"CHECK KEY"))</f>
        <v/>
      </c>
      <c r="U2384" s="10" t="n"/>
      <c r="V2384" s="10" t="n"/>
      <c r="W2384" s="10" t="n"/>
      <c r="X2384" s="10" t="n"/>
      <c r="Y2384" s="10" t="n"/>
      <c r="Z2384" s="10" t="n"/>
      <c r="AA2384" s="11">
        <f>IF(A2384="","",IF(AND(J2384="P4",F2384="causal"),"P4-CAUSAL",""))</f>
        <v/>
      </c>
    </row>
    <row r="2385" ht="15" customHeight="1" s="1">
      <c r="P2385">
        <f>IF(OR(F2385="",H2385="",J2385=""),"",J2385&amp;"|"&amp;F2385&amp;"|"&amp;IF(H2385="W3","W3_"&amp;IF(I2385="","unknown",I2385),H2385))</f>
        <v/>
      </c>
      <c r="Q2385">
        <f>IF(P2385="","",IFERROR(IF(AND(H2385="W7",OR(F2385="causal",F2385="predictive")),IF(AND(OR(K2385=1,K2385="1"),OR(L2385=1,L2385="1"),OR(M2385=1,M2385="1")),"adequate","partial"),IF(AND(H2385="W4",F2385="predictive",OR(J2385="P2",J2385="P3",J2385="P4")),IF(OR(U2385=1,U2385="1"),"adequate","partial"),INDEX(Fit_Matrix!$B:$B,MATCH(P2385,Fit_Matrix!$A:$A,0)))),"CHECK KEY"))</f>
        <v/>
      </c>
      <c r="U2385" s="10" t="n"/>
      <c r="V2385" s="10" t="n"/>
      <c r="W2385" s="10" t="n"/>
      <c r="X2385" s="10" t="n"/>
      <c r="Y2385" s="10" t="n"/>
      <c r="Z2385" s="10" t="n"/>
      <c r="AA2385" s="11">
        <f>IF(A2385="","",IF(AND(J2385="P4",F2385="causal"),"P4-CAUSAL",""))</f>
        <v/>
      </c>
    </row>
    <row r="2386" ht="15" customHeight="1" s="1">
      <c r="P2386">
        <f>IF(OR(F2386="",H2386="",J2386=""),"",J2386&amp;"|"&amp;F2386&amp;"|"&amp;IF(H2386="W3","W3_"&amp;IF(I2386="","unknown",I2386),H2386))</f>
        <v/>
      </c>
      <c r="Q2386">
        <f>IF(P2386="","",IFERROR(IF(AND(H2386="W7",OR(F2386="causal",F2386="predictive")),IF(AND(OR(K2386=1,K2386="1"),OR(L2386=1,L2386="1"),OR(M2386=1,M2386="1")),"adequate","partial"),IF(AND(H2386="W4",F2386="predictive",OR(J2386="P2",J2386="P3",J2386="P4")),IF(OR(U2386=1,U2386="1"),"adequate","partial"),INDEX(Fit_Matrix!$B:$B,MATCH(P2386,Fit_Matrix!$A:$A,0)))),"CHECK KEY"))</f>
        <v/>
      </c>
      <c r="U2386" s="10" t="n"/>
      <c r="V2386" s="10" t="n"/>
      <c r="W2386" s="10" t="n"/>
      <c r="X2386" s="10" t="n"/>
      <c r="Y2386" s="10" t="n"/>
      <c r="Z2386" s="10" t="n"/>
      <c r="AA2386" s="11">
        <f>IF(A2386="","",IF(AND(J2386="P4",F2386="causal"),"P4-CAUSAL",""))</f>
        <v/>
      </c>
    </row>
    <row r="2387" ht="15" customHeight="1" s="1">
      <c r="P2387">
        <f>IF(OR(F2387="",H2387="",J2387=""),"",J2387&amp;"|"&amp;F2387&amp;"|"&amp;IF(H2387="W3","W3_"&amp;IF(I2387="","unknown",I2387),H2387))</f>
        <v/>
      </c>
      <c r="Q2387">
        <f>IF(P2387="","",IFERROR(IF(AND(H2387="W7",OR(F2387="causal",F2387="predictive")),IF(AND(OR(K2387=1,K2387="1"),OR(L2387=1,L2387="1"),OR(M2387=1,M2387="1")),"adequate","partial"),IF(AND(H2387="W4",F2387="predictive",OR(J2387="P2",J2387="P3",J2387="P4")),IF(OR(U2387=1,U2387="1"),"adequate","partial"),INDEX(Fit_Matrix!$B:$B,MATCH(P2387,Fit_Matrix!$A:$A,0)))),"CHECK KEY"))</f>
        <v/>
      </c>
      <c r="U2387" s="10" t="n"/>
      <c r="V2387" s="10" t="n"/>
      <c r="W2387" s="10" t="n"/>
      <c r="X2387" s="10" t="n"/>
      <c r="Y2387" s="10" t="n"/>
      <c r="Z2387" s="10" t="n"/>
      <c r="AA2387" s="11">
        <f>IF(A2387="","",IF(AND(J2387="P4",F2387="causal"),"P4-CAUSAL",""))</f>
        <v/>
      </c>
    </row>
    <row r="2388" ht="15" customHeight="1" s="1">
      <c r="P2388">
        <f>IF(OR(F2388="",H2388="",J2388=""),"",J2388&amp;"|"&amp;F2388&amp;"|"&amp;IF(H2388="W3","W3_"&amp;IF(I2388="","unknown",I2388),H2388))</f>
        <v/>
      </c>
      <c r="Q2388">
        <f>IF(P2388="","",IFERROR(IF(AND(H2388="W7",OR(F2388="causal",F2388="predictive")),IF(AND(OR(K2388=1,K2388="1"),OR(L2388=1,L2388="1"),OR(M2388=1,M2388="1")),"adequate","partial"),IF(AND(H2388="W4",F2388="predictive",OR(J2388="P2",J2388="P3",J2388="P4")),IF(OR(U2388=1,U2388="1"),"adequate","partial"),INDEX(Fit_Matrix!$B:$B,MATCH(P2388,Fit_Matrix!$A:$A,0)))),"CHECK KEY"))</f>
        <v/>
      </c>
      <c r="U2388" s="10" t="n"/>
      <c r="V2388" s="10" t="n"/>
      <c r="W2388" s="10" t="n"/>
      <c r="X2388" s="10" t="n"/>
      <c r="Y2388" s="10" t="n"/>
      <c r="Z2388" s="10" t="n"/>
      <c r="AA2388" s="11">
        <f>IF(A2388="","",IF(AND(J2388="P4",F2388="causal"),"P4-CAUSAL",""))</f>
        <v/>
      </c>
    </row>
    <row r="2389" ht="15" customHeight="1" s="1">
      <c r="P2389">
        <f>IF(OR(F2389="",H2389="",J2389=""),"",J2389&amp;"|"&amp;F2389&amp;"|"&amp;IF(H2389="W3","W3_"&amp;IF(I2389="","unknown",I2389),H2389))</f>
        <v/>
      </c>
      <c r="Q2389">
        <f>IF(P2389="","",IFERROR(IF(AND(H2389="W7",OR(F2389="causal",F2389="predictive")),IF(AND(OR(K2389=1,K2389="1"),OR(L2389=1,L2389="1"),OR(M2389=1,M2389="1")),"adequate","partial"),IF(AND(H2389="W4",F2389="predictive",OR(J2389="P2",J2389="P3",J2389="P4")),IF(OR(U2389=1,U2389="1"),"adequate","partial"),INDEX(Fit_Matrix!$B:$B,MATCH(P2389,Fit_Matrix!$A:$A,0)))),"CHECK KEY"))</f>
        <v/>
      </c>
      <c r="U2389" s="10" t="n"/>
      <c r="V2389" s="10" t="n"/>
      <c r="W2389" s="10" t="n"/>
      <c r="X2389" s="10" t="n"/>
      <c r="Y2389" s="10" t="n"/>
      <c r="Z2389" s="10" t="n"/>
      <c r="AA2389" s="11">
        <f>IF(A2389="","",IF(AND(J2389="P4",F2389="causal"),"P4-CAUSAL",""))</f>
        <v/>
      </c>
    </row>
    <row r="2390" ht="15" customHeight="1" s="1">
      <c r="P2390">
        <f>IF(OR(F2390="",H2390="",J2390=""),"",J2390&amp;"|"&amp;F2390&amp;"|"&amp;IF(H2390="W3","W3_"&amp;IF(I2390="","unknown",I2390),H2390))</f>
        <v/>
      </c>
      <c r="Q2390">
        <f>IF(P2390="","",IFERROR(IF(AND(H2390="W7",OR(F2390="causal",F2390="predictive")),IF(AND(OR(K2390=1,K2390="1"),OR(L2390=1,L2390="1"),OR(M2390=1,M2390="1")),"adequate","partial"),IF(AND(H2390="W4",F2390="predictive",OR(J2390="P2",J2390="P3",J2390="P4")),IF(OR(U2390=1,U2390="1"),"adequate","partial"),INDEX(Fit_Matrix!$B:$B,MATCH(P2390,Fit_Matrix!$A:$A,0)))),"CHECK KEY"))</f>
        <v/>
      </c>
      <c r="U2390" s="10" t="n"/>
      <c r="V2390" s="10" t="n"/>
      <c r="W2390" s="10" t="n"/>
      <c r="X2390" s="10" t="n"/>
      <c r="Y2390" s="10" t="n"/>
      <c r="Z2390" s="10" t="n"/>
      <c r="AA2390" s="11">
        <f>IF(A2390="","",IF(AND(J2390="P4",F2390="causal"),"P4-CAUSAL",""))</f>
        <v/>
      </c>
    </row>
    <row r="2391" ht="15" customHeight="1" s="1">
      <c r="P2391">
        <f>IF(OR(F2391="",H2391="",J2391=""),"",J2391&amp;"|"&amp;F2391&amp;"|"&amp;IF(H2391="W3","W3_"&amp;IF(I2391="","unknown",I2391),H2391))</f>
        <v/>
      </c>
      <c r="Q2391">
        <f>IF(P2391="","",IFERROR(IF(AND(H2391="W7",OR(F2391="causal",F2391="predictive")),IF(AND(OR(K2391=1,K2391="1"),OR(L2391=1,L2391="1"),OR(M2391=1,M2391="1")),"adequate","partial"),IF(AND(H2391="W4",F2391="predictive",OR(J2391="P2",J2391="P3",J2391="P4")),IF(OR(U2391=1,U2391="1"),"adequate","partial"),INDEX(Fit_Matrix!$B:$B,MATCH(P2391,Fit_Matrix!$A:$A,0)))),"CHECK KEY"))</f>
        <v/>
      </c>
      <c r="U2391" s="10" t="n"/>
      <c r="V2391" s="10" t="n"/>
      <c r="W2391" s="10" t="n"/>
      <c r="X2391" s="10" t="n"/>
      <c r="Y2391" s="10" t="n"/>
      <c r="Z2391" s="10" t="n"/>
      <c r="AA2391" s="11">
        <f>IF(A2391="","",IF(AND(J2391="P4",F2391="causal"),"P4-CAUSAL",""))</f>
        <v/>
      </c>
    </row>
    <row r="2392" ht="15" customHeight="1" s="1">
      <c r="P2392">
        <f>IF(OR(F2392="",H2392="",J2392=""),"",J2392&amp;"|"&amp;F2392&amp;"|"&amp;IF(H2392="W3","W3_"&amp;IF(I2392="","unknown",I2392),H2392))</f>
        <v/>
      </c>
      <c r="Q2392">
        <f>IF(P2392="","",IFERROR(IF(AND(H2392="W7",OR(F2392="causal",F2392="predictive")),IF(AND(OR(K2392=1,K2392="1"),OR(L2392=1,L2392="1"),OR(M2392=1,M2392="1")),"adequate","partial"),IF(AND(H2392="W4",F2392="predictive",OR(J2392="P2",J2392="P3",J2392="P4")),IF(OR(U2392=1,U2392="1"),"adequate","partial"),INDEX(Fit_Matrix!$B:$B,MATCH(P2392,Fit_Matrix!$A:$A,0)))),"CHECK KEY"))</f>
        <v/>
      </c>
      <c r="U2392" s="10" t="n"/>
      <c r="V2392" s="10" t="n"/>
      <c r="W2392" s="10" t="n"/>
      <c r="X2392" s="10" t="n"/>
      <c r="Y2392" s="10" t="n"/>
      <c r="Z2392" s="10" t="n"/>
      <c r="AA2392" s="11">
        <f>IF(A2392="","",IF(AND(J2392="P4",F2392="causal"),"P4-CAUSAL",""))</f>
        <v/>
      </c>
    </row>
    <row r="2393" ht="15" customHeight="1" s="1">
      <c r="P2393">
        <f>IF(OR(F2393="",H2393="",J2393=""),"",J2393&amp;"|"&amp;F2393&amp;"|"&amp;IF(H2393="W3","W3_"&amp;IF(I2393="","unknown",I2393),H2393))</f>
        <v/>
      </c>
      <c r="Q2393">
        <f>IF(P2393="","",IFERROR(IF(AND(H2393="W7",OR(F2393="causal",F2393="predictive")),IF(AND(OR(K2393=1,K2393="1"),OR(L2393=1,L2393="1"),OR(M2393=1,M2393="1")),"adequate","partial"),IF(AND(H2393="W4",F2393="predictive",OR(J2393="P2",J2393="P3",J2393="P4")),IF(OR(U2393=1,U2393="1"),"adequate","partial"),INDEX(Fit_Matrix!$B:$B,MATCH(P2393,Fit_Matrix!$A:$A,0)))),"CHECK KEY"))</f>
        <v/>
      </c>
      <c r="U2393" s="10" t="n"/>
      <c r="V2393" s="10" t="n"/>
      <c r="W2393" s="10" t="n"/>
      <c r="X2393" s="10" t="n"/>
      <c r="Y2393" s="10" t="n"/>
      <c r="Z2393" s="10" t="n"/>
      <c r="AA2393" s="11">
        <f>IF(A2393="","",IF(AND(J2393="P4",F2393="causal"),"P4-CAUSAL",""))</f>
        <v/>
      </c>
    </row>
    <row r="2394" ht="15" customHeight="1" s="1">
      <c r="P2394">
        <f>IF(OR(F2394="",H2394="",J2394=""),"",J2394&amp;"|"&amp;F2394&amp;"|"&amp;IF(H2394="W3","W3_"&amp;IF(I2394="","unknown",I2394),H2394))</f>
        <v/>
      </c>
      <c r="Q2394">
        <f>IF(P2394="","",IFERROR(IF(AND(H2394="W7",OR(F2394="causal",F2394="predictive")),IF(AND(OR(K2394=1,K2394="1"),OR(L2394=1,L2394="1"),OR(M2394=1,M2394="1")),"adequate","partial"),IF(AND(H2394="W4",F2394="predictive",OR(J2394="P2",J2394="P3",J2394="P4")),IF(OR(U2394=1,U2394="1"),"adequate","partial"),INDEX(Fit_Matrix!$B:$B,MATCH(P2394,Fit_Matrix!$A:$A,0)))),"CHECK KEY"))</f>
        <v/>
      </c>
      <c r="U2394" s="10" t="n"/>
      <c r="V2394" s="10" t="n"/>
      <c r="W2394" s="10" t="n"/>
      <c r="X2394" s="10" t="n"/>
      <c r="Y2394" s="10" t="n"/>
      <c r="Z2394" s="10" t="n"/>
      <c r="AA2394" s="11">
        <f>IF(A2394="","",IF(AND(J2394="P4",F2394="causal"),"P4-CAUSAL",""))</f>
        <v/>
      </c>
    </row>
    <row r="2395" ht="15" customHeight="1" s="1">
      <c r="P2395">
        <f>IF(OR(F2395="",H2395="",J2395=""),"",J2395&amp;"|"&amp;F2395&amp;"|"&amp;IF(H2395="W3","W3_"&amp;IF(I2395="","unknown",I2395),H2395))</f>
        <v/>
      </c>
      <c r="Q2395">
        <f>IF(P2395="","",IFERROR(IF(AND(H2395="W7",OR(F2395="causal",F2395="predictive")),IF(AND(OR(K2395=1,K2395="1"),OR(L2395=1,L2395="1"),OR(M2395=1,M2395="1")),"adequate","partial"),IF(AND(H2395="W4",F2395="predictive",OR(J2395="P2",J2395="P3",J2395="P4")),IF(OR(U2395=1,U2395="1"),"adequate","partial"),INDEX(Fit_Matrix!$B:$B,MATCH(P2395,Fit_Matrix!$A:$A,0)))),"CHECK KEY"))</f>
        <v/>
      </c>
      <c r="U2395" s="10" t="n"/>
      <c r="V2395" s="10" t="n"/>
      <c r="W2395" s="10" t="n"/>
      <c r="X2395" s="10" t="n"/>
      <c r="Y2395" s="10" t="n"/>
      <c r="Z2395" s="10" t="n"/>
      <c r="AA2395" s="11">
        <f>IF(A2395="","",IF(AND(J2395="P4",F2395="causal"),"P4-CAUSAL",""))</f>
        <v/>
      </c>
    </row>
    <row r="2396" ht="15" customHeight="1" s="1">
      <c r="P2396">
        <f>IF(OR(F2396="",H2396="",J2396=""),"",J2396&amp;"|"&amp;F2396&amp;"|"&amp;IF(H2396="W3","W3_"&amp;IF(I2396="","unknown",I2396),H2396))</f>
        <v/>
      </c>
      <c r="Q2396">
        <f>IF(P2396="","",IFERROR(IF(AND(H2396="W7",OR(F2396="causal",F2396="predictive")),IF(AND(OR(K2396=1,K2396="1"),OR(L2396=1,L2396="1"),OR(M2396=1,M2396="1")),"adequate","partial"),IF(AND(H2396="W4",F2396="predictive",OR(J2396="P2",J2396="P3",J2396="P4")),IF(OR(U2396=1,U2396="1"),"adequate","partial"),INDEX(Fit_Matrix!$B:$B,MATCH(P2396,Fit_Matrix!$A:$A,0)))),"CHECK KEY"))</f>
        <v/>
      </c>
      <c r="U2396" s="10" t="n"/>
      <c r="V2396" s="10" t="n"/>
      <c r="W2396" s="10" t="n"/>
      <c r="X2396" s="10" t="n"/>
      <c r="Y2396" s="10" t="n"/>
      <c r="Z2396" s="10" t="n"/>
      <c r="AA2396" s="11">
        <f>IF(A2396="","",IF(AND(J2396="P4",F2396="causal"),"P4-CAUSAL",""))</f>
        <v/>
      </c>
    </row>
    <row r="2397" ht="15" customHeight="1" s="1">
      <c r="P2397">
        <f>IF(OR(F2397="",H2397="",J2397=""),"",J2397&amp;"|"&amp;F2397&amp;"|"&amp;IF(H2397="W3","W3_"&amp;IF(I2397="","unknown",I2397),H2397))</f>
        <v/>
      </c>
      <c r="Q2397">
        <f>IF(P2397="","",IFERROR(IF(AND(H2397="W7",OR(F2397="causal",F2397="predictive")),IF(AND(OR(K2397=1,K2397="1"),OR(L2397=1,L2397="1"),OR(M2397=1,M2397="1")),"adequate","partial"),IF(AND(H2397="W4",F2397="predictive",OR(J2397="P2",J2397="P3",J2397="P4")),IF(OR(U2397=1,U2397="1"),"adequate","partial"),INDEX(Fit_Matrix!$B:$B,MATCH(P2397,Fit_Matrix!$A:$A,0)))),"CHECK KEY"))</f>
        <v/>
      </c>
      <c r="U2397" s="10" t="n"/>
      <c r="V2397" s="10" t="n"/>
      <c r="W2397" s="10" t="n"/>
      <c r="X2397" s="10" t="n"/>
      <c r="Y2397" s="10" t="n"/>
      <c r="Z2397" s="10" t="n"/>
      <c r="AA2397" s="11">
        <f>IF(A2397="","",IF(AND(J2397="P4",F2397="causal"),"P4-CAUSAL",""))</f>
        <v/>
      </c>
    </row>
    <row r="2398" ht="15" customHeight="1" s="1">
      <c r="P2398">
        <f>IF(OR(F2398="",H2398="",J2398=""),"",J2398&amp;"|"&amp;F2398&amp;"|"&amp;IF(H2398="W3","W3_"&amp;IF(I2398="","unknown",I2398),H2398))</f>
        <v/>
      </c>
      <c r="Q2398">
        <f>IF(P2398="","",IFERROR(IF(AND(H2398="W7",OR(F2398="causal",F2398="predictive")),IF(AND(OR(K2398=1,K2398="1"),OR(L2398=1,L2398="1"),OR(M2398=1,M2398="1")),"adequate","partial"),IF(AND(H2398="W4",F2398="predictive",OR(J2398="P2",J2398="P3",J2398="P4")),IF(OR(U2398=1,U2398="1"),"adequate","partial"),INDEX(Fit_Matrix!$B:$B,MATCH(P2398,Fit_Matrix!$A:$A,0)))),"CHECK KEY"))</f>
        <v/>
      </c>
      <c r="U2398" s="10" t="n"/>
      <c r="V2398" s="10" t="n"/>
      <c r="W2398" s="10" t="n"/>
      <c r="X2398" s="10" t="n"/>
      <c r="Y2398" s="10" t="n"/>
      <c r="Z2398" s="10" t="n"/>
      <c r="AA2398" s="11">
        <f>IF(A2398="","",IF(AND(J2398="P4",F2398="causal"),"P4-CAUSAL",""))</f>
        <v/>
      </c>
    </row>
    <row r="2399" ht="15" customHeight="1" s="1">
      <c r="P2399">
        <f>IF(OR(F2399="",H2399="",J2399=""),"",J2399&amp;"|"&amp;F2399&amp;"|"&amp;IF(H2399="W3","W3_"&amp;IF(I2399="","unknown",I2399),H2399))</f>
        <v/>
      </c>
      <c r="Q2399">
        <f>IF(P2399="","",IFERROR(IF(AND(H2399="W7",OR(F2399="causal",F2399="predictive")),IF(AND(OR(K2399=1,K2399="1"),OR(L2399=1,L2399="1"),OR(M2399=1,M2399="1")),"adequate","partial"),IF(AND(H2399="W4",F2399="predictive",OR(J2399="P2",J2399="P3",J2399="P4")),IF(OR(U2399=1,U2399="1"),"adequate","partial"),INDEX(Fit_Matrix!$B:$B,MATCH(P2399,Fit_Matrix!$A:$A,0)))),"CHECK KEY"))</f>
        <v/>
      </c>
      <c r="U2399" s="10" t="n"/>
      <c r="V2399" s="10" t="n"/>
      <c r="W2399" s="10" t="n"/>
      <c r="X2399" s="10" t="n"/>
      <c r="Y2399" s="10" t="n"/>
      <c r="Z2399" s="10" t="n"/>
      <c r="AA2399" s="11">
        <f>IF(A2399="","",IF(AND(J2399="P4",F2399="causal"),"P4-CAUSAL",""))</f>
        <v/>
      </c>
    </row>
    <row r="2400" ht="15" customHeight="1" s="1">
      <c r="P2400">
        <f>IF(OR(F2400="",H2400="",J2400=""),"",J2400&amp;"|"&amp;F2400&amp;"|"&amp;IF(H2400="W3","W3_"&amp;IF(I2400="","unknown",I2400),H2400))</f>
        <v/>
      </c>
      <c r="Q2400">
        <f>IF(P2400="","",IFERROR(IF(AND(H2400="W7",OR(F2400="causal",F2400="predictive")),IF(AND(OR(K2400=1,K2400="1"),OR(L2400=1,L2400="1"),OR(M2400=1,M2400="1")),"adequate","partial"),IF(AND(H2400="W4",F2400="predictive",OR(J2400="P2",J2400="P3",J2400="P4")),IF(OR(U2400=1,U2400="1"),"adequate","partial"),INDEX(Fit_Matrix!$B:$B,MATCH(P2400,Fit_Matrix!$A:$A,0)))),"CHECK KEY"))</f>
        <v/>
      </c>
      <c r="U2400" s="10" t="n"/>
      <c r="V2400" s="10" t="n"/>
      <c r="W2400" s="10" t="n"/>
      <c r="X2400" s="10" t="n"/>
      <c r="Y2400" s="10" t="n"/>
      <c r="Z2400" s="10" t="n"/>
      <c r="AA2400" s="11">
        <f>IF(A2400="","",IF(AND(J2400="P4",F2400="causal"),"P4-CAUSAL",""))</f>
        <v/>
      </c>
    </row>
    <row r="2401" ht="15" customHeight="1" s="1">
      <c r="P2401">
        <f>IF(OR(F2401="",H2401="",J2401=""),"",J2401&amp;"|"&amp;F2401&amp;"|"&amp;IF(H2401="W3","W3_"&amp;IF(I2401="","unknown",I2401),H2401))</f>
        <v/>
      </c>
      <c r="Q2401">
        <f>IF(P2401="","",IFERROR(IF(AND(H2401="W7",OR(F2401="causal",F2401="predictive")),IF(AND(OR(K2401=1,K2401="1"),OR(L2401=1,L2401="1"),OR(M2401=1,M2401="1")),"adequate","partial"),IF(AND(H2401="W4",F2401="predictive",OR(J2401="P2",J2401="P3",J2401="P4")),IF(OR(U2401=1,U2401="1"),"adequate","partial"),INDEX(Fit_Matrix!$B:$B,MATCH(P2401,Fit_Matrix!$A:$A,0)))),"CHECK KEY"))</f>
        <v/>
      </c>
      <c r="U2401" s="10" t="n"/>
      <c r="V2401" s="10" t="n"/>
      <c r="W2401" s="10" t="n"/>
      <c r="X2401" s="10" t="n"/>
      <c r="Y2401" s="10" t="n"/>
      <c r="Z2401" s="10" t="n"/>
      <c r="AA2401" s="11">
        <f>IF(A2401="","",IF(AND(J2401="P4",F2401="causal"),"P4-CAUSAL",""))</f>
        <v/>
      </c>
    </row>
    <row r="2402" ht="15" customHeight="1" s="1">
      <c r="P2402">
        <f>IF(OR(F2402="",H2402="",J2402=""),"",J2402&amp;"|"&amp;F2402&amp;"|"&amp;IF(H2402="W3","W3_"&amp;IF(I2402="","unknown",I2402),H2402))</f>
        <v/>
      </c>
      <c r="Q2402">
        <f>IF(P2402="","",IFERROR(IF(AND(H2402="W7",OR(F2402="causal",F2402="predictive")),IF(AND(OR(K2402=1,K2402="1"),OR(L2402=1,L2402="1"),OR(M2402=1,M2402="1")),"adequate","partial"),IF(AND(H2402="W4",F2402="predictive",OR(J2402="P2",J2402="P3",J2402="P4")),IF(OR(U2402=1,U2402="1"),"adequate","partial"),INDEX(Fit_Matrix!$B:$B,MATCH(P2402,Fit_Matrix!$A:$A,0)))),"CHECK KEY"))</f>
        <v/>
      </c>
      <c r="U2402" s="10" t="n"/>
      <c r="V2402" s="10" t="n"/>
      <c r="W2402" s="10" t="n"/>
      <c r="X2402" s="10" t="n"/>
      <c r="Y2402" s="10" t="n"/>
      <c r="Z2402" s="10" t="n"/>
      <c r="AA2402" s="11">
        <f>IF(A2402="","",IF(AND(J2402="P4",F2402="causal"),"P4-CAUSAL",""))</f>
        <v/>
      </c>
    </row>
    <row r="2403" ht="15" customHeight="1" s="1">
      <c r="P2403">
        <f>IF(OR(F2403="",H2403="",J2403=""),"",J2403&amp;"|"&amp;F2403&amp;"|"&amp;IF(H2403="W3","W3_"&amp;IF(I2403="","unknown",I2403),H2403))</f>
        <v/>
      </c>
      <c r="Q2403">
        <f>IF(P2403="","",IFERROR(IF(AND(H2403="W7",OR(F2403="causal",F2403="predictive")),IF(AND(OR(K2403=1,K2403="1"),OR(L2403=1,L2403="1"),OR(M2403=1,M2403="1")),"adequate","partial"),IF(AND(H2403="W4",F2403="predictive",OR(J2403="P2",J2403="P3",J2403="P4")),IF(OR(U2403=1,U2403="1"),"adequate","partial"),INDEX(Fit_Matrix!$B:$B,MATCH(P2403,Fit_Matrix!$A:$A,0)))),"CHECK KEY"))</f>
        <v/>
      </c>
      <c r="U2403" s="10" t="n"/>
      <c r="V2403" s="10" t="n"/>
      <c r="W2403" s="10" t="n"/>
      <c r="X2403" s="10" t="n"/>
      <c r="Y2403" s="10" t="n"/>
      <c r="Z2403" s="10" t="n"/>
      <c r="AA2403" s="11">
        <f>IF(A2403="","",IF(AND(J2403="P4",F2403="causal"),"P4-CAUSAL",""))</f>
        <v/>
      </c>
    </row>
    <row r="2404" ht="15" customHeight="1" s="1">
      <c r="P2404">
        <f>IF(OR(F2404="",H2404="",J2404=""),"",J2404&amp;"|"&amp;F2404&amp;"|"&amp;IF(H2404="W3","W3_"&amp;IF(I2404="","unknown",I2404),H2404))</f>
        <v/>
      </c>
      <c r="Q2404">
        <f>IF(P2404="","",IFERROR(IF(AND(H2404="W7",OR(F2404="causal",F2404="predictive")),IF(AND(OR(K2404=1,K2404="1"),OR(L2404=1,L2404="1"),OR(M2404=1,M2404="1")),"adequate","partial"),IF(AND(H2404="W4",F2404="predictive",OR(J2404="P2",J2404="P3",J2404="P4")),IF(OR(U2404=1,U2404="1"),"adequate","partial"),INDEX(Fit_Matrix!$B:$B,MATCH(P2404,Fit_Matrix!$A:$A,0)))),"CHECK KEY"))</f>
        <v/>
      </c>
      <c r="U2404" s="10" t="n"/>
      <c r="V2404" s="10" t="n"/>
      <c r="W2404" s="10" t="n"/>
      <c r="X2404" s="10" t="n"/>
      <c r="Y2404" s="10" t="n"/>
      <c r="Z2404" s="10" t="n"/>
      <c r="AA2404" s="11">
        <f>IF(A2404="","",IF(AND(J2404="P4",F2404="causal"),"P4-CAUSAL",""))</f>
        <v/>
      </c>
    </row>
    <row r="2405" ht="15" customHeight="1" s="1">
      <c r="P2405">
        <f>IF(OR(F2405="",H2405="",J2405=""),"",J2405&amp;"|"&amp;F2405&amp;"|"&amp;IF(H2405="W3","W3_"&amp;IF(I2405="","unknown",I2405),H2405))</f>
        <v/>
      </c>
      <c r="Q2405">
        <f>IF(P2405="","",IFERROR(IF(AND(H2405="W7",OR(F2405="causal",F2405="predictive")),IF(AND(OR(K2405=1,K2405="1"),OR(L2405=1,L2405="1"),OR(M2405=1,M2405="1")),"adequate","partial"),IF(AND(H2405="W4",F2405="predictive",OR(J2405="P2",J2405="P3",J2405="P4")),IF(OR(U2405=1,U2405="1"),"adequate","partial"),INDEX(Fit_Matrix!$B:$B,MATCH(P2405,Fit_Matrix!$A:$A,0)))),"CHECK KEY"))</f>
        <v/>
      </c>
      <c r="U2405" s="10" t="n"/>
      <c r="V2405" s="10" t="n"/>
      <c r="W2405" s="10" t="n"/>
      <c r="X2405" s="10" t="n"/>
      <c r="Y2405" s="10" t="n"/>
      <c r="Z2405" s="10" t="n"/>
      <c r="AA2405" s="11">
        <f>IF(A2405="","",IF(AND(J2405="P4",F2405="causal"),"P4-CAUSAL",""))</f>
        <v/>
      </c>
    </row>
    <row r="2406" ht="15" customHeight="1" s="1">
      <c r="P2406">
        <f>IF(OR(F2406="",H2406="",J2406=""),"",J2406&amp;"|"&amp;F2406&amp;"|"&amp;IF(H2406="W3","W3_"&amp;IF(I2406="","unknown",I2406),H2406))</f>
        <v/>
      </c>
      <c r="Q2406">
        <f>IF(P2406="","",IFERROR(IF(AND(H2406="W7",OR(F2406="causal",F2406="predictive")),IF(AND(OR(K2406=1,K2406="1"),OR(L2406=1,L2406="1"),OR(M2406=1,M2406="1")),"adequate","partial"),IF(AND(H2406="W4",F2406="predictive",OR(J2406="P2",J2406="P3",J2406="P4")),IF(OR(U2406=1,U2406="1"),"adequate","partial"),INDEX(Fit_Matrix!$B:$B,MATCH(P2406,Fit_Matrix!$A:$A,0)))),"CHECK KEY"))</f>
        <v/>
      </c>
      <c r="U2406" s="10" t="n"/>
      <c r="V2406" s="10" t="n"/>
      <c r="W2406" s="10" t="n"/>
      <c r="X2406" s="10" t="n"/>
      <c r="Y2406" s="10" t="n"/>
      <c r="Z2406" s="10" t="n"/>
      <c r="AA2406" s="11">
        <f>IF(A2406="","",IF(AND(J2406="P4",F2406="causal"),"P4-CAUSAL",""))</f>
        <v/>
      </c>
    </row>
    <row r="2407" ht="15" customHeight="1" s="1">
      <c r="P2407">
        <f>IF(OR(F2407="",H2407="",J2407=""),"",J2407&amp;"|"&amp;F2407&amp;"|"&amp;IF(H2407="W3","W3_"&amp;IF(I2407="","unknown",I2407),H2407))</f>
        <v/>
      </c>
      <c r="Q2407">
        <f>IF(P2407="","",IFERROR(IF(AND(H2407="W7",OR(F2407="causal",F2407="predictive")),IF(AND(OR(K2407=1,K2407="1"),OR(L2407=1,L2407="1"),OR(M2407=1,M2407="1")),"adequate","partial"),IF(AND(H2407="W4",F2407="predictive",OR(J2407="P2",J2407="P3",J2407="P4")),IF(OR(U2407=1,U2407="1"),"adequate","partial"),INDEX(Fit_Matrix!$B:$B,MATCH(P2407,Fit_Matrix!$A:$A,0)))),"CHECK KEY"))</f>
        <v/>
      </c>
      <c r="U2407" s="10" t="n"/>
      <c r="V2407" s="10" t="n"/>
      <c r="W2407" s="10" t="n"/>
      <c r="X2407" s="10" t="n"/>
      <c r="Y2407" s="10" t="n"/>
      <c r="Z2407" s="10" t="n"/>
      <c r="AA2407" s="11">
        <f>IF(A2407="","",IF(AND(J2407="P4",F2407="causal"),"P4-CAUSAL",""))</f>
        <v/>
      </c>
    </row>
    <row r="2408" ht="15" customHeight="1" s="1">
      <c r="P2408">
        <f>IF(OR(F2408="",H2408="",J2408=""),"",J2408&amp;"|"&amp;F2408&amp;"|"&amp;IF(H2408="W3","W3_"&amp;IF(I2408="","unknown",I2408),H2408))</f>
        <v/>
      </c>
      <c r="Q2408">
        <f>IF(P2408="","",IFERROR(IF(AND(H2408="W7",OR(F2408="causal",F2408="predictive")),IF(AND(OR(K2408=1,K2408="1"),OR(L2408=1,L2408="1"),OR(M2408=1,M2408="1")),"adequate","partial"),IF(AND(H2408="W4",F2408="predictive",OR(J2408="P2",J2408="P3",J2408="P4")),IF(OR(U2408=1,U2408="1"),"adequate","partial"),INDEX(Fit_Matrix!$B:$B,MATCH(P2408,Fit_Matrix!$A:$A,0)))),"CHECK KEY"))</f>
        <v/>
      </c>
      <c r="U2408" s="10" t="n"/>
      <c r="V2408" s="10" t="n"/>
      <c r="W2408" s="10" t="n"/>
      <c r="X2408" s="10" t="n"/>
      <c r="Y2408" s="10" t="n"/>
      <c r="Z2408" s="10" t="n"/>
      <c r="AA2408" s="11">
        <f>IF(A2408="","",IF(AND(J2408="P4",F2408="causal"),"P4-CAUSAL",""))</f>
        <v/>
      </c>
    </row>
    <row r="2409" ht="15" customHeight="1" s="1">
      <c r="P2409">
        <f>IF(OR(F2409="",H2409="",J2409=""),"",J2409&amp;"|"&amp;F2409&amp;"|"&amp;IF(H2409="W3","W3_"&amp;IF(I2409="","unknown",I2409),H2409))</f>
        <v/>
      </c>
      <c r="Q2409">
        <f>IF(P2409="","",IFERROR(IF(AND(H2409="W7",OR(F2409="causal",F2409="predictive")),IF(AND(OR(K2409=1,K2409="1"),OR(L2409=1,L2409="1"),OR(M2409=1,M2409="1")),"adequate","partial"),IF(AND(H2409="W4",F2409="predictive",OR(J2409="P2",J2409="P3",J2409="P4")),IF(OR(U2409=1,U2409="1"),"adequate","partial"),INDEX(Fit_Matrix!$B:$B,MATCH(P2409,Fit_Matrix!$A:$A,0)))),"CHECK KEY"))</f>
        <v/>
      </c>
      <c r="U2409" s="10" t="n"/>
      <c r="V2409" s="10" t="n"/>
      <c r="W2409" s="10" t="n"/>
      <c r="X2409" s="10" t="n"/>
      <c r="Y2409" s="10" t="n"/>
      <c r="Z2409" s="10" t="n"/>
      <c r="AA2409" s="11">
        <f>IF(A2409="","",IF(AND(J2409="P4",F2409="causal"),"P4-CAUSAL",""))</f>
        <v/>
      </c>
    </row>
    <row r="2410" ht="15" customHeight="1" s="1">
      <c r="P2410">
        <f>IF(OR(F2410="",H2410="",J2410=""),"",J2410&amp;"|"&amp;F2410&amp;"|"&amp;IF(H2410="W3","W3_"&amp;IF(I2410="","unknown",I2410),H2410))</f>
        <v/>
      </c>
      <c r="Q2410">
        <f>IF(P2410="","",IFERROR(IF(AND(H2410="W7",OR(F2410="causal",F2410="predictive")),IF(AND(OR(K2410=1,K2410="1"),OR(L2410=1,L2410="1"),OR(M2410=1,M2410="1")),"adequate","partial"),IF(AND(H2410="W4",F2410="predictive",OR(J2410="P2",J2410="P3",J2410="P4")),IF(OR(U2410=1,U2410="1"),"adequate","partial"),INDEX(Fit_Matrix!$B:$B,MATCH(P2410,Fit_Matrix!$A:$A,0)))),"CHECK KEY"))</f>
        <v/>
      </c>
      <c r="U2410" s="10" t="n"/>
      <c r="V2410" s="10" t="n"/>
      <c r="W2410" s="10" t="n"/>
      <c r="X2410" s="10" t="n"/>
      <c r="Y2410" s="10" t="n"/>
      <c r="Z2410" s="10" t="n"/>
      <c r="AA2410" s="11">
        <f>IF(A2410="","",IF(AND(J2410="P4",F2410="causal"),"P4-CAUSAL",""))</f>
        <v/>
      </c>
    </row>
    <row r="2411" ht="15" customHeight="1" s="1">
      <c r="P2411">
        <f>IF(OR(F2411="",H2411="",J2411=""),"",J2411&amp;"|"&amp;F2411&amp;"|"&amp;IF(H2411="W3","W3_"&amp;IF(I2411="","unknown",I2411),H2411))</f>
        <v/>
      </c>
      <c r="Q2411">
        <f>IF(P2411="","",IFERROR(IF(AND(H2411="W7",OR(F2411="causal",F2411="predictive")),IF(AND(OR(K2411=1,K2411="1"),OR(L2411=1,L2411="1"),OR(M2411=1,M2411="1")),"adequate","partial"),IF(AND(H2411="W4",F2411="predictive",OR(J2411="P2",J2411="P3",J2411="P4")),IF(OR(U2411=1,U2411="1"),"adequate","partial"),INDEX(Fit_Matrix!$B:$B,MATCH(P2411,Fit_Matrix!$A:$A,0)))),"CHECK KEY"))</f>
        <v/>
      </c>
      <c r="U2411" s="10" t="n"/>
      <c r="V2411" s="10" t="n"/>
      <c r="W2411" s="10" t="n"/>
      <c r="X2411" s="10" t="n"/>
      <c r="Y2411" s="10" t="n"/>
      <c r="Z2411" s="10" t="n"/>
      <c r="AA2411" s="11">
        <f>IF(A2411="","",IF(AND(J2411="P4",F2411="causal"),"P4-CAUSAL",""))</f>
        <v/>
      </c>
    </row>
    <row r="2412" ht="15" customHeight="1" s="1">
      <c r="P2412">
        <f>IF(OR(F2412="",H2412="",J2412=""),"",J2412&amp;"|"&amp;F2412&amp;"|"&amp;IF(H2412="W3","W3_"&amp;IF(I2412="","unknown",I2412),H2412))</f>
        <v/>
      </c>
      <c r="Q2412">
        <f>IF(P2412="","",IFERROR(IF(AND(H2412="W7",OR(F2412="causal",F2412="predictive")),IF(AND(OR(K2412=1,K2412="1"),OR(L2412=1,L2412="1"),OR(M2412=1,M2412="1")),"adequate","partial"),IF(AND(H2412="W4",F2412="predictive",OR(J2412="P2",J2412="P3",J2412="P4")),IF(OR(U2412=1,U2412="1"),"adequate","partial"),INDEX(Fit_Matrix!$B:$B,MATCH(P2412,Fit_Matrix!$A:$A,0)))),"CHECK KEY"))</f>
        <v/>
      </c>
      <c r="U2412" s="10" t="n"/>
      <c r="V2412" s="10" t="n"/>
      <c r="W2412" s="10" t="n"/>
      <c r="X2412" s="10" t="n"/>
      <c r="Y2412" s="10" t="n"/>
      <c r="Z2412" s="10" t="n"/>
      <c r="AA2412" s="11">
        <f>IF(A2412="","",IF(AND(J2412="P4",F2412="causal"),"P4-CAUSAL",""))</f>
        <v/>
      </c>
    </row>
    <row r="2413" ht="15" customHeight="1" s="1">
      <c r="P2413">
        <f>IF(OR(F2413="",H2413="",J2413=""),"",J2413&amp;"|"&amp;F2413&amp;"|"&amp;IF(H2413="W3","W3_"&amp;IF(I2413="","unknown",I2413),H2413))</f>
        <v/>
      </c>
      <c r="Q2413">
        <f>IF(P2413="","",IFERROR(IF(AND(H2413="W7",OR(F2413="causal",F2413="predictive")),IF(AND(OR(K2413=1,K2413="1"),OR(L2413=1,L2413="1"),OR(M2413=1,M2413="1")),"adequate","partial"),IF(AND(H2413="W4",F2413="predictive",OR(J2413="P2",J2413="P3",J2413="P4")),IF(OR(U2413=1,U2413="1"),"adequate","partial"),INDEX(Fit_Matrix!$B:$B,MATCH(P2413,Fit_Matrix!$A:$A,0)))),"CHECK KEY"))</f>
        <v/>
      </c>
      <c r="U2413" s="10" t="n"/>
      <c r="V2413" s="10" t="n"/>
      <c r="W2413" s="10" t="n"/>
      <c r="X2413" s="10" t="n"/>
      <c r="Y2413" s="10" t="n"/>
      <c r="Z2413" s="10" t="n"/>
      <c r="AA2413" s="11">
        <f>IF(A2413="","",IF(AND(J2413="P4",F2413="causal"),"P4-CAUSAL",""))</f>
        <v/>
      </c>
    </row>
    <row r="2414" ht="15" customHeight="1" s="1">
      <c r="P2414">
        <f>IF(OR(F2414="",H2414="",J2414=""),"",J2414&amp;"|"&amp;F2414&amp;"|"&amp;IF(H2414="W3","W3_"&amp;IF(I2414="","unknown",I2414),H2414))</f>
        <v/>
      </c>
      <c r="Q2414">
        <f>IF(P2414="","",IFERROR(IF(AND(H2414="W7",OR(F2414="causal",F2414="predictive")),IF(AND(OR(K2414=1,K2414="1"),OR(L2414=1,L2414="1"),OR(M2414=1,M2414="1")),"adequate","partial"),IF(AND(H2414="W4",F2414="predictive",OR(J2414="P2",J2414="P3",J2414="P4")),IF(OR(U2414=1,U2414="1"),"adequate","partial"),INDEX(Fit_Matrix!$B:$B,MATCH(P2414,Fit_Matrix!$A:$A,0)))),"CHECK KEY"))</f>
        <v/>
      </c>
      <c r="U2414" s="10" t="n"/>
      <c r="V2414" s="10" t="n"/>
      <c r="W2414" s="10" t="n"/>
      <c r="X2414" s="10" t="n"/>
      <c r="Y2414" s="10" t="n"/>
      <c r="Z2414" s="10" t="n"/>
      <c r="AA2414" s="11">
        <f>IF(A2414="","",IF(AND(J2414="P4",F2414="causal"),"P4-CAUSAL",""))</f>
        <v/>
      </c>
    </row>
    <row r="2415" ht="15" customHeight="1" s="1">
      <c r="P2415">
        <f>IF(OR(F2415="",H2415="",J2415=""),"",J2415&amp;"|"&amp;F2415&amp;"|"&amp;IF(H2415="W3","W3_"&amp;IF(I2415="","unknown",I2415),H2415))</f>
        <v/>
      </c>
      <c r="Q2415">
        <f>IF(P2415="","",IFERROR(IF(AND(H2415="W7",OR(F2415="causal",F2415="predictive")),IF(AND(OR(K2415=1,K2415="1"),OR(L2415=1,L2415="1"),OR(M2415=1,M2415="1")),"adequate","partial"),IF(AND(H2415="W4",F2415="predictive",OR(J2415="P2",J2415="P3",J2415="P4")),IF(OR(U2415=1,U2415="1"),"adequate","partial"),INDEX(Fit_Matrix!$B:$B,MATCH(P2415,Fit_Matrix!$A:$A,0)))),"CHECK KEY"))</f>
        <v/>
      </c>
      <c r="U2415" s="10" t="n"/>
      <c r="V2415" s="10" t="n"/>
      <c r="W2415" s="10" t="n"/>
      <c r="X2415" s="10" t="n"/>
      <c r="Y2415" s="10" t="n"/>
      <c r="Z2415" s="10" t="n"/>
      <c r="AA2415" s="11">
        <f>IF(A2415="","",IF(AND(J2415="P4",F2415="causal"),"P4-CAUSAL",""))</f>
        <v/>
      </c>
    </row>
    <row r="2416" ht="15" customHeight="1" s="1">
      <c r="P2416">
        <f>IF(OR(F2416="",H2416="",J2416=""),"",J2416&amp;"|"&amp;F2416&amp;"|"&amp;IF(H2416="W3","W3_"&amp;IF(I2416="","unknown",I2416),H2416))</f>
        <v/>
      </c>
      <c r="Q2416">
        <f>IF(P2416="","",IFERROR(IF(AND(H2416="W7",OR(F2416="causal",F2416="predictive")),IF(AND(OR(K2416=1,K2416="1"),OR(L2416=1,L2416="1"),OR(M2416=1,M2416="1")),"adequate","partial"),IF(AND(H2416="W4",F2416="predictive",OR(J2416="P2",J2416="P3",J2416="P4")),IF(OR(U2416=1,U2416="1"),"adequate","partial"),INDEX(Fit_Matrix!$B:$B,MATCH(P2416,Fit_Matrix!$A:$A,0)))),"CHECK KEY"))</f>
        <v/>
      </c>
      <c r="U2416" s="10" t="n"/>
      <c r="V2416" s="10" t="n"/>
      <c r="W2416" s="10" t="n"/>
      <c r="X2416" s="10" t="n"/>
      <c r="Y2416" s="10" t="n"/>
      <c r="Z2416" s="10" t="n"/>
      <c r="AA2416" s="11">
        <f>IF(A2416="","",IF(AND(J2416="P4",F2416="causal"),"P4-CAUSAL",""))</f>
        <v/>
      </c>
    </row>
    <row r="2417" ht="15" customHeight="1" s="1">
      <c r="P2417">
        <f>IF(OR(F2417="",H2417="",J2417=""),"",J2417&amp;"|"&amp;F2417&amp;"|"&amp;IF(H2417="W3","W3_"&amp;IF(I2417="","unknown",I2417),H2417))</f>
        <v/>
      </c>
      <c r="Q2417">
        <f>IF(P2417="","",IFERROR(IF(AND(H2417="W7",OR(F2417="causal",F2417="predictive")),IF(AND(OR(K2417=1,K2417="1"),OR(L2417=1,L2417="1"),OR(M2417=1,M2417="1")),"adequate","partial"),IF(AND(H2417="W4",F2417="predictive",OR(J2417="P2",J2417="P3",J2417="P4")),IF(OR(U2417=1,U2417="1"),"adequate","partial"),INDEX(Fit_Matrix!$B:$B,MATCH(P2417,Fit_Matrix!$A:$A,0)))),"CHECK KEY"))</f>
        <v/>
      </c>
      <c r="U2417" s="10" t="n"/>
      <c r="V2417" s="10" t="n"/>
      <c r="W2417" s="10" t="n"/>
      <c r="X2417" s="10" t="n"/>
      <c r="Y2417" s="10" t="n"/>
      <c r="Z2417" s="10" t="n"/>
      <c r="AA2417" s="11">
        <f>IF(A2417="","",IF(AND(J2417="P4",F2417="causal"),"P4-CAUSAL",""))</f>
        <v/>
      </c>
    </row>
    <row r="2418" ht="15" customHeight="1" s="1">
      <c r="P2418">
        <f>IF(OR(F2418="",H2418="",J2418=""),"",J2418&amp;"|"&amp;F2418&amp;"|"&amp;IF(H2418="W3","W3_"&amp;IF(I2418="","unknown",I2418),H2418))</f>
        <v/>
      </c>
      <c r="Q2418">
        <f>IF(P2418="","",IFERROR(IF(AND(H2418="W7",OR(F2418="causal",F2418="predictive")),IF(AND(OR(K2418=1,K2418="1"),OR(L2418=1,L2418="1"),OR(M2418=1,M2418="1")),"adequate","partial"),IF(AND(H2418="W4",F2418="predictive",OR(J2418="P2",J2418="P3",J2418="P4")),IF(OR(U2418=1,U2418="1"),"adequate","partial"),INDEX(Fit_Matrix!$B:$B,MATCH(P2418,Fit_Matrix!$A:$A,0)))),"CHECK KEY"))</f>
        <v/>
      </c>
      <c r="U2418" s="10" t="n"/>
      <c r="V2418" s="10" t="n"/>
      <c r="W2418" s="10" t="n"/>
      <c r="X2418" s="10" t="n"/>
      <c r="Y2418" s="10" t="n"/>
      <c r="Z2418" s="10" t="n"/>
      <c r="AA2418" s="11">
        <f>IF(A2418="","",IF(AND(J2418="P4",F2418="causal"),"P4-CAUSAL",""))</f>
        <v/>
      </c>
    </row>
    <row r="2419" ht="15" customHeight="1" s="1">
      <c r="P2419">
        <f>IF(OR(F2419="",H2419="",J2419=""),"",J2419&amp;"|"&amp;F2419&amp;"|"&amp;IF(H2419="W3","W3_"&amp;IF(I2419="","unknown",I2419),H2419))</f>
        <v/>
      </c>
      <c r="Q2419">
        <f>IF(P2419="","",IFERROR(IF(AND(H2419="W7",OR(F2419="causal",F2419="predictive")),IF(AND(OR(K2419=1,K2419="1"),OR(L2419=1,L2419="1"),OR(M2419=1,M2419="1")),"adequate","partial"),IF(AND(H2419="W4",F2419="predictive",OR(J2419="P2",J2419="P3",J2419="P4")),IF(OR(U2419=1,U2419="1"),"adequate","partial"),INDEX(Fit_Matrix!$B:$B,MATCH(P2419,Fit_Matrix!$A:$A,0)))),"CHECK KEY"))</f>
        <v/>
      </c>
      <c r="U2419" s="10" t="n"/>
      <c r="V2419" s="10" t="n"/>
      <c r="W2419" s="10" t="n"/>
      <c r="X2419" s="10" t="n"/>
      <c r="Y2419" s="10" t="n"/>
      <c r="Z2419" s="10" t="n"/>
      <c r="AA2419" s="11">
        <f>IF(A2419="","",IF(AND(J2419="P4",F2419="causal"),"P4-CAUSAL",""))</f>
        <v/>
      </c>
    </row>
    <row r="2420" ht="15" customHeight="1" s="1">
      <c r="P2420">
        <f>IF(OR(F2420="",H2420="",J2420=""),"",J2420&amp;"|"&amp;F2420&amp;"|"&amp;IF(H2420="W3","W3_"&amp;IF(I2420="","unknown",I2420),H2420))</f>
        <v/>
      </c>
      <c r="Q2420">
        <f>IF(P2420="","",IFERROR(IF(AND(H2420="W7",OR(F2420="causal",F2420="predictive")),IF(AND(OR(K2420=1,K2420="1"),OR(L2420=1,L2420="1"),OR(M2420=1,M2420="1")),"adequate","partial"),IF(AND(H2420="W4",F2420="predictive",OR(J2420="P2",J2420="P3",J2420="P4")),IF(OR(U2420=1,U2420="1"),"adequate","partial"),INDEX(Fit_Matrix!$B:$B,MATCH(P2420,Fit_Matrix!$A:$A,0)))),"CHECK KEY"))</f>
        <v/>
      </c>
      <c r="U2420" s="10" t="n"/>
      <c r="V2420" s="10" t="n"/>
      <c r="W2420" s="10" t="n"/>
      <c r="X2420" s="10" t="n"/>
      <c r="Y2420" s="10" t="n"/>
      <c r="Z2420" s="10" t="n"/>
      <c r="AA2420" s="11">
        <f>IF(A2420="","",IF(AND(J2420="P4",F2420="causal"),"P4-CAUSAL",""))</f>
        <v/>
      </c>
    </row>
    <row r="2421" ht="15" customHeight="1" s="1">
      <c r="P2421">
        <f>IF(OR(F2421="",H2421="",J2421=""),"",J2421&amp;"|"&amp;F2421&amp;"|"&amp;IF(H2421="W3","W3_"&amp;IF(I2421="","unknown",I2421),H2421))</f>
        <v/>
      </c>
      <c r="Q2421">
        <f>IF(P2421="","",IFERROR(IF(AND(H2421="W7",OR(F2421="causal",F2421="predictive")),IF(AND(OR(K2421=1,K2421="1"),OR(L2421=1,L2421="1"),OR(M2421=1,M2421="1")),"adequate","partial"),IF(AND(H2421="W4",F2421="predictive",OR(J2421="P2",J2421="P3",J2421="P4")),IF(OR(U2421=1,U2421="1"),"adequate","partial"),INDEX(Fit_Matrix!$B:$B,MATCH(P2421,Fit_Matrix!$A:$A,0)))),"CHECK KEY"))</f>
        <v/>
      </c>
      <c r="U2421" s="10" t="n"/>
      <c r="V2421" s="10" t="n"/>
      <c r="W2421" s="10" t="n"/>
      <c r="X2421" s="10" t="n"/>
      <c r="Y2421" s="10" t="n"/>
      <c r="Z2421" s="10" t="n"/>
      <c r="AA2421" s="11">
        <f>IF(A2421="","",IF(AND(J2421="P4",F2421="causal"),"P4-CAUSAL",""))</f>
        <v/>
      </c>
    </row>
    <row r="2422" ht="15" customHeight="1" s="1">
      <c r="P2422">
        <f>IF(OR(F2422="",H2422="",J2422=""),"",J2422&amp;"|"&amp;F2422&amp;"|"&amp;IF(H2422="W3","W3_"&amp;IF(I2422="","unknown",I2422),H2422))</f>
        <v/>
      </c>
      <c r="Q2422">
        <f>IF(P2422="","",IFERROR(IF(AND(H2422="W7",OR(F2422="causal",F2422="predictive")),IF(AND(OR(K2422=1,K2422="1"),OR(L2422=1,L2422="1"),OR(M2422=1,M2422="1")),"adequate","partial"),IF(AND(H2422="W4",F2422="predictive",OR(J2422="P2",J2422="P3",J2422="P4")),IF(OR(U2422=1,U2422="1"),"adequate","partial"),INDEX(Fit_Matrix!$B:$B,MATCH(P2422,Fit_Matrix!$A:$A,0)))),"CHECK KEY"))</f>
        <v/>
      </c>
      <c r="U2422" s="10" t="n"/>
      <c r="V2422" s="10" t="n"/>
      <c r="W2422" s="10" t="n"/>
      <c r="X2422" s="10" t="n"/>
      <c r="Y2422" s="10" t="n"/>
      <c r="Z2422" s="10" t="n"/>
      <c r="AA2422" s="11">
        <f>IF(A2422="","",IF(AND(J2422="P4",F2422="causal"),"P4-CAUSAL",""))</f>
        <v/>
      </c>
    </row>
    <row r="2423" ht="15" customHeight="1" s="1">
      <c r="P2423">
        <f>IF(OR(F2423="",H2423="",J2423=""),"",J2423&amp;"|"&amp;F2423&amp;"|"&amp;IF(H2423="W3","W3_"&amp;IF(I2423="","unknown",I2423),H2423))</f>
        <v/>
      </c>
      <c r="Q2423">
        <f>IF(P2423="","",IFERROR(IF(AND(H2423="W7",OR(F2423="causal",F2423="predictive")),IF(AND(OR(K2423=1,K2423="1"),OR(L2423=1,L2423="1"),OR(M2423=1,M2423="1")),"adequate","partial"),IF(AND(H2423="W4",F2423="predictive",OR(J2423="P2",J2423="P3",J2423="P4")),IF(OR(U2423=1,U2423="1"),"adequate","partial"),INDEX(Fit_Matrix!$B:$B,MATCH(P2423,Fit_Matrix!$A:$A,0)))),"CHECK KEY"))</f>
        <v/>
      </c>
      <c r="U2423" s="10" t="n"/>
      <c r="V2423" s="10" t="n"/>
      <c r="W2423" s="10" t="n"/>
      <c r="X2423" s="10" t="n"/>
      <c r="Y2423" s="10" t="n"/>
      <c r="Z2423" s="10" t="n"/>
      <c r="AA2423" s="11">
        <f>IF(A2423="","",IF(AND(J2423="P4",F2423="causal"),"P4-CAUSAL",""))</f>
        <v/>
      </c>
    </row>
    <row r="2424" ht="15" customHeight="1" s="1">
      <c r="P2424">
        <f>IF(OR(F2424="",H2424="",J2424=""),"",J2424&amp;"|"&amp;F2424&amp;"|"&amp;IF(H2424="W3","W3_"&amp;IF(I2424="","unknown",I2424),H2424))</f>
        <v/>
      </c>
      <c r="Q2424">
        <f>IF(P2424="","",IFERROR(IF(AND(H2424="W7",OR(F2424="causal",F2424="predictive")),IF(AND(OR(K2424=1,K2424="1"),OR(L2424=1,L2424="1"),OR(M2424=1,M2424="1")),"adequate","partial"),IF(AND(H2424="W4",F2424="predictive",OR(J2424="P2",J2424="P3",J2424="P4")),IF(OR(U2424=1,U2424="1"),"adequate","partial"),INDEX(Fit_Matrix!$B:$B,MATCH(P2424,Fit_Matrix!$A:$A,0)))),"CHECK KEY"))</f>
        <v/>
      </c>
      <c r="U2424" s="10" t="n"/>
      <c r="V2424" s="10" t="n"/>
      <c r="W2424" s="10" t="n"/>
      <c r="X2424" s="10" t="n"/>
      <c r="Y2424" s="10" t="n"/>
      <c r="Z2424" s="10" t="n"/>
      <c r="AA2424" s="11">
        <f>IF(A2424="","",IF(AND(J2424="P4",F2424="causal"),"P4-CAUSAL",""))</f>
        <v/>
      </c>
    </row>
    <row r="2425" ht="15" customHeight="1" s="1">
      <c r="P2425">
        <f>IF(OR(F2425="",H2425="",J2425=""),"",J2425&amp;"|"&amp;F2425&amp;"|"&amp;IF(H2425="W3","W3_"&amp;IF(I2425="","unknown",I2425),H2425))</f>
        <v/>
      </c>
      <c r="Q2425">
        <f>IF(P2425="","",IFERROR(IF(AND(H2425="W7",OR(F2425="causal",F2425="predictive")),IF(AND(OR(K2425=1,K2425="1"),OR(L2425=1,L2425="1"),OR(M2425=1,M2425="1")),"adequate","partial"),IF(AND(H2425="W4",F2425="predictive",OR(J2425="P2",J2425="P3",J2425="P4")),IF(OR(U2425=1,U2425="1"),"adequate","partial"),INDEX(Fit_Matrix!$B:$B,MATCH(P2425,Fit_Matrix!$A:$A,0)))),"CHECK KEY"))</f>
        <v/>
      </c>
      <c r="U2425" s="10" t="n"/>
      <c r="V2425" s="10" t="n"/>
      <c r="W2425" s="10" t="n"/>
      <c r="X2425" s="10" t="n"/>
      <c r="Y2425" s="10" t="n"/>
      <c r="Z2425" s="10" t="n"/>
      <c r="AA2425" s="11">
        <f>IF(A2425="","",IF(AND(J2425="P4",F2425="causal"),"P4-CAUSAL",""))</f>
        <v/>
      </c>
    </row>
    <row r="2426" ht="15" customHeight="1" s="1">
      <c r="P2426">
        <f>IF(OR(F2426="",H2426="",J2426=""),"",J2426&amp;"|"&amp;F2426&amp;"|"&amp;IF(H2426="W3","W3_"&amp;IF(I2426="","unknown",I2426),H2426))</f>
        <v/>
      </c>
      <c r="Q2426">
        <f>IF(P2426="","",IFERROR(IF(AND(H2426="W7",OR(F2426="causal",F2426="predictive")),IF(AND(OR(K2426=1,K2426="1"),OR(L2426=1,L2426="1"),OR(M2426=1,M2426="1")),"adequate","partial"),IF(AND(H2426="W4",F2426="predictive",OR(J2426="P2",J2426="P3",J2426="P4")),IF(OR(U2426=1,U2426="1"),"adequate","partial"),INDEX(Fit_Matrix!$B:$B,MATCH(P2426,Fit_Matrix!$A:$A,0)))),"CHECK KEY"))</f>
        <v/>
      </c>
      <c r="U2426" s="10" t="n"/>
      <c r="V2426" s="10" t="n"/>
      <c r="W2426" s="10" t="n"/>
      <c r="X2426" s="10" t="n"/>
      <c r="Y2426" s="10" t="n"/>
      <c r="Z2426" s="10" t="n"/>
      <c r="AA2426" s="11">
        <f>IF(A2426="","",IF(AND(J2426="P4",F2426="causal"),"P4-CAUSAL",""))</f>
        <v/>
      </c>
    </row>
    <row r="2427" ht="15" customHeight="1" s="1">
      <c r="P2427">
        <f>IF(OR(F2427="",H2427="",J2427=""),"",J2427&amp;"|"&amp;F2427&amp;"|"&amp;IF(H2427="W3","W3_"&amp;IF(I2427="","unknown",I2427),H2427))</f>
        <v/>
      </c>
      <c r="Q2427">
        <f>IF(P2427="","",IFERROR(IF(AND(H2427="W7",OR(F2427="causal",F2427="predictive")),IF(AND(OR(K2427=1,K2427="1"),OR(L2427=1,L2427="1"),OR(M2427=1,M2427="1")),"adequate","partial"),IF(AND(H2427="W4",F2427="predictive",OR(J2427="P2",J2427="P3",J2427="P4")),IF(OR(U2427=1,U2427="1"),"adequate","partial"),INDEX(Fit_Matrix!$B:$B,MATCH(P2427,Fit_Matrix!$A:$A,0)))),"CHECK KEY"))</f>
        <v/>
      </c>
      <c r="U2427" s="10" t="n"/>
      <c r="V2427" s="10" t="n"/>
      <c r="W2427" s="10" t="n"/>
      <c r="X2427" s="10" t="n"/>
      <c r="Y2427" s="10" t="n"/>
      <c r="Z2427" s="10" t="n"/>
      <c r="AA2427" s="11">
        <f>IF(A2427="","",IF(AND(J2427="P4",F2427="causal"),"P4-CAUSAL",""))</f>
        <v/>
      </c>
    </row>
    <row r="2428" ht="15" customHeight="1" s="1">
      <c r="P2428">
        <f>IF(OR(F2428="",H2428="",J2428=""),"",J2428&amp;"|"&amp;F2428&amp;"|"&amp;IF(H2428="W3","W3_"&amp;IF(I2428="","unknown",I2428),H2428))</f>
        <v/>
      </c>
      <c r="Q2428">
        <f>IF(P2428="","",IFERROR(IF(AND(H2428="W7",OR(F2428="causal",F2428="predictive")),IF(AND(OR(K2428=1,K2428="1"),OR(L2428=1,L2428="1"),OR(M2428=1,M2428="1")),"adequate","partial"),IF(AND(H2428="W4",F2428="predictive",OR(J2428="P2",J2428="P3",J2428="P4")),IF(OR(U2428=1,U2428="1"),"adequate","partial"),INDEX(Fit_Matrix!$B:$B,MATCH(P2428,Fit_Matrix!$A:$A,0)))),"CHECK KEY"))</f>
        <v/>
      </c>
      <c r="U2428" s="10" t="n"/>
      <c r="V2428" s="10" t="n"/>
      <c r="W2428" s="10" t="n"/>
      <c r="X2428" s="10" t="n"/>
      <c r="Y2428" s="10" t="n"/>
      <c r="Z2428" s="10" t="n"/>
      <c r="AA2428" s="11">
        <f>IF(A2428="","",IF(AND(J2428="P4",F2428="causal"),"P4-CAUSAL",""))</f>
        <v/>
      </c>
    </row>
    <row r="2429" ht="15" customHeight="1" s="1">
      <c r="P2429">
        <f>IF(OR(F2429="",H2429="",J2429=""),"",J2429&amp;"|"&amp;F2429&amp;"|"&amp;IF(H2429="W3","W3_"&amp;IF(I2429="","unknown",I2429),H2429))</f>
        <v/>
      </c>
      <c r="Q2429">
        <f>IF(P2429="","",IFERROR(IF(AND(H2429="W7",OR(F2429="causal",F2429="predictive")),IF(AND(OR(K2429=1,K2429="1"),OR(L2429=1,L2429="1"),OR(M2429=1,M2429="1")),"adequate","partial"),IF(AND(H2429="W4",F2429="predictive",OR(J2429="P2",J2429="P3",J2429="P4")),IF(OR(U2429=1,U2429="1"),"adequate","partial"),INDEX(Fit_Matrix!$B:$B,MATCH(P2429,Fit_Matrix!$A:$A,0)))),"CHECK KEY"))</f>
        <v/>
      </c>
      <c r="U2429" s="10" t="n"/>
      <c r="V2429" s="10" t="n"/>
      <c r="W2429" s="10" t="n"/>
      <c r="X2429" s="10" t="n"/>
      <c r="Y2429" s="10" t="n"/>
      <c r="Z2429" s="10" t="n"/>
      <c r="AA2429" s="11">
        <f>IF(A2429="","",IF(AND(J2429="P4",F2429="causal"),"P4-CAUSAL",""))</f>
        <v/>
      </c>
    </row>
    <row r="2430" ht="15" customHeight="1" s="1">
      <c r="P2430">
        <f>IF(OR(F2430="",H2430="",J2430=""),"",J2430&amp;"|"&amp;F2430&amp;"|"&amp;IF(H2430="W3","W3_"&amp;IF(I2430="","unknown",I2430),H2430))</f>
        <v/>
      </c>
      <c r="Q2430">
        <f>IF(P2430="","",IFERROR(IF(AND(H2430="W7",OR(F2430="causal",F2430="predictive")),IF(AND(OR(K2430=1,K2430="1"),OR(L2430=1,L2430="1"),OR(M2430=1,M2430="1")),"adequate","partial"),IF(AND(H2430="W4",F2430="predictive",OR(J2430="P2",J2430="P3",J2430="P4")),IF(OR(U2430=1,U2430="1"),"adequate","partial"),INDEX(Fit_Matrix!$B:$B,MATCH(P2430,Fit_Matrix!$A:$A,0)))),"CHECK KEY"))</f>
        <v/>
      </c>
      <c r="U2430" s="10" t="n"/>
      <c r="V2430" s="10" t="n"/>
      <c r="W2430" s="10" t="n"/>
      <c r="X2430" s="10" t="n"/>
      <c r="Y2430" s="10" t="n"/>
      <c r="Z2430" s="10" t="n"/>
      <c r="AA2430" s="11">
        <f>IF(A2430="","",IF(AND(J2430="P4",F2430="causal"),"P4-CAUSAL",""))</f>
        <v/>
      </c>
    </row>
    <row r="2431" ht="15" customHeight="1" s="1">
      <c r="P2431">
        <f>IF(OR(F2431="",H2431="",J2431=""),"",J2431&amp;"|"&amp;F2431&amp;"|"&amp;IF(H2431="W3","W3_"&amp;IF(I2431="","unknown",I2431),H2431))</f>
        <v/>
      </c>
      <c r="Q2431">
        <f>IF(P2431="","",IFERROR(IF(AND(H2431="W7",OR(F2431="causal",F2431="predictive")),IF(AND(OR(K2431=1,K2431="1"),OR(L2431=1,L2431="1"),OR(M2431=1,M2431="1")),"adequate","partial"),IF(AND(H2431="W4",F2431="predictive",OR(J2431="P2",J2431="P3",J2431="P4")),IF(OR(U2431=1,U2431="1"),"adequate","partial"),INDEX(Fit_Matrix!$B:$B,MATCH(P2431,Fit_Matrix!$A:$A,0)))),"CHECK KEY"))</f>
        <v/>
      </c>
      <c r="U2431" s="10" t="n"/>
      <c r="V2431" s="10" t="n"/>
      <c r="W2431" s="10" t="n"/>
      <c r="X2431" s="10" t="n"/>
      <c r="Y2431" s="10" t="n"/>
      <c r="Z2431" s="10" t="n"/>
      <c r="AA2431" s="11">
        <f>IF(A2431="","",IF(AND(J2431="P4",F2431="causal"),"P4-CAUSAL",""))</f>
        <v/>
      </c>
    </row>
    <row r="2432" ht="15" customHeight="1" s="1">
      <c r="P2432">
        <f>IF(OR(F2432="",H2432="",J2432=""),"",J2432&amp;"|"&amp;F2432&amp;"|"&amp;IF(H2432="W3","W3_"&amp;IF(I2432="","unknown",I2432),H2432))</f>
        <v/>
      </c>
      <c r="Q2432">
        <f>IF(P2432="","",IFERROR(IF(AND(H2432="W7",OR(F2432="causal",F2432="predictive")),IF(AND(OR(K2432=1,K2432="1"),OR(L2432=1,L2432="1"),OR(M2432=1,M2432="1")),"adequate","partial"),IF(AND(H2432="W4",F2432="predictive",OR(J2432="P2",J2432="P3",J2432="P4")),IF(OR(U2432=1,U2432="1"),"adequate","partial"),INDEX(Fit_Matrix!$B:$B,MATCH(P2432,Fit_Matrix!$A:$A,0)))),"CHECK KEY"))</f>
        <v/>
      </c>
      <c r="U2432" s="10" t="n"/>
      <c r="V2432" s="10" t="n"/>
      <c r="W2432" s="10" t="n"/>
      <c r="X2432" s="10" t="n"/>
      <c r="Y2432" s="10" t="n"/>
      <c r="Z2432" s="10" t="n"/>
      <c r="AA2432" s="11">
        <f>IF(A2432="","",IF(AND(J2432="P4",F2432="causal"),"P4-CAUSAL",""))</f>
        <v/>
      </c>
    </row>
    <row r="2433" ht="15" customHeight="1" s="1">
      <c r="P2433">
        <f>IF(OR(F2433="",H2433="",J2433=""),"",J2433&amp;"|"&amp;F2433&amp;"|"&amp;IF(H2433="W3","W3_"&amp;IF(I2433="","unknown",I2433),H2433))</f>
        <v/>
      </c>
      <c r="Q2433">
        <f>IF(P2433="","",IFERROR(IF(AND(H2433="W7",OR(F2433="causal",F2433="predictive")),IF(AND(OR(K2433=1,K2433="1"),OR(L2433=1,L2433="1"),OR(M2433=1,M2433="1")),"adequate","partial"),IF(AND(H2433="W4",F2433="predictive",OR(J2433="P2",J2433="P3",J2433="P4")),IF(OR(U2433=1,U2433="1"),"adequate","partial"),INDEX(Fit_Matrix!$B:$B,MATCH(P2433,Fit_Matrix!$A:$A,0)))),"CHECK KEY"))</f>
        <v/>
      </c>
      <c r="U2433" s="10" t="n"/>
      <c r="V2433" s="10" t="n"/>
      <c r="W2433" s="10" t="n"/>
      <c r="X2433" s="10" t="n"/>
      <c r="Y2433" s="10" t="n"/>
      <c r="Z2433" s="10" t="n"/>
      <c r="AA2433" s="11">
        <f>IF(A2433="","",IF(AND(J2433="P4",F2433="causal"),"P4-CAUSAL",""))</f>
        <v/>
      </c>
    </row>
    <row r="2434" ht="15" customHeight="1" s="1">
      <c r="P2434">
        <f>IF(OR(F2434="",H2434="",J2434=""),"",J2434&amp;"|"&amp;F2434&amp;"|"&amp;IF(H2434="W3","W3_"&amp;IF(I2434="","unknown",I2434),H2434))</f>
        <v/>
      </c>
      <c r="Q2434">
        <f>IF(P2434="","",IFERROR(IF(AND(H2434="W7",OR(F2434="causal",F2434="predictive")),IF(AND(OR(K2434=1,K2434="1"),OR(L2434=1,L2434="1"),OR(M2434=1,M2434="1")),"adequate","partial"),IF(AND(H2434="W4",F2434="predictive",OR(J2434="P2",J2434="P3",J2434="P4")),IF(OR(U2434=1,U2434="1"),"adequate","partial"),INDEX(Fit_Matrix!$B:$B,MATCH(P2434,Fit_Matrix!$A:$A,0)))),"CHECK KEY"))</f>
        <v/>
      </c>
      <c r="U2434" s="10" t="n"/>
      <c r="V2434" s="10" t="n"/>
      <c r="W2434" s="10" t="n"/>
      <c r="X2434" s="10" t="n"/>
      <c r="Y2434" s="10" t="n"/>
      <c r="Z2434" s="10" t="n"/>
      <c r="AA2434" s="11">
        <f>IF(A2434="","",IF(AND(J2434="P4",F2434="causal"),"P4-CAUSAL",""))</f>
        <v/>
      </c>
    </row>
    <row r="2435" ht="15" customHeight="1" s="1">
      <c r="P2435">
        <f>IF(OR(F2435="",H2435="",J2435=""),"",J2435&amp;"|"&amp;F2435&amp;"|"&amp;IF(H2435="W3","W3_"&amp;IF(I2435="","unknown",I2435),H2435))</f>
        <v/>
      </c>
      <c r="Q2435">
        <f>IF(P2435="","",IFERROR(IF(AND(H2435="W7",OR(F2435="causal",F2435="predictive")),IF(AND(OR(K2435=1,K2435="1"),OR(L2435=1,L2435="1"),OR(M2435=1,M2435="1")),"adequate","partial"),IF(AND(H2435="W4",F2435="predictive",OR(J2435="P2",J2435="P3",J2435="P4")),IF(OR(U2435=1,U2435="1"),"adequate","partial"),INDEX(Fit_Matrix!$B:$B,MATCH(P2435,Fit_Matrix!$A:$A,0)))),"CHECK KEY"))</f>
        <v/>
      </c>
      <c r="U2435" s="10" t="n"/>
      <c r="V2435" s="10" t="n"/>
      <c r="W2435" s="10" t="n"/>
      <c r="X2435" s="10" t="n"/>
      <c r="Y2435" s="10" t="n"/>
      <c r="Z2435" s="10" t="n"/>
      <c r="AA2435" s="11">
        <f>IF(A2435="","",IF(AND(J2435="P4",F2435="causal"),"P4-CAUSAL",""))</f>
        <v/>
      </c>
    </row>
    <row r="2436" ht="15" customHeight="1" s="1">
      <c r="P2436">
        <f>IF(OR(F2436="",H2436="",J2436=""),"",J2436&amp;"|"&amp;F2436&amp;"|"&amp;IF(H2436="W3","W3_"&amp;IF(I2436="","unknown",I2436),H2436))</f>
        <v/>
      </c>
      <c r="Q2436">
        <f>IF(P2436="","",IFERROR(IF(AND(H2436="W7",OR(F2436="causal",F2436="predictive")),IF(AND(OR(K2436=1,K2436="1"),OR(L2436=1,L2436="1"),OR(M2436=1,M2436="1")),"adequate","partial"),IF(AND(H2436="W4",F2436="predictive",OR(J2436="P2",J2436="P3",J2436="P4")),IF(OR(U2436=1,U2436="1"),"adequate","partial"),INDEX(Fit_Matrix!$B:$B,MATCH(P2436,Fit_Matrix!$A:$A,0)))),"CHECK KEY"))</f>
        <v/>
      </c>
      <c r="U2436" s="10" t="n"/>
      <c r="V2436" s="10" t="n"/>
      <c r="W2436" s="10" t="n"/>
      <c r="X2436" s="10" t="n"/>
      <c r="Y2436" s="10" t="n"/>
      <c r="Z2436" s="10" t="n"/>
      <c r="AA2436" s="11">
        <f>IF(A2436="","",IF(AND(J2436="P4",F2436="causal"),"P4-CAUSAL",""))</f>
        <v/>
      </c>
    </row>
    <row r="2437" ht="15" customHeight="1" s="1">
      <c r="P2437">
        <f>IF(OR(F2437="",H2437="",J2437=""),"",J2437&amp;"|"&amp;F2437&amp;"|"&amp;IF(H2437="W3","W3_"&amp;IF(I2437="","unknown",I2437),H2437))</f>
        <v/>
      </c>
      <c r="Q2437">
        <f>IF(P2437="","",IFERROR(IF(AND(H2437="W7",OR(F2437="causal",F2437="predictive")),IF(AND(OR(K2437=1,K2437="1"),OR(L2437=1,L2437="1"),OR(M2437=1,M2437="1")),"adequate","partial"),IF(AND(H2437="W4",F2437="predictive",OR(J2437="P2",J2437="P3",J2437="P4")),IF(OR(U2437=1,U2437="1"),"adequate","partial"),INDEX(Fit_Matrix!$B:$B,MATCH(P2437,Fit_Matrix!$A:$A,0)))),"CHECK KEY"))</f>
        <v/>
      </c>
      <c r="U2437" s="10" t="n"/>
      <c r="V2437" s="10" t="n"/>
      <c r="W2437" s="10" t="n"/>
      <c r="X2437" s="10" t="n"/>
      <c r="Y2437" s="10" t="n"/>
      <c r="Z2437" s="10" t="n"/>
      <c r="AA2437" s="11">
        <f>IF(A2437="","",IF(AND(J2437="P4",F2437="causal"),"P4-CAUSAL",""))</f>
        <v/>
      </c>
    </row>
    <row r="2438" ht="15" customHeight="1" s="1">
      <c r="P2438">
        <f>IF(OR(F2438="",H2438="",J2438=""),"",J2438&amp;"|"&amp;F2438&amp;"|"&amp;IF(H2438="W3","W3_"&amp;IF(I2438="","unknown",I2438),H2438))</f>
        <v/>
      </c>
      <c r="Q2438">
        <f>IF(P2438="","",IFERROR(IF(AND(H2438="W7",OR(F2438="causal",F2438="predictive")),IF(AND(OR(K2438=1,K2438="1"),OR(L2438=1,L2438="1"),OR(M2438=1,M2438="1")),"adequate","partial"),IF(AND(H2438="W4",F2438="predictive",OR(J2438="P2",J2438="P3",J2438="P4")),IF(OR(U2438=1,U2438="1"),"adequate","partial"),INDEX(Fit_Matrix!$B:$B,MATCH(P2438,Fit_Matrix!$A:$A,0)))),"CHECK KEY"))</f>
        <v/>
      </c>
      <c r="U2438" s="10" t="n"/>
      <c r="V2438" s="10" t="n"/>
      <c r="W2438" s="10" t="n"/>
      <c r="X2438" s="10" t="n"/>
      <c r="Y2438" s="10" t="n"/>
      <c r="Z2438" s="10" t="n"/>
      <c r="AA2438" s="11">
        <f>IF(A2438="","",IF(AND(J2438="P4",F2438="causal"),"P4-CAUSAL",""))</f>
        <v/>
      </c>
    </row>
    <row r="2439" ht="15" customHeight="1" s="1">
      <c r="P2439">
        <f>IF(OR(F2439="",H2439="",J2439=""),"",J2439&amp;"|"&amp;F2439&amp;"|"&amp;IF(H2439="W3","W3_"&amp;IF(I2439="","unknown",I2439),H2439))</f>
        <v/>
      </c>
      <c r="Q2439">
        <f>IF(P2439="","",IFERROR(IF(AND(H2439="W7",OR(F2439="causal",F2439="predictive")),IF(AND(OR(K2439=1,K2439="1"),OR(L2439=1,L2439="1"),OR(M2439=1,M2439="1")),"adequate","partial"),IF(AND(H2439="W4",F2439="predictive",OR(J2439="P2",J2439="P3",J2439="P4")),IF(OR(U2439=1,U2439="1"),"adequate","partial"),INDEX(Fit_Matrix!$B:$B,MATCH(P2439,Fit_Matrix!$A:$A,0)))),"CHECK KEY"))</f>
        <v/>
      </c>
      <c r="U2439" s="10" t="n"/>
      <c r="V2439" s="10" t="n"/>
      <c r="W2439" s="10" t="n"/>
      <c r="X2439" s="10" t="n"/>
      <c r="Y2439" s="10" t="n"/>
      <c r="Z2439" s="10" t="n"/>
      <c r="AA2439" s="11">
        <f>IF(A2439="","",IF(AND(J2439="P4",F2439="causal"),"P4-CAUSAL",""))</f>
        <v/>
      </c>
    </row>
    <row r="2440" ht="15" customHeight="1" s="1">
      <c r="P2440">
        <f>IF(OR(F2440="",H2440="",J2440=""),"",J2440&amp;"|"&amp;F2440&amp;"|"&amp;IF(H2440="W3","W3_"&amp;IF(I2440="","unknown",I2440),H2440))</f>
        <v/>
      </c>
      <c r="Q2440">
        <f>IF(P2440="","",IFERROR(IF(AND(H2440="W7",OR(F2440="causal",F2440="predictive")),IF(AND(OR(K2440=1,K2440="1"),OR(L2440=1,L2440="1"),OR(M2440=1,M2440="1")),"adequate","partial"),IF(AND(H2440="W4",F2440="predictive",OR(J2440="P2",J2440="P3",J2440="P4")),IF(OR(U2440=1,U2440="1"),"adequate","partial"),INDEX(Fit_Matrix!$B:$B,MATCH(P2440,Fit_Matrix!$A:$A,0)))),"CHECK KEY"))</f>
        <v/>
      </c>
      <c r="U2440" s="10" t="n"/>
      <c r="V2440" s="10" t="n"/>
      <c r="W2440" s="10" t="n"/>
      <c r="X2440" s="10" t="n"/>
      <c r="Y2440" s="10" t="n"/>
      <c r="Z2440" s="10" t="n"/>
      <c r="AA2440" s="11">
        <f>IF(A2440="","",IF(AND(J2440="P4",F2440="causal"),"P4-CAUSAL",""))</f>
        <v/>
      </c>
    </row>
    <row r="2441" ht="15" customHeight="1" s="1">
      <c r="P2441">
        <f>IF(OR(F2441="",H2441="",J2441=""),"",J2441&amp;"|"&amp;F2441&amp;"|"&amp;IF(H2441="W3","W3_"&amp;IF(I2441="","unknown",I2441),H2441))</f>
        <v/>
      </c>
      <c r="Q2441">
        <f>IF(P2441="","",IFERROR(IF(AND(H2441="W7",OR(F2441="causal",F2441="predictive")),IF(AND(OR(K2441=1,K2441="1"),OR(L2441=1,L2441="1"),OR(M2441=1,M2441="1")),"adequate","partial"),IF(AND(H2441="W4",F2441="predictive",OR(J2441="P2",J2441="P3",J2441="P4")),IF(OR(U2441=1,U2441="1"),"adequate","partial"),INDEX(Fit_Matrix!$B:$B,MATCH(P2441,Fit_Matrix!$A:$A,0)))),"CHECK KEY"))</f>
        <v/>
      </c>
      <c r="U2441" s="10" t="n"/>
      <c r="V2441" s="10" t="n"/>
      <c r="W2441" s="10" t="n"/>
      <c r="X2441" s="10" t="n"/>
      <c r="Y2441" s="10" t="n"/>
      <c r="Z2441" s="10" t="n"/>
      <c r="AA2441" s="11">
        <f>IF(A2441="","",IF(AND(J2441="P4",F2441="causal"),"P4-CAUSAL",""))</f>
        <v/>
      </c>
    </row>
    <row r="2442" ht="15" customHeight="1" s="1">
      <c r="P2442">
        <f>IF(OR(F2442="",H2442="",J2442=""),"",J2442&amp;"|"&amp;F2442&amp;"|"&amp;IF(H2442="W3","W3_"&amp;IF(I2442="","unknown",I2442),H2442))</f>
        <v/>
      </c>
      <c r="Q2442">
        <f>IF(P2442="","",IFERROR(IF(AND(H2442="W7",OR(F2442="causal",F2442="predictive")),IF(AND(OR(K2442=1,K2442="1"),OR(L2442=1,L2442="1"),OR(M2442=1,M2442="1")),"adequate","partial"),IF(AND(H2442="W4",F2442="predictive",OR(J2442="P2",J2442="P3",J2442="P4")),IF(OR(U2442=1,U2442="1"),"adequate","partial"),INDEX(Fit_Matrix!$B:$B,MATCH(P2442,Fit_Matrix!$A:$A,0)))),"CHECK KEY"))</f>
        <v/>
      </c>
      <c r="U2442" s="10" t="n"/>
      <c r="V2442" s="10" t="n"/>
      <c r="W2442" s="10" t="n"/>
      <c r="X2442" s="10" t="n"/>
      <c r="Y2442" s="10" t="n"/>
      <c r="Z2442" s="10" t="n"/>
      <c r="AA2442" s="11">
        <f>IF(A2442="","",IF(AND(J2442="P4",F2442="causal"),"P4-CAUSAL",""))</f>
        <v/>
      </c>
    </row>
    <row r="2443" ht="15" customHeight="1" s="1">
      <c r="P2443">
        <f>IF(OR(F2443="",H2443="",J2443=""),"",J2443&amp;"|"&amp;F2443&amp;"|"&amp;IF(H2443="W3","W3_"&amp;IF(I2443="","unknown",I2443),H2443))</f>
        <v/>
      </c>
      <c r="Q2443">
        <f>IF(P2443="","",IFERROR(IF(AND(H2443="W7",OR(F2443="causal",F2443="predictive")),IF(AND(OR(K2443=1,K2443="1"),OR(L2443=1,L2443="1"),OR(M2443=1,M2443="1")),"adequate","partial"),IF(AND(H2443="W4",F2443="predictive",OR(J2443="P2",J2443="P3",J2443="P4")),IF(OR(U2443=1,U2443="1"),"adequate","partial"),INDEX(Fit_Matrix!$B:$B,MATCH(P2443,Fit_Matrix!$A:$A,0)))),"CHECK KEY"))</f>
        <v/>
      </c>
      <c r="U2443" s="10" t="n"/>
      <c r="V2443" s="10" t="n"/>
      <c r="W2443" s="10" t="n"/>
      <c r="X2443" s="10" t="n"/>
      <c r="Y2443" s="10" t="n"/>
      <c r="Z2443" s="10" t="n"/>
      <c r="AA2443" s="11">
        <f>IF(A2443="","",IF(AND(J2443="P4",F2443="causal"),"P4-CAUSAL",""))</f>
        <v/>
      </c>
    </row>
    <row r="2444" ht="15" customHeight="1" s="1">
      <c r="P2444">
        <f>IF(OR(F2444="",H2444="",J2444=""),"",J2444&amp;"|"&amp;F2444&amp;"|"&amp;IF(H2444="W3","W3_"&amp;IF(I2444="","unknown",I2444),H2444))</f>
        <v/>
      </c>
      <c r="Q2444">
        <f>IF(P2444="","",IFERROR(IF(AND(H2444="W7",OR(F2444="causal",F2444="predictive")),IF(AND(OR(K2444=1,K2444="1"),OR(L2444=1,L2444="1"),OR(M2444=1,M2444="1")),"adequate","partial"),IF(AND(H2444="W4",F2444="predictive",OR(J2444="P2",J2444="P3",J2444="P4")),IF(OR(U2444=1,U2444="1"),"adequate","partial"),INDEX(Fit_Matrix!$B:$B,MATCH(P2444,Fit_Matrix!$A:$A,0)))),"CHECK KEY"))</f>
        <v/>
      </c>
      <c r="U2444" s="10" t="n"/>
      <c r="V2444" s="10" t="n"/>
      <c r="W2444" s="10" t="n"/>
      <c r="X2444" s="10" t="n"/>
      <c r="Y2444" s="10" t="n"/>
      <c r="Z2444" s="10" t="n"/>
      <c r="AA2444" s="11">
        <f>IF(A2444="","",IF(AND(J2444="P4",F2444="causal"),"P4-CAUSAL",""))</f>
        <v/>
      </c>
    </row>
    <row r="2445" ht="15" customHeight="1" s="1">
      <c r="P2445">
        <f>IF(OR(F2445="",H2445="",J2445=""),"",J2445&amp;"|"&amp;F2445&amp;"|"&amp;IF(H2445="W3","W3_"&amp;IF(I2445="","unknown",I2445),H2445))</f>
        <v/>
      </c>
      <c r="Q2445">
        <f>IF(P2445="","",IFERROR(IF(AND(H2445="W7",OR(F2445="causal",F2445="predictive")),IF(AND(OR(K2445=1,K2445="1"),OR(L2445=1,L2445="1"),OR(M2445=1,M2445="1")),"adequate","partial"),IF(AND(H2445="W4",F2445="predictive",OR(J2445="P2",J2445="P3",J2445="P4")),IF(OR(U2445=1,U2445="1"),"adequate","partial"),INDEX(Fit_Matrix!$B:$B,MATCH(P2445,Fit_Matrix!$A:$A,0)))),"CHECK KEY"))</f>
        <v/>
      </c>
      <c r="U2445" s="10" t="n"/>
      <c r="V2445" s="10" t="n"/>
      <c r="W2445" s="10" t="n"/>
      <c r="X2445" s="10" t="n"/>
      <c r="Y2445" s="10" t="n"/>
      <c r="Z2445" s="10" t="n"/>
      <c r="AA2445" s="11">
        <f>IF(A2445="","",IF(AND(J2445="P4",F2445="causal"),"P4-CAUSAL",""))</f>
        <v/>
      </c>
    </row>
    <row r="2446" ht="15" customHeight="1" s="1">
      <c r="P2446">
        <f>IF(OR(F2446="",H2446="",J2446=""),"",J2446&amp;"|"&amp;F2446&amp;"|"&amp;IF(H2446="W3","W3_"&amp;IF(I2446="","unknown",I2446),H2446))</f>
        <v/>
      </c>
      <c r="Q2446">
        <f>IF(P2446="","",IFERROR(IF(AND(H2446="W7",OR(F2446="causal",F2446="predictive")),IF(AND(OR(K2446=1,K2446="1"),OR(L2446=1,L2446="1"),OR(M2446=1,M2446="1")),"adequate","partial"),IF(AND(H2446="W4",F2446="predictive",OR(J2446="P2",J2446="P3",J2446="P4")),IF(OR(U2446=1,U2446="1"),"adequate","partial"),INDEX(Fit_Matrix!$B:$B,MATCH(P2446,Fit_Matrix!$A:$A,0)))),"CHECK KEY"))</f>
        <v/>
      </c>
      <c r="U2446" s="10" t="n"/>
      <c r="V2446" s="10" t="n"/>
      <c r="W2446" s="10" t="n"/>
      <c r="X2446" s="10" t="n"/>
      <c r="Y2446" s="10" t="n"/>
      <c r="Z2446" s="10" t="n"/>
      <c r="AA2446" s="11">
        <f>IF(A2446="","",IF(AND(J2446="P4",F2446="causal"),"P4-CAUSAL",""))</f>
        <v/>
      </c>
    </row>
    <row r="2447" ht="15" customHeight="1" s="1">
      <c r="P2447">
        <f>IF(OR(F2447="",H2447="",J2447=""),"",J2447&amp;"|"&amp;F2447&amp;"|"&amp;IF(H2447="W3","W3_"&amp;IF(I2447="","unknown",I2447),H2447))</f>
        <v/>
      </c>
      <c r="Q2447">
        <f>IF(P2447="","",IFERROR(IF(AND(H2447="W7",OR(F2447="causal",F2447="predictive")),IF(AND(OR(K2447=1,K2447="1"),OR(L2447=1,L2447="1"),OR(M2447=1,M2447="1")),"adequate","partial"),IF(AND(H2447="W4",F2447="predictive",OR(J2447="P2",J2447="P3",J2447="P4")),IF(OR(U2447=1,U2447="1"),"adequate","partial"),INDEX(Fit_Matrix!$B:$B,MATCH(P2447,Fit_Matrix!$A:$A,0)))),"CHECK KEY"))</f>
        <v/>
      </c>
      <c r="U2447" s="10" t="n"/>
      <c r="V2447" s="10" t="n"/>
      <c r="W2447" s="10" t="n"/>
      <c r="X2447" s="10" t="n"/>
      <c r="Y2447" s="10" t="n"/>
      <c r="Z2447" s="10" t="n"/>
      <c r="AA2447" s="11">
        <f>IF(A2447="","",IF(AND(J2447="P4",F2447="causal"),"P4-CAUSAL",""))</f>
        <v/>
      </c>
    </row>
    <row r="2448" ht="15" customHeight="1" s="1">
      <c r="P2448">
        <f>IF(OR(F2448="",H2448="",J2448=""),"",J2448&amp;"|"&amp;F2448&amp;"|"&amp;IF(H2448="W3","W3_"&amp;IF(I2448="","unknown",I2448),H2448))</f>
        <v/>
      </c>
      <c r="Q2448">
        <f>IF(P2448="","",IFERROR(IF(AND(H2448="W7",OR(F2448="causal",F2448="predictive")),IF(AND(OR(K2448=1,K2448="1"),OR(L2448=1,L2448="1"),OR(M2448=1,M2448="1")),"adequate","partial"),IF(AND(H2448="W4",F2448="predictive",OR(J2448="P2",J2448="P3",J2448="P4")),IF(OR(U2448=1,U2448="1"),"adequate","partial"),INDEX(Fit_Matrix!$B:$B,MATCH(P2448,Fit_Matrix!$A:$A,0)))),"CHECK KEY"))</f>
        <v/>
      </c>
      <c r="U2448" s="10" t="n"/>
      <c r="V2448" s="10" t="n"/>
      <c r="W2448" s="10" t="n"/>
      <c r="X2448" s="10" t="n"/>
      <c r="Y2448" s="10" t="n"/>
      <c r="Z2448" s="10" t="n"/>
      <c r="AA2448" s="11">
        <f>IF(A2448="","",IF(AND(J2448="P4",F2448="causal"),"P4-CAUSAL",""))</f>
        <v/>
      </c>
    </row>
    <row r="2449" ht="15" customHeight="1" s="1">
      <c r="P2449">
        <f>IF(OR(F2449="",H2449="",J2449=""),"",J2449&amp;"|"&amp;F2449&amp;"|"&amp;IF(H2449="W3","W3_"&amp;IF(I2449="","unknown",I2449),H2449))</f>
        <v/>
      </c>
      <c r="Q2449">
        <f>IF(P2449="","",IFERROR(IF(AND(H2449="W7",OR(F2449="causal",F2449="predictive")),IF(AND(OR(K2449=1,K2449="1"),OR(L2449=1,L2449="1"),OR(M2449=1,M2449="1")),"adequate","partial"),IF(AND(H2449="W4",F2449="predictive",OR(J2449="P2",J2449="P3",J2449="P4")),IF(OR(U2449=1,U2449="1"),"adequate","partial"),INDEX(Fit_Matrix!$B:$B,MATCH(P2449,Fit_Matrix!$A:$A,0)))),"CHECK KEY"))</f>
        <v/>
      </c>
      <c r="U2449" s="10" t="n"/>
      <c r="V2449" s="10" t="n"/>
      <c r="W2449" s="10" t="n"/>
      <c r="X2449" s="10" t="n"/>
      <c r="Y2449" s="10" t="n"/>
      <c r="Z2449" s="10" t="n"/>
      <c r="AA2449" s="11">
        <f>IF(A2449="","",IF(AND(J2449="P4",F2449="causal"),"P4-CAUSAL",""))</f>
        <v/>
      </c>
    </row>
    <row r="2450" ht="15" customHeight="1" s="1">
      <c r="P2450">
        <f>IF(OR(F2450="",H2450="",J2450=""),"",J2450&amp;"|"&amp;F2450&amp;"|"&amp;IF(H2450="W3","W3_"&amp;IF(I2450="","unknown",I2450),H2450))</f>
        <v/>
      </c>
      <c r="Q2450">
        <f>IF(P2450="","",IFERROR(IF(AND(H2450="W7",OR(F2450="causal",F2450="predictive")),IF(AND(OR(K2450=1,K2450="1"),OR(L2450=1,L2450="1"),OR(M2450=1,M2450="1")),"adequate","partial"),IF(AND(H2450="W4",F2450="predictive",OR(J2450="P2",J2450="P3",J2450="P4")),IF(OR(U2450=1,U2450="1"),"adequate","partial"),INDEX(Fit_Matrix!$B:$B,MATCH(P2450,Fit_Matrix!$A:$A,0)))),"CHECK KEY"))</f>
        <v/>
      </c>
      <c r="U2450" s="10" t="n"/>
      <c r="V2450" s="10" t="n"/>
      <c r="W2450" s="10" t="n"/>
      <c r="X2450" s="10" t="n"/>
      <c r="Y2450" s="10" t="n"/>
      <c r="Z2450" s="10" t="n"/>
      <c r="AA2450" s="11">
        <f>IF(A2450="","",IF(AND(J2450="P4",F2450="causal"),"P4-CAUSAL",""))</f>
        <v/>
      </c>
    </row>
    <row r="2451" ht="15" customHeight="1" s="1">
      <c r="P2451">
        <f>IF(OR(F2451="",H2451="",J2451=""),"",J2451&amp;"|"&amp;F2451&amp;"|"&amp;IF(H2451="W3","W3_"&amp;IF(I2451="","unknown",I2451),H2451))</f>
        <v/>
      </c>
      <c r="Q2451">
        <f>IF(P2451="","",IFERROR(IF(AND(H2451="W7",OR(F2451="causal",F2451="predictive")),IF(AND(OR(K2451=1,K2451="1"),OR(L2451=1,L2451="1"),OR(M2451=1,M2451="1")),"adequate","partial"),IF(AND(H2451="W4",F2451="predictive",OR(J2451="P2",J2451="P3",J2451="P4")),IF(OR(U2451=1,U2451="1"),"adequate","partial"),INDEX(Fit_Matrix!$B:$B,MATCH(P2451,Fit_Matrix!$A:$A,0)))),"CHECK KEY"))</f>
        <v/>
      </c>
      <c r="U2451" s="10" t="n"/>
      <c r="V2451" s="10" t="n"/>
      <c r="W2451" s="10" t="n"/>
      <c r="X2451" s="10" t="n"/>
      <c r="Y2451" s="10" t="n"/>
      <c r="Z2451" s="10" t="n"/>
      <c r="AA2451" s="11">
        <f>IF(A2451="","",IF(AND(J2451="P4",F2451="causal"),"P4-CAUSAL",""))</f>
        <v/>
      </c>
    </row>
    <row r="2452" ht="15" customHeight="1" s="1">
      <c r="P2452">
        <f>IF(OR(F2452="",H2452="",J2452=""),"",J2452&amp;"|"&amp;F2452&amp;"|"&amp;IF(H2452="W3","W3_"&amp;IF(I2452="","unknown",I2452),H2452))</f>
        <v/>
      </c>
      <c r="Q2452">
        <f>IF(P2452="","",IFERROR(IF(AND(H2452="W7",OR(F2452="causal",F2452="predictive")),IF(AND(OR(K2452=1,K2452="1"),OR(L2452=1,L2452="1"),OR(M2452=1,M2452="1")),"adequate","partial"),IF(AND(H2452="W4",F2452="predictive",OR(J2452="P2",J2452="P3",J2452="P4")),IF(OR(U2452=1,U2452="1"),"adequate","partial"),INDEX(Fit_Matrix!$B:$B,MATCH(P2452,Fit_Matrix!$A:$A,0)))),"CHECK KEY"))</f>
        <v/>
      </c>
      <c r="U2452" s="10" t="n"/>
      <c r="V2452" s="10" t="n"/>
      <c r="W2452" s="10" t="n"/>
      <c r="X2452" s="10" t="n"/>
      <c r="Y2452" s="10" t="n"/>
      <c r="Z2452" s="10" t="n"/>
      <c r="AA2452" s="11">
        <f>IF(A2452="","",IF(AND(J2452="P4",F2452="causal"),"P4-CAUSAL",""))</f>
        <v/>
      </c>
    </row>
    <row r="2453" ht="15" customHeight="1" s="1">
      <c r="P2453">
        <f>IF(OR(F2453="",H2453="",J2453=""),"",J2453&amp;"|"&amp;F2453&amp;"|"&amp;IF(H2453="W3","W3_"&amp;IF(I2453="","unknown",I2453),H2453))</f>
        <v/>
      </c>
      <c r="Q2453">
        <f>IF(P2453="","",IFERROR(IF(AND(H2453="W7",OR(F2453="causal",F2453="predictive")),IF(AND(OR(K2453=1,K2453="1"),OR(L2453=1,L2453="1"),OR(M2453=1,M2453="1")),"adequate","partial"),IF(AND(H2453="W4",F2453="predictive",OR(J2453="P2",J2453="P3",J2453="P4")),IF(OR(U2453=1,U2453="1"),"adequate","partial"),INDEX(Fit_Matrix!$B:$B,MATCH(P2453,Fit_Matrix!$A:$A,0)))),"CHECK KEY"))</f>
        <v/>
      </c>
      <c r="U2453" s="10" t="n"/>
      <c r="V2453" s="10" t="n"/>
      <c r="W2453" s="10" t="n"/>
      <c r="X2453" s="10" t="n"/>
      <c r="Y2453" s="10" t="n"/>
      <c r="Z2453" s="10" t="n"/>
      <c r="AA2453" s="11">
        <f>IF(A2453="","",IF(AND(J2453="P4",F2453="causal"),"P4-CAUSAL",""))</f>
        <v/>
      </c>
    </row>
    <row r="2454" ht="15" customHeight="1" s="1">
      <c r="P2454">
        <f>IF(OR(F2454="",H2454="",J2454=""),"",J2454&amp;"|"&amp;F2454&amp;"|"&amp;IF(H2454="W3","W3_"&amp;IF(I2454="","unknown",I2454),H2454))</f>
        <v/>
      </c>
      <c r="Q2454">
        <f>IF(P2454="","",IFERROR(IF(AND(H2454="W7",OR(F2454="causal",F2454="predictive")),IF(AND(OR(K2454=1,K2454="1"),OR(L2454=1,L2454="1"),OR(M2454=1,M2454="1")),"adequate","partial"),IF(AND(H2454="W4",F2454="predictive",OR(J2454="P2",J2454="P3",J2454="P4")),IF(OR(U2454=1,U2454="1"),"adequate","partial"),INDEX(Fit_Matrix!$B:$B,MATCH(P2454,Fit_Matrix!$A:$A,0)))),"CHECK KEY"))</f>
        <v/>
      </c>
      <c r="U2454" s="10" t="n"/>
      <c r="V2454" s="10" t="n"/>
      <c r="W2454" s="10" t="n"/>
      <c r="X2454" s="10" t="n"/>
      <c r="Y2454" s="10" t="n"/>
      <c r="Z2454" s="10" t="n"/>
      <c r="AA2454" s="11">
        <f>IF(A2454="","",IF(AND(J2454="P4",F2454="causal"),"P4-CAUSAL",""))</f>
        <v/>
      </c>
    </row>
    <row r="2455" ht="15" customHeight="1" s="1">
      <c r="P2455">
        <f>IF(OR(F2455="",H2455="",J2455=""),"",J2455&amp;"|"&amp;F2455&amp;"|"&amp;IF(H2455="W3","W3_"&amp;IF(I2455="","unknown",I2455),H2455))</f>
        <v/>
      </c>
      <c r="Q2455">
        <f>IF(P2455="","",IFERROR(IF(AND(H2455="W7",OR(F2455="causal",F2455="predictive")),IF(AND(OR(K2455=1,K2455="1"),OR(L2455=1,L2455="1"),OR(M2455=1,M2455="1")),"adequate","partial"),IF(AND(H2455="W4",F2455="predictive",OR(J2455="P2",J2455="P3",J2455="P4")),IF(OR(U2455=1,U2455="1"),"adequate","partial"),INDEX(Fit_Matrix!$B:$B,MATCH(P2455,Fit_Matrix!$A:$A,0)))),"CHECK KEY"))</f>
        <v/>
      </c>
      <c r="U2455" s="10" t="n"/>
      <c r="V2455" s="10" t="n"/>
      <c r="W2455" s="10" t="n"/>
      <c r="X2455" s="10" t="n"/>
      <c r="Y2455" s="10" t="n"/>
      <c r="Z2455" s="10" t="n"/>
      <c r="AA2455" s="11">
        <f>IF(A2455="","",IF(AND(J2455="P4",F2455="causal"),"P4-CAUSAL",""))</f>
        <v/>
      </c>
    </row>
    <row r="2456" ht="15" customHeight="1" s="1">
      <c r="P2456">
        <f>IF(OR(F2456="",H2456="",J2456=""),"",J2456&amp;"|"&amp;F2456&amp;"|"&amp;IF(H2456="W3","W3_"&amp;IF(I2456="","unknown",I2456),H2456))</f>
        <v/>
      </c>
      <c r="Q2456">
        <f>IF(P2456="","",IFERROR(IF(AND(H2456="W7",OR(F2456="causal",F2456="predictive")),IF(AND(OR(K2456=1,K2456="1"),OR(L2456=1,L2456="1"),OR(M2456=1,M2456="1")),"adequate","partial"),IF(AND(H2456="W4",F2456="predictive",OR(J2456="P2",J2456="P3",J2456="P4")),IF(OR(U2456=1,U2456="1"),"adequate","partial"),INDEX(Fit_Matrix!$B:$B,MATCH(P2456,Fit_Matrix!$A:$A,0)))),"CHECK KEY"))</f>
        <v/>
      </c>
      <c r="U2456" s="10" t="n"/>
      <c r="V2456" s="10" t="n"/>
      <c r="W2456" s="10" t="n"/>
      <c r="X2456" s="10" t="n"/>
      <c r="Y2456" s="10" t="n"/>
      <c r="Z2456" s="10" t="n"/>
      <c r="AA2456" s="11">
        <f>IF(A2456="","",IF(AND(J2456="P4",F2456="causal"),"P4-CAUSAL",""))</f>
        <v/>
      </c>
    </row>
    <row r="2457" ht="15" customHeight="1" s="1">
      <c r="P2457">
        <f>IF(OR(F2457="",H2457="",J2457=""),"",J2457&amp;"|"&amp;F2457&amp;"|"&amp;IF(H2457="W3","W3_"&amp;IF(I2457="","unknown",I2457),H2457))</f>
        <v/>
      </c>
      <c r="Q2457">
        <f>IF(P2457="","",IFERROR(IF(AND(H2457="W7",OR(F2457="causal",F2457="predictive")),IF(AND(OR(K2457=1,K2457="1"),OR(L2457=1,L2457="1"),OR(M2457=1,M2457="1")),"adequate","partial"),IF(AND(H2457="W4",F2457="predictive",OR(J2457="P2",J2457="P3",J2457="P4")),IF(OR(U2457=1,U2457="1"),"adequate","partial"),INDEX(Fit_Matrix!$B:$B,MATCH(P2457,Fit_Matrix!$A:$A,0)))),"CHECK KEY"))</f>
        <v/>
      </c>
      <c r="U2457" s="10" t="n"/>
      <c r="V2457" s="10" t="n"/>
      <c r="W2457" s="10" t="n"/>
      <c r="X2457" s="10" t="n"/>
      <c r="Y2457" s="10" t="n"/>
      <c r="Z2457" s="10" t="n"/>
      <c r="AA2457" s="11">
        <f>IF(A2457="","",IF(AND(J2457="P4",F2457="causal"),"P4-CAUSAL",""))</f>
        <v/>
      </c>
    </row>
    <row r="2458" ht="15" customHeight="1" s="1">
      <c r="P2458">
        <f>IF(OR(F2458="",H2458="",J2458=""),"",J2458&amp;"|"&amp;F2458&amp;"|"&amp;IF(H2458="W3","W3_"&amp;IF(I2458="","unknown",I2458),H2458))</f>
        <v/>
      </c>
      <c r="Q2458">
        <f>IF(P2458="","",IFERROR(IF(AND(H2458="W7",OR(F2458="causal",F2458="predictive")),IF(AND(OR(K2458=1,K2458="1"),OR(L2458=1,L2458="1"),OR(M2458=1,M2458="1")),"adequate","partial"),IF(AND(H2458="W4",F2458="predictive",OR(J2458="P2",J2458="P3",J2458="P4")),IF(OR(U2458=1,U2458="1"),"adequate","partial"),INDEX(Fit_Matrix!$B:$B,MATCH(P2458,Fit_Matrix!$A:$A,0)))),"CHECK KEY"))</f>
        <v/>
      </c>
      <c r="U2458" s="10" t="n"/>
      <c r="V2458" s="10" t="n"/>
      <c r="W2458" s="10" t="n"/>
      <c r="X2458" s="10" t="n"/>
      <c r="Y2458" s="10" t="n"/>
      <c r="Z2458" s="10" t="n"/>
      <c r="AA2458" s="11">
        <f>IF(A2458="","",IF(AND(J2458="P4",F2458="causal"),"P4-CAUSAL",""))</f>
        <v/>
      </c>
    </row>
    <row r="2459" ht="15" customHeight="1" s="1">
      <c r="P2459">
        <f>IF(OR(F2459="",H2459="",J2459=""),"",J2459&amp;"|"&amp;F2459&amp;"|"&amp;IF(H2459="W3","W3_"&amp;IF(I2459="","unknown",I2459),H2459))</f>
        <v/>
      </c>
      <c r="Q2459">
        <f>IF(P2459="","",IFERROR(IF(AND(H2459="W7",OR(F2459="causal",F2459="predictive")),IF(AND(OR(K2459=1,K2459="1"),OR(L2459=1,L2459="1"),OR(M2459=1,M2459="1")),"adequate","partial"),IF(AND(H2459="W4",F2459="predictive",OR(J2459="P2",J2459="P3",J2459="P4")),IF(OR(U2459=1,U2459="1"),"adequate","partial"),INDEX(Fit_Matrix!$B:$B,MATCH(P2459,Fit_Matrix!$A:$A,0)))),"CHECK KEY"))</f>
        <v/>
      </c>
      <c r="U2459" s="10" t="n"/>
      <c r="V2459" s="10" t="n"/>
      <c r="W2459" s="10" t="n"/>
      <c r="X2459" s="10" t="n"/>
      <c r="Y2459" s="10" t="n"/>
      <c r="Z2459" s="10" t="n"/>
      <c r="AA2459" s="11">
        <f>IF(A2459="","",IF(AND(J2459="P4",F2459="causal"),"P4-CAUSAL",""))</f>
        <v/>
      </c>
    </row>
    <row r="2460" ht="15" customHeight="1" s="1">
      <c r="P2460">
        <f>IF(OR(F2460="",H2460="",J2460=""),"",J2460&amp;"|"&amp;F2460&amp;"|"&amp;IF(H2460="W3","W3_"&amp;IF(I2460="","unknown",I2460),H2460))</f>
        <v/>
      </c>
      <c r="Q2460">
        <f>IF(P2460="","",IFERROR(IF(AND(H2460="W7",OR(F2460="causal",F2460="predictive")),IF(AND(OR(K2460=1,K2460="1"),OR(L2460=1,L2460="1"),OR(M2460=1,M2460="1")),"adequate","partial"),IF(AND(H2460="W4",F2460="predictive",OR(J2460="P2",J2460="P3",J2460="P4")),IF(OR(U2460=1,U2460="1"),"adequate","partial"),INDEX(Fit_Matrix!$B:$B,MATCH(P2460,Fit_Matrix!$A:$A,0)))),"CHECK KEY"))</f>
        <v/>
      </c>
      <c r="U2460" s="10" t="n"/>
      <c r="V2460" s="10" t="n"/>
      <c r="W2460" s="10" t="n"/>
      <c r="X2460" s="10" t="n"/>
      <c r="Y2460" s="10" t="n"/>
      <c r="Z2460" s="10" t="n"/>
      <c r="AA2460" s="11">
        <f>IF(A2460="","",IF(AND(J2460="P4",F2460="causal"),"P4-CAUSAL",""))</f>
        <v/>
      </c>
    </row>
    <row r="2461" ht="15" customHeight="1" s="1">
      <c r="P2461">
        <f>IF(OR(F2461="",H2461="",J2461=""),"",J2461&amp;"|"&amp;F2461&amp;"|"&amp;IF(H2461="W3","W3_"&amp;IF(I2461="","unknown",I2461),H2461))</f>
        <v/>
      </c>
      <c r="Q2461">
        <f>IF(P2461="","",IFERROR(IF(AND(H2461="W7",OR(F2461="causal",F2461="predictive")),IF(AND(OR(K2461=1,K2461="1"),OR(L2461=1,L2461="1"),OR(M2461=1,M2461="1")),"adequate","partial"),IF(AND(H2461="W4",F2461="predictive",OR(J2461="P2",J2461="P3",J2461="P4")),IF(OR(U2461=1,U2461="1"),"adequate","partial"),INDEX(Fit_Matrix!$B:$B,MATCH(P2461,Fit_Matrix!$A:$A,0)))),"CHECK KEY"))</f>
        <v/>
      </c>
      <c r="U2461" s="10" t="n"/>
      <c r="V2461" s="10" t="n"/>
      <c r="W2461" s="10" t="n"/>
      <c r="X2461" s="10" t="n"/>
      <c r="Y2461" s="10" t="n"/>
      <c r="Z2461" s="10" t="n"/>
      <c r="AA2461" s="11">
        <f>IF(A2461="","",IF(AND(J2461="P4",F2461="causal"),"P4-CAUSAL",""))</f>
        <v/>
      </c>
    </row>
    <row r="2462" ht="15" customHeight="1" s="1">
      <c r="P2462">
        <f>IF(OR(F2462="",H2462="",J2462=""),"",J2462&amp;"|"&amp;F2462&amp;"|"&amp;IF(H2462="W3","W3_"&amp;IF(I2462="","unknown",I2462),H2462))</f>
        <v/>
      </c>
      <c r="Q2462">
        <f>IF(P2462="","",IFERROR(IF(AND(H2462="W7",OR(F2462="causal",F2462="predictive")),IF(AND(OR(K2462=1,K2462="1"),OR(L2462=1,L2462="1"),OR(M2462=1,M2462="1")),"adequate","partial"),IF(AND(H2462="W4",F2462="predictive",OR(J2462="P2",J2462="P3",J2462="P4")),IF(OR(U2462=1,U2462="1"),"adequate","partial"),INDEX(Fit_Matrix!$B:$B,MATCH(P2462,Fit_Matrix!$A:$A,0)))),"CHECK KEY"))</f>
        <v/>
      </c>
      <c r="U2462" s="10" t="n"/>
      <c r="V2462" s="10" t="n"/>
      <c r="W2462" s="10" t="n"/>
      <c r="X2462" s="10" t="n"/>
      <c r="Y2462" s="10" t="n"/>
      <c r="Z2462" s="10" t="n"/>
      <c r="AA2462" s="11">
        <f>IF(A2462="","",IF(AND(J2462="P4",F2462="causal"),"P4-CAUSAL",""))</f>
        <v/>
      </c>
    </row>
    <row r="2463" ht="15" customHeight="1" s="1">
      <c r="P2463">
        <f>IF(OR(F2463="",H2463="",J2463=""),"",J2463&amp;"|"&amp;F2463&amp;"|"&amp;IF(H2463="W3","W3_"&amp;IF(I2463="","unknown",I2463),H2463))</f>
        <v/>
      </c>
      <c r="Q2463">
        <f>IF(P2463="","",IFERROR(IF(AND(H2463="W7",OR(F2463="causal",F2463="predictive")),IF(AND(OR(K2463=1,K2463="1"),OR(L2463=1,L2463="1"),OR(M2463=1,M2463="1")),"adequate","partial"),IF(AND(H2463="W4",F2463="predictive",OR(J2463="P2",J2463="P3",J2463="P4")),IF(OR(U2463=1,U2463="1"),"adequate","partial"),INDEX(Fit_Matrix!$B:$B,MATCH(P2463,Fit_Matrix!$A:$A,0)))),"CHECK KEY"))</f>
        <v/>
      </c>
      <c r="U2463" s="10" t="n"/>
      <c r="V2463" s="10" t="n"/>
      <c r="W2463" s="10" t="n"/>
      <c r="X2463" s="10" t="n"/>
      <c r="Y2463" s="10" t="n"/>
      <c r="Z2463" s="10" t="n"/>
      <c r="AA2463" s="11">
        <f>IF(A2463="","",IF(AND(J2463="P4",F2463="causal"),"P4-CAUSAL",""))</f>
        <v/>
      </c>
    </row>
    <row r="2464" ht="15" customHeight="1" s="1">
      <c r="P2464">
        <f>IF(OR(F2464="",H2464="",J2464=""),"",J2464&amp;"|"&amp;F2464&amp;"|"&amp;IF(H2464="W3","W3_"&amp;IF(I2464="","unknown",I2464),H2464))</f>
        <v/>
      </c>
      <c r="Q2464">
        <f>IF(P2464="","",IFERROR(IF(AND(H2464="W7",OR(F2464="causal",F2464="predictive")),IF(AND(OR(K2464=1,K2464="1"),OR(L2464=1,L2464="1"),OR(M2464=1,M2464="1")),"adequate","partial"),IF(AND(H2464="W4",F2464="predictive",OR(J2464="P2",J2464="P3",J2464="P4")),IF(OR(U2464=1,U2464="1"),"adequate","partial"),INDEX(Fit_Matrix!$B:$B,MATCH(P2464,Fit_Matrix!$A:$A,0)))),"CHECK KEY"))</f>
        <v/>
      </c>
      <c r="U2464" s="10" t="n"/>
      <c r="V2464" s="10" t="n"/>
      <c r="W2464" s="10" t="n"/>
      <c r="X2464" s="10" t="n"/>
      <c r="Y2464" s="10" t="n"/>
      <c r="Z2464" s="10" t="n"/>
      <c r="AA2464" s="11">
        <f>IF(A2464="","",IF(AND(J2464="P4",F2464="causal"),"P4-CAUSAL",""))</f>
        <v/>
      </c>
    </row>
    <row r="2465" ht="15" customHeight="1" s="1">
      <c r="P2465">
        <f>IF(OR(F2465="",H2465="",J2465=""),"",J2465&amp;"|"&amp;F2465&amp;"|"&amp;IF(H2465="W3","W3_"&amp;IF(I2465="","unknown",I2465),H2465))</f>
        <v/>
      </c>
      <c r="Q2465">
        <f>IF(P2465="","",IFERROR(IF(AND(H2465="W7",OR(F2465="causal",F2465="predictive")),IF(AND(OR(K2465=1,K2465="1"),OR(L2465=1,L2465="1"),OR(M2465=1,M2465="1")),"adequate","partial"),IF(AND(H2465="W4",F2465="predictive",OR(J2465="P2",J2465="P3",J2465="P4")),IF(OR(U2465=1,U2465="1"),"adequate","partial"),INDEX(Fit_Matrix!$B:$B,MATCH(P2465,Fit_Matrix!$A:$A,0)))),"CHECK KEY"))</f>
        <v/>
      </c>
      <c r="U2465" s="10" t="n"/>
      <c r="V2465" s="10" t="n"/>
      <c r="W2465" s="10" t="n"/>
      <c r="X2465" s="10" t="n"/>
      <c r="Y2465" s="10" t="n"/>
      <c r="Z2465" s="10" t="n"/>
      <c r="AA2465" s="11">
        <f>IF(A2465="","",IF(AND(J2465="P4",F2465="causal"),"P4-CAUSAL",""))</f>
        <v/>
      </c>
    </row>
    <row r="2466" ht="15" customHeight="1" s="1">
      <c r="P2466">
        <f>IF(OR(F2466="",H2466="",J2466=""),"",J2466&amp;"|"&amp;F2466&amp;"|"&amp;IF(H2466="W3","W3_"&amp;IF(I2466="","unknown",I2466),H2466))</f>
        <v/>
      </c>
      <c r="Q2466">
        <f>IF(P2466="","",IFERROR(IF(AND(H2466="W7",OR(F2466="causal",F2466="predictive")),IF(AND(OR(K2466=1,K2466="1"),OR(L2466=1,L2466="1"),OR(M2466=1,M2466="1")),"adequate","partial"),IF(AND(H2466="W4",F2466="predictive",OR(J2466="P2",J2466="P3",J2466="P4")),IF(OR(U2466=1,U2466="1"),"adequate","partial"),INDEX(Fit_Matrix!$B:$B,MATCH(P2466,Fit_Matrix!$A:$A,0)))),"CHECK KEY"))</f>
        <v/>
      </c>
      <c r="U2466" s="10" t="n"/>
      <c r="V2466" s="10" t="n"/>
      <c r="W2466" s="10" t="n"/>
      <c r="X2466" s="10" t="n"/>
      <c r="Y2466" s="10" t="n"/>
      <c r="Z2466" s="10" t="n"/>
      <c r="AA2466" s="11">
        <f>IF(A2466="","",IF(AND(J2466="P4",F2466="causal"),"P4-CAUSAL",""))</f>
        <v/>
      </c>
    </row>
    <row r="2467" ht="15" customHeight="1" s="1">
      <c r="P2467">
        <f>IF(OR(F2467="",H2467="",J2467=""),"",J2467&amp;"|"&amp;F2467&amp;"|"&amp;IF(H2467="W3","W3_"&amp;IF(I2467="","unknown",I2467),H2467))</f>
        <v/>
      </c>
      <c r="Q2467">
        <f>IF(P2467="","",IFERROR(IF(AND(H2467="W7",OR(F2467="causal",F2467="predictive")),IF(AND(OR(K2467=1,K2467="1"),OR(L2467=1,L2467="1"),OR(M2467=1,M2467="1")),"adequate","partial"),IF(AND(H2467="W4",F2467="predictive",OR(J2467="P2",J2467="P3",J2467="P4")),IF(OR(U2467=1,U2467="1"),"adequate","partial"),INDEX(Fit_Matrix!$B:$B,MATCH(P2467,Fit_Matrix!$A:$A,0)))),"CHECK KEY"))</f>
        <v/>
      </c>
      <c r="U2467" s="10" t="n"/>
      <c r="V2467" s="10" t="n"/>
      <c r="W2467" s="10" t="n"/>
      <c r="X2467" s="10" t="n"/>
      <c r="Y2467" s="10" t="n"/>
      <c r="Z2467" s="10" t="n"/>
      <c r="AA2467" s="11">
        <f>IF(A2467="","",IF(AND(J2467="P4",F2467="causal"),"P4-CAUSAL",""))</f>
        <v/>
      </c>
    </row>
    <row r="2468" ht="15" customHeight="1" s="1">
      <c r="P2468">
        <f>IF(OR(F2468="",H2468="",J2468=""),"",J2468&amp;"|"&amp;F2468&amp;"|"&amp;IF(H2468="W3","W3_"&amp;IF(I2468="","unknown",I2468),H2468))</f>
        <v/>
      </c>
      <c r="Q2468">
        <f>IF(P2468="","",IFERROR(IF(AND(H2468="W7",OR(F2468="causal",F2468="predictive")),IF(AND(OR(K2468=1,K2468="1"),OR(L2468=1,L2468="1"),OR(M2468=1,M2468="1")),"adequate","partial"),IF(AND(H2468="W4",F2468="predictive",OR(J2468="P2",J2468="P3",J2468="P4")),IF(OR(U2468=1,U2468="1"),"adequate","partial"),INDEX(Fit_Matrix!$B:$B,MATCH(P2468,Fit_Matrix!$A:$A,0)))),"CHECK KEY"))</f>
        <v/>
      </c>
      <c r="U2468" s="10" t="n"/>
      <c r="V2468" s="10" t="n"/>
      <c r="W2468" s="10" t="n"/>
      <c r="X2468" s="10" t="n"/>
      <c r="Y2468" s="10" t="n"/>
      <c r="Z2468" s="10" t="n"/>
      <c r="AA2468" s="11">
        <f>IF(A2468="","",IF(AND(J2468="P4",F2468="causal"),"P4-CAUSAL",""))</f>
        <v/>
      </c>
    </row>
    <row r="2469" ht="15" customHeight="1" s="1">
      <c r="P2469">
        <f>IF(OR(F2469="",H2469="",J2469=""),"",J2469&amp;"|"&amp;F2469&amp;"|"&amp;IF(H2469="W3","W3_"&amp;IF(I2469="","unknown",I2469),H2469))</f>
        <v/>
      </c>
      <c r="Q2469">
        <f>IF(P2469="","",IFERROR(IF(AND(H2469="W7",OR(F2469="causal",F2469="predictive")),IF(AND(OR(K2469=1,K2469="1"),OR(L2469=1,L2469="1"),OR(M2469=1,M2469="1")),"adequate","partial"),IF(AND(H2469="W4",F2469="predictive",OR(J2469="P2",J2469="P3",J2469="P4")),IF(OR(U2469=1,U2469="1"),"adequate","partial"),INDEX(Fit_Matrix!$B:$B,MATCH(P2469,Fit_Matrix!$A:$A,0)))),"CHECK KEY"))</f>
        <v/>
      </c>
      <c r="U2469" s="10" t="n"/>
      <c r="V2469" s="10" t="n"/>
      <c r="W2469" s="10" t="n"/>
      <c r="X2469" s="10" t="n"/>
      <c r="Y2469" s="10" t="n"/>
      <c r="Z2469" s="10" t="n"/>
      <c r="AA2469" s="11">
        <f>IF(A2469="","",IF(AND(J2469="P4",F2469="causal"),"P4-CAUSAL",""))</f>
        <v/>
      </c>
    </row>
    <row r="2470" ht="15" customHeight="1" s="1">
      <c r="P2470">
        <f>IF(OR(F2470="",H2470="",J2470=""),"",J2470&amp;"|"&amp;F2470&amp;"|"&amp;IF(H2470="W3","W3_"&amp;IF(I2470="","unknown",I2470),H2470))</f>
        <v/>
      </c>
      <c r="Q2470">
        <f>IF(P2470="","",IFERROR(IF(AND(H2470="W7",OR(F2470="causal",F2470="predictive")),IF(AND(OR(K2470=1,K2470="1"),OR(L2470=1,L2470="1"),OR(M2470=1,M2470="1")),"adequate","partial"),IF(AND(H2470="W4",F2470="predictive",OR(J2470="P2",J2470="P3",J2470="P4")),IF(OR(U2470=1,U2470="1"),"adequate","partial"),INDEX(Fit_Matrix!$B:$B,MATCH(P2470,Fit_Matrix!$A:$A,0)))),"CHECK KEY"))</f>
        <v/>
      </c>
      <c r="U2470" s="10" t="n"/>
      <c r="V2470" s="10" t="n"/>
      <c r="W2470" s="10" t="n"/>
      <c r="X2470" s="10" t="n"/>
      <c r="Y2470" s="10" t="n"/>
      <c r="Z2470" s="10" t="n"/>
      <c r="AA2470" s="11">
        <f>IF(A2470="","",IF(AND(J2470="P4",F2470="causal"),"P4-CAUSAL",""))</f>
        <v/>
      </c>
    </row>
    <row r="2471" ht="15" customHeight="1" s="1">
      <c r="P2471">
        <f>IF(OR(F2471="",H2471="",J2471=""),"",J2471&amp;"|"&amp;F2471&amp;"|"&amp;IF(H2471="W3","W3_"&amp;IF(I2471="","unknown",I2471),H2471))</f>
        <v/>
      </c>
      <c r="Q2471">
        <f>IF(P2471="","",IFERROR(IF(AND(H2471="W7",OR(F2471="causal",F2471="predictive")),IF(AND(OR(K2471=1,K2471="1"),OR(L2471=1,L2471="1"),OR(M2471=1,M2471="1")),"adequate","partial"),IF(AND(H2471="W4",F2471="predictive",OR(J2471="P2",J2471="P3",J2471="P4")),IF(OR(U2471=1,U2471="1"),"adequate","partial"),INDEX(Fit_Matrix!$B:$B,MATCH(P2471,Fit_Matrix!$A:$A,0)))),"CHECK KEY"))</f>
        <v/>
      </c>
      <c r="U2471" s="10" t="n"/>
      <c r="V2471" s="10" t="n"/>
      <c r="W2471" s="10" t="n"/>
      <c r="X2471" s="10" t="n"/>
      <c r="Y2471" s="10" t="n"/>
      <c r="Z2471" s="10" t="n"/>
      <c r="AA2471" s="11">
        <f>IF(A2471="","",IF(AND(J2471="P4",F2471="causal"),"P4-CAUSAL",""))</f>
        <v/>
      </c>
    </row>
    <row r="2472" ht="15" customHeight="1" s="1">
      <c r="P2472">
        <f>IF(OR(F2472="",H2472="",J2472=""),"",J2472&amp;"|"&amp;F2472&amp;"|"&amp;IF(H2472="W3","W3_"&amp;IF(I2472="","unknown",I2472),H2472))</f>
        <v/>
      </c>
      <c r="Q2472">
        <f>IF(P2472="","",IFERROR(IF(AND(H2472="W7",OR(F2472="causal",F2472="predictive")),IF(AND(OR(K2472=1,K2472="1"),OR(L2472=1,L2472="1"),OR(M2472=1,M2472="1")),"adequate","partial"),IF(AND(H2472="W4",F2472="predictive",OR(J2472="P2",J2472="P3",J2472="P4")),IF(OR(U2472=1,U2472="1"),"adequate","partial"),INDEX(Fit_Matrix!$B:$B,MATCH(P2472,Fit_Matrix!$A:$A,0)))),"CHECK KEY"))</f>
        <v/>
      </c>
      <c r="U2472" s="10" t="n"/>
      <c r="V2472" s="10" t="n"/>
      <c r="W2472" s="10" t="n"/>
      <c r="X2472" s="10" t="n"/>
      <c r="Y2472" s="10" t="n"/>
      <c r="Z2472" s="10" t="n"/>
      <c r="AA2472" s="11">
        <f>IF(A2472="","",IF(AND(J2472="P4",F2472="causal"),"P4-CAUSAL",""))</f>
        <v/>
      </c>
    </row>
    <row r="2473" ht="15" customHeight="1" s="1">
      <c r="P2473">
        <f>IF(OR(F2473="",H2473="",J2473=""),"",J2473&amp;"|"&amp;F2473&amp;"|"&amp;IF(H2473="W3","W3_"&amp;IF(I2473="","unknown",I2473),H2473))</f>
        <v/>
      </c>
      <c r="Q2473">
        <f>IF(P2473="","",IFERROR(IF(AND(H2473="W7",OR(F2473="causal",F2473="predictive")),IF(AND(OR(K2473=1,K2473="1"),OR(L2473=1,L2473="1"),OR(M2473=1,M2473="1")),"adequate","partial"),IF(AND(H2473="W4",F2473="predictive",OR(J2473="P2",J2473="P3",J2473="P4")),IF(OR(U2473=1,U2473="1"),"adequate","partial"),INDEX(Fit_Matrix!$B:$B,MATCH(P2473,Fit_Matrix!$A:$A,0)))),"CHECK KEY"))</f>
        <v/>
      </c>
      <c r="U2473" s="10" t="n"/>
      <c r="V2473" s="10" t="n"/>
      <c r="W2473" s="10" t="n"/>
      <c r="X2473" s="10" t="n"/>
      <c r="Y2473" s="10" t="n"/>
      <c r="Z2473" s="10" t="n"/>
      <c r="AA2473" s="11">
        <f>IF(A2473="","",IF(AND(J2473="P4",F2473="causal"),"P4-CAUSAL",""))</f>
        <v/>
      </c>
    </row>
    <row r="2474" ht="15" customHeight="1" s="1">
      <c r="P2474">
        <f>IF(OR(F2474="",H2474="",J2474=""),"",J2474&amp;"|"&amp;F2474&amp;"|"&amp;IF(H2474="W3","W3_"&amp;IF(I2474="","unknown",I2474),H2474))</f>
        <v/>
      </c>
      <c r="Q2474">
        <f>IF(P2474="","",IFERROR(IF(AND(H2474="W7",OR(F2474="causal",F2474="predictive")),IF(AND(OR(K2474=1,K2474="1"),OR(L2474=1,L2474="1"),OR(M2474=1,M2474="1")),"adequate","partial"),IF(AND(H2474="W4",F2474="predictive",OR(J2474="P2",J2474="P3",J2474="P4")),IF(OR(U2474=1,U2474="1"),"adequate","partial"),INDEX(Fit_Matrix!$B:$B,MATCH(P2474,Fit_Matrix!$A:$A,0)))),"CHECK KEY"))</f>
        <v/>
      </c>
      <c r="U2474" s="10" t="n"/>
      <c r="V2474" s="10" t="n"/>
      <c r="W2474" s="10" t="n"/>
      <c r="X2474" s="10" t="n"/>
      <c r="Y2474" s="10" t="n"/>
      <c r="Z2474" s="10" t="n"/>
      <c r="AA2474" s="11">
        <f>IF(A2474="","",IF(AND(J2474="P4",F2474="causal"),"P4-CAUSAL",""))</f>
        <v/>
      </c>
    </row>
    <row r="2475" ht="15" customHeight="1" s="1">
      <c r="P2475">
        <f>IF(OR(F2475="",H2475="",J2475=""),"",J2475&amp;"|"&amp;F2475&amp;"|"&amp;IF(H2475="W3","W3_"&amp;IF(I2475="","unknown",I2475),H2475))</f>
        <v/>
      </c>
      <c r="Q2475">
        <f>IF(P2475="","",IFERROR(IF(AND(H2475="W7",OR(F2475="causal",F2475="predictive")),IF(AND(OR(K2475=1,K2475="1"),OR(L2475=1,L2475="1"),OR(M2475=1,M2475="1")),"adequate","partial"),IF(AND(H2475="W4",F2475="predictive",OR(J2475="P2",J2475="P3",J2475="P4")),IF(OR(U2475=1,U2475="1"),"adequate","partial"),INDEX(Fit_Matrix!$B:$B,MATCH(P2475,Fit_Matrix!$A:$A,0)))),"CHECK KEY"))</f>
        <v/>
      </c>
      <c r="U2475" s="10" t="n"/>
      <c r="V2475" s="10" t="n"/>
      <c r="W2475" s="10" t="n"/>
      <c r="X2475" s="10" t="n"/>
      <c r="Y2475" s="10" t="n"/>
      <c r="Z2475" s="10" t="n"/>
      <c r="AA2475" s="11">
        <f>IF(A2475="","",IF(AND(J2475="P4",F2475="causal"),"P4-CAUSAL",""))</f>
        <v/>
      </c>
    </row>
    <row r="2476" ht="15" customHeight="1" s="1">
      <c r="P2476">
        <f>IF(OR(F2476="",H2476="",J2476=""),"",J2476&amp;"|"&amp;F2476&amp;"|"&amp;IF(H2476="W3","W3_"&amp;IF(I2476="","unknown",I2476),H2476))</f>
        <v/>
      </c>
      <c r="Q2476">
        <f>IF(P2476="","",IFERROR(IF(AND(H2476="W7",OR(F2476="causal",F2476="predictive")),IF(AND(OR(K2476=1,K2476="1"),OR(L2476=1,L2476="1"),OR(M2476=1,M2476="1")),"adequate","partial"),IF(AND(H2476="W4",F2476="predictive",OR(J2476="P2",J2476="P3",J2476="P4")),IF(OR(U2476=1,U2476="1"),"adequate","partial"),INDEX(Fit_Matrix!$B:$B,MATCH(P2476,Fit_Matrix!$A:$A,0)))),"CHECK KEY"))</f>
        <v/>
      </c>
      <c r="U2476" s="10" t="n"/>
      <c r="V2476" s="10" t="n"/>
      <c r="W2476" s="10" t="n"/>
      <c r="X2476" s="10" t="n"/>
      <c r="Y2476" s="10" t="n"/>
      <c r="Z2476" s="10" t="n"/>
      <c r="AA2476" s="11">
        <f>IF(A2476="","",IF(AND(J2476="P4",F2476="causal"),"P4-CAUSAL",""))</f>
        <v/>
      </c>
    </row>
    <row r="2477" ht="15" customHeight="1" s="1">
      <c r="P2477">
        <f>IF(OR(F2477="",H2477="",J2477=""),"",J2477&amp;"|"&amp;F2477&amp;"|"&amp;IF(H2477="W3","W3_"&amp;IF(I2477="","unknown",I2477),H2477))</f>
        <v/>
      </c>
      <c r="Q2477">
        <f>IF(P2477="","",IFERROR(IF(AND(H2477="W7",OR(F2477="causal",F2477="predictive")),IF(AND(OR(K2477=1,K2477="1"),OR(L2477=1,L2477="1"),OR(M2477=1,M2477="1")),"adequate","partial"),IF(AND(H2477="W4",F2477="predictive",OR(J2477="P2",J2477="P3",J2477="P4")),IF(OR(U2477=1,U2477="1"),"adequate","partial"),INDEX(Fit_Matrix!$B:$B,MATCH(P2477,Fit_Matrix!$A:$A,0)))),"CHECK KEY"))</f>
        <v/>
      </c>
      <c r="U2477" s="10" t="n"/>
      <c r="V2477" s="10" t="n"/>
      <c r="W2477" s="10" t="n"/>
      <c r="X2477" s="10" t="n"/>
      <c r="Y2477" s="10" t="n"/>
      <c r="Z2477" s="10" t="n"/>
      <c r="AA2477" s="11">
        <f>IF(A2477="","",IF(AND(J2477="P4",F2477="causal"),"P4-CAUSAL",""))</f>
        <v/>
      </c>
    </row>
    <row r="2478" ht="15" customHeight="1" s="1">
      <c r="P2478">
        <f>IF(OR(F2478="",H2478="",J2478=""),"",J2478&amp;"|"&amp;F2478&amp;"|"&amp;IF(H2478="W3","W3_"&amp;IF(I2478="","unknown",I2478),H2478))</f>
        <v/>
      </c>
      <c r="Q2478">
        <f>IF(P2478="","",IFERROR(IF(AND(H2478="W7",OR(F2478="causal",F2478="predictive")),IF(AND(OR(K2478=1,K2478="1"),OR(L2478=1,L2478="1"),OR(M2478=1,M2478="1")),"adequate","partial"),IF(AND(H2478="W4",F2478="predictive",OR(J2478="P2",J2478="P3",J2478="P4")),IF(OR(U2478=1,U2478="1"),"adequate","partial"),INDEX(Fit_Matrix!$B:$B,MATCH(P2478,Fit_Matrix!$A:$A,0)))),"CHECK KEY"))</f>
        <v/>
      </c>
      <c r="U2478" s="10" t="n"/>
      <c r="V2478" s="10" t="n"/>
      <c r="W2478" s="10" t="n"/>
      <c r="X2478" s="10" t="n"/>
      <c r="Y2478" s="10" t="n"/>
      <c r="Z2478" s="10" t="n"/>
      <c r="AA2478" s="11">
        <f>IF(A2478="","",IF(AND(J2478="P4",F2478="causal"),"P4-CAUSAL",""))</f>
        <v/>
      </c>
    </row>
    <row r="2479" ht="15" customHeight="1" s="1">
      <c r="P2479">
        <f>IF(OR(F2479="",H2479="",J2479=""),"",J2479&amp;"|"&amp;F2479&amp;"|"&amp;IF(H2479="W3","W3_"&amp;IF(I2479="","unknown",I2479),H2479))</f>
        <v/>
      </c>
      <c r="Q2479">
        <f>IF(P2479="","",IFERROR(IF(AND(H2479="W7",OR(F2479="causal",F2479="predictive")),IF(AND(OR(K2479=1,K2479="1"),OR(L2479=1,L2479="1"),OR(M2479=1,M2479="1")),"adequate","partial"),IF(AND(H2479="W4",F2479="predictive",OR(J2479="P2",J2479="P3",J2479="P4")),IF(OR(U2479=1,U2479="1"),"adequate","partial"),INDEX(Fit_Matrix!$B:$B,MATCH(P2479,Fit_Matrix!$A:$A,0)))),"CHECK KEY"))</f>
        <v/>
      </c>
      <c r="U2479" s="10" t="n"/>
      <c r="V2479" s="10" t="n"/>
      <c r="W2479" s="10" t="n"/>
      <c r="X2479" s="10" t="n"/>
      <c r="Y2479" s="10" t="n"/>
      <c r="Z2479" s="10" t="n"/>
      <c r="AA2479" s="11">
        <f>IF(A2479="","",IF(AND(J2479="P4",F2479="causal"),"P4-CAUSAL",""))</f>
        <v/>
      </c>
    </row>
    <row r="2480" ht="15" customHeight="1" s="1">
      <c r="P2480">
        <f>IF(OR(F2480="",H2480="",J2480=""),"",J2480&amp;"|"&amp;F2480&amp;"|"&amp;IF(H2480="W3","W3_"&amp;IF(I2480="","unknown",I2480),H2480))</f>
        <v/>
      </c>
      <c r="Q2480">
        <f>IF(P2480="","",IFERROR(IF(AND(H2480="W7",OR(F2480="causal",F2480="predictive")),IF(AND(OR(K2480=1,K2480="1"),OR(L2480=1,L2480="1"),OR(M2480=1,M2480="1")),"adequate","partial"),IF(AND(H2480="W4",F2480="predictive",OR(J2480="P2",J2480="P3",J2480="P4")),IF(OR(U2480=1,U2480="1"),"adequate","partial"),INDEX(Fit_Matrix!$B:$B,MATCH(P2480,Fit_Matrix!$A:$A,0)))),"CHECK KEY"))</f>
        <v/>
      </c>
      <c r="U2480" s="10" t="n"/>
      <c r="V2480" s="10" t="n"/>
      <c r="W2480" s="10" t="n"/>
      <c r="X2480" s="10" t="n"/>
      <c r="Y2480" s="10" t="n"/>
      <c r="Z2480" s="10" t="n"/>
      <c r="AA2480" s="11">
        <f>IF(A2480="","",IF(AND(J2480="P4",F2480="causal"),"P4-CAUSAL",""))</f>
        <v/>
      </c>
    </row>
    <row r="2481" ht="15" customHeight="1" s="1">
      <c r="P2481">
        <f>IF(OR(F2481="",H2481="",J2481=""),"",J2481&amp;"|"&amp;F2481&amp;"|"&amp;IF(H2481="W3","W3_"&amp;IF(I2481="","unknown",I2481),H2481))</f>
        <v/>
      </c>
      <c r="Q2481">
        <f>IF(P2481="","",IFERROR(IF(AND(H2481="W7",OR(F2481="causal",F2481="predictive")),IF(AND(OR(K2481=1,K2481="1"),OR(L2481=1,L2481="1"),OR(M2481=1,M2481="1")),"adequate","partial"),IF(AND(H2481="W4",F2481="predictive",OR(J2481="P2",J2481="P3",J2481="P4")),IF(OR(U2481=1,U2481="1"),"adequate","partial"),INDEX(Fit_Matrix!$B:$B,MATCH(P2481,Fit_Matrix!$A:$A,0)))),"CHECK KEY"))</f>
        <v/>
      </c>
      <c r="U2481" s="10" t="n"/>
      <c r="V2481" s="10" t="n"/>
      <c r="W2481" s="10" t="n"/>
      <c r="X2481" s="10" t="n"/>
      <c r="Y2481" s="10" t="n"/>
      <c r="Z2481" s="10" t="n"/>
      <c r="AA2481" s="11">
        <f>IF(A2481="","",IF(AND(J2481="P4",F2481="causal"),"P4-CAUSAL",""))</f>
        <v/>
      </c>
    </row>
    <row r="2482" ht="15" customHeight="1" s="1">
      <c r="P2482">
        <f>IF(OR(F2482="",H2482="",J2482=""),"",J2482&amp;"|"&amp;F2482&amp;"|"&amp;IF(H2482="W3","W3_"&amp;IF(I2482="","unknown",I2482),H2482))</f>
        <v/>
      </c>
      <c r="Q2482">
        <f>IF(P2482="","",IFERROR(IF(AND(H2482="W7",OR(F2482="causal",F2482="predictive")),IF(AND(OR(K2482=1,K2482="1"),OR(L2482=1,L2482="1"),OR(M2482=1,M2482="1")),"adequate","partial"),IF(AND(H2482="W4",F2482="predictive",OR(J2482="P2",J2482="P3",J2482="P4")),IF(OR(U2482=1,U2482="1"),"adequate","partial"),INDEX(Fit_Matrix!$B:$B,MATCH(P2482,Fit_Matrix!$A:$A,0)))),"CHECK KEY"))</f>
        <v/>
      </c>
      <c r="U2482" s="10" t="n"/>
      <c r="V2482" s="10" t="n"/>
      <c r="W2482" s="10" t="n"/>
      <c r="X2482" s="10" t="n"/>
      <c r="Y2482" s="10" t="n"/>
      <c r="Z2482" s="10" t="n"/>
      <c r="AA2482" s="11">
        <f>IF(A2482="","",IF(AND(J2482="P4",F2482="causal"),"P4-CAUSAL",""))</f>
        <v/>
      </c>
    </row>
    <row r="2483" ht="15" customHeight="1" s="1">
      <c r="P2483">
        <f>IF(OR(F2483="",H2483="",J2483=""),"",J2483&amp;"|"&amp;F2483&amp;"|"&amp;IF(H2483="W3","W3_"&amp;IF(I2483="","unknown",I2483),H2483))</f>
        <v/>
      </c>
      <c r="Q2483">
        <f>IF(P2483="","",IFERROR(IF(AND(H2483="W7",OR(F2483="causal",F2483="predictive")),IF(AND(OR(K2483=1,K2483="1"),OR(L2483=1,L2483="1"),OR(M2483=1,M2483="1")),"adequate","partial"),IF(AND(H2483="W4",F2483="predictive",OR(J2483="P2",J2483="P3",J2483="P4")),IF(OR(U2483=1,U2483="1"),"adequate","partial"),INDEX(Fit_Matrix!$B:$B,MATCH(P2483,Fit_Matrix!$A:$A,0)))),"CHECK KEY"))</f>
        <v/>
      </c>
      <c r="U2483" s="10" t="n"/>
      <c r="V2483" s="10" t="n"/>
      <c r="W2483" s="10" t="n"/>
      <c r="X2483" s="10" t="n"/>
      <c r="Y2483" s="10" t="n"/>
      <c r="Z2483" s="10" t="n"/>
      <c r="AA2483" s="11">
        <f>IF(A2483="","",IF(AND(J2483="P4",F2483="causal"),"P4-CAUSAL",""))</f>
        <v/>
      </c>
    </row>
    <row r="2484" ht="15" customHeight="1" s="1">
      <c r="P2484">
        <f>IF(OR(F2484="",H2484="",J2484=""),"",J2484&amp;"|"&amp;F2484&amp;"|"&amp;IF(H2484="W3","W3_"&amp;IF(I2484="","unknown",I2484),H2484))</f>
        <v/>
      </c>
      <c r="Q2484">
        <f>IF(P2484="","",IFERROR(IF(AND(H2484="W7",OR(F2484="causal",F2484="predictive")),IF(AND(OR(K2484=1,K2484="1"),OR(L2484=1,L2484="1"),OR(M2484=1,M2484="1")),"adequate","partial"),IF(AND(H2484="W4",F2484="predictive",OR(J2484="P2",J2484="P3",J2484="P4")),IF(OR(U2484=1,U2484="1"),"adequate","partial"),INDEX(Fit_Matrix!$B:$B,MATCH(P2484,Fit_Matrix!$A:$A,0)))),"CHECK KEY"))</f>
        <v/>
      </c>
      <c r="U2484" s="10" t="n"/>
      <c r="V2484" s="10" t="n"/>
      <c r="W2484" s="10" t="n"/>
      <c r="X2484" s="10" t="n"/>
      <c r="Y2484" s="10" t="n"/>
      <c r="Z2484" s="10" t="n"/>
      <c r="AA2484" s="11">
        <f>IF(A2484="","",IF(AND(J2484="P4",F2484="causal"),"P4-CAUSAL",""))</f>
        <v/>
      </c>
    </row>
    <row r="2485" ht="15" customHeight="1" s="1">
      <c r="P2485">
        <f>IF(OR(F2485="",H2485="",J2485=""),"",J2485&amp;"|"&amp;F2485&amp;"|"&amp;IF(H2485="W3","W3_"&amp;IF(I2485="","unknown",I2485),H2485))</f>
        <v/>
      </c>
      <c r="Q2485">
        <f>IF(P2485="","",IFERROR(IF(AND(H2485="W7",OR(F2485="causal",F2485="predictive")),IF(AND(OR(K2485=1,K2485="1"),OR(L2485=1,L2485="1"),OR(M2485=1,M2485="1")),"adequate","partial"),IF(AND(H2485="W4",F2485="predictive",OR(J2485="P2",J2485="P3",J2485="P4")),IF(OR(U2485=1,U2485="1"),"adequate","partial"),INDEX(Fit_Matrix!$B:$B,MATCH(P2485,Fit_Matrix!$A:$A,0)))),"CHECK KEY"))</f>
        <v/>
      </c>
      <c r="U2485" s="10" t="n"/>
      <c r="V2485" s="10" t="n"/>
      <c r="W2485" s="10" t="n"/>
      <c r="X2485" s="10" t="n"/>
      <c r="Y2485" s="10" t="n"/>
      <c r="Z2485" s="10" t="n"/>
      <c r="AA2485" s="11">
        <f>IF(A2485="","",IF(AND(J2485="P4",F2485="causal"),"P4-CAUSAL",""))</f>
        <v/>
      </c>
    </row>
    <row r="2486" ht="15" customHeight="1" s="1">
      <c r="P2486">
        <f>IF(OR(F2486="",H2486="",J2486=""),"",J2486&amp;"|"&amp;F2486&amp;"|"&amp;IF(H2486="W3","W3_"&amp;IF(I2486="","unknown",I2486),H2486))</f>
        <v/>
      </c>
      <c r="Q2486">
        <f>IF(P2486="","",IFERROR(IF(AND(H2486="W7",OR(F2486="causal",F2486="predictive")),IF(AND(OR(K2486=1,K2486="1"),OR(L2486=1,L2486="1"),OR(M2486=1,M2486="1")),"adequate","partial"),IF(AND(H2486="W4",F2486="predictive",OR(J2486="P2",J2486="P3",J2486="P4")),IF(OR(U2486=1,U2486="1"),"adequate","partial"),INDEX(Fit_Matrix!$B:$B,MATCH(P2486,Fit_Matrix!$A:$A,0)))),"CHECK KEY"))</f>
        <v/>
      </c>
      <c r="U2486" s="10" t="n"/>
      <c r="V2486" s="10" t="n"/>
      <c r="W2486" s="10" t="n"/>
      <c r="X2486" s="10" t="n"/>
      <c r="Y2486" s="10" t="n"/>
      <c r="Z2486" s="10" t="n"/>
      <c r="AA2486" s="11">
        <f>IF(A2486="","",IF(AND(J2486="P4",F2486="causal"),"P4-CAUSAL",""))</f>
        <v/>
      </c>
    </row>
    <row r="2487" ht="15" customHeight="1" s="1">
      <c r="P2487">
        <f>IF(OR(F2487="",H2487="",J2487=""),"",J2487&amp;"|"&amp;F2487&amp;"|"&amp;IF(H2487="W3","W3_"&amp;IF(I2487="","unknown",I2487),H2487))</f>
        <v/>
      </c>
      <c r="Q2487">
        <f>IF(P2487="","",IFERROR(IF(AND(H2487="W7",OR(F2487="causal",F2487="predictive")),IF(AND(OR(K2487=1,K2487="1"),OR(L2487=1,L2487="1"),OR(M2487=1,M2487="1")),"adequate","partial"),IF(AND(H2487="W4",F2487="predictive",OR(J2487="P2",J2487="P3",J2487="P4")),IF(OR(U2487=1,U2487="1"),"adequate","partial"),INDEX(Fit_Matrix!$B:$B,MATCH(P2487,Fit_Matrix!$A:$A,0)))),"CHECK KEY"))</f>
        <v/>
      </c>
      <c r="U2487" s="10" t="n"/>
      <c r="V2487" s="10" t="n"/>
      <c r="W2487" s="10" t="n"/>
      <c r="X2487" s="10" t="n"/>
      <c r="Y2487" s="10" t="n"/>
      <c r="Z2487" s="10" t="n"/>
      <c r="AA2487" s="11">
        <f>IF(A2487="","",IF(AND(J2487="P4",F2487="causal"),"P4-CAUSAL",""))</f>
        <v/>
      </c>
    </row>
    <row r="2488" ht="15" customHeight="1" s="1">
      <c r="P2488">
        <f>IF(OR(F2488="",H2488="",J2488=""),"",J2488&amp;"|"&amp;F2488&amp;"|"&amp;IF(H2488="W3","W3_"&amp;IF(I2488="","unknown",I2488),H2488))</f>
        <v/>
      </c>
      <c r="Q2488">
        <f>IF(P2488="","",IFERROR(IF(AND(H2488="W7",OR(F2488="causal",F2488="predictive")),IF(AND(OR(K2488=1,K2488="1"),OR(L2488=1,L2488="1"),OR(M2488=1,M2488="1")),"adequate","partial"),IF(AND(H2488="W4",F2488="predictive",OR(J2488="P2",J2488="P3",J2488="P4")),IF(OR(U2488=1,U2488="1"),"adequate","partial"),INDEX(Fit_Matrix!$B:$B,MATCH(P2488,Fit_Matrix!$A:$A,0)))),"CHECK KEY"))</f>
        <v/>
      </c>
      <c r="U2488" s="10" t="n"/>
      <c r="V2488" s="10" t="n"/>
      <c r="W2488" s="10" t="n"/>
      <c r="X2488" s="10" t="n"/>
      <c r="Y2488" s="10" t="n"/>
      <c r="Z2488" s="10" t="n"/>
      <c r="AA2488" s="11">
        <f>IF(A2488="","",IF(AND(J2488="P4",F2488="causal"),"P4-CAUSAL",""))</f>
        <v/>
      </c>
    </row>
    <row r="2489" ht="15" customHeight="1" s="1">
      <c r="P2489">
        <f>IF(OR(F2489="",H2489="",J2489=""),"",J2489&amp;"|"&amp;F2489&amp;"|"&amp;IF(H2489="W3","W3_"&amp;IF(I2489="","unknown",I2489),H2489))</f>
        <v/>
      </c>
      <c r="Q2489">
        <f>IF(P2489="","",IFERROR(IF(AND(H2489="W7",OR(F2489="causal",F2489="predictive")),IF(AND(OR(K2489=1,K2489="1"),OR(L2489=1,L2489="1"),OR(M2489=1,M2489="1")),"adequate","partial"),IF(AND(H2489="W4",F2489="predictive",OR(J2489="P2",J2489="P3",J2489="P4")),IF(OR(U2489=1,U2489="1"),"adequate","partial"),INDEX(Fit_Matrix!$B:$B,MATCH(P2489,Fit_Matrix!$A:$A,0)))),"CHECK KEY"))</f>
        <v/>
      </c>
      <c r="U2489" s="10" t="n"/>
      <c r="V2489" s="10" t="n"/>
      <c r="W2489" s="10" t="n"/>
      <c r="X2489" s="10" t="n"/>
      <c r="Y2489" s="10" t="n"/>
      <c r="Z2489" s="10" t="n"/>
      <c r="AA2489" s="11">
        <f>IF(A2489="","",IF(AND(J2489="P4",F2489="causal"),"P4-CAUSAL",""))</f>
        <v/>
      </c>
    </row>
    <row r="2490" ht="15" customHeight="1" s="1">
      <c r="P2490">
        <f>IF(OR(F2490="",H2490="",J2490=""),"",J2490&amp;"|"&amp;F2490&amp;"|"&amp;IF(H2490="W3","W3_"&amp;IF(I2490="","unknown",I2490),H2490))</f>
        <v/>
      </c>
      <c r="Q2490">
        <f>IF(P2490="","",IFERROR(IF(AND(H2490="W7",OR(F2490="causal",F2490="predictive")),IF(AND(OR(K2490=1,K2490="1"),OR(L2490=1,L2490="1"),OR(M2490=1,M2490="1")),"adequate","partial"),IF(AND(H2490="W4",F2490="predictive",OR(J2490="P2",J2490="P3",J2490="P4")),IF(OR(U2490=1,U2490="1"),"adequate","partial"),INDEX(Fit_Matrix!$B:$B,MATCH(P2490,Fit_Matrix!$A:$A,0)))),"CHECK KEY"))</f>
        <v/>
      </c>
      <c r="U2490" s="10" t="n"/>
      <c r="V2490" s="10" t="n"/>
      <c r="W2490" s="10" t="n"/>
      <c r="X2490" s="10" t="n"/>
      <c r="Y2490" s="10" t="n"/>
      <c r="Z2490" s="10" t="n"/>
      <c r="AA2490" s="11">
        <f>IF(A2490="","",IF(AND(J2490="P4",F2490="causal"),"P4-CAUSAL",""))</f>
        <v/>
      </c>
    </row>
    <row r="2491" ht="15" customHeight="1" s="1">
      <c r="P2491">
        <f>IF(OR(F2491="",H2491="",J2491=""),"",J2491&amp;"|"&amp;F2491&amp;"|"&amp;IF(H2491="W3","W3_"&amp;IF(I2491="","unknown",I2491),H2491))</f>
        <v/>
      </c>
      <c r="Q2491">
        <f>IF(P2491="","",IFERROR(IF(AND(H2491="W7",OR(F2491="causal",F2491="predictive")),IF(AND(OR(K2491=1,K2491="1"),OR(L2491=1,L2491="1"),OR(M2491=1,M2491="1")),"adequate","partial"),IF(AND(H2491="W4",F2491="predictive",OR(J2491="P2",J2491="P3",J2491="P4")),IF(OR(U2491=1,U2491="1"),"adequate","partial"),INDEX(Fit_Matrix!$B:$B,MATCH(P2491,Fit_Matrix!$A:$A,0)))),"CHECK KEY"))</f>
        <v/>
      </c>
      <c r="U2491" s="10" t="n"/>
      <c r="V2491" s="10" t="n"/>
      <c r="W2491" s="10" t="n"/>
      <c r="X2491" s="10" t="n"/>
      <c r="Y2491" s="10" t="n"/>
      <c r="Z2491" s="10" t="n"/>
      <c r="AA2491" s="11">
        <f>IF(A2491="","",IF(AND(J2491="P4",F2491="causal"),"P4-CAUSAL",""))</f>
        <v/>
      </c>
    </row>
    <row r="2492" ht="15" customHeight="1" s="1">
      <c r="P2492">
        <f>IF(OR(F2492="",H2492="",J2492=""),"",J2492&amp;"|"&amp;F2492&amp;"|"&amp;IF(H2492="W3","W3_"&amp;IF(I2492="","unknown",I2492),H2492))</f>
        <v/>
      </c>
      <c r="Q2492">
        <f>IF(P2492="","",IFERROR(IF(AND(H2492="W7",OR(F2492="causal",F2492="predictive")),IF(AND(OR(K2492=1,K2492="1"),OR(L2492=1,L2492="1"),OR(M2492=1,M2492="1")),"adequate","partial"),IF(AND(H2492="W4",F2492="predictive",OR(J2492="P2",J2492="P3",J2492="P4")),IF(OR(U2492=1,U2492="1"),"adequate","partial"),INDEX(Fit_Matrix!$B:$B,MATCH(P2492,Fit_Matrix!$A:$A,0)))),"CHECK KEY"))</f>
        <v/>
      </c>
      <c r="U2492" s="10" t="n"/>
      <c r="V2492" s="10" t="n"/>
      <c r="W2492" s="10" t="n"/>
      <c r="X2492" s="10" t="n"/>
      <c r="Y2492" s="10" t="n"/>
      <c r="Z2492" s="10" t="n"/>
      <c r="AA2492" s="11">
        <f>IF(A2492="","",IF(AND(J2492="P4",F2492="causal"),"P4-CAUSAL",""))</f>
        <v/>
      </c>
    </row>
    <row r="2493" ht="15" customHeight="1" s="1">
      <c r="P2493">
        <f>IF(OR(F2493="",H2493="",J2493=""),"",J2493&amp;"|"&amp;F2493&amp;"|"&amp;IF(H2493="W3","W3_"&amp;IF(I2493="","unknown",I2493),H2493))</f>
        <v/>
      </c>
      <c r="Q2493">
        <f>IF(P2493="","",IFERROR(IF(AND(H2493="W7",OR(F2493="causal",F2493="predictive")),IF(AND(OR(K2493=1,K2493="1"),OR(L2493=1,L2493="1"),OR(M2493=1,M2493="1")),"adequate","partial"),IF(AND(H2493="W4",F2493="predictive",OR(J2493="P2",J2493="P3",J2493="P4")),IF(OR(U2493=1,U2493="1"),"adequate","partial"),INDEX(Fit_Matrix!$B:$B,MATCH(P2493,Fit_Matrix!$A:$A,0)))),"CHECK KEY"))</f>
        <v/>
      </c>
      <c r="U2493" s="10" t="n"/>
      <c r="V2493" s="10" t="n"/>
      <c r="W2493" s="10" t="n"/>
      <c r="X2493" s="10" t="n"/>
      <c r="Y2493" s="10" t="n"/>
      <c r="Z2493" s="10" t="n"/>
      <c r="AA2493" s="11">
        <f>IF(A2493="","",IF(AND(J2493="P4",F2493="causal"),"P4-CAUSAL",""))</f>
        <v/>
      </c>
    </row>
    <row r="2494" ht="15" customHeight="1" s="1">
      <c r="P2494">
        <f>IF(OR(F2494="",H2494="",J2494=""),"",J2494&amp;"|"&amp;F2494&amp;"|"&amp;IF(H2494="W3","W3_"&amp;IF(I2494="","unknown",I2494),H2494))</f>
        <v/>
      </c>
      <c r="Q2494">
        <f>IF(P2494="","",IFERROR(IF(AND(H2494="W7",OR(F2494="causal",F2494="predictive")),IF(AND(OR(K2494=1,K2494="1"),OR(L2494=1,L2494="1"),OR(M2494=1,M2494="1")),"adequate","partial"),IF(AND(H2494="W4",F2494="predictive",OR(J2494="P2",J2494="P3",J2494="P4")),IF(OR(U2494=1,U2494="1"),"adequate","partial"),INDEX(Fit_Matrix!$B:$B,MATCH(P2494,Fit_Matrix!$A:$A,0)))),"CHECK KEY"))</f>
        <v/>
      </c>
      <c r="U2494" s="10" t="n"/>
      <c r="V2494" s="10" t="n"/>
      <c r="W2494" s="10" t="n"/>
      <c r="X2494" s="10" t="n"/>
      <c r="Y2494" s="10" t="n"/>
      <c r="Z2494" s="10" t="n"/>
      <c r="AA2494" s="11">
        <f>IF(A2494="","",IF(AND(J2494="P4",F2494="causal"),"P4-CAUSAL",""))</f>
        <v/>
      </c>
    </row>
    <row r="2495" ht="15" customHeight="1" s="1">
      <c r="P2495">
        <f>IF(OR(F2495="",H2495="",J2495=""),"",J2495&amp;"|"&amp;F2495&amp;"|"&amp;IF(H2495="W3","W3_"&amp;IF(I2495="","unknown",I2495),H2495))</f>
        <v/>
      </c>
      <c r="Q2495">
        <f>IF(P2495="","",IFERROR(IF(AND(H2495="W7",OR(F2495="causal",F2495="predictive")),IF(AND(OR(K2495=1,K2495="1"),OR(L2495=1,L2495="1"),OR(M2495=1,M2495="1")),"adequate","partial"),IF(AND(H2495="W4",F2495="predictive",OR(J2495="P2",J2495="P3",J2495="P4")),IF(OR(U2495=1,U2495="1"),"adequate","partial"),INDEX(Fit_Matrix!$B:$B,MATCH(P2495,Fit_Matrix!$A:$A,0)))),"CHECK KEY"))</f>
        <v/>
      </c>
      <c r="U2495" s="10" t="n"/>
      <c r="V2495" s="10" t="n"/>
      <c r="W2495" s="10" t="n"/>
      <c r="X2495" s="10" t="n"/>
      <c r="Y2495" s="10" t="n"/>
      <c r="Z2495" s="10" t="n"/>
      <c r="AA2495" s="11">
        <f>IF(A2495="","",IF(AND(J2495="P4",F2495="causal"),"P4-CAUSAL",""))</f>
        <v/>
      </c>
    </row>
    <row r="2496" ht="15" customHeight="1" s="1">
      <c r="P2496">
        <f>IF(OR(F2496="",H2496="",J2496=""),"",J2496&amp;"|"&amp;F2496&amp;"|"&amp;IF(H2496="W3","W3_"&amp;IF(I2496="","unknown",I2496),H2496))</f>
        <v/>
      </c>
      <c r="Q2496">
        <f>IF(P2496="","",IFERROR(IF(AND(H2496="W7",OR(F2496="causal",F2496="predictive")),IF(AND(OR(K2496=1,K2496="1"),OR(L2496=1,L2496="1"),OR(M2496=1,M2496="1")),"adequate","partial"),IF(AND(H2496="W4",F2496="predictive",OR(J2496="P2",J2496="P3",J2496="P4")),IF(OR(U2496=1,U2496="1"),"adequate","partial"),INDEX(Fit_Matrix!$B:$B,MATCH(P2496,Fit_Matrix!$A:$A,0)))),"CHECK KEY"))</f>
        <v/>
      </c>
      <c r="U2496" s="10" t="n"/>
      <c r="V2496" s="10" t="n"/>
      <c r="W2496" s="10" t="n"/>
      <c r="X2496" s="10" t="n"/>
      <c r="Y2496" s="10" t="n"/>
      <c r="Z2496" s="10" t="n"/>
      <c r="AA2496" s="11">
        <f>IF(A2496="","",IF(AND(J2496="P4",F2496="causal"),"P4-CAUSAL",""))</f>
        <v/>
      </c>
    </row>
    <row r="2497" ht="15" customHeight="1" s="1">
      <c r="P2497">
        <f>IF(OR(F2497="",H2497="",J2497=""),"",J2497&amp;"|"&amp;F2497&amp;"|"&amp;IF(H2497="W3","W3_"&amp;IF(I2497="","unknown",I2497),H2497))</f>
        <v/>
      </c>
      <c r="Q2497">
        <f>IF(P2497="","",IFERROR(IF(AND(H2497="W7",OR(F2497="causal",F2497="predictive")),IF(AND(OR(K2497=1,K2497="1"),OR(L2497=1,L2497="1"),OR(M2497=1,M2497="1")),"adequate","partial"),IF(AND(H2497="W4",F2497="predictive",OR(J2497="P2",J2497="P3",J2497="P4")),IF(OR(U2497=1,U2497="1"),"adequate","partial"),INDEX(Fit_Matrix!$B:$B,MATCH(P2497,Fit_Matrix!$A:$A,0)))),"CHECK KEY"))</f>
        <v/>
      </c>
      <c r="U2497" s="10" t="n"/>
      <c r="V2497" s="10" t="n"/>
      <c r="W2497" s="10" t="n"/>
      <c r="X2497" s="10" t="n"/>
      <c r="Y2497" s="10" t="n"/>
      <c r="Z2497" s="10" t="n"/>
      <c r="AA2497" s="11">
        <f>IF(A2497="","",IF(AND(J2497="P4",F2497="causal"),"P4-CAUSAL",""))</f>
        <v/>
      </c>
    </row>
    <row r="2498" ht="15" customHeight="1" s="1">
      <c r="P2498">
        <f>IF(OR(F2498="",H2498="",J2498=""),"",J2498&amp;"|"&amp;F2498&amp;"|"&amp;IF(H2498="W3","W3_"&amp;IF(I2498="","unknown",I2498),H2498))</f>
        <v/>
      </c>
      <c r="Q2498">
        <f>IF(P2498="","",IFERROR(IF(AND(H2498="W7",OR(F2498="causal",F2498="predictive")),IF(AND(OR(K2498=1,K2498="1"),OR(L2498=1,L2498="1"),OR(M2498=1,M2498="1")),"adequate","partial"),IF(AND(H2498="W4",F2498="predictive",OR(J2498="P2",J2498="P3",J2498="P4")),IF(OR(U2498=1,U2498="1"),"adequate","partial"),INDEX(Fit_Matrix!$B:$B,MATCH(P2498,Fit_Matrix!$A:$A,0)))),"CHECK KEY"))</f>
        <v/>
      </c>
      <c r="U2498" s="10" t="n"/>
      <c r="V2498" s="10" t="n"/>
      <c r="W2498" s="10" t="n"/>
      <c r="X2498" s="10" t="n"/>
      <c r="Y2498" s="10" t="n"/>
      <c r="Z2498" s="10" t="n"/>
      <c r="AA2498" s="11">
        <f>IF(A2498="","",IF(AND(J2498="P4",F2498="causal"),"P4-CAUSAL",""))</f>
        <v/>
      </c>
    </row>
    <row r="2499" ht="15" customHeight="1" s="1">
      <c r="P2499">
        <f>IF(OR(F2499="",H2499="",J2499=""),"",J2499&amp;"|"&amp;F2499&amp;"|"&amp;IF(H2499="W3","W3_"&amp;IF(I2499="","unknown",I2499),H2499))</f>
        <v/>
      </c>
      <c r="Q2499">
        <f>IF(P2499="","",IFERROR(IF(AND(H2499="W7",OR(F2499="causal",F2499="predictive")),IF(AND(OR(K2499=1,K2499="1"),OR(L2499=1,L2499="1"),OR(M2499=1,M2499="1")),"adequate","partial"),IF(AND(H2499="W4",F2499="predictive",OR(J2499="P2",J2499="P3",J2499="P4")),IF(OR(U2499=1,U2499="1"),"adequate","partial"),INDEX(Fit_Matrix!$B:$B,MATCH(P2499,Fit_Matrix!$A:$A,0)))),"CHECK KEY"))</f>
        <v/>
      </c>
      <c r="U2499" s="10" t="n"/>
      <c r="V2499" s="10" t="n"/>
      <c r="W2499" s="10" t="n"/>
      <c r="X2499" s="10" t="n"/>
      <c r="Y2499" s="10" t="n"/>
      <c r="Z2499" s="10" t="n"/>
      <c r="AA2499" s="11">
        <f>IF(A2499="","",IF(AND(J2499="P4",F2499="causal"),"P4-CAUSAL",""))</f>
        <v/>
      </c>
    </row>
    <row r="2500" ht="15" customHeight="1" s="1">
      <c r="P2500">
        <f>IF(OR(F2500="",H2500="",J2500=""),"",J2500&amp;"|"&amp;F2500&amp;"|"&amp;IF(H2500="W3","W3_"&amp;IF(I2500="","unknown",I2500),H2500))</f>
        <v/>
      </c>
      <c r="Q2500">
        <f>IF(P2500="","",IFERROR(IF(AND(H2500="W7",OR(F2500="causal",F2500="predictive")),IF(AND(OR(K2500=1,K2500="1"),OR(L2500=1,L2500="1"),OR(M2500=1,M2500="1")),"adequate","partial"),IF(AND(H2500="W4",F2500="predictive",OR(J2500="P2",J2500="P3",J2500="P4")),IF(OR(U2500=1,U2500="1"),"adequate","partial"),INDEX(Fit_Matrix!$B:$B,MATCH(P2500,Fit_Matrix!$A:$A,0)))),"CHECK KEY"))</f>
        <v/>
      </c>
      <c r="U2500" s="10" t="n"/>
      <c r="V2500" s="10" t="n"/>
      <c r="W2500" s="10" t="n"/>
      <c r="X2500" s="10" t="n"/>
      <c r="Y2500" s="10" t="n"/>
      <c r="Z2500" s="10" t="n"/>
      <c r="AA2500" s="11">
        <f>IF(A2500="","",IF(AND(J2500="P4",F2500="causal"),"P4-CAUSAL",""))</f>
        <v/>
      </c>
    </row>
    <row r="2501" ht="15" customHeight="1" s="1">
      <c r="P2501">
        <f>IF(OR(F2501="",H2501="",J2501=""),"",J2501&amp;"|"&amp;F2501&amp;"|"&amp;IF(H2501="W3","W3_"&amp;IF(I2501="","unknown",I2501),H2501))</f>
        <v/>
      </c>
      <c r="Q2501">
        <f>IF(P2501="","",IFERROR(IF(AND(H2501="W7",OR(F2501="causal",F2501="predictive")),IF(AND(OR(K2501=1,K2501="1"),OR(L2501=1,L2501="1"),OR(M2501=1,M2501="1")),"adequate","partial"),IF(AND(H2501="W4",F2501="predictive",OR(J2501="P2",J2501="P3",J2501="P4")),IF(OR(U2501=1,U2501="1"),"adequate","partial"),INDEX(Fit_Matrix!$B:$B,MATCH(P2501,Fit_Matrix!$A:$A,0)))),"CHECK KEY"))</f>
        <v/>
      </c>
      <c r="U2501" s="10" t="n"/>
      <c r="V2501" s="10" t="n"/>
      <c r="W2501" s="10" t="n"/>
      <c r="X2501" s="10" t="n"/>
      <c r="Y2501" s="10" t="n"/>
      <c r="Z2501" s="10" t="n"/>
      <c r="AA2501" s="11">
        <f>IF(A2501="","",IF(AND(J2501="P4",F2501="causal"),"P4-CAUSAL",""))</f>
        <v/>
      </c>
    </row>
    <row r="2502" ht="15" customHeight="1" s="1">
      <c r="P2502">
        <f>IF(OR(F2502="",H2502="",J2502=""),"",J2502&amp;"|"&amp;F2502&amp;"|"&amp;IF(H2502="W3","W3_"&amp;IF(I2502="","unknown",I2502),H2502))</f>
        <v/>
      </c>
      <c r="Q2502">
        <f>IF(P2502="","",IFERROR(IF(AND(H2502="W7",OR(F2502="causal",F2502="predictive")),IF(AND(OR(K2502=1,K2502="1"),OR(L2502=1,L2502="1"),OR(M2502=1,M2502="1")),"adequate","partial"),IF(AND(H2502="W4",F2502="predictive",OR(J2502="P2",J2502="P3",J2502="P4")),IF(OR(U2502=1,U2502="1"),"adequate","partial"),INDEX(Fit_Matrix!$B:$B,MATCH(P2502,Fit_Matrix!$A:$A,0)))),"CHECK KEY"))</f>
        <v/>
      </c>
      <c r="U2502" s="10" t="n"/>
      <c r="V2502" s="10" t="n"/>
      <c r="W2502" s="10" t="n"/>
      <c r="X2502" s="10" t="n"/>
      <c r="Y2502" s="10" t="n"/>
      <c r="Z2502" s="10" t="n"/>
      <c r="AA2502" s="11">
        <f>IF(A2502="","",IF(AND(J2502="P4",F2502="causal"),"P4-CAUSAL",""))</f>
        <v/>
      </c>
    </row>
    <row r="2503" ht="15" customHeight="1" s="1">
      <c r="P2503">
        <f>IF(OR(F2503="",H2503="",J2503=""),"",J2503&amp;"|"&amp;F2503&amp;"|"&amp;IF(H2503="W3","W3_"&amp;IF(I2503="","unknown",I2503),H2503))</f>
        <v/>
      </c>
      <c r="Q2503">
        <f>IF(P2503="","",IFERROR(IF(AND(H2503="W7",OR(F2503="causal",F2503="predictive")),IF(AND(OR(K2503=1,K2503="1"),OR(L2503=1,L2503="1"),OR(M2503=1,M2503="1")),"adequate","partial"),IF(AND(H2503="W4",F2503="predictive",OR(J2503="P2",J2503="P3",J2503="P4")),IF(OR(U2503=1,U2503="1"),"adequate","partial"),INDEX(Fit_Matrix!$B:$B,MATCH(P2503,Fit_Matrix!$A:$A,0)))),"CHECK KEY"))</f>
        <v/>
      </c>
      <c r="U2503" s="10" t="n"/>
      <c r="V2503" s="10" t="n"/>
      <c r="W2503" s="10" t="n"/>
      <c r="X2503" s="10" t="n"/>
      <c r="Y2503" s="10" t="n"/>
      <c r="Z2503" s="10" t="n"/>
      <c r="AA2503" s="11">
        <f>IF(A2503="","",IF(AND(J2503="P4",F2503="causal"),"P4-CAUSAL",""))</f>
        <v/>
      </c>
    </row>
    <row r="2504" ht="15" customHeight="1" s="1">
      <c r="P2504">
        <f>IF(OR(F2504="",H2504="",J2504=""),"",J2504&amp;"|"&amp;F2504&amp;"|"&amp;IF(H2504="W3","W3_"&amp;IF(I2504="","unknown",I2504),H2504))</f>
        <v/>
      </c>
      <c r="Q2504">
        <f>IF(P2504="","",IFERROR(IF(AND(H2504="W7",OR(F2504="causal",F2504="predictive")),IF(AND(OR(K2504=1,K2504="1"),OR(L2504=1,L2504="1"),OR(M2504=1,M2504="1")),"adequate","partial"),IF(AND(H2504="W4",F2504="predictive",OR(J2504="P2",J2504="P3",J2504="P4")),IF(OR(U2504=1,U2504="1"),"adequate","partial"),INDEX(Fit_Matrix!$B:$B,MATCH(P2504,Fit_Matrix!$A:$A,0)))),"CHECK KEY"))</f>
        <v/>
      </c>
      <c r="U2504" s="10" t="n"/>
      <c r="V2504" s="10" t="n"/>
      <c r="W2504" s="10" t="n"/>
      <c r="X2504" s="10" t="n"/>
      <c r="Y2504" s="10" t="n"/>
      <c r="Z2504" s="10" t="n"/>
      <c r="AA2504" s="11">
        <f>IF(A2504="","",IF(AND(J2504="P4",F2504="causal"),"P4-CAUSAL",""))</f>
        <v/>
      </c>
    </row>
    <row r="2505" ht="15" customHeight="1" s="1">
      <c r="P2505">
        <f>IF(OR(F2505="",H2505="",J2505=""),"",J2505&amp;"|"&amp;F2505&amp;"|"&amp;IF(H2505="W3","W3_"&amp;IF(I2505="","unknown",I2505),H2505))</f>
        <v/>
      </c>
      <c r="Q2505">
        <f>IF(P2505="","",IFERROR(IF(AND(H2505="W7",OR(F2505="causal",F2505="predictive")),IF(AND(OR(K2505=1,K2505="1"),OR(L2505=1,L2505="1"),OR(M2505=1,M2505="1")),"adequate","partial"),IF(AND(H2505="W4",F2505="predictive",OR(J2505="P2",J2505="P3",J2505="P4")),IF(OR(U2505=1,U2505="1"),"adequate","partial"),INDEX(Fit_Matrix!$B:$B,MATCH(P2505,Fit_Matrix!$A:$A,0)))),"CHECK KEY"))</f>
        <v/>
      </c>
      <c r="U2505" s="10" t="n"/>
      <c r="V2505" s="10" t="n"/>
      <c r="W2505" s="10" t="n"/>
      <c r="X2505" s="10" t="n"/>
      <c r="Y2505" s="10" t="n"/>
      <c r="Z2505" s="10" t="n"/>
      <c r="AA2505" s="11">
        <f>IF(A2505="","",IF(AND(J2505="P4",F2505="causal"),"P4-CAUSAL",""))</f>
        <v/>
      </c>
    </row>
    <row r="2506" ht="15" customHeight="1" s="1">
      <c r="P2506">
        <f>IF(OR(F2506="",H2506="",J2506=""),"",J2506&amp;"|"&amp;F2506&amp;"|"&amp;IF(H2506="W3","W3_"&amp;IF(I2506="","unknown",I2506),H2506))</f>
        <v/>
      </c>
      <c r="Q2506">
        <f>IF(P2506="","",IFERROR(IF(AND(H2506="W7",OR(F2506="causal",F2506="predictive")),IF(AND(OR(K2506=1,K2506="1"),OR(L2506=1,L2506="1"),OR(M2506=1,M2506="1")),"adequate","partial"),IF(AND(H2506="W4",F2506="predictive",OR(J2506="P2",J2506="P3",J2506="P4")),IF(OR(U2506=1,U2506="1"),"adequate","partial"),INDEX(Fit_Matrix!$B:$B,MATCH(P2506,Fit_Matrix!$A:$A,0)))),"CHECK KEY"))</f>
        <v/>
      </c>
      <c r="U2506" s="10" t="n"/>
      <c r="V2506" s="10" t="n"/>
      <c r="W2506" s="10" t="n"/>
      <c r="X2506" s="10" t="n"/>
      <c r="Y2506" s="10" t="n"/>
      <c r="Z2506" s="10" t="n"/>
      <c r="AA2506" s="11">
        <f>IF(A2506="","",IF(AND(J2506="P4",F2506="causal"),"P4-CAUSAL",""))</f>
        <v/>
      </c>
    </row>
    <row r="2507" ht="15" customHeight="1" s="1">
      <c r="P2507">
        <f>IF(OR(F2507="",H2507="",J2507=""),"",J2507&amp;"|"&amp;F2507&amp;"|"&amp;IF(H2507="W3","W3_"&amp;IF(I2507="","unknown",I2507),H2507))</f>
        <v/>
      </c>
      <c r="Q2507">
        <f>IF(P2507="","",IFERROR(IF(AND(H2507="W7",OR(F2507="causal",F2507="predictive")),IF(AND(OR(K2507=1,K2507="1"),OR(L2507=1,L2507="1"),OR(M2507=1,M2507="1")),"adequate","partial"),IF(AND(H2507="W4",F2507="predictive",OR(J2507="P2",J2507="P3",J2507="P4")),IF(OR(U2507=1,U2507="1"),"adequate","partial"),INDEX(Fit_Matrix!$B:$B,MATCH(P2507,Fit_Matrix!$A:$A,0)))),"CHECK KEY"))</f>
        <v/>
      </c>
      <c r="U2507" s="10" t="n"/>
      <c r="V2507" s="10" t="n"/>
      <c r="W2507" s="10" t="n"/>
      <c r="X2507" s="10" t="n"/>
      <c r="Y2507" s="10" t="n"/>
      <c r="Z2507" s="10" t="n"/>
      <c r="AA2507" s="11">
        <f>IF(A2507="","",IF(AND(J2507="P4",F2507="causal"),"P4-CAUSAL",""))</f>
        <v/>
      </c>
    </row>
    <row r="2508" ht="15" customHeight="1" s="1">
      <c r="P2508">
        <f>IF(OR(F2508="",H2508="",J2508=""),"",J2508&amp;"|"&amp;F2508&amp;"|"&amp;IF(H2508="W3","W3_"&amp;IF(I2508="","unknown",I2508),H2508))</f>
        <v/>
      </c>
      <c r="Q2508">
        <f>IF(P2508="","",IFERROR(IF(AND(H2508="W7",OR(F2508="causal",F2508="predictive")),IF(AND(OR(K2508=1,K2508="1"),OR(L2508=1,L2508="1"),OR(M2508=1,M2508="1")),"adequate","partial"),IF(AND(H2508="W4",F2508="predictive",OR(J2508="P2",J2508="P3",J2508="P4")),IF(OR(U2508=1,U2508="1"),"adequate","partial"),INDEX(Fit_Matrix!$B:$B,MATCH(P2508,Fit_Matrix!$A:$A,0)))),"CHECK KEY"))</f>
        <v/>
      </c>
      <c r="U2508" s="10" t="n"/>
      <c r="V2508" s="10" t="n"/>
      <c r="W2508" s="10" t="n"/>
      <c r="X2508" s="10" t="n"/>
      <c r="Y2508" s="10" t="n"/>
      <c r="Z2508" s="10" t="n"/>
      <c r="AA2508" s="11">
        <f>IF(A2508="","",IF(AND(J2508="P4",F2508="causal"),"P4-CAUSAL",""))</f>
        <v/>
      </c>
    </row>
    <row r="2509" ht="15" customHeight="1" s="1">
      <c r="P2509">
        <f>IF(OR(F2509="",H2509="",J2509=""),"",J2509&amp;"|"&amp;F2509&amp;"|"&amp;IF(H2509="W3","W3_"&amp;IF(I2509="","unknown",I2509),H2509))</f>
        <v/>
      </c>
      <c r="Q2509">
        <f>IF(P2509="","",IFERROR(IF(AND(H2509="W7",OR(F2509="causal",F2509="predictive")),IF(AND(OR(K2509=1,K2509="1"),OR(L2509=1,L2509="1"),OR(M2509=1,M2509="1")),"adequate","partial"),IF(AND(H2509="W4",F2509="predictive",OR(J2509="P2",J2509="P3",J2509="P4")),IF(OR(U2509=1,U2509="1"),"adequate","partial"),INDEX(Fit_Matrix!$B:$B,MATCH(P2509,Fit_Matrix!$A:$A,0)))),"CHECK KEY"))</f>
        <v/>
      </c>
      <c r="U2509" s="10" t="n"/>
      <c r="V2509" s="10" t="n"/>
      <c r="W2509" s="10" t="n"/>
      <c r="X2509" s="10" t="n"/>
      <c r="Y2509" s="10" t="n"/>
      <c r="Z2509" s="10" t="n"/>
      <c r="AA2509" s="11">
        <f>IF(A2509="","",IF(AND(J2509="P4",F2509="causal"),"P4-CAUSAL",""))</f>
        <v/>
      </c>
    </row>
    <row r="2510" ht="15" customHeight="1" s="1">
      <c r="P2510">
        <f>IF(OR(F2510="",H2510="",J2510=""),"",J2510&amp;"|"&amp;F2510&amp;"|"&amp;IF(H2510="W3","W3_"&amp;IF(I2510="","unknown",I2510),H2510))</f>
        <v/>
      </c>
      <c r="Q2510">
        <f>IF(P2510="","",IFERROR(IF(AND(H2510="W7",OR(F2510="causal",F2510="predictive")),IF(AND(OR(K2510=1,K2510="1"),OR(L2510=1,L2510="1"),OR(M2510=1,M2510="1")),"adequate","partial"),IF(AND(H2510="W4",F2510="predictive",OR(J2510="P2",J2510="P3",J2510="P4")),IF(OR(U2510=1,U2510="1"),"adequate","partial"),INDEX(Fit_Matrix!$B:$B,MATCH(P2510,Fit_Matrix!$A:$A,0)))),"CHECK KEY"))</f>
        <v/>
      </c>
      <c r="U2510" s="10" t="n"/>
      <c r="V2510" s="10" t="n"/>
      <c r="W2510" s="10" t="n"/>
      <c r="X2510" s="10" t="n"/>
      <c r="Y2510" s="10" t="n"/>
      <c r="Z2510" s="10" t="n"/>
      <c r="AA2510" s="11">
        <f>IF(A2510="","",IF(AND(J2510="P4",F2510="causal"),"P4-CAUSAL",""))</f>
        <v/>
      </c>
    </row>
    <row r="2511" ht="15" customHeight="1" s="1">
      <c r="P2511">
        <f>IF(OR(F2511="",H2511="",J2511=""),"",J2511&amp;"|"&amp;F2511&amp;"|"&amp;IF(H2511="W3","W3_"&amp;IF(I2511="","unknown",I2511),H2511))</f>
        <v/>
      </c>
      <c r="Q2511">
        <f>IF(P2511="","",IFERROR(IF(AND(H2511="W7",OR(F2511="causal",F2511="predictive")),IF(AND(OR(K2511=1,K2511="1"),OR(L2511=1,L2511="1"),OR(M2511=1,M2511="1")),"adequate","partial"),IF(AND(H2511="W4",F2511="predictive",OR(J2511="P2",J2511="P3",J2511="P4")),IF(OR(U2511=1,U2511="1"),"adequate","partial"),INDEX(Fit_Matrix!$B:$B,MATCH(P2511,Fit_Matrix!$A:$A,0)))),"CHECK KEY"))</f>
        <v/>
      </c>
      <c r="U2511" s="10" t="n"/>
      <c r="V2511" s="10" t="n"/>
      <c r="W2511" s="10" t="n"/>
      <c r="X2511" s="10" t="n"/>
      <c r="Y2511" s="10" t="n"/>
      <c r="Z2511" s="10" t="n"/>
      <c r="AA2511" s="11">
        <f>IF(A2511="","",IF(AND(J2511="P4",F2511="causal"),"P4-CAUSAL",""))</f>
        <v/>
      </c>
    </row>
    <row r="2512" ht="15" customHeight="1" s="1">
      <c r="P2512">
        <f>IF(OR(F2512="",H2512="",J2512=""),"",J2512&amp;"|"&amp;F2512&amp;"|"&amp;IF(H2512="W3","W3_"&amp;IF(I2512="","unknown",I2512),H2512))</f>
        <v/>
      </c>
      <c r="Q2512">
        <f>IF(P2512="","",IFERROR(IF(AND(H2512="W7",OR(F2512="causal",F2512="predictive")),IF(AND(OR(K2512=1,K2512="1"),OR(L2512=1,L2512="1"),OR(M2512=1,M2512="1")),"adequate","partial"),IF(AND(H2512="W4",F2512="predictive",OR(J2512="P2",J2512="P3",J2512="P4")),IF(OR(U2512=1,U2512="1"),"adequate","partial"),INDEX(Fit_Matrix!$B:$B,MATCH(P2512,Fit_Matrix!$A:$A,0)))),"CHECK KEY"))</f>
        <v/>
      </c>
      <c r="U2512" s="10" t="n"/>
      <c r="V2512" s="10" t="n"/>
      <c r="W2512" s="10" t="n"/>
      <c r="X2512" s="10" t="n"/>
      <c r="Y2512" s="10" t="n"/>
      <c r="Z2512" s="10" t="n"/>
      <c r="AA2512" s="11">
        <f>IF(A2512="","",IF(AND(J2512="P4",F2512="causal"),"P4-CAUSAL",""))</f>
        <v/>
      </c>
    </row>
    <row r="2513" ht="15" customHeight="1" s="1">
      <c r="P2513">
        <f>IF(OR(F2513="",H2513="",J2513=""),"",J2513&amp;"|"&amp;F2513&amp;"|"&amp;IF(H2513="W3","W3_"&amp;IF(I2513="","unknown",I2513),H2513))</f>
        <v/>
      </c>
      <c r="Q2513">
        <f>IF(P2513="","",IFERROR(IF(AND(H2513="W7",OR(F2513="causal",F2513="predictive")),IF(AND(OR(K2513=1,K2513="1"),OR(L2513=1,L2513="1"),OR(M2513=1,M2513="1")),"adequate","partial"),IF(AND(H2513="W4",F2513="predictive",OR(J2513="P2",J2513="P3",J2513="P4")),IF(OR(U2513=1,U2513="1"),"adequate","partial"),INDEX(Fit_Matrix!$B:$B,MATCH(P2513,Fit_Matrix!$A:$A,0)))),"CHECK KEY"))</f>
        <v/>
      </c>
      <c r="U2513" s="10" t="n"/>
      <c r="V2513" s="10" t="n"/>
      <c r="W2513" s="10" t="n"/>
      <c r="X2513" s="10" t="n"/>
      <c r="Y2513" s="10" t="n"/>
      <c r="Z2513" s="10" t="n"/>
      <c r="AA2513" s="11">
        <f>IF(A2513="","",IF(AND(J2513="P4",F2513="causal"),"P4-CAUSAL",""))</f>
        <v/>
      </c>
    </row>
    <row r="2514" ht="15" customHeight="1" s="1">
      <c r="P2514">
        <f>IF(OR(F2514="",H2514="",J2514=""),"",J2514&amp;"|"&amp;F2514&amp;"|"&amp;IF(H2514="W3","W3_"&amp;IF(I2514="","unknown",I2514),H2514))</f>
        <v/>
      </c>
      <c r="Q2514">
        <f>IF(P2514="","",IFERROR(IF(AND(H2514="W7",OR(F2514="causal",F2514="predictive")),IF(AND(OR(K2514=1,K2514="1"),OR(L2514=1,L2514="1"),OR(M2514=1,M2514="1")),"adequate","partial"),IF(AND(H2514="W4",F2514="predictive",OR(J2514="P2",J2514="P3",J2514="P4")),IF(OR(U2514=1,U2514="1"),"adequate","partial"),INDEX(Fit_Matrix!$B:$B,MATCH(P2514,Fit_Matrix!$A:$A,0)))),"CHECK KEY"))</f>
        <v/>
      </c>
      <c r="U2514" s="10" t="n"/>
      <c r="V2514" s="10" t="n"/>
      <c r="W2514" s="10" t="n"/>
      <c r="X2514" s="10" t="n"/>
      <c r="Y2514" s="10" t="n"/>
      <c r="Z2514" s="10" t="n"/>
      <c r="AA2514" s="11">
        <f>IF(A2514="","",IF(AND(J2514="P4",F2514="causal"),"P4-CAUSAL",""))</f>
        <v/>
      </c>
    </row>
    <row r="2515" ht="15" customHeight="1" s="1">
      <c r="P2515">
        <f>IF(OR(F2515="",H2515="",J2515=""),"",J2515&amp;"|"&amp;F2515&amp;"|"&amp;IF(H2515="W3","W3_"&amp;IF(I2515="","unknown",I2515),H2515))</f>
        <v/>
      </c>
      <c r="Q2515">
        <f>IF(P2515="","",IFERROR(IF(AND(H2515="W7",OR(F2515="causal",F2515="predictive")),IF(AND(OR(K2515=1,K2515="1"),OR(L2515=1,L2515="1"),OR(M2515=1,M2515="1")),"adequate","partial"),IF(AND(H2515="W4",F2515="predictive",OR(J2515="P2",J2515="P3",J2515="P4")),IF(OR(U2515=1,U2515="1"),"adequate","partial"),INDEX(Fit_Matrix!$B:$B,MATCH(P2515,Fit_Matrix!$A:$A,0)))),"CHECK KEY"))</f>
        <v/>
      </c>
      <c r="U2515" s="10" t="n"/>
      <c r="V2515" s="10" t="n"/>
      <c r="W2515" s="10" t="n"/>
      <c r="X2515" s="10" t="n"/>
      <c r="Y2515" s="10" t="n"/>
      <c r="Z2515" s="10" t="n"/>
      <c r="AA2515" s="11">
        <f>IF(A2515="","",IF(AND(J2515="P4",F2515="causal"),"P4-CAUSAL",""))</f>
        <v/>
      </c>
    </row>
    <row r="2516" ht="15" customHeight="1" s="1">
      <c r="P2516">
        <f>IF(OR(F2516="",H2516="",J2516=""),"",J2516&amp;"|"&amp;F2516&amp;"|"&amp;IF(H2516="W3","W3_"&amp;IF(I2516="","unknown",I2516),H2516))</f>
        <v/>
      </c>
      <c r="Q2516">
        <f>IF(P2516="","",IFERROR(IF(AND(H2516="W7",OR(F2516="causal",F2516="predictive")),IF(AND(OR(K2516=1,K2516="1"),OR(L2516=1,L2516="1"),OR(M2516=1,M2516="1")),"adequate","partial"),IF(AND(H2516="W4",F2516="predictive",OR(J2516="P2",J2516="P3",J2516="P4")),IF(OR(U2516=1,U2516="1"),"adequate","partial"),INDEX(Fit_Matrix!$B:$B,MATCH(P2516,Fit_Matrix!$A:$A,0)))),"CHECK KEY"))</f>
        <v/>
      </c>
      <c r="U2516" s="10" t="n"/>
      <c r="V2516" s="10" t="n"/>
      <c r="W2516" s="10" t="n"/>
      <c r="X2516" s="10" t="n"/>
      <c r="Y2516" s="10" t="n"/>
      <c r="Z2516" s="10" t="n"/>
      <c r="AA2516" s="11">
        <f>IF(A2516="","",IF(AND(J2516="P4",F2516="causal"),"P4-CAUSAL",""))</f>
        <v/>
      </c>
    </row>
    <row r="2517" ht="15" customHeight="1" s="1">
      <c r="P2517">
        <f>IF(OR(F2517="",H2517="",J2517=""),"",J2517&amp;"|"&amp;F2517&amp;"|"&amp;IF(H2517="W3","W3_"&amp;IF(I2517="","unknown",I2517),H2517))</f>
        <v/>
      </c>
      <c r="Q2517">
        <f>IF(P2517="","",IFERROR(IF(AND(H2517="W7",OR(F2517="causal",F2517="predictive")),IF(AND(OR(K2517=1,K2517="1"),OR(L2517=1,L2517="1"),OR(M2517=1,M2517="1")),"adequate","partial"),IF(AND(H2517="W4",F2517="predictive",OR(J2517="P2",J2517="P3",J2517="P4")),IF(OR(U2517=1,U2517="1"),"adequate","partial"),INDEX(Fit_Matrix!$B:$B,MATCH(P2517,Fit_Matrix!$A:$A,0)))),"CHECK KEY"))</f>
        <v/>
      </c>
      <c r="U2517" s="10" t="n"/>
      <c r="V2517" s="10" t="n"/>
      <c r="W2517" s="10" t="n"/>
      <c r="X2517" s="10" t="n"/>
      <c r="Y2517" s="10" t="n"/>
      <c r="Z2517" s="10" t="n"/>
      <c r="AA2517" s="11">
        <f>IF(A2517="","",IF(AND(J2517="P4",F2517="causal"),"P4-CAUSAL",""))</f>
        <v/>
      </c>
    </row>
    <row r="2518" ht="15" customHeight="1" s="1">
      <c r="P2518">
        <f>IF(OR(F2518="",H2518="",J2518=""),"",J2518&amp;"|"&amp;F2518&amp;"|"&amp;IF(H2518="W3","W3_"&amp;IF(I2518="","unknown",I2518),H2518))</f>
        <v/>
      </c>
      <c r="Q2518">
        <f>IF(P2518="","",IFERROR(IF(AND(H2518="W7",OR(F2518="causal",F2518="predictive")),IF(AND(OR(K2518=1,K2518="1"),OR(L2518=1,L2518="1"),OR(M2518=1,M2518="1")),"adequate","partial"),IF(AND(H2518="W4",F2518="predictive",OR(J2518="P2",J2518="P3",J2518="P4")),IF(OR(U2518=1,U2518="1"),"adequate","partial"),INDEX(Fit_Matrix!$B:$B,MATCH(P2518,Fit_Matrix!$A:$A,0)))),"CHECK KEY"))</f>
        <v/>
      </c>
      <c r="U2518" s="10" t="n"/>
      <c r="V2518" s="10" t="n"/>
      <c r="W2518" s="10" t="n"/>
      <c r="X2518" s="10" t="n"/>
      <c r="Y2518" s="10" t="n"/>
      <c r="Z2518" s="10" t="n"/>
      <c r="AA2518" s="11">
        <f>IF(A2518="","",IF(AND(J2518="P4",F2518="causal"),"P4-CAUSAL",""))</f>
        <v/>
      </c>
    </row>
    <row r="2519" ht="15" customHeight="1" s="1">
      <c r="P2519">
        <f>IF(OR(F2519="",H2519="",J2519=""),"",J2519&amp;"|"&amp;F2519&amp;"|"&amp;IF(H2519="W3","W3_"&amp;IF(I2519="","unknown",I2519),H2519))</f>
        <v/>
      </c>
      <c r="Q2519">
        <f>IF(P2519="","",IFERROR(IF(AND(H2519="W7",OR(F2519="causal",F2519="predictive")),IF(AND(OR(K2519=1,K2519="1"),OR(L2519=1,L2519="1"),OR(M2519=1,M2519="1")),"adequate","partial"),IF(AND(H2519="W4",F2519="predictive",OR(J2519="P2",J2519="P3",J2519="P4")),IF(OR(U2519=1,U2519="1"),"adequate","partial"),INDEX(Fit_Matrix!$B:$B,MATCH(P2519,Fit_Matrix!$A:$A,0)))),"CHECK KEY"))</f>
        <v/>
      </c>
      <c r="U2519" s="10" t="n"/>
      <c r="V2519" s="10" t="n"/>
      <c r="W2519" s="10" t="n"/>
      <c r="X2519" s="10" t="n"/>
      <c r="Y2519" s="10" t="n"/>
      <c r="Z2519" s="10" t="n"/>
      <c r="AA2519" s="11">
        <f>IF(A2519="","",IF(AND(J2519="P4",F2519="causal"),"P4-CAUSAL",""))</f>
        <v/>
      </c>
    </row>
    <row r="2520" ht="15" customHeight="1" s="1">
      <c r="P2520">
        <f>IF(OR(F2520="",H2520="",J2520=""),"",J2520&amp;"|"&amp;F2520&amp;"|"&amp;IF(H2520="W3","W3_"&amp;IF(I2520="","unknown",I2520),H2520))</f>
        <v/>
      </c>
      <c r="Q2520">
        <f>IF(P2520="","",IFERROR(IF(AND(H2520="W7",OR(F2520="causal",F2520="predictive")),IF(AND(OR(K2520=1,K2520="1"),OR(L2520=1,L2520="1"),OR(M2520=1,M2520="1")),"adequate","partial"),IF(AND(H2520="W4",F2520="predictive",OR(J2520="P2",J2520="P3",J2520="P4")),IF(OR(U2520=1,U2520="1"),"adequate","partial"),INDEX(Fit_Matrix!$B:$B,MATCH(P2520,Fit_Matrix!$A:$A,0)))),"CHECK KEY"))</f>
        <v/>
      </c>
      <c r="U2520" s="10" t="n"/>
      <c r="V2520" s="10" t="n"/>
      <c r="W2520" s="10" t="n"/>
      <c r="X2520" s="10" t="n"/>
      <c r="Y2520" s="10" t="n"/>
      <c r="Z2520" s="10" t="n"/>
      <c r="AA2520" s="11">
        <f>IF(A2520="","",IF(AND(J2520="P4",F2520="causal"),"P4-CAUSAL",""))</f>
        <v/>
      </c>
    </row>
    <row r="2521" ht="15" customHeight="1" s="1">
      <c r="P2521">
        <f>IF(OR(F2521="",H2521="",J2521=""),"",J2521&amp;"|"&amp;F2521&amp;"|"&amp;IF(H2521="W3","W3_"&amp;IF(I2521="","unknown",I2521),H2521))</f>
        <v/>
      </c>
      <c r="Q2521">
        <f>IF(P2521="","",IFERROR(IF(AND(H2521="W7",OR(F2521="causal",F2521="predictive")),IF(AND(OR(K2521=1,K2521="1"),OR(L2521=1,L2521="1"),OR(M2521=1,M2521="1")),"adequate","partial"),IF(AND(H2521="W4",F2521="predictive",OR(J2521="P2",J2521="P3",J2521="P4")),IF(OR(U2521=1,U2521="1"),"adequate","partial"),INDEX(Fit_Matrix!$B:$B,MATCH(P2521,Fit_Matrix!$A:$A,0)))),"CHECK KEY"))</f>
        <v/>
      </c>
      <c r="U2521" s="10" t="n"/>
      <c r="V2521" s="10" t="n"/>
      <c r="W2521" s="10" t="n"/>
      <c r="X2521" s="10" t="n"/>
      <c r="Y2521" s="10" t="n"/>
      <c r="Z2521" s="10" t="n"/>
      <c r="AA2521" s="11">
        <f>IF(A2521="","",IF(AND(J2521="P4",F2521="causal"),"P4-CAUSAL",""))</f>
        <v/>
      </c>
    </row>
    <row r="2522" ht="15" customHeight="1" s="1">
      <c r="P2522">
        <f>IF(OR(F2522="",H2522="",J2522=""),"",J2522&amp;"|"&amp;F2522&amp;"|"&amp;IF(H2522="W3","W3_"&amp;IF(I2522="","unknown",I2522),H2522))</f>
        <v/>
      </c>
      <c r="Q2522">
        <f>IF(P2522="","",IFERROR(IF(AND(H2522="W7",OR(F2522="causal",F2522="predictive")),IF(AND(OR(K2522=1,K2522="1"),OR(L2522=1,L2522="1"),OR(M2522=1,M2522="1")),"adequate","partial"),IF(AND(H2522="W4",F2522="predictive",OR(J2522="P2",J2522="P3",J2522="P4")),IF(OR(U2522=1,U2522="1"),"adequate","partial"),INDEX(Fit_Matrix!$B:$B,MATCH(P2522,Fit_Matrix!$A:$A,0)))),"CHECK KEY"))</f>
        <v/>
      </c>
      <c r="U2522" s="10" t="n"/>
      <c r="V2522" s="10" t="n"/>
      <c r="W2522" s="10" t="n"/>
      <c r="X2522" s="10" t="n"/>
      <c r="Y2522" s="10" t="n"/>
      <c r="Z2522" s="10" t="n"/>
      <c r="AA2522" s="11">
        <f>IF(A2522="","",IF(AND(J2522="P4",F2522="causal"),"P4-CAUSAL",""))</f>
        <v/>
      </c>
    </row>
    <row r="2523" ht="15" customHeight="1" s="1">
      <c r="P2523">
        <f>IF(OR(F2523="",H2523="",J2523=""),"",J2523&amp;"|"&amp;F2523&amp;"|"&amp;IF(H2523="W3","W3_"&amp;IF(I2523="","unknown",I2523),H2523))</f>
        <v/>
      </c>
      <c r="Q2523">
        <f>IF(P2523="","",IFERROR(IF(AND(H2523="W7",OR(F2523="causal",F2523="predictive")),IF(AND(OR(K2523=1,K2523="1"),OR(L2523=1,L2523="1"),OR(M2523=1,M2523="1")),"adequate","partial"),IF(AND(H2523="W4",F2523="predictive",OR(J2523="P2",J2523="P3",J2523="P4")),IF(OR(U2523=1,U2523="1"),"adequate","partial"),INDEX(Fit_Matrix!$B:$B,MATCH(P2523,Fit_Matrix!$A:$A,0)))),"CHECK KEY"))</f>
        <v/>
      </c>
      <c r="U2523" s="10" t="n"/>
      <c r="V2523" s="10" t="n"/>
      <c r="W2523" s="10" t="n"/>
      <c r="X2523" s="10" t="n"/>
      <c r="Y2523" s="10" t="n"/>
      <c r="Z2523" s="10" t="n"/>
      <c r="AA2523" s="11">
        <f>IF(A2523="","",IF(AND(J2523="P4",F2523="causal"),"P4-CAUSAL",""))</f>
        <v/>
      </c>
    </row>
    <row r="2524" ht="15" customHeight="1" s="1">
      <c r="P2524">
        <f>IF(OR(F2524="",H2524="",J2524=""),"",J2524&amp;"|"&amp;F2524&amp;"|"&amp;IF(H2524="W3","W3_"&amp;IF(I2524="","unknown",I2524),H2524))</f>
        <v/>
      </c>
      <c r="Q2524">
        <f>IF(P2524="","",IFERROR(IF(AND(H2524="W7",OR(F2524="causal",F2524="predictive")),IF(AND(OR(K2524=1,K2524="1"),OR(L2524=1,L2524="1"),OR(M2524=1,M2524="1")),"adequate","partial"),IF(AND(H2524="W4",F2524="predictive",OR(J2524="P2",J2524="P3",J2524="P4")),IF(OR(U2524=1,U2524="1"),"adequate","partial"),INDEX(Fit_Matrix!$B:$B,MATCH(P2524,Fit_Matrix!$A:$A,0)))),"CHECK KEY"))</f>
        <v/>
      </c>
      <c r="U2524" s="10" t="n"/>
      <c r="V2524" s="10" t="n"/>
      <c r="W2524" s="10" t="n"/>
      <c r="X2524" s="10" t="n"/>
      <c r="Y2524" s="10" t="n"/>
      <c r="Z2524" s="10" t="n"/>
      <c r="AA2524" s="11">
        <f>IF(A2524="","",IF(AND(J2524="P4",F2524="causal"),"P4-CAUSAL",""))</f>
        <v/>
      </c>
    </row>
    <row r="2525" ht="15" customHeight="1" s="1">
      <c r="P2525">
        <f>IF(OR(F2525="",H2525="",J2525=""),"",J2525&amp;"|"&amp;F2525&amp;"|"&amp;IF(H2525="W3","W3_"&amp;IF(I2525="","unknown",I2525),H2525))</f>
        <v/>
      </c>
      <c r="Q2525">
        <f>IF(P2525="","",IFERROR(IF(AND(H2525="W7",OR(F2525="causal",F2525="predictive")),IF(AND(OR(K2525=1,K2525="1"),OR(L2525=1,L2525="1"),OR(M2525=1,M2525="1")),"adequate","partial"),IF(AND(H2525="W4",F2525="predictive",OR(J2525="P2",J2525="P3",J2525="P4")),IF(OR(U2525=1,U2525="1"),"adequate","partial"),INDEX(Fit_Matrix!$B:$B,MATCH(P2525,Fit_Matrix!$A:$A,0)))),"CHECK KEY"))</f>
        <v/>
      </c>
      <c r="U2525" s="10" t="n"/>
      <c r="V2525" s="10" t="n"/>
      <c r="W2525" s="10" t="n"/>
      <c r="X2525" s="10" t="n"/>
      <c r="Y2525" s="10" t="n"/>
      <c r="Z2525" s="10" t="n"/>
      <c r="AA2525" s="11">
        <f>IF(A2525="","",IF(AND(J2525="P4",F2525="causal"),"P4-CAUSAL",""))</f>
        <v/>
      </c>
    </row>
    <row r="2526" ht="15" customHeight="1" s="1">
      <c r="P2526">
        <f>IF(OR(F2526="",H2526="",J2526=""),"",J2526&amp;"|"&amp;F2526&amp;"|"&amp;IF(H2526="W3","W3_"&amp;IF(I2526="","unknown",I2526),H2526))</f>
        <v/>
      </c>
      <c r="Q2526">
        <f>IF(P2526="","",IFERROR(IF(AND(H2526="W7",OR(F2526="causal",F2526="predictive")),IF(AND(OR(K2526=1,K2526="1"),OR(L2526=1,L2526="1"),OR(M2526=1,M2526="1")),"adequate","partial"),IF(AND(H2526="W4",F2526="predictive",OR(J2526="P2",J2526="P3",J2526="P4")),IF(OR(U2526=1,U2526="1"),"adequate","partial"),INDEX(Fit_Matrix!$B:$B,MATCH(P2526,Fit_Matrix!$A:$A,0)))),"CHECK KEY"))</f>
        <v/>
      </c>
      <c r="U2526" s="10" t="n"/>
      <c r="V2526" s="10" t="n"/>
      <c r="W2526" s="10" t="n"/>
      <c r="X2526" s="10" t="n"/>
      <c r="Y2526" s="10" t="n"/>
      <c r="Z2526" s="10" t="n"/>
      <c r="AA2526" s="11">
        <f>IF(A2526="","",IF(AND(J2526="P4",F2526="causal"),"P4-CAUSAL",""))</f>
        <v/>
      </c>
    </row>
    <row r="2527" ht="15" customHeight="1" s="1">
      <c r="P2527">
        <f>IF(OR(F2527="",H2527="",J2527=""),"",J2527&amp;"|"&amp;F2527&amp;"|"&amp;IF(H2527="W3","W3_"&amp;IF(I2527="","unknown",I2527),H2527))</f>
        <v/>
      </c>
      <c r="Q2527">
        <f>IF(P2527="","",IFERROR(IF(AND(H2527="W7",OR(F2527="causal",F2527="predictive")),IF(AND(OR(K2527=1,K2527="1"),OR(L2527=1,L2527="1"),OR(M2527=1,M2527="1")),"adequate","partial"),IF(AND(H2527="W4",F2527="predictive",OR(J2527="P2",J2527="P3",J2527="P4")),IF(OR(U2527=1,U2527="1"),"adequate","partial"),INDEX(Fit_Matrix!$B:$B,MATCH(P2527,Fit_Matrix!$A:$A,0)))),"CHECK KEY"))</f>
        <v/>
      </c>
      <c r="U2527" s="10" t="n"/>
      <c r="V2527" s="10" t="n"/>
      <c r="W2527" s="10" t="n"/>
      <c r="X2527" s="10" t="n"/>
      <c r="Y2527" s="10" t="n"/>
      <c r="Z2527" s="10" t="n"/>
      <c r="AA2527" s="11">
        <f>IF(A2527="","",IF(AND(J2527="P4",F2527="causal"),"P4-CAUSAL",""))</f>
        <v/>
      </c>
    </row>
    <row r="2528" ht="15" customHeight="1" s="1">
      <c r="P2528">
        <f>IF(OR(F2528="",H2528="",J2528=""),"",J2528&amp;"|"&amp;F2528&amp;"|"&amp;IF(H2528="W3","W3_"&amp;IF(I2528="","unknown",I2528),H2528))</f>
        <v/>
      </c>
      <c r="Q2528">
        <f>IF(P2528="","",IFERROR(IF(AND(H2528="W7",OR(F2528="causal",F2528="predictive")),IF(AND(OR(K2528=1,K2528="1"),OR(L2528=1,L2528="1"),OR(M2528=1,M2528="1")),"adequate","partial"),IF(AND(H2528="W4",F2528="predictive",OR(J2528="P2",J2528="P3",J2528="P4")),IF(OR(U2528=1,U2528="1"),"adequate","partial"),INDEX(Fit_Matrix!$B:$B,MATCH(P2528,Fit_Matrix!$A:$A,0)))),"CHECK KEY"))</f>
        <v/>
      </c>
      <c r="U2528" s="10" t="n"/>
      <c r="V2528" s="10" t="n"/>
      <c r="W2528" s="10" t="n"/>
      <c r="X2528" s="10" t="n"/>
      <c r="Y2528" s="10" t="n"/>
      <c r="Z2528" s="10" t="n"/>
      <c r="AA2528" s="11">
        <f>IF(A2528="","",IF(AND(J2528="P4",F2528="causal"),"P4-CAUSAL",""))</f>
        <v/>
      </c>
    </row>
    <row r="2529" ht="15" customHeight="1" s="1">
      <c r="P2529">
        <f>IF(OR(F2529="",H2529="",J2529=""),"",J2529&amp;"|"&amp;F2529&amp;"|"&amp;IF(H2529="W3","W3_"&amp;IF(I2529="","unknown",I2529),H2529))</f>
        <v/>
      </c>
      <c r="Q2529">
        <f>IF(P2529="","",IFERROR(IF(AND(H2529="W7",OR(F2529="causal",F2529="predictive")),IF(AND(OR(K2529=1,K2529="1"),OR(L2529=1,L2529="1"),OR(M2529=1,M2529="1")),"adequate","partial"),IF(AND(H2529="W4",F2529="predictive",OR(J2529="P2",J2529="P3",J2529="P4")),IF(OR(U2529=1,U2529="1"),"adequate","partial"),INDEX(Fit_Matrix!$B:$B,MATCH(P2529,Fit_Matrix!$A:$A,0)))),"CHECK KEY"))</f>
        <v/>
      </c>
      <c r="U2529" s="10" t="n"/>
      <c r="V2529" s="10" t="n"/>
      <c r="W2529" s="10" t="n"/>
      <c r="X2529" s="10" t="n"/>
      <c r="Y2529" s="10" t="n"/>
      <c r="Z2529" s="10" t="n"/>
      <c r="AA2529" s="11">
        <f>IF(A2529="","",IF(AND(J2529="P4",F2529="causal"),"P4-CAUSAL",""))</f>
        <v/>
      </c>
    </row>
    <row r="2530" ht="15" customHeight="1" s="1">
      <c r="P2530">
        <f>IF(OR(F2530="",H2530="",J2530=""),"",J2530&amp;"|"&amp;F2530&amp;"|"&amp;IF(H2530="W3","W3_"&amp;IF(I2530="","unknown",I2530),H2530))</f>
        <v/>
      </c>
      <c r="Q2530">
        <f>IF(P2530="","",IFERROR(IF(AND(H2530="W7",OR(F2530="causal",F2530="predictive")),IF(AND(OR(K2530=1,K2530="1"),OR(L2530=1,L2530="1"),OR(M2530=1,M2530="1")),"adequate","partial"),IF(AND(H2530="W4",F2530="predictive",OR(J2530="P2",J2530="P3",J2530="P4")),IF(OR(U2530=1,U2530="1"),"adequate","partial"),INDEX(Fit_Matrix!$B:$B,MATCH(P2530,Fit_Matrix!$A:$A,0)))),"CHECK KEY"))</f>
        <v/>
      </c>
      <c r="U2530" s="10" t="n"/>
      <c r="V2530" s="10" t="n"/>
      <c r="W2530" s="10" t="n"/>
      <c r="X2530" s="10" t="n"/>
      <c r="Y2530" s="10" t="n"/>
      <c r="Z2530" s="10" t="n"/>
      <c r="AA2530" s="11">
        <f>IF(A2530="","",IF(AND(J2530="P4",F2530="causal"),"P4-CAUSAL",""))</f>
        <v/>
      </c>
    </row>
    <row r="2531" ht="15" customHeight="1" s="1">
      <c r="P2531">
        <f>IF(OR(F2531="",H2531="",J2531=""),"",J2531&amp;"|"&amp;F2531&amp;"|"&amp;IF(H2531="W3","W3_"&amp;IF(I2531="","unknown",I2531),H2531))</f>
        <v/>
      </c>
      <c r="Q2531">
        <f>IF(P2531="","",IFERROR(IF(AND(H2531="W7",OR(F2531="causal",F2531="predictive")),IF(AND(OR(K2531=1,K2531="1"),OR(L2531=1,L2531="1"),OR(M2531=1,M2531="1")),"adequate","partial"),IF(AND(H2531="W4",F2531="predictive",OR(J2531="P2",J2531="P3",J2531="P4")),IF(OR(U2531=1,U2531="1"),"adequate","partial"),INDEX(Fit_Matrix!$B:$B,MATCH(P2531,Fit_Matrix!$A:$A,0)))),"CHECK KEY"))</f>
        <v/>
      </c>
      <c r="U2531" s="10" t="n"/>
      <c r="V2531" s="10" t="n"/>
      <c r="W2531" s="10" t="n"/>
      <c r="X2531" s="10" t="n"/>
      <c r="Y2531" s="10" t="n"/>
      <c r="Z2531" s="10" t="n"/>
      <c r="AA2531" s="11">
        <f>IF(A2531="","",IF(AND(J2531="P4",F2531="causal"),"P4-CAUSAL",""))</f>
        <v/>
      </c>
    </row>
    <row r="2532" ht="15" customHeight="1" s="1">
      <c r="P2532">
        <f>IF(OR(F2532="",H2532="",J2532=""),"",J2532&amp;"|"&amp;F2532&amp;"|"&amp;IF(H2532="W3","W3_"&amp;IF(I2532="","unknown",I2532),H2532))</f>
        <v/>
      </c>
      <c r="Q2532">
        <f>IF(P2532="","",IFERROR(IF(AND(H2532="W7",OR(F2532="causal",F2532="predictive")),IF(AND(OR(K2532=1,K2532="1"),OR(L2532=1,L2532="1"),OR(M2532=1,M2532="1")),"adequate","partial"),IF(AND(H2532="W4",F2532="predictive",OR(J2532="P2",J2532="P3",J2532="P4")),IF(OR(U2532=1,U2532="1"),"adequate","partial"),INDEX(Fit_Matrix!$B:$B,MATCH(P2532,Fit_Matrix!$A:$A,0)))),"CHECK KEY"))</f>
        <v/>
      </c>
      <c r="U2532" s="10" t="n"/>
      <c r="V2532" s="10" t="n"/>
      <c r="W2532" s="10" t="n"/>
      <c r="X2532" s="10" t="n"/>
      <c r="Y2532" s="10" t="n"/>
      <c r="Z2532" s="10" t="n"/>
      <c r="AA2532" s="11">
        <f>IF(A2532="","",IF(AND(J2532="P4",F2532="causal"),"P4-CAUSAL",""))</f>
        <v/>
      </c>
    </row>
    <row r="2533" ht="15" customHeight="1" s="1">
      <c r="P2533">
        <f>IF(OR(F2533="",H2533="",J2533=""),"",J2533&amp;"|"&amp;F2533&amp;"|"&amp;IF(H2533="W3","W3_"&amp;IF(I2533="","unknown",I2533),H2533))</f>
        <v/>
      </c>
      <c r="Q2533">
        <f>IF(P2533="","",IFERROR(IF(AND(H2533="W7",OR(F2533="causal",F2533="predictive")),IF(AND(OR(K2533=1,K2533="1"),OR(L2533=1,L2533="1"),OR(M2533=1,M2533="1")),"adequate","partial"),IF(AND(H2533="W4",F2533="predictive",OR(J2533="P2",J2533="P3",J2533="P4")),IF(OR(U2533=1,U2533="1"),"adequate","partial"),INDEX(Fit_Matrix!$B:$B,MATCH(P2533,Fit_Matrix!$A:$A,0)))),"CHECK KEY"))</f>
        <v/>
      </c>
      <c r="U2533" s="10" t="n"/>
      <c r="V2533" s="10" t="n"/>
      <c r="W2533" s="10" t="n"/>
      <c r="X2533" s="10" t="n"/>
      <c r="Y2533" s="10" t="n"/>
      <c r="Z2533" s="10" t="n"/>
      <c r="AA2533" s="11">
        <f>IF(A2533="","",IF(AND(J2533="P4",F2533="causal"),"P4-CAUSAL",""))</f>
        <v/>
      </c>
    </row>
    <row r="2534" ht="15" customHeight="1" s="1">
      <c r="P2534">
        <f>IF(OR(F2534="",H2534="",J2534=""),"",J2534&amp;"|"&amp;F2534&amp;"|"&amp;IF(H2534="W3","W3_"&amp;IF(I2534="","unknown",I2534),H2534))</f>
        <v/>
      </c>
      <c r="Q2534">
        <f>IF(P2534="","",IFERROR(IF(AND(H2534="W7",OR(F2534="causal",F2534="predictive")),IF(AND(OR(K2534=1,K2534="1"),OR(L2534=1,L2534="1"),OR(M2534=1,M2534="1")),"adequate","partial"),IF(AND(H2534="W4",F2534="predictive",OR(J2534="P2",J2534="P3",J2534="P4")),IF(OR(U2534=1,U2534="1"),"adequate","partial"),INDEX(Fit_Matrix!$B:$B,MATCH(P2534,Fit_Matrix!$A:$A,0)))),"CHECK KEY"))</f>
        <v/>
      </c>
      <c r="U2534" s="10" t="n"/>
      <c r="V2534" s="10" t="n"/>
      <c r="W2534" s="10" t="n"/>
      <c r="X2534" s="10" t="n"/>
      <c r="Y2534" s="10" t="n"/>
      <c r="Z2534" s="10" t="n"/>
      <c r="AA2534" s="11">
        <f>IF(A2534="","",IF(AND(J2534="P4",F2534="causal"),"P4-CAUSAL",""))</f>
        <v/>
      </c>
    </row>
    <row r="2535" ht="15" customHeight="1" s="1">
      <c r="P2535">
        <f>IF(OR(F2535="",H2535="",J2535=""),"",J2535&amp;"|"&amp;F2535&amp;"|"&amp;IF(H2535="W3","W3_"&amp;IF(I2535="","unknown",I2535),H2535))</f>
        <v/>
      </c>
      <c r="Q2535">
        <f>IF(P2535="","",IFERROR(IF(AND(H2535="W7",OR(F2535="causal",F2535="predictive")),IF(AND(OR(K2535=1,K2535="1"),OR(L2535=1,L2535="1"),OR(M2535=1,M2535="1")),"adequate","partial"),IF(AND(H2535="W4",F2535="predictive",OR(J2535="P2",J2535="P3",J2535="P4")),IF(OR(U2535=1,U2535="1"),"adequate","partial"),INDEX(Fit_Matrix!$B:$B,MATCH(P2535,Fit_Matrix!$A:$A,0)))),"CHECK KEY"))</f>
        <v/>
      </c>
      <c r="U2535" s="10" t="n"/>
      <c r="V2535" s="10" t="n"/>
      <c r="W2535" s="10" t="n"/>
      <c r="X2535" s="10" t="n"/>
      <c r="Y2535" s="10" t="n"/>
      <c r="Z2535" s="10" t="n"/>
      <c r="AA2535" s="11">
        <f>IF(A2535="","",IF(AND(J2535="P4",F2535="causal"),"P4-CAUSAL",""))</f>
        <v/>
      </c>
    </row>
    <row r="2536" ht="15" customHeight="1" s="1">
      <c r="P2536">
        <f>IF(OR(F2536="",H2536="",J2536=""),"",J2536&amp;"|"&amp;F2536&amp;"|"&amp;IF(H2536="W3","W3_"&amp;IF(I2536="","unknown",I2536),H2536))</f>
        <v/>
      </c>
      <c r="Q2536">
        <f>IF(P2536="","",IFERROR(IF(AND(H2536="W7",OR(F2536="causal",F2536="predictive")),IF(AND(OR(K2536=1,K2536="1"),OR(L2536=1,L2536="1"),OR(M2536=1,M2536="1")),"adequate","partial"),IF(AND(H2536="W4",F2536="predictive",OR(J2536="P2",J2536="P3",J2536="P4")),IF(OR(U2536=1,U2536="1"),"adequate","partial"),INDEX(Fit_Matrix!$B:$B,MATCH(P2536,Fit_Matrix!$A:$A,0)))),"CHECK KEY"))</f>
        <v/>
      </c>
      <c r="U2536" s="10" t="n"/>
      <c r="V2536" s="10" t="n"/>
      <c r="W2536" s="10" t="n"/>
      <c r="X2536" s="10" t="n"/>
      <c r="Y2536" s="10" t="n"/>
      <c r="Z2536" s="10" t="n"/>
      <c r="AA2536" s="11">
        <f>IF(A2536="","",IF(AND(J2536="P4",F2536="causal"),"P4-CAUSAL",""))</f>
        <v/>
      </c>
    </row>
    <row r="2537" ht="15" customHeight="1" s="1">
      <c r="P2537">
        <f>IF(OR(F2537="",H2537="",J2537=""),"",J2537&amp;"|"&amp;F2537&amp;"|"&amp;IF(H2537="W3","W3_"&amp;IF(I2537="","unknown",I2537),H2537))</f>
        <v/>
      </c>
      <c r="Q2537">
        <f>IF(P2537="","",IFERROR(IF(AND(H2537="W7",OR(F2537="causal",F2537="predictive")),IF(AND(OR(K2537=1,K2537="1"),OR(L2537=1,L2537="1"),OR(M2537=1,M2537="1")),"adequate","partial"),IF(AND(H2537="W4",F2537="predictive",OR(J2537="P2",J2537="P3",J2537="P4")),IF(OR(U2537=1,U2537="1"),"adequate","partial"),INDEX(Fit_Matrix!$B:$B,MATCH(P2537,Fit_Matrix!$A:$A,0)))),"CHECK KEY"))</f>
        <v/>
      </c>
      <c r="U2537" s="10" t="n"/>
      <c r="V2537" s="10" t="n"/>
      <c r="W2537" s="10" t="n"/>
      <c r="X2537" s="10" t="n"/>
      <c r="Y2537" s="10" t="n"/>
      <c r="Z2537" s="10" t="n"/>
      <c r="AA2537" s="11">
        <f>IF(A2537="","",IF(AND(J2537="P4",F2537="causal"),"P4-CAUSAL",""))</f>
        <v/>
      </c>
    </row>
    <row r="2538" ht="15" customHeight="1" s="1">
      <c r="P2538">
        <f>IF(OR(F2538="",H2538="",J2538=""),"",J2538&amp;"|"&amp;F2538&amp;"|"&amp;IF(H2538="W3","W3_"&amp;IF(I2538="","unknown",I2538),H2538))</f>
        <v/>
      </c>
      <c r="Q2538">
        <f>IF(P2538="","",IFERROR(IF(AND(H2538="W7",OR(F2538="causal",F2538="predictive")),IF(AND(OR(K2538=1,K2538="1"),OR(L2538=1,L2538="1"),OR(M2538=1,M2538="1")),"adequate","partial"),IF(AND(H2538="W4",F2538="predictive",OR(J2538="P2",J2538="P3",J2538="P4")),IF(OR(U2538=1,U2538="1"),"adequate","partial"),INDEX(Fit_Matrix!$B:$B,MATCH(P2538,Fit_Matrix!$A:$A,0)))),"CHECK KEY"))</f>
        <v/>
      </c>
      <c r="U2538" s="10" t="n"/>
      <c r="V2538" s="10" t="n"/>
      <c r="W2538" s="10" t="n"/>
      <c r="X2538" s="10" t="n"/>
      <c r="Y2538" s="10" t="n"/>
      <c r="Z2538" s="10" t="n"/>
      <c r="AA2538" s="11">
        <f>IF(A2538="","",IF(AND(J2538="P4",F2538="causal"),"P4-CAUSAL",""))</f>
        <v/>
      </c>
    </row>
    <row r="2539" ht="15" customHeight="1" s="1">
      <c r="P2539">
        <f>IF(OR(F2539="",H2539="",J2539=""),"",J2539&amp;"|"&amp;F2539&amp;"|"&amp;IF(H2539="W3","W3_"&amp;IF(I2539="","unknown",I2539),H2539))</f>
        <v/>
      </c>
      <c r="Q2539">
        <f>IF(P2539="","",IFERROR(IF(AND(H2539="W7",OR(F2539="causal",F2539="predictive")),IF(AND(OR(K2539=1,K2539="1"),OR(L2539=1,L2539="1"),OR(M2539=1,M2539="1")),"adequate","partial"),IF(AND(H2539="W4",F2539="predictive",OR(J2539="P2",J2539="P3",J2539="P4")),IF(OR(U2539=1,U2539="1"),"adequate","partial"),INDEX(Fit_Matrix!$B:$B,MATCH(P2539,Fit_Matrix!$A:$A,0)))),"CHECK KEY"))</f>
        <v/>
      </c>
      <c r="U2539" s="10" t="n"/>
      <c r="V2539" s="10" t="n"/>
      <c r="W2539" s="10" t="n"/>
      <c r="X2539" s="10" t="n"/>
      <c r="Y2539" s="10" t="n"/>
      <c r="Z2539" s="10" t="n"/>
      <c r="AA2539" s="11">
        <f>IF(A2539="","",IF(AND(J2539="P4",F2539="causal"),"P4-CAUSAL",""))</f>
        <v/>
      </c>
    </row>
    <row r="2540" ht="15" customHeight="1" s="1">
      <c r="P2540">
        <f>IF(OR(F2540="",H2540="",J2540=""),"",J2540&amp;"|"&amp;F2540&amp;"|"&amp;IF(H2540="W3","W3_"&amp;IF(I2540="","unknown",I2540),H2540))</f>
        <v/>
      </c>
      <c r="Q2540">
        <f>IF(P2540="","",IFERROR(IF(AND(H2540="W7",OR(F2540="causal",F2540="predictive")),IF(AND(OR(K2540=1,K2540="1"),OR(L2540=1,L2540="1"),OR(M2540=1,M2540="1")),"adequate","partial"),IF(AND(H2540="W4",F2540="predictive",OR(J2540="P2",J2540="P3",J2540="P4")),IF(OR(U2540=1,U2540="1"),"adequate","partial"),INDEX(Fit_Matrix!$B:$B,MATCH(P2540,Fit_Matrix!$A:$A,0)))),"CHECK KEY"))</f>
        <v/>
      </c>
      <c r="U2540" s="10" t="n"/>
      <c r="V2540" s="10" t="n"/>
      <c r="W2540" s="10" t="n"/>
      <c r="X2540" s="10" t="n"/>
      <c r="Y2540" s="10" t="n"/>
      <c r="Z2540" s="10" t="n"/>
      <c r="AA2540" s="11">
        <f>IF(A2540="","",IF(AND(J2540="P4",F2540="causal"),"P4-CAUSAL",""))</f>
        <v/>
      </c>
    </row>
    <row r="2541" ht="15" customHeight="1" s="1">
      <c r="P2541">
        <f>IF(OR(F2541="",H2541="",J2541=""),"",J2541&amp;"|"&amp;F2541&amp;"|"&amp;IF(H2541="W3","W3_"&amp;IF(I2541="","unknown",I2541),H2541))</f>
        <v/>
      </c>
      <c r="Q2541">
        <f>IF(P2541="","",IFERROR(IF(AND(H2541="W7",OR(F2541="causal",F2541="predictive")),IF(AND(OR(K2541=1,K2541="1"),OR(L2541=1,L2541="1"),OR(M2541=1,M2541="1")),"adequate","partial"),IF(AND(H2541="W4",F2541="predictive",OR(J2541="P2",J2541="P3",J2541="P4")),IF(OR(U2541=1,U2541="1"),"adequate","partial"),INDEX(Fit_Matrix!$B:$B,MATCH(P2541,Fit_Matrix!$A:$A,0)))),"CHECK KEY"))</f>
        <v/>
      </c>
      <c r="U2541" s="10" t="n"/>
      <c r="V2541" s="10" t="n"/>
      <c r="W2541" s="10" t="n"/>
      <c r="X2541" s="10" t="n"/>
      <c r="Y2541" s="10" t="n"/>
      <c r="Z2541" s="10" t="n"/>
      <c r="AA2541" s="11">
        <f>IF(A2541="","",IF(AND(J2541="P4",F2541="causal"),"P4-CAUSAL",""))</f>
        <v/>
      </c>
    </row>
    <row r="2542" ht="15" customHeight="1" s="1">
      <c r="P2542">
        <f>IF(OR(F2542="",H2542="",J2542=""),"",J2542&amp;"|"&amp;F2542&amp;"|"&amp;IF(H2542="W3","W3_"&amp;IF(I2542="","unknown",I2542),H2542))</f>
        <v/>
      </c>
      <c r="Q2542">
        <f>IF(P2542="","",IFERROR(IF(AND(H2542="W7",OR(F2542="causal",F2542="predictive")),IF(AND(OR(K2542=1,K2542="1"),OR(L2542=1,L2542="1"),OR(M2542=1,M2542="1")),"adequate","partial"),IF(AND(H2542="W4",F2542="predictive",OR(J2542="P2",J2542="P3",J2542="P4")),IF(OR(U2542=1,U2542="1"),"adequate","partial"),INDEX(Fit_Matrix!$B:$B,MATCH(P2542,Fit_Matrix!$A:$A,0)))),"CHECK KEY"))</f>
        <v/>
      </c>
      <c r="U2542" s="10" t="n"/>
      <c r="V2542" s="10" t="n"/>
      <c r="W2542" s="10" t="n"/>
      <c r="X2542" s="10" t="n"/>
      <c r="Y2542" s="10" t="n"/>
      <c r="Z2542" s="10" t="n"/>
      <c r="AA2542" s="11">
        <f>IF(A2542="","",IF(AND(J2542="P4",F2542="causal"),"P4-CAUSAL",""))</f>
        <v/>
      </c>
    </row>
    <row r="2543" ht="15" customHeight="1" s="1">
      <c r="P2543">
        <f>IF(OR(F2543="",H2543="",J2543=""),"",J2543&amp;"|"&amp;F2543&amp;"|"&amp;IF(H2543="W3","W3_"&amp;IF(I2543="","unknown",I2543),H2543))</f>
        <v/>
      </c>
      <c r="Q2543">
        <f>IF(P2543="","",IFERROR(IF(AND(H2543="W7",OR(F2543="causal",F2543="predictive")),IF(AND(OR(K2543=1,K2543="1"),OR(L2543=1,L2543="1"),OR(M2543=1,M2543="1")),"adequate","partial"),IF(AND(H2543="W4",F2543="predictive",OR(J2543="P2",J2543="P3",J2543="P4")),IF(OR(U2543=1,U2543="1"),"adequate","partial"),INDEX(Fit_Matrix!$B:$B,MATCH(P2543,Fit_Matrix!$A:$A,0)))),"CHECK KEY"))</f>
        <v/>
      </c>
      <c r="U2543" s="10" t="n"/>
      <c r="V2543" s="10" t="n"/>
      <c r="W2543" s="10" t="n"/>
      <c r="X2543" s="10" t="n"/>
      <c r="Y2543" s="10" t="n"/>
      <c r="Z2543" s="10" t="n"/>
      <c r="AA2543" s="11">
        <f>IF(A2543="","",IF(AND(J2543="P4",F2543="causal"),"P4-CAUSAL",""))</f>
        <v/>
      </c>
    </row>
    <row r="2544" ht="15" customHeight="1" s="1">
      <c r="P2544">
        <f>IF(OR(F2544="",H2544="",J2544=""),"",J2544&amp;"|"&amp;F2544&amp;"|"&amp;IF(H2544="W3","W3_"&amp;IF(I2544="","unknown",I2544),H2544))</f>
        <v/>
      </c>
      <c r="Q2544">
        <f>IF(P2544="","",IFERROR(IF(AND(H2544="W7",OR(F2544="causal",F2544="predictive")),IF(AND(OR(K2544=1,K2544="1"),OR(L2544=1,L2544="1"),OR(M2544=1,M2544="1")),"adequate","partial"),IF(AND(H2544="W4",F2544="predictive",OR(J2544="P2",J2544="P3",J2544="P4")),IF(OR(U2544=1,U2544="1"),"adequate","partial"),INDEX(Fit_Matrix!$B:$B,MATCH(P2544,Fit_Matrix!$A:$A,0)))),"CHECK KEY"))</f>
        <v/>
      </c>
      <c r="U2544" s="10" t="n"/>
      <c r="V2544" s="10" t="n"/>
      <c r="W2544" s="10" t="n"/>
      <c r="X2544" s="10" t="n"/>
      <c r="Y2544" s="10" t="n"/>
      <c r="Z2544" s="10" t="n"/>
      <c r="AA2544" s="11">
        <f>IF(A2544="","",IF(AND(J2544="P4",F2544="causal"),"P4-CAUSAL",""))</f>
        <v/>
      </c>
    </row>
    <row r="2545" ht="15" customHeight="1" s="1">
      <c r="P2545">
        <f>IF(OR(F2545="",H2545="",J2545=""),"",J2545&amp;"|"&amp;F2545&amp;"|"&amp;IF(H2545="W3","W3_"&amp;IF(I2545="","unknown",I2545),H2545))</f>
        <v/>
      </c>
      <c r="Q2545">
        <f>IF(P2545="","",IFERROR(IF(AND(H2545="W7",OR(F2545="causal",F2545="predictive")),IF(AND(OR(K2545=1,K2545="1"),OR(L2545=1,L2545="1"),OR(M2545=1,M2545="1")),"adequate","partial"),IF(AND(H2545="W4",F2545="predictive",OR(J2545="P2",J2545="P3",J2545="P4")),IF(OR(U2545=1,U2545="1"),"adequate","partial"),INDEX(Fit_Matrix!$B:$B,MATCH(P2545,Fit_Matrix!$A:$A,0)))),"CHECK KEY"))</f>
        <v/>
      </c>
      <c r="U2545" s="10" t="n"/>
      <c r="V2545" s="10" t="n"/>
      <c r="W2545" s="10" t="n"/>
      <c r="X2545" s="10" t="n"/>
      <c r="Y2545" s="10" t="n"/>
      <c r="Z2545" s="10" t="n"/>
      <c r="AA2545" s="11">
        <f>IF(A2545="","",IF(AND(J2545="P4",F2545="causal"),"P4-CAUSAL",""))</f>
        <v/>
      </c>
    </row>
    <row r="2546" ht="15" customHeight="1" s="1">
      <c r="P2546">
        <f>IF(OR(F2546="",H2546="",J2546=""),"",J2546&amp;"|"&amp;F2546&amp;"|"&amp;IF(H2546="W3","W3_"&amp;IF(I2546="","unknown",I2546),H2546))</f>
        <v/>
      </c>
      <c r="Q2546">
        <f>IF(P2546="","",IFERROR(IF(AND(H2546="W7",OR(F2546="causal",F2546="predictive")),IF(AND(OR(K2546=1,K2546="1"),OR(L2546=1,L2546="1"),OR(M2546=1,M2546="1")),"adequate","partial"),IF(AND(H2546="W4",F2546="predictive",OR(J2546="P2",J2546="P3",J2546="P4")),IF(OR(U2546=1,U2546="1"),"adequate","partial"),INDEX(Fit_Matrix!$B:$B,MATCH(P2546,Fit_Matrix!$A:$A,0)))),"CHECK KEY"))</f>
        <v/>
      </c>
      <c r="U2546" s="10" t="n"/>
      <c r="V2546" s="10" t="n"/>
      <c r="W2546" s="10" t="n"/>
      <c r="X2546" s="10" t="n"/>
      <c r="Y2546" s="10" t="n"/>
      <c r="Z2546" s="10" t="n"/>
      <c r="AA2546" s="11">
        <f>IF(A2546="","",IF(AND(J2546="P4",F2546="causal"),"P4-CAUSAL",""))</f>
        <v/>
      </c>
    </row>
    <row r="2547" ht="15" customHeight="1" s="1">
      <c r="P2547">
        <f>IF(OR(F2547="",H2547="",J2547=""),"",J2547&amp;"|"&amp;F2547&amp;"|"&amp;IF(H2547="W3","W3_"&amp;IF(I2547="","unknown",I2547),H2547))</f>
        <v/>
      </c>
      <c r="Q2547">
        <f>IF(P2547="","",IFERROR(IF(AND(H2547="W7",OR(F2547="causal",F2547="predictive")),IF(AND(OR(K2547=1,K2547="1"),OR(L2547=1,L2547="1"),OR(M2547=1,M2547="1")),"adequate","partial"),IF(AND(H2547="W4",F2547="predictive",OR(J2547="P2",J2547="P3",J2547="P4")),IF(OR(U2547=1,U2547="1"),"adequate","partial"),INDEX(Fit_Matrix!$B:$B,MATCH(P2547,Fit_Matrix!$A:$A,0)))),"CHECK KEY"))</f>
        <v/>
      </c>
      <c r="U2547" s="10" t="n"/>
      <c r="V2547" s="10" t="n"/>
      <c r="W2547" s="10" t="n"/>
      <c r="X2547" s="10" t="n"/>
      <c r="Y2547" s="10" t="n"/>
      <c r="Z2547" s="10" t="n"/>
      <c r="AA2547" s="11">
        <f>IF(A2547="","",IF(AND(J2547="P4",F2547="causal"),"P4-CAUSAL",""))</f>
        <v/>
      </c>
    </row>
    <row r="2548" ht="15" customHeight="1" s="1">
      <c r="P2548">
        <f>IF(OR(F2548="",H2548="",J2548=""),"",J2548&amp;"|"&amp;F2548&amp;"|"&amp;IF(H2548="W3","W3_"&amp;IF(I2548="","unknown",I2548),H2548))</f>
        <v/>
      </c>
      <c r="Q2548">
        <f>IF(P2548="","",IFERROR(IF(AND(H2548="W7",OR(F2548="causal",F2548="predictive")),IF(AND(OR(K2548=1,K2548="1"),OR(L2548=1,L2548="1"),OR(M2548=1,M2548="1")),"adequate","partial"),IF(AND(H2548="W4",F2548="predictive",OR(J2548="P2",J2548="P3",J2548="P4")),IF(OR(U2548=1,U2548="1"),"adequate","partial"),INDEX(Fit_Matrix!$B:$B,MATCH(P2548,Fit_Matrix!$A:$A,0)))),"CHECK KEY"))</f>
        <v/>
      </c>
      <c r="U2548" s="10" t="n"/>
      <c r="V2548" s="10" t="n"/>
      <c r="W2548" s="10" t="n"/>
      <c r="X2548" s="10" t="n"/>
      <c r="Y2548" s="10" t="n"/>
      <c r="Z2548" s="10" t="n"/>
      <c r="AA2548" s="11">
        <f>IF(A2548="","",IF(AND(J2548="P4",F2548="causal"),"P4-CAUSAL",""))</f>
        <v/>
      </c>
    </row>
    <row r="2549" ht="15" customHeight="1" s="1">
      <c r="P2549">
        <f>IF(OR(F2549="",H2549="",J2549=""),"",J2549&amp;"|"&amp;F2549&amp;"|"&amp;IF(H2549="W3","W3_"&amp;IF(I2549="","unknown",I2549),H2549))</f>
        <v/>
      </c>
      <c r="Q2549">
        <f>IF(P2549="","",IFERROR(IF(AND(H2549="W7",OR(F2549="causal",F2549="predictive")),IF(AND(OR(K2549=1,K2549="1"),OR(L2549=1,L2549="1"),OR(M2549=1,M2549="1")),"adequate","partial"),IF(AND(H2549="W4",F2549="predictive",OR(J2549="P2",J2549="P3",J2549="P4")),IF(OR(U2549=1,U2549="1"),"adequate","partial"),INDEX(Fit_Matrix!$B:$B,MATCH(P2549,Fit_Matrix!$A:$A,0)))),"CHECK KEY"))</f>
        <v/>
      </c>
      <c r="U2549" s="10" t="n"/>
      <c r="V2549" s="10" t="n"/>
      <c r="W2549" s="10" t="n"/>
      <c r="X2549" s="10" t="n"/>
      <c r="Y2549" s="10" t="n"/>
      <c r="Z2549" s="10" t="n"/>
      <c r="AA2549" s="11">
        <f>IF(A2549="","",IF(AND(J2549="P4",F2549="causal"),"P4-CAUSAL",""))</f>
        <v/>
      </c>
    </row>
    <row r="2550" ht="15" customHeight="1" s="1">
      <c r="P2550">
        <f>IF(OR(F2550="",H2550="",J2550=""),"",J2550&amp;"|"&amp;F2550&amp;"|"&amp;IF(H2550="W3","W3_"&amp;IF(I2550="","unknown",I2550),H2550))</f>
        <v/>
      </c>
      <c r="Q2550">
        <f>IF(P2550="","",IFERROR(IF(AND(H2550="W7",OR(F2550="causal",F2550="predictive")),IF(AND(OR(K2550=1,K2550="1"),OR(L2550=1,L2550="1"),OR(M2550=1,M2550="1")),"adequate","partial"),IF(AND(H2550="W4",F2550="predictive",OR(J2550="P2",J2550="P3",J2550="P4")),IF(OR(U2550=1,U2550="1"),"adequate","partial"),INDEX(Fit_Matrix!$B:$B,MATCH(P2550,Fit_Matrix!$A:$A,0)))),"CHECK KEY"))</f>
        <v/>
      </c>
      <c r="U2550" s="10" t="n"/>
      <c r="V2550" s="10" t="n"/>
      <c r="W2550" s="10" t="n"/>
      <c r="X2550" s="10" t="n"/>
      <c r="Y2550" s="10" t="n"/>
      <c r="Z2550" s="10" t="n"/>
      <c r="AA2550" s="11">
        <f>IF(A2550="","",IF(AND(J2550="P4",F2550="causal"),"P4-CAUSAL",""))</f>
        <v/>
      </c>
    </row>
    <row r="2551" ht="15" customHeight="1" s="1">
      <c r="P2551">
        <f>IF(OR(F2551="",H2551="",J2551=""),"",J2551&amp;"|"&amp;F2551&amp;"|"&amp;IF(H2551="W3","W3_"&amp;IF(I2551="","unknown",I2551),H2551))</f>
        <v/>
      </c>
      <c r="Q2551">
        <f>IF(P2551="","",IFERROR(IF(AND(H2551="W7",OR(F2551="causal",F2551="predictive")),IF(AND(OR(K2551=1,K2551="1"),OR(L2551=1,L2551="1"),OR(M2551=1,M2551="1")),"adequate","partial"),IF(AND(H2551="W4",F2551="predictive",OR(J2551="P2",J2551="P3",J2551="P4")),IF(OR(U2551=1,U2551="1"),"adequate","partial"),INDEX(Fit_Matrix!$B:$B,MATCH(P2551,Fit_Matrix!$A:$A,0)))),"CHECK KEY"))</f>
        <v/>
      </c>
      <c r="U2551" s="10" t="n"/>
      <c r="V2551" s="10" t="n"/>
      <c r="W2551" s="10" t="n"/>
      <c r="X2551" s="10" t="n"/>
      <c r="Y2551" s="10" t="n"/>
      <c r="Z2551" s="10" t="n"/>
      <c r="AA2551" s="11">
        <f>IF(A2551="","",IF(AND(J2551="P4",F2551="causal"),"P4-CAUSAL",""))</f>
        <v/>
      </c>
    </row>
    <row r="2552" ht="15" customHeight="1" s="1">
      <c r="P2552">
        <f>IF(OR(F2552="",H2552="",J2552=""),"",J2552&amp;"|"&amp;F2552&amp;"|"&amp;IF(H2552="W3","W3_"&amp;IF(I2552="","unknown",I2552),H2552))</f>
        <v/>
      </c>
      <c r="Q2552">
        <f>IF(P2552="","",IFERROR(IF(AND(H2552="W7",OR(F2552="causal",F2552="predictive")),IF(AND(OR(K2552=1,K2552="1"),OR(L2552=1,L2552="1"),OR(M2552=1,M2552="1")),"adequate","partial"),IF(AND(H2552="W4",F2552="predictive",OR(J2552="P2",J2552="P3",J2552="P4")),IF(OR(U2552=1,U2552="1"),"adequate","partial"),INDEX(Fit_Matrix!$B:$B,MATCH(P2552,Fit_Matrix!$A:$A,0)))),"CHECK KEY"))</f>
        <v/>
      </c>
      <c r="U2552" s="10" t="n"/>
      <c r="V2552" s="10" t="n"/>
      <c r="W2552" s="10" t="n"/>
      <c r="X2552" s="10" t="n"/>
      <c r="Y2552" s="10" t="n"/>
      <c r="Z2552" s="10" t="n"/>
      <c r="AA2552" s="11">
        <f>IF(A2552="","",IF(AND(J2552="P4",F2552="causal"),"P4-CAUSAL",""))</f>
        <v/>
      </c>
    </row>
    <row r="2553" ht="15" customHeight="1" s="1">
      <c r="P2553">
        <f>IF(OR(F2553="",H2553="",J2553=""),"",J2553&amp;"|"&amp;F2553&amp;"|"&amp;IF(H2553="W3","W3_"&amp;IF(I2553="","unknown",I2553),H2553))</f>
        <v/>
      </c>
      <c r="Q2553">
        <f>IF(P2553="","",IFERROR(IF(AND(H2553="W7",OR(F2553="causal",F2553="predictive")),IF(AND(OR(K2553=1,K2553="1"),OR(L2553=1,L2553="1"),OR(M2553=1,M2553="1")),"adequate","partial"),IF(AND(H2553="W4",F2553="predictive",OR(J2553="P2",J2553="P3",J2553="P4")),IF(OR(U2553=1,U2553="1"),"adequate","partial"),INDEX(Fit_Matrix!$B:$B,MATCH(P2553,Fit_Matrix!$A:$A,0)))),"CHECK KEY"))</f>
        <v/>
      </c>
      <c r="U2553" s="10" t="n"/>
      <c r="V2553" s="10" t="n"/>
      <c r="W2553" s="10" t="n"/>
      <c r="X2553" s="10" t="n"/>
      <c r="Y2553" s="10" t="n"/>
      <c r="Z2553" s="10" t="n"/>
      <c r="AA2553" s="11">
        <f>IF(A2553="","",IF(AND(J2553="P4",F2553="causal"),"P4-CAUSAL",""))</f>
        <v/>
      </c>
    </row>
    <row r="2554" ht="15" customHeight="1" s="1">
      <c r="P2554">
        <f>IF(OR(F2554="",H2554="",J2554=""),"",J2554&amp;"|"&amp;F2554&amp;"|"&amp;IF(H2554="W3","W3_"&amp;IF(I2554="","unknown",I2554),H2554))</f>
        <v/>
      </c>
      <c r="Q2554">
        <f>IF(P2554="","",IFERROR(IF(AND(H2554="W7",OR(F2554="causal",F2554="predictive")),IF(AND(OR(K2554=1,K2554="1"),OR(L2554=1,L2554="1"),OR(M2554=1,M2554="1")),"adequate","partial"),IF(AND(H2554="W4",F2554="predictive",OR(J2554="P2",J2554="P3",J2554="P4")),IF(OR(U2554=1,U2554="1"),"adequate","partial"),INDEX(Fit_Matrix!$B:$B,MATCH(P2554,Fit_Matrix!$A:$A,0)))),"CHECK KEY"))</f>
        <v/>
      </c>
      <c r="U2554" s="10" t="n"/>
      <c r="V2554" s="10" t="n"/>
      <c r="W2554" s="10" t="n"/>
      <c r="X2554" s="10" t="n"/>
      <c r="Y2554" s="10" t="n"/>
      <c r="Z2554" s="10" t="n"/>
      <c r="AA2554" s="11">
        <f>IF(A2554="","",IF(AND(J2554="P4",F2554="causal"),"P4-CAUSAL",""))</f>
        <v/>
      </c>
    </row>
    <row r="2555" ht="15" customHeight="1" s="1">
      <c r="P2555">
        <f>IF(OR(F2555="",H2555="",J2555=""),"",J2555&amp;"|"&amp;F2555&amp;"|"&amp;IF(H2555="W3","W3_"&amp;IF(I2555="","unknown",I2555),H2555))</f>
        <v/>
      </c>
      <c r="Q2555">
        <f>IF(P2555="","",IFERROR(IF(AND(H2555="W7",OR(F2555="causal",F2555="predictive")),IF(AND(OR(K2555=1,K2555="1"),OR(L2555=1,L2555="1"),OR(M2555=1,M2555="1")),"adequate","partial"),IF(AND(H2555="W4",F2555="predictive",OR(J2555="P2",J2555="P3",J2555="P4")),IF(OR(U2555=1,U2555="1"),"adequate","partial"),INDEX(Fit_Matrix!$B:$B,MATCH(P2555,Fit_Matrix!$A:$A,0)))),"CHECK KEY"))</f>
        <v/>
      </c>
      <c r="U2555" s="10" t="n"/>
      <c r="V2555" s="10" t="n"/>
      <c r="W2555" s="10" t="n"/>
      <c r="X2555" s="10" t="n"/>
      <c r="Y2555" s="10" t="n"/>
      <c r="Z2555" s="10" t="n"/>
      <c r="AA2555" s="11">
        <f>IF(A2555="","",IF(AND(J2555="P4",F2555="causal"),"P4-CAUSAL",""))</f>
        <v/>
      </c>
    </row>
    <row r="2556" ht="15" customHeight="1" s="1">
      <c r="P2556">
        <f>IF(OR(F2556="",H2556="",J2556=""),"",J2556&amp;"|"&amp;F2556&amp;"|"&amp;IF(H2556="W3","W3_"&amp;IF(I2556="","unknown",I2556),H2556))</f>
        <v/>
      </c>
      <c r="Q2556">
        <f>IF(P2556="","",IFERROR(IF(AND(H2556="W7",OR(F2556="causal",F2556="predictive")),IF(AND(OR(K2556=1,K2556="1"),OR(L2556=1,L2556="1"),OR(M2556=1,M2556="1")),"adequate","partial"),IF(AND(H2556="W4",F2556="predictive",OR(J2556="P2",J2556="P3",J2556="P4")),IF(OR(U2556=1,U2556="1"),"adequate","partial"),INDEX(Fit_Matrix!$B:$B,MATCH(P2556,Fit_Matrix!$A:$A,0)))),"CHECK KEY"))</f>
        <v/>
      </c>
      <c r="U2556" s="10" t="n"/>
      <c r="V2556" s="10" t="n"/>
      <c r="W2556" s="10" t="n"/>
      <c r="X2556" s="10" t="n"/>
      <c r="Y2556" s="10" t="n"/>
      <c r="Z2556" s="10" t="n"/>
      <c r="AA2556" s="11">
        <f>IF(A2556="","",IF(AND(J2556="P4",F2556="causal"),"P4-CAUSAL",""))</f>
        <v/>
      </c>
    </row>
    <row r="2557" ht="15" customHeight="1" s="1">
      <c r="P2557">
        <f>IF(OR(F2557="",H2557="",J2557=""),"",J2557&amp;"|"&amp;F2557&amp;"|"&amp;IF(H2557="W3","W3_"&amp;IF(I2557="","unknown",I2557),H2557))</f>
        <v/>
      </c>
      <c r="Q2557">
        <f>IF(P2557="","",IFERROR(IF(AND(H2557="W7",OR(F2557="causal",F2557="predictive")),IF(AND(OR(K2557=1,K2557="1"),OR(L2557=1,L2557="1"),OR(M2557=1,M2557="1")),"adequate","partial"),IF(AND(H2557="W4",F2557="predictive",OR(J2557="P2",J2557="P3",J2557="P4")),IF(OR(U2557=1,U2557="1"),"adequate","partial"),INDEX(Fit_Matrix!$B:$B,MATCH(P2557,Fit_Matrix!$A:$A,0)))),"CHECK KEY"))</f>
        <v/>
      </c>
      <c r="U2557" s="10" t="n"/>
      <c r="V2557" s="10" t="n"/>
      <c r="W2557" s="10" t="n"/>
      <c r="X2557" s="10" t="n"/>
      <c r="Y2557" s="10" t="n"/>
      <c r="Z2557" s="10" t="n"/>
      <c r="AA2557" s="11">
        <f>IF(A2557="","",IF(AND(J2557="P4",F2557="causal"),"P4-CAUSAL",""))</f>
        <v/>
      </c>
    </row>
    <row r="2558" ht="15" customHeight="1" s="1">
      <c r="P2558">
        <f>IF(OR(F2558="",H2558="",J2558=""),"",J2558&amp;"|"&amp;F2558&amp;"|"&amp;IF(H2558="W3","W3_"&amp;IF(I2558="","unknown",I2558),H2558))</f>
        <v/>
      </c>
      <c r="Q2558">
        <f>IF(P2558="","",IFERROR(IF(AND(H2558="W7",OR(F2558="causal",F2558="predictive")),IF(AND(OR(K2558=1,K2558="1"),OR(L2558=1,L2558="1"),OR(M2558=1,M2558="1")),"adequate","partial"),IF(AND(H2558="W4",F2558="predictive",OR(J2558="P2",J2558="P3",J2558="P4")),IF(OR(U2558=1,U2558="1"),"adequate","partial"),INDEX(Fit_Matrix!$B:$B,MATCH(P2558,Fit_Matrix!$A:$A,0)))),"CHECK KEY"))</f>
        <v/>
      </c>
      <c r="U2558" s="10" t="n"/>
      <c r="V2558" s="10" t="n"/>
      <c r="W2558" s="10" t="n"/>
      <c r="X2558" s="10" t="n"/>
      <c r="Y2558" s="10" t="n"/>
      <c r="Z2558" s="10" t="n"/>
      <c r="AA2558" s="11">
        <f>IF(A2558="","",IF(AND(J2558="P4",F2558="causal"),"P4-CAUSAL",""))</f>
        <v/>
      </c>
    </row>
    <row r="2559" ht="15" customHeight="1" s="1">
      <c r="P2559">
        <f>IF(OR(F2559="",H2559="",J2559=""),"",J2559&amp;"|"&amp;F2559&amp;"|"&amp;IF(H2559="W3","W3_"&amp;IF(I2559="","unknown",I2559),H2559))</f>
        <v/>
      </c>
      <c r="Q2559">
        <f>IF(P2559="","",IFERROR(IF(AND(H2559="W7",OR(F2559="causal",F2559="predictive")),IF(AND(OR(K2559=1,K2559="1"),OR(L2559=1,L2559="1"),OR(M2559=1,M2559="1")),"adequate","partial"),IF(AND(H2559="W4",F2559="predictive",OR(J2559="P2",J2559="P3",J2559="P4")),IF(OR(U2559=1,U2559="1"),"adequate","partial"),INDEX(Fit_Matrix!$B:$B,MATCH(P2559,Fit_Matrix!$A:$A,0)))),"CHECK KEY"))</f>
        <v/>
      </c>
      <c r="U2559" s="10" t="n"/>
      <c r="V2559" s="10" t="n"/>
      <c r="W2559" s="10" t="n"/>
      <c r="X2559" s="10" t="n"/>
      <c r="Y2559" s="10" t="n"/>
      <c r="Z2559" s="10" t="n"/>
      <c r="AA2559" s="11">
        <f>IF(A2559="","",IF(AND(J2559="P4",F2559="causal"),"P4-CAUSAL",""))</f>
        <v/>
      </c>
    </row>
    <row r="2560" ht="15" customHeight="1" s="1">
      <c r="P2560">
        <f>IF(OR(F2560="",H2560="",J2560=""),"",J2560&amp;"|"&amp;F2560&amp;"|"&amp;IF(H2560="W3","W3_"&amp;IF(I2560="","unknown",I2560),H2560))</f>
        <v/>
      </c>
      <c r="Q2560">
        <f>IF(P2560="","",IFERROR(IF(AND(H2560="W7",OR(F2560="causal",F2560="predictive")),IF(AND(OR(K2560=1,K2560="1"),OR(L2560=1,L2560="1"),OR(M2560=1,M2560="1")),"adequate","partial"),IF(AND(H2560="W4",F2560="predictive",OR(J2560="P2",J2560="P3",J2560="P4")),IF(OR(U2560=1,U2560="1"),"adequate","partial"),INDEX(Fit_Matrix!$B:$B,MATCH(P2560,Fit_Matrix!$A:$A,0)))),"CHECK KEY"))</f>
        <v/>
      </c>
      <c r="U2560" s="10" t="n"/>
      <c r="V2560" s="10" t="n"/>
      <c r="W2560" s="10" t="n"/>
      <c r="X2560" s="10" t="n"/>
      <c r="Y2560" s="10" t="n"/>
      <c r="Z2560" s="10" t="n"/>
      <c r="AA2560" s="11">
        <f>IF(A2560="","",IF(AND(J2560="P4",F2560="causal"),"P4-CAUSAL",""))</f>
        <v/>
      </c>
    </row>
    <row r="2561" ht="15" customHeight="1" s="1">
      <c r="P2561">
        <f>IF(OR(F2561="",H2561="",J2561=""),"",J2561&amp;"|"&amp;F2561&amp;"|"&amp;IF(H2561="W3","W3_"&amp;IF(I2561="","unknown",I2561),H2561))</f>
        <v/>
      </c>
      <c r="Q2561">
        <f>IF(P2561="","",IFERROR(IF(AND(H2561="W7",OR(F2561="causal",F2561="predictive")),IF(AND(OR(K2561=1,K2561="1"),OR(L2561=1,L2561="1"),OR(M2561=1,M2561="1")),"adequate","partial"),IF(AND(H2561="W4",F2561="predictive",OR(J2561="P2",J2561="P3",J2561="P4")),IF(OR(U2561=1,U2561="1"),"adequate","partial"),INDEX(Fit_Matrix!$B:$B,MATCH(P2561,Fit_Matrix!$A:$A,0)))),"CHECK KEY"))</f>
        <v/>
      </c>
      <c r="U2561" s="10" t="n"/>
      <c r="V2561" s="10" t="n"/>
      <c r="W2561" s="10" t="n"/>
      <c r="X2561" s="10" t="n"/>
      <c r="Y2561" s="10" t="n"/>
      <c r="Z2561" s="10" t="n"/>
      <c r="AA2561" s="11">
        <f>IF(A2561="","",IF(AND(J2561="P4",F2561="causal"),"P4-CAUSAL",""))</f>
        <v/>
      </c>
    </row>
    <row r="2562" ht="15" customHeight="1" s="1">
      <c r="P2562">
        <f>IF(OR(F2562="",H2562="",J2562=""),"",J2562&amp;"|"&amp;F2562&amp;"|"&amp;IF(H2562="W3","W3_"&amp;IF(I2562="","unknown",I2562),H2562))</f>
        <v/>
      </c>
      <c r="Q2562">
        <f>IF(P2562="","",IFERROR(IF(AND(H2562="W7",OR(F2562="causal",F2562="predictive")),IF(AND(OR(K2562=1,K2562="1"),OR(L2562=1,L2562="1"),OR(M2562=1,M2562="1")),"adequate","partial"),IF(AND(H2562="W4",F2562="predictive",OR(J2562="P2",J2562="P3",J2562="P4")),IF(OR(U2562=1,U2562="1"),"adequate","partial"),INDEX(Fit_Matrix!$B:$B,MATCH(P2562,Fit_Matrix!$A:$A,0)))),"CHECK KEY"))</f>
        <v/>
      </c>
      <c r="U2562" s="10" t="n"/>
      <c r="V2562" s="10" t="n"/>
      <c r="W2562" s="10" t="n"/>
      <c r="X2562" s="10" t="n"/>
      <c r="Y2562" s="10" t="n"/>
      <c r="Z2562" s="10" t="n"/>
      <c r="AA2562" s="11">
        <f>IF(A2562="","",IF(AND(J2562="P4",F2562="causal"),"P4-CAUSAL",""))</f>
        <v/>
      </c>
    </row>
    <row r="2563" ht="15" customHeight="1" s="1">
      <c r="P2563">
        <f>IF(OR(F2563="",H2563="",J2563=""),"",J2563&amp;"|"&amp;F2563&amp;"|"&amp;IF(H2563="W3","W3_"&amp;IF(I2563="","unknown",I2563),H2563))</f>
        <v/>
      </c>
      <c r="Q2563">
        <f>IF(P2563="","",IFERROR(IF(AND(H2563="W7",OR(F2563="causal",F2563="predictive")),IF(AND(OR(K2563=1,K2563="1"),OR(L2563=1,L2563="1"),OR(M2563=1,M2563="1")),"adequate","partial"),IF(AND(H2563="W4",F2563="predictive",OR(J2563="P2",J2563="P3",J2563="P4")),IF(OR(U2563=1,U2563="1"),"adequate","partial"),INDEX(Fit_Matrix!$B:$B,MATCH(P2563,Fit_Matrix!$A:$A,0)))),"CHECK KEY"))</f>
        <v/>
      </c>
      <c r="U2563" s="10" t="n"/>
      <c r="V2563" s="10" t="n"/>
      <c r="W2563" s="10" t="n"/>
      <c r="X2563" s="10" t="n"/>
      <c r="Y2563" s="10" t="n"/>
      <c r="Z2563" s="10" t="n"/>
      <c r="AA2563" s="11">
        <f>IF(A2563="","",IF(AND(J2563="P4",F2563="causal"),"P4-CAUSAL",""))</f>
        <v/>
      </c>
    </row>
    <row r="2564" ht="15" customHeight="1" s="1">
      <c r="P2564">
        <f>IF(OR(F2564="",H2564="",J2564=""),"",J2564&amp;"|"&amp;F2564&amp;"|"&amp;IF(H2564="W3","W3_"&amp;IF(I2564="","unknown",I2564),H2564))</f>
        <v/>
      </c>
      <c r="Q2564">
        <f>IF(P2564="","",IFERROR(IF(AND(H2564="W7",OR(F2564="causal",F2564="predictive")),IF(AND(OR(K2564=1,K2564="1"),OR(L2564=1,L2564="1"),OR(M2564=1,M2564="1")),"adequate","partial"),IF(AND(H2564="W4",F2564="predictive",OR(J2564="P2",J2564="P3",J2564="P4")),IF(OR(U2564=1,U2564="1"),"adequate","partial"),INDEX(Fit_Matrix!$B:$B,MATCH(P2564,Fit_Matrix!$A:$A,0)))),"CHECK KEY"))</f>
        <v/>
      </c>
      <c r="U2564" s="10" t="n"/>
      <c r="V2564" s="10" t="n"/>
      <c r="W2564" s="10" t="n"/>
      <c r="X2564" s="10" t="n"/>
      <c r="Y2564" s="10" t="n"/>
      <c r="Z2564" s="10" t="n"/>
      <c r="AA2564" s="11">
        <f>IF(A2564="","",IF(AND(J2564="P4",F2564="causal"),"P4-CAUSAL",""))</f>
        <v/>
      </c>
    </row>
    <row r="2565" ht="15" customHeight="1" s="1">
      <c r="P2565">
        <f>IF(OR(F2565="",H2565="",J2565=""),"",J2565&amp;"|"&amp;F2565&amp;"|"&amp;IF(H2565="W3","W3_"&amp;IF(I2565="","unknown",I2565),H2565))</f>
        <v/>
      </c>
      <c r="Q2565">
        <f>IF(P2565="","",IFERROR(IF(AND(H2565="W7",OR(F2565="causal",F2565="predictive")),IF(AND(OR(K2565=1,K2565="1"),OR(L2565=1,L2565="1"),OR(M2565=1,M2565="1")),"adequate","partial"),IF(AND(H2565="W4",F2565="predictive",OR(J2565="P2",J2565="P3",J2565="P4")),IF(OR(U2565=1,U2565="1"),"adequate","partial"),INDEX(Fit_Matrix!$B:$B,MATCH(P2565,Fit_Matrix!$A:$A,0)))),"CHECK KEY"))</f>
        <v/>
      </c>
      <c r="U2565" s="10" t="n"/>
      <c r="V2565" s="10" t="n"/>
      <c r="W2565" s="10" t="n"/>
      <c r="X2565" s="10" t="n"/>
      <c r="Y2565" s="10" t="n"/>
      <c r="Z2565" s="10" t="n"/>
      <c r="AA2565" s="11">
        <f>IF(A2565="","",IF(AND(J2565="P4",F2565="causal"),"P4-CAUSAL",""))</f>
        <v/>
      </c>
    </row>
    <row r="2566" ht="15" customHeight="1" s="1">
      <c r="P2566">
        <f>IF(OR(F2566="",H2566="",J2566=""),"",J2566&amp;"|"&amp;F2566&amp;"|"&amp;IF(H2566="W3","W3_"&amp;IF(I2566="","unknown",I2566),H2566))</f>
        <v/>
      </c>
      <c r="Q2566">
        <f>IF(P2566="","",IFERROR(IF(AND(H2566="W7",OR(F2566="causal",F2566="predictive")),IF(AND(OR(K2566=1,K2566="1"),OR(L2566=1,L2566="1"),OR(M2566=1,M2566="1")),"adequate","partial"),IF(AND(H2566="W4",F2566="predictive",OR(J2566="P2",J2566="P3",J2566="P4")),IF(OR(U2566=1,U2566="1"),"adequate","partial"),INDEX(Fit_Matrix!$B:$B,MATCH(P2566,Fit_Matrix!$A:$A,0)))),"CHECK KEY"))</f>
        <v/>
      </c>
      <c r="U2566" s="10" t="n"/>
      <c r="V2566" s="10" t="n"/>
      <c r="W2566" s="10" t="n"/>
      <c r="X2566" s="10" t="n"/>
      <c r="Y2566" s="10" t="n"/>
      <c r="Z2566" s="10" t="n"/>
      <c r="AA2566" s="11">
        <f>IF(A2566="","",IF(AND(J2566="P4",F2566="causal"),"P4-CAUSAL",""))</f>
        <v/>
      </c>
    </row>
    <row r="2567" ht="15" customHeight="1" s="1">
      <c r="P2567">
        <f>IF(OR(F2567="",H2567="",J2567=""),"",J2567&amp;"|"&amp;F2567&amp;"|"&amp;IF(H2567="W3","W3_"&amp;IF(I2567="","unknown",I2567),H2567))</f>
        <v/>
      </c>
      <c r="Q2567">
        <f>IF(P2567="","",IFERROR(IF(AND(H2567="W7",OR(F2567="causal",F2567="predictive")),IF(AND(OR(K2567=1,K2567="1"),OR(L2567=1,L2567="1"),OR(M2567=1,M2567="1")),"adequate","partial"),IF(AND(H2567="W4",F2567="predictive",OR(J2567="P2",J2567="P3",J2567="P4")),IF(OR(U2567=1,U2567="1"),"adequate","partial"),INDEX(Fit_Matrix!$B:$B,MATCH(P2567,Fit_Matrix!$A:$A,0)))),"CHECK KEY"))</f>
        <v/>
      </c>
      <c r="U2567" s="10" t="n"/>
      <c r="V2567" s="10" t="n"/>
      <c r="W2567" s="10" t="n"/>
      <c r="X2567" s="10" t="n"/>
      <c r="Y2567" s="10" t="n"/>
      <c r="Z2567" s="10" t="n"/>
      <c r="AA2567" s="11">
        <f>IF(A2567="","",IF(AND(J2567="P4",F2567="causal"),"P4-CAUSAL",""))</f>
        <v/>
      </c>
    </row>
    <row r="2568" ht="15" customHeight="1" s="1">
      <c r="P2568">
        <f>IF(OR(F2568="",H2568="",J2568=""),"",J2568&amp;"|"&amp;F2568&amp;"|"&amp;IF(H2568="W3","W3_"&amp;IF(I2568="","unknown",I2568),H2568))</f>
        <v/>
      </c>
      <c r="Q2568">
        <f>IF(P2568="","",IFERROR(IF(AND(H2568="W7",OR(F2568="causal",F2568="predictive")),IF(AND(OR(K2568=1,K2568="1"),OR(L2568=1,L2568="1"),OR(M2568=1,M2568="1")),"adequate","partial"),IF(AND(H2568="W4",F2568="predictive",OR(J2568="P2",J2568="P3",J2568="P4")),IF(OR(U2568=1,U2568="1"),"adequate","partial"),INDEX(Fit_Matrix!$B:$B,MATCH(P2568,Fit_Matrix!$A:$A,0)))),"CHECK KEY"))</f>
        <v/>
      </c>
      <c r="U2568" s="10" t="n"/>
      <c r="V2568" s="10" t="n"/>
      <c r="W2568" s="10" t="n"/>
      <c r="X2568" s="10" t="n"/>
      <c r="Y2568" s="10" t="n"/>
      <c r="Z2568" s="10" t="n"/>
      <c r="AA2568" s="11">
        <f>IF(A2568="","",IF(AND(J2568="P4",F2568="causal"),"P4-CAUSAL",""))</f>
        <v/>
      </c>
    </row>
    <row r="2569" ht="15" customHeight="1" s="1">
      <c r="P2569">
        <f>IF(OR(F2569="",H2569="",J2569=""),"",J2569&amp;"|"&amp;F2569&amp;"|"&amp;IF(H2569="W3","W3_"&amp;IF(I2569="","unknown",I2569),H2569))</f>
        <v/>
      </c>
      <c r="Q2569">
        <f>IF(P2569="","",IFERROR(IF(AND(H2569="W7",OR(F2569="causal",F2569="predictive")),IF(AND(OR(K2569=1,K2569="1"),OR(L2569=1,L2569="1"),OR(M2569=1,M2569="1")),"adequate","partial"),IF(AND(H2569="W4",F2569="predictive",OR(J2569="P2",J2569="P3",J2569="P4")),IF(OR(U2569=1,U2569="1"),"adequate","partial"),INDEX(Fit_Matrix!$B:$B,MATCH(P2569,Fit_Matrix!$A:$A,0)))),"CHECK KEY"))</f>
        <v/>
      </c>
      <c r="U2569" s="10" t="n"/>
      <c r="V2569" s="10" t="n"/>
      <c r="W2569" s="10" t="n"/>
      <c r="X2569" s="10" t="n"/>
      <c r="Y2569" s="10" t="n"/>
      <c r="Z2569" s="10" t="n"/>
      <c r="AA2569" s="11">
        <f>IF(A2569="","",IF(AND(J2569="P4",F2569="causal"),"P4-CAUSAL",""))</f>
        <v/>
      </c>
    </row>
    <row r="2570" ht="15" customHeight="1" s="1">
      <c r="P2570">
        <f>IF(OR(F2570="",H2570="",J2570=""),"",J2570&amp;"|"&amp;F2570&amp;"|"&amp;IF(H2570="W3","W3_"&amp;IF(I2570="","unknown",I2570),H2570))</f>
        <v/>
      </c>
      <c r="Q2570">
        <f>IF(P2570="","",IFERROR(IF(AND(H2570="W7",OR(F2570="causal",F2570="predictive")),IF(AND(OR(K2570=1,K2570="1"),OR(L2570=1,L2570="1"),OR(M2570=1,M2570="1")),"adequate","partial"),IF(AND(H2570="W4",F2570="predictive",OR(J2570="P2",J2570="P3",J2570="P4")),IF(OR(U2570=1,U2570="1"),"adequate","partial"),INDEX(Fit_Matrix!$B:$B,MATCH(P2570,Fit_Matrix!$A:$A,0)))),"CHECK KEY"))</f>
        <v/>
      </c>
      <c r="U2570" s="10" t="n"/>
      <c r="V2570" s="10" t="n"/>
      <c r="W2570" s="10" t="n"/>
      <c r="X2570" s="10" t="n"/>
      <c r="Y2570" s="10" t="n"/>
      <c r="Z2570" s="10" t="n"/>
      <c r="AA2570" s="11">
        <f>IF(A2570="","",IF(AND(J2570="P4",F2570="causal"),"P4-CAUSAL",""))</f>
        <v/>
      </c>
    </row>
    <row r="2571" ht="15" customHeight="1" s="1">
      <c r="P2571">
        <f>IF(OR(F2571="",H2571="",J2571=""),"",J2571&amp;"|"&amp;F2571&amp;"|"&amp;IF(H2571="W3","W3_"&amp;IF(I2571="","unknown",I2571),H2571))</f>
        <v/>
      </c>
      <c r="Q2571">
        <f>IF(P2571="","",IFERROR(IF(AND(H2571="W7",OR(F2571="causal",F2571="predictive")),IF(AND(OR(K2571=1,K2571="1"),OR(L2571=1,L2571="1"),OR(M2571=1,M2571="1")),"adequate","partial"),IF(AND(H2571="W4",F2571="predictive",OR(J2571="P2",J2571="P3",J2571="P4")),IF(OR(U2571=1,U2571="1"),"adequate","partial"),INDEX(Fit_Matrix!$B:$B,MATCH(P2571,Fit_Matrix!$A:$A,0)))),"CHECK KEY"))</f>
        <v/>
      </c>
      <c r="U2571" s="10" t="n"/>
      <c r="V2571" s="10" t="n"/>
      <c r="W2571" s="10" t="n"/>
      <c r="X2571" s="10" t="n"/>
      <c r="Y2571" s="10" t="n"/>
      <c r="Z2571" s="10" t="n"/>
      <c r="AA2571" s="11">
        <f>IF(A2571="","",IF(AND(J2571="P4",F2571="causal"),"P4-CAUSAL",""))</f>
        <v/>
      </c>
    </row>
    <row r="2572" ht="15" customHeight="1" s="1">
      <c r="P2572">
        <f>IF(OR(F2572="",H2572="",J2572=""),"",J2572&amp;"|"&amp;F2572&amp;"|"&amp;IF(H2572="W3","W3_"&amp;IF(I2572="","unknown",I2572),H2572))</f>
        <v/>
      </c>
      <c r="Q2572">
        <f>IF(P2572="","",IFERROR(IF(AND(H2572="W7",OR(F2572="causal",F2572="predictive")),IF(AND(OR(K2572=1,K2572="1"),OR(L2572=1,L2572="1"),OR(M2572=1,M2572="1")),"adequate","partial"),IF(AND(H2572="W4",F2572="predictive",OR(J2572="P2",J2572="P3",J2572="P4")),IF(OR(U2572=1,U2572="1"),"adequate","partial"),INDEX(Fit_Matrix!$B:$B,MATCH(P2572,Fit_Matrix!$A:$A,0)))),"CHECK KEY"))</f>
        <v/>
      </c>
      <c r="U2572" s="10" t="n"/>
      <c r="V2572" s="10" t="n"/>
      <c r="W2572" s="10" t="n"/>
      <c r="X2572" s="10" t="n"/>
      <c r="Y2572" s="10" t="n"/>
      <c r="Z2572" s="10" t="n"/>
      <c r="AA2572" s="11">
        <f>IF(A2572="","",IF(AND(J2572="P4",F2572="causal"),"P4-CAUSAL",""))</f>
        <v/>
      </c>
    </row>
    <row r="2573" ht="15" customHeight="1" s="1">
      <c r="P2573">
        <f>IF(OR(F2573="",H2573="",J2573=""),"",J2573&amp;"|"&amp;F2573&amp;"|"&amp;IF(H2573="W3","W3_"&amp;IF(I2573="","unknown",I2573),H2573))</f>
        <v/>
      </c>
      <c r="Q2573">
        <f>IF(P2573="","",IFERROR(IF(AND(H2573="W7",OR(F2573="causal",F2573="predictive")),IF(AND(OR(K2573=1,K2573="1"),OR(L2573=1,L2573="1"),OR(M2573=1,M2573="1")),"adequate","partial"),IF(AND(H2573="W4",F2573="predictive",OR(J2573="P2",J2573="P3",J2573="P4")),IF(OR(U2573=1,U2573="1"),"adequate","partial"),INDEX(Fit_Matrix!$B:$B,MATCH(P2573,Fit_Matrix!$A:$A,0)))),"CHECK KEY"))</f>
        <v/>
      </c>
      <c r="U2573" s="10" t="n"/>
      <c r="V2573" s="10" t="n"/>
      <c r="W2573" s="10" t="n"/>
      <c r="X2573" s="10" t="n"/>
      <c r="Y2573" s="10" t="n"/>
      <c r="Z2573" s="10" t="n"/>
      <c r="AA2573" s="11">
        <f>IF(A2573="","",IF(AND(J2573="P4",F2573="causal"),"P4-CAUSAL",""))</f>
        <v/>
      </c>
    </row>
    <row r="2574" ht="15" customHeight="1" s="1">
      <c r="P2574">
        <f>IF(OR(F2574="",H2574="",J2574=""),"",J2574&amp;"|"&amp;F2574&amp;"|"&amp;IF(H2574="W3","W3_"&amp;IF(I2574="","unknown",I2574),H2574))</f>
        <v/>
      </c>
      <c r="Q2574">
        <f>IF(P2574="","",IFERROR(IF(AND(H2574="W7",OR(F2574="causal",F2574="predictive")),IF(AND(OR(K2574=1,K2574="1"),OR(L2574=1,L2574="1"),OR(M2574=1,M2574="1")),"adequate","partial"),IF(AND(H2574="W4",F2574="predictive",OR(J2574="P2",J2574="P3",J2574="P4")),IF(OR(U2574=1,U2574="1"),"adequate","partial"),INDEX(Fit_Matrix!$B:$B,MATCH(P2574,Fit_Matrix!$A:$A,0)))),"CHECK KEY"))</f>
        <v/>
      </c>
      <c r="U2574" s="10" t="n"/>
      <c r="V2574" s="10" t="n"/>
      <c r="W2574" s="10" t="n"/>
      <c r="X2574" s="10" t="n"/>
      <c r="Y2574" s="10" t="n"/>
      <c r="Z2574" s="10" t="n"/>
      <c r="AA2574" s="11">
        <f>IF(A2574="","",IF(AND(J2574="P4",F2574="causal"),"P4-CAUSAL",""))</f>
        <v/>
      </c>
    </row>
    <row r="2575" ht="15" customHeight="1" s="1">
      <c r="P2575">
        <f>IF(OR(F2575="",H2575="",J2575=""),"",J2575&amp;"|"&amp;F2575&amp;"|"&amp;IF(H2575="W3","W3_"&amp;IF(I2575="","unknown",I2575),H2575))</f>
        <v/>
      </c>
      <c r="Q2575">
        <f>IF(P2575="","",IFERROR(IF(AND(H2575="W7",OR(F2575="causal",F2575="predictive")),IF(AND(OR(K2575=1,K2575="1"),OR(L2575=1,L2575="1"),OR(M2575=1,M2575="1")),"adequate","partial"),IF(AND(H2575="W4",F2575="predictive",OR(J2575="P2",J2575="P3",J2575="P4")),IF(OR(U2575=1,U2575="1"),"adequate","partial"),INDEX(Fit_Matrix!$B:$B,MATCH(P2575,Fit_Matrix!$A:$A,0)))),"CHECK KEY"))</f>
        <v/>
      </c>
      <c r="U2575" s="10" t="n"/>
      <c r="V2575" s="10" t="n"/>
      <c r="W2575" s="10" t="n"/>
      <c r="X2575" s="10" t="n"/>
      <c r="Y2575" s="10" t="n"/>
      <c r="Z2575" s="10" t="n"/>
      <c r="AA2575" s="11">
        <f>IF(A2575="","",IF(AND(J2575="P4",F2575="causal"),"P4-CAUSAL",""))</f>
        <v/>
      </c>
    </row>
    <row r="2576" ht="15" customHeight="1" s="1">
      <c r="P2576">
        <f>IF(OR(F2576="",H2576="",J2576=""),"",J2576&amp;"|"&amp;F2576&amp;"|"&amp;IF(H2576="W3","W3_"&amp;IF(I2576="","unknown",I2576),H2576))</f>
        <v/>
      </c>
      <c r="Q2576">
        <f>IF(P2576="","",IFERROR(IF(AND(H2576="W7",OR(F2576="causal",F2576="predictive")),IF(AND(OR(K2576=1,K2576="1"),OR(L2576=1,L2576="1"),OR(M2576=1,M2576="1")),"adequate","partial"),IF(AND(H2576="W4",F2576="predictive",OR(J2576="P2",J2576="P3",J2576="P4")),IF(OR(U2576=1,U2576="1"),"adequate","partial"),INDEX(Fit_Matrix!$B:$B,MATCH(P2576,Fit_Matrix!$A:$A,0)))),"CHECK KEY"))</f>
        <v/>
      </c>
      <c r="U2576" s="10" t="n"/>
      <c r="V2576" s="10" t="n"/>
      <c r="W2576" s="10" t="n"/>
      <c r="X2576" s="10" t="n"/>
      <c r="Y2576" s="10" t="n"/>
      <c r="Z2576" s="10" t="n"/>
      <c r="AA2576" s="11">
        <f>IF(A2576="","",IF(AND(J2576="P4",F2576="causal"),"P4-CAUSAL",""))</f>
        <v/>
      </c>
    </row>
    <row r="2577" ht="15" customHeight="1" s="1">
      <c r="P2577">
        <f>IF(OR(F2577="",H2577="",J2577=""),"",J2577&amp;"|"&amp;F2577&amp;"|"&amp;IF(H2577="W3","W3_"&amp;IF(I2577="","unknown",I2577),H2577))</f>
        <v/>
      </c>
      <c r="Q2577">
        <f>IF(P2577="","",IFERROR(IF(AND(H2577="W7",OR(F2577="causal",F2577="predictive")),IF(AND(OR(K2577=1,K2577="1"),OR(L2577=1,L2577="1"),OR(M2577=1,M2577="1")),"adequate","partial"),IF(AND(H2577="W4",F2577="predictive",OR(J2577="P2",J2577="P3",J2577="P4")),IF(OR(U2577=1,U2577="1"),"adequate","partial"),INDEX(Fit_Matrix!$B:$B,MATCH(P2577,Fit_Matrix!$A:$A,0)))),"CHECK KEY"))</f>
        <v/>
      </c>
      <c r="U2577" s="10" t="n"/>
      <c r="V2577" s="10" t="n"/>
      <c r="W2577" s="10" t="n"/>
      <c r="X2577" s="10" t="n"/>
      <c r="Y2577" s="10" t="n"/>
      <c r="Z2577" s="10" t="n"/>
      <c r="AA2577" s="11">
        <f>IF(A2577="","",IF(AND(J2577="P4",F2577="causal"),"P4-CAUSAL",""))</f>
        <v/>
      </c>
    </row>
    <row r="2578" ht="15" customHeight="1" s="1">
      <c r="P2578">
        <f>IF(OR(F2578="",H2578="",J2578=""),"",J2578&amp;"|"&amp;F2578&amp;"|"&amp;IF(H2578="W3","W3_"&amp;IF(I2578="","unknown",I2578),H2578))</f>
        <v/>
      </c>
      <c r="Q2578">
        <f>IF(P2578="","",IFERROR(IF(AND(H2578="W7",OR(F2578="causal",F2578="predictive")),IF(AND(OR(K2578=1,K2578="1"),OR(L2578=1,L2578="1"),OR(M2578=1,M2578="1")),"adequate","partial"),IF(AND(H2578="W4",F2578="predictive",OR(J2578="P2",J2578="P3",J2578="P4")),IF(OR(U2578=1,U2578="1"),"adequate","partial"),INDEX(Fit_Matrix!$B:$B,MATCH(P2578,Fit_Matrix!$A:$A,0)))),"CHECK KEY"))</f>
        <v/>
      </c>
      <c r="U2578" s="10" t="n"/>
      <c r="V2578" s="10" t="n"/>
      <c r="W2578" s="10" t="n"/>
      <c r="X2578" s="10" t="n"/>
      <c r="Y2578" s="10" t="n"/>
      <c r="Z2578" s="10" t="n"/>
      <c r="AA2578" s="11">
        <f>IF(A2578="","",IF(AND(J2578="P4",F2578="causal"),"P4-CAUSAL",""))</f>
        <v/>
      </c>
    </row>
    <row r="2579" ht="15" customHeight="1" s="1">
      <c r="P2579">
        <f>IF(OR(F2579="",H2579="",J2579=""),"",J2579&amp;"|"&amp;F2579&amp;"|"&amp;IF(H2579="W3","W3_"&amp;IF(I2579="","unknown",I2579),H2579))</f>
        <v/>
      </c>
      <c r="Q2579">
        <f>IF(P2579="","",IFERROR(IF(AND(H2579="W7",OR(F2579="causal",F2579="predictive")),IF(AND(OR(K2579=1,K2579="1"),OR(L2579=1,L2579="1"),OR(M2579=1,M2579="1")),"adequate","partial"),IF(AND(H2579="W4",F2579="predictive",OR(J2579="P2",J2579="P3",J2579="P4")),IF(OR(U2579=1,U2579="1"),"adequate","partial"),INDEX(Fit_Matrix!$B:$B,MATCH(P2579,Fit_Matrix!$A:$A,0)))),"CHECK KEY"))</f>
        <v/>
      </c>
      <c r="U2579" s="10" t="n"/>
      <c r="V2579" s="10" t="n"/>
      <c r="W2579" s="10" t="n"/>
      <c r="X2579" s="10" t="n"/>
      <c r="Y2579" s="10" t="n"/>
      <c r="Z2579" s="10" t="n"/>
      <c r="AA2579" s="11">
        <f>IF(A2579="","",IF(AND(J2579="P4",F2579="causal"),"P4-CAUSAL",""))</f>
        <v/>
      </c>
    </row>
    <row r="2580" ht="15" customHeight="1" s="1">
      <c r="P2580">
        <f>IF(OR(F2580="",H2580="",J2580=""),"",J2580&amp;"|"&amp;F2580&amp;"|"&amp;IF(H2580="W3","W3_"&amp;IF(I2580="","unknown",I2580),H2580))</f>
        <v/>
      </c>
      <c r="Q2580">
        <f>IF(P2580="","",IFERROR(IF(AND(H2580="W7",OR(F2580="causal",F2580="predictive")),IF(AND(OR(K2580=1,K2580="1"),OR(L2580=1,L2580="1"),OR(M2580=1,M2580="1")),"adequate","partial"),IF(AND(H2580="W4",F2580="predictive",OR(J2580="P2",J2580="P3",J2580="P4")),IF(OR(U2580=1,U2580="1"),"adequate","partial"),INDEX(Fit_Matrix!$B:$B,MATCH(P2580,Fit_Matrix!$A:$A,0)))),"CHECK KEY"))</f>
        <v/>
      </c>
      <c r="U2580" s="10" t="n"/>
      <c r="V2580" s="10" t="n"/>
      <c r="W2580" s="10" t="n"/>
      <c r="X2580" s="10" t="n"/>
      <c r="Y2580" s="10" t="n"/>
      <c r="Z2580" s="10" t="n"/>
      <c r="AA2580" s="11">
        <f>IF(A2580="","",IF(AND(J2580="P4",F2580="causal"),"P4-CAUSAL",""))</f>
        <v/>
      </c>
    </row>
    <row r="2581" ht="15" customHeight="1" s="1">
      <c r="P2581">
        <f>IF(OR(F2581="",H2581="",J2581=""),"",J2581&amp;"|"&amp;F2581&amp;"|"&amp;IF(H2581="W3","W3_"&amp;IF(I2581="","unknown",I2581),H2581))</f>
        <v/>
      </c>
      <c r="Q2581">
        <f>IF(P2581="","",IFERROR(IF(AND(H2581="W7",OR(F2581="causal",F2581="predictive")),IF(AND(OR(K2581=1,K2581="1"),OR(L2581=1,L2581="1"),OR(M2581=1,M2581="1")),"adequate","partial"),IF(AND(H2581="W4",F2581="predictive",OR(J2581="P2",J2581="P3",J2581="P4")),IF(OR(U2581=1,U2581="1"),"adequate","partial"),INDEX(Fit_Matrix!$B:$B,MATCH(P2581,Fit_Matrix!$A:$A,0)))),"CHECK KEY"))</f>
        <v/>
      </c>
      <c r="U2581" s="10" t="n"/>
      <c r="V2581" s="10" t="n"/>
      <c r="W2581" s="10" t="n"/>
      <c r="X2581" s="10" t="n"/>
      <c r="Y2581" s="10" t="n"/>
      <c r="Z2581" s="10" t="n"/>
      <c r="AA2581" s="11">
        <f>IF(A2581="","",IF(AND(J2581="P4",F2581="causal"),"P4-CAUSAL",""))</f>
        <v/>
      </c>
    </row>
    <row r="2582" ht="15" customHeight="1" s="1">
      <c r="P2582">
        <f>IF(OR(F2582="",H2582="",J2582=""),"",J2582&amp;"|"&amp;F2582&amp;"|"&amp;IF(H2582="W3","W3_"&amp;IF(I2582="","unknown",I2582),H2582))</f>
        <v/>
      </c>
      <c r="Q2582">
        <f>IF(P2582="","",IFERROR(IF(AND(H2582="W7",OR(F2582="causal",F2582="predictive")),IF(AND(OR(K2582=1,K2582="1"),OR(L2582=1,L2582="1"),OR(M2582=1,M2582="1")),"adequate","partial"),IF(AND(H2582="W4",F2582="predictive",OR(J2582="P2",J2582="P3",J2582="P4")),IF(OR(U2582=1,U2582="1"),"adequate","partial"),INDEX(Fit_Matrix!$B:$B,MATCH(P2582,Fit_Matrix!$A:$A,0)))),"CHECK KEY"))</f>
        <v/>
      </c>
      <c r="U2582" s="10" t="n"/>
      <c r="V2582" s="10" t="n"/>
      <c r="W2582" s="10" t="n"/>
      <c r="X2582" s="10" t="n"/>
      <c r="Y2582" s="10" t="n"/>
      <c r="Z2582" s="10" t="n"/>
      <c r="AA2582" s="11">
        <f>IF(A2582="","",IF(AND(J2582="P4",F2582="causal"),"P4-CAUSAL",""))</f>
        <v/>
      </c>
    </row>
    <row r="2583" ht="15" customHeight="1" s="1">
      <c r="P2583">
        <f>IF(OR(F2583="",H2583="",J2583=""),"",J2583&amp;"|"&amp;F2583&amp;"|"&amp;IF(H2583="W3","W3_"&amp;IF(I2583="","unknown",I2583),H2583))</f>
        <v/>
      </c>
      <c r="Q2583">
        <f>IF(P2583="","",IFERROR(IF(AND(H2583="W7",OR(F2583="causal",F2583="predictive")),IF(AND(OR(K2583=1,K2583="1"),OR(L2583=1,L2583="1"),OR(M2583=1,M2583="1")),"adequate","partial"),IF(AND(H2583="W4",F2583="predictive",OR(J2583="P2",J2583="P3",J2583="P4")),IF(OR(U2583=1,U2583="1"),"adequate","partial"),INDEX(Fit_Matrix!$B:$B,MATCH(P2583,Fit_Matrix!$A:$A,0)))),"CHECK KEY"))</f>
        <v/>
      </c>
      <c r="U2583" s="10" t="n"/>
      <c r="V2583" s="10" t="n"/>
      <c r="W2583" s="10" t="n"/>
      <c r="X2583" s="10" t="n"/>
      <c r="Y2583" s="10" t="n"/>
      <c r="Z2583" s="10" t="n"/>
      <c r="AA2583" s="11">
        <f>IF(A2583="","",IF(AND(J2583="P4",F2583="causal"),"P4-CAUSAL",""))</f>
        <v/>
      </c>
    </row>
    <row r="2584" ht="15" customHeight="1" s="1">
      <c r="P2584">
        <f>IF(OR(F2584="",H2584="",J2584=""),"",J2584&amp;"|"&amp;F2584&amp;"|"&amp;IF(H2584="W3","W3_"&amp;IF(I2584="","unknown",I2584),H2584))</f>
        <v/>
      </c>
      <c r="Q2584">
        <f>IF(P2584="","",IFERROR(IF(AND(H2584="W7",OR(F2584="causal",F2584="predictive")),IF(AND(OR(K2584=1,K2584="1"),OR(L2584=1,L2584="1"),OR(M2584=1,M2584="1")),"adequate","partial"),IF(AND(H2584="W4",F2584="predictive",OR(J2584="P2",J2584="P3",J2584="P4")),IF(OR(U2584=1,U2584="1"),"adequate","partial"),INDEX(Fit_Matrix!$B:$B,MATCH(P2584,Fit_Matrix!$A:$A,0)))),"CHECK KEY"))</f>
        <v/>
      </c>
      <c r="U2584" s="10" t="n"/>
      <c r="V2584" s="10" t="n"/>
      <c r="W2584" s="10" t="n"/>
      <c r="X2584" s="10" t="n"/>
      <c r="Y2584" s="10" t="n"/>
      <c r="Z2584" s="10" t="n"/>
      <c r="AA2584" s="11">
        <f>IF(A2584="","",IF(AND(J2584="P4",F2584="causal"),"P4-CAUSAL",""))</f>
        <v/>
      </c>
    </row>
    <row r="2585" ht="15" customHeight="1" s="1">
      <c r="P2585">
        <f>IF(OR(F2585="",H2585="",J2585=""),"",J2585&amp;"|"&amp;F2585&amp;"|"&amp;IF(H2585="W3","W3_"&amp;IF(I2585="","unknown",I2585),H2585))</f>
        <v/>
      </c>
      <c r="Q2585">
        <f>IF(P2585="","",IFERROR(IF(AND(H2585="W7",OR(F2585="causal",F2585="predictive")),IF(AND(OR(K2585=1,K2585="1"),OR(L2585=1,L2585="1"),OR(M2585=1,M2585="1")),"adequate","partial"),IF(AND(H2585="W4",F2585="predictive",OR(J2585="P2",J2585="P3",J2585="P4")),IF(OR(U2585=1,U2585="1"),"adequate","partial"),INDEX(Fit_Matrix!$B:$B,MATCH(P2585,Fit_Matrix!$A:$A,0)))),"CHECK KEY"))</f>
        <v/>
      </c>
      <c r="U2585" s="10" t="n"/>
      <c r="V2585" s="10" t="n"/>
      <c r="W2585" s="10" t="n"/>
      <c r="X2585" s="10" t="n"/>
      <c r="Y2585" s="10" t="n"/>
      <c r="Z2585" s="10" t="n"/>
      <c r="AA2585" s="11">
        <f>IF(A2585="","",IF(AND(J2585="P4",F2585="causal"),"P4-CAUSAL",""))</f>
        <v/>
      </c>
    </row>
    <row r="2586" ht="15" customHeight="1" s="1">
      <c r="P2586">
        <f>IF(OR(F2586="",H2586="",J2586=""),"",J2586&amp;"|"&amp;F2586&amp;"|"&amp;IF(H2586="W3","W3_"&amp;IF(I2586="","unknown",I2586),H2586))</f>
        <v/>
      </c>
      <c r="Q2586">
        <f>IF(P2586="","",IFERROR(IF(AND(H2586="W7",OR(F2586="causal",F2586="predictive")),IF(AND(OR(K2586=1,K2586="1"),OR(L2586=1,L2586="1"),OR(M2586=1,M2586="1")),"adequate","partial"),IF(AND(H2586="W4",F2586="predictive",OR(J2586="P2",J2586="P3",J2586="P4")),IF(OR(U2586=1,U2586="1"),"adequate","partial"),INDEX(Fit_Matrix!$B:$B,MATCH(P2586,Fit_Matrix!$A:$A,0)))),"CHECK KEY"))</f>
        <v/>
      </c>
      <c r="U2586" s="10" t="n"/>
      <c r="V2586" s="10" t="n"/>
      <c r="W2586" s="10" t="n"/>
      <c r="X2586" s="10" t="n"/>
      <c r="Y2586" s="10" t="n"/>
      <c r="Z2586" s="10" t="n"/>
      <c r="AA2586" s="11">
        <f>IF(A2586="","",IF(AND(J2586="P4",F2586="causal"),"P4-CAUSAL",""))</f>
        <v/>
      </c>
    </row>
    <row r="2587" ht="15" customHeight="1" s="1">
      <c r="P2587">
        <f>IF(OR(F2587="",H2587="",J2587=""),"",J2587&amp;"|"&amp;F2587&amp;"|"&amp;IF(H2587="W3","W3_"&amp;IF(I2587="","unknown",I2587),H2587))</f>
        <v/>
      </c>
      <c r="Q2587">
        <f>IF(P2587="","",IFERROR(IF(AND(H2587="W7",OR(F2587="causal",F2587="predictive")),IF(AND(OR(K2587=1,K2587="1"),OR(L2587=1,L2587="1"),OR(M2587=1,M2587="1")),"adequate","partial"),IF(AND(H2587="W4",F2587="predictive",OR(J2587="P2",J2587="P3",J2587="P4")),IF(OR(U2587=1,U2587="1"),"adequate","partial"),INDEX(Fit_Matrix!$B:$B,MATCH(P2587,Fit_Matrix!$A:$A,0)))),"CHECK KEY"))</f>
        <v/>
      </c>
      <c r="U2587" s="10" t="n"/>
      <c r="V2587" s="10" t="n"/>
      <c r="W2587" s="10" t="n"/>
      <c r="X2587" s="10" t="n"/>
      <c r="Y2587" s="10" t="n"/>
      <c r="Z2587" s="10" t="n"/>
      <c r="AA2587" s="11">
        <f>IF(A2587="","",IF(AND(J2587="P4",F2587="causal"),"P4-CAUSAL",""))</f>
        <v/>
      </c>
    </row>
    <row r="2588" ht="15" customHeight="1" s="1">
      <c r="P2588">
        <f>IF(OR(F2588="",H2588="",J2588=""),"",J2588&amp;"|"&amp;F2588&amp;"|"&amp;IF(H2588="W3","W3_"&amp;IF(I2588="","unknown",I2588),H2588))</f>
        <v/>
      </c>
      <c r="Q2588">
        <f>IF(P2588="","",IFERROR(IF(AND(H2588="W7",OR(F2588="causal",F2588="predictive")),IF(AND(OR(K2588=1,K2588="1"),OR(L2588=1,L2588="1"),OR(M2588=1,M2588="1")),"adequate","partial"),IF(AND(H2588="W4",F2588="predictive",OR(J2588="P2",J2588="P3",J2588="P4")),IF(OR(U2588=1,U2588="1"),"adequate","partial"),INDEX(Fit_Matrix!$B:$B,MATCH(P2588,Fit_Matrix!$A:$A,0)))),"CHECK KEY"))</f>
        <v/>
      </c>
      <c r="U2588" s="10" t="n"/>
      <c r="V2588" s="10" t="n"/>
      <c r="W2588" s="10" t="n"/>
      <c r="X2588" s="10" t="n"/>
      <c r="Y2588" s="10" t="n"/>
      <c r="Z2588" s="10" t="n"/>
      <c r="AA2588" s="11">
        <f>IF(A2588="","",IF(AND(J2588="P4",F2588="causal"),"P4-CAUSAL",""))</f>
        <v/>
      </c>
    </row>
    <row r="2589" ht="15" customHeight="1" s="1">
      <c r="P2589">
        <f>IF(OR(F2589="",H2589="",J2589=""),"",J2589&amp;"|"&amp;F2589&amp;"|"&amp;IF(H2589="W3","W3_"&amp;IF(I2589="","unknown",I2589),H2589))</f>
        <v/>
      </c>
      <c r="Q2589">
        <f>IF(P2589="","",IFERROR(IF(AND(H2589="W7",OR(F2589="causal",F2589="predictive")),IF(AND(OR(K2589=1,K2589="1"),OR(L2589=1,L2589="1"),OR(M2589=1,M2589="1")),"adequate","partial"),IF(AND(H2589="W4",F2589="predictive",OR(J2589="P2",J2589="P3",J2589="P4")),IF(OR(U2589=1,U2589="1"),"adequate","partial"),INDEX(Fit_Matrix!$B:$B,MATCH(P2589,Fit_Matrix!$A:$A,0)))),"CHECK KEY"))</f>
        <v/>
      </c>
      <c r="U2589" s="10" t="n"/>
      <c r="V2589" s="10" t="n"/>
      <c r="W2589" s="10" t="n"/>
      <c r="X2589" s="10" t="n"/>
      <c r="Y2589" s="10" t="n"/>
      <c r="Z2589" s="10" t="n"/>
      <c r="AA2589" s="11">
        <f>IF(A2589="","",IF(AND(J2589="P4",F2589="causal"),"P4-CAUSAL",""))</f>
        <v/>
      </c>
    </row>
    <row r="2590" ht="15" customHeight="1" s="1">
      <c r="P2590">
        <f>IF(OR(F2590="",H2590="",J2590=""),"",J2590&amp;"|"&amp;F2590&amp;"|"&amp;IF(H2590="W3","W3_"&amp;IF(I2590="","unknown",I2590),H2590))</f>
        <v/>
      </c>
      <c r="Q2590">
        <f>IF(P2590="","",IFERROR(IF(AND(H2590="W7",OR(F2590="causal",F2590="predictive")),IF(AND(OR(K2590=1,K2590="1"),OR(L2590=1,L2590="1"),OR(M2590=1,M2590="1")),"adequate","partial"),IF(AND(H2590="W4",F2590="predictive",OR(J2590="P2",J2590="P3",J2590="P4")),IF(OR(U2590=1,U2590="1"),"adequate","partial"),INDEX(Fit_Matrix!$B:$B,MATCH(P2590,Fit_Matrix!$A:$A,0)))),"CHECK KEY"))</f>
        <v/>
      </c>
      <c r="U2590" s="10" t="n"/>
      <c r="V2590" s="10" t="n"/>
      <c r="W2590" s="10" t="n"/>
      <c r="X2590" s="10" t="n"/>
      <c r="Y2590" s="10" t="n"/>
      <c r="Z2590" s="10" t="n"/>
      <c r="AA2590" s="11">
        <f>IF(A2590="","",IF(AND(J2590="P4",F2590="causal"),"P4-CAUSAL",""))</f>
        <v/>
      </c>
    </row>
    <row r="2591" ht="15" customHeight="1" s="1">
      <c r="P2591">
        <f>IF(OR(F2591="",H2591="",J2591=""),"",J2591&amp;"|"&amp;F2591&amp;"|"&amp;IF(H2591="W3","W3_"&amp;IF(I2591="","unknown",I2591),H2591))</f>
        <v/>
      </c>
      <c r="Q2591">
        <f>IF(P2591="","",IFERROR(IF(AND(H2591="W7",OR(F2591="causal",F2591="predictive")),IF(AND(OR(K2591=1,K2591="1"),OR(L2591=1,L2591="1"),OR(M2591=1,M2591="1")),"adequate","partial"),IF(AND(H2591="W4",F2591="predictive",OR(J2591="P2",J2591="P3",J2591="P4")),IF(OR(U2591=1,U2591="1"),"adequate","partial"),INDEX(Fit_Matrix!$B:$B,MATCH(P2591,Fit_Matrix!$A:$A,0)))),"CHECK KEY"))</f>
        <v/>
      </c>
      <c r="U2591" s="10" t="n"/>
      <c r="V2591" s="10" t="n"/>
      <c r="W2591" s="10" t="n"/>
      <c r="X2591" s="10" t="n"/>
      <c r="Y2591" s="10" t="n"/>
      <c r="Z2591" s="10" t="n"/>
      <c r="AA2591" s="11">
        <f>IF(A2591="","",IF(AND(J2591="P4",F2591="causal"),"P4-CAUSAL",""))</f>
        <v/>
      </c>
    </row>
    <row r="2592" ht="15" customHeight="1" s="1">
      <c r="P2592">
        <f>IF(OR(F2592="",H2592="",J2592=""),"",J2592&amp;"|"&amp;F2592&amp;"|"&amp;IF(H2592="W3","W3_"&amp;IF(I2592="","unknown",I2592),H2592))</f>
        <v/>
      </c>
      <c r="Q2592">
        <f>IF(P2592="","",IFERROR(IF(AND(H2592="W7",OR(F2592="causal",F2592="predictive")),IF(AND(OR(K2592=1,K2592="1"),OR(L2592=1,L2592="1"),OR(M2592=1,M2592="1")),"adequate","partial"),IF(AND(H2592="W4",F2592="predictive",OR(J2592="P2",J2592="P3",J2592="P4")),IF(OR(U2592=1,U2592="1"),"adequate","partial"),INDEX(Fit_Matrix!$B:$B,MATCH(P2592,Fit_Matrix!$A:$A,0)))),"CHECK KEY"))</f>
        <v/>
      </c>
      <c r="U2592" s="10" t="n"/>
      <c r="V2592" s="10" t="n"/>
      <c r="W2592" s="10" t="n"/>
      <c r="X2592" s="10" t="n"/>
      <c r="Y2592" s="10" t="n"/>
      <c r="Z2592" s="10" t="n"/>
      <c r="AA2592" s="11">
        <f>IF(A2592="","",IF(AND(J2592="P4",F2592="causal"),"P4-CAUSAL",""))</f>
        <v/>
      </c>
    </row>
    <row r="2593" ht="15" customHeight="1" s="1">
      <c r="P2593">
        <f>IF(OR(F2593="",H2593="",J2593=""),"",J2593&amp;"|"&amp;F2593&amp;"|"&amp;IF(H2593="W3","W3_"&amp;IF(I2593="","unknown",I2593),H2593))</f>
        <v/>
      </c>
      <c r="Q2593">
        <f>IF(P2593="","",IFERROR(IF(AND(H2593="W7",OR(F2593="causal",F2593="predictive")),IF(AND(OR(K2593=1,K2593="1"),OR(L2593=1,L2593="1"),OR(M2593=1,M2593="1")),"adequate","partial"),IF(AND(H2593="W4",F2593="predictive",OR(J2593="P2",J2593="P3",J2593="P4")),IF(OR(U2593=1,U2593="1"),"adequate","partial"),INDEX(Fit_Matrix!$B:$B,MATCH(P2593,Fit_Matrix!$A:$A,0)))),"CHECK KEY"))</f>
        <v/>
      </c>
      <c r="U2593" s="10" t="n"/>
      <c r="V2593" s="10" t="n"/>
      <c r="W2593" s="10" t="n"/>
      <c r="X2593" s="10" t="n"/>
      <c r="Y2593" s="10" t="n"/>
      <c r="Z2593" s="10" t="n"/>
      <c r="AA2593" s="11">
        <f>IF(A2593="","",IF(AND(J2593="P4",F2593="causal"),"P4-CAUSAL",""))</f>
        <v/>
      </c>
    </row>
    <row r="2594" ht="15" customHeight="1" s="1">
      <c r="P2594">
        <f>IF(OR(F2594="",H2594="",J2594=""),"",J2594&amp;"|"&amp;F2594&amp;"|"&amp;IF(H2594="W3","W3_"&amp;IF(I2594="","unknown",I2594),H2594))</f>
        <v/>
      </c>
      <c r="Q2594">
        <f>IF(P2594="","",IFERROR(IF(AND(H2594="W7",OR(F2594="causal",F2594="predictive")),IF(AND(OR(K2594=1,K2594="1"),OR(L2594=1,L2594="1"),OR(M2594=1,M2594="1")),"adequate","partial"),IF(AND(H2594="W4",F2594="predictive",OR(J2594="P2",J2594="P3",J2594="P4")),IF(OR(U2594=1,U2594="1"),"adequate","partial"),INDEX(Fit_Matrix!$B:$B,MATCH(P2594,Fit_Matrix!$A:$A,0)))),"CHECK KEY"))</f>
        <v/>
      </c>
      <c r="U2594" s="10" t="n"/>
      <c r="V2594" s="10" t="n"/>
      <c r="W2594" s="10" t="n"/>
      <c r="X2594" s="10" t="n"/>
      <c r="Y2594" s="10" t="n"/>
      <c r="Z2594" s="10" t="n"/>
      <c r="AA2594" s="11">
        <f>IF(A2594="","",IF(AND(J2594="P4",F2594="causal"),"P4-CAUSAL",""))</f>
        <v/>
      </c>
    </row>
    <row r="2595" ht="15" customHeight="1" s="1">
      <c r="P2595">
        <f>IF(OR(F2595="",H2595="",J2595=""),"",J2595&amp;"|"&amp;F2595&amp;"|"&amp;IF(H2595="W3","W3_"&amp;IF(I2595="","unknown",I2595),H2595))</f>
        <v/>
      </c>
      <c r="Q2595">
        <f>IF(P2595="","",IFERROR(IF(AND(H2595="W7",OR(F2595="causal",F2595="predictive")),IF(AND(OR(K2595=1,K2595="1"),OR(L2595=1,L2595="1"),OR(M2595=1,M2595="1")),"adequate","partial"),IF(AND(H2595="W4",F2595="predictive",OR(J2595="P2",J2595="P3",J2595="P4")),IF(OR(U2595=1,U2595="1"),"adequate","partial"),INDEX(Fit_Matrix!$B:$B,MATCH(P2595,Fit_Matrix!$A:$A,0)))),"CHECK KEY"))</f>
        <v/>
      </c>
      <c r="U2595" s="10" t="n"/>
      <c r="V2595" s="10" t="n"/>
      <c r="W2595" s="10" t="n"/>
      <c r="X2595" s="10" t="n"/>
      <c r="Y2595" s="10" t="n"/>
      <c r="Z2595" s="10" t="n"/>
      <c r="AA2595" s="11">
        <f>IF(A2595="","",IF(AND(J2595="P4",F2595="causal"),"P4-CAUSAL",""))</f>
        <v/>
      </c>
    </row>
    <row r="2596" ht="15" customHeight="1" s="1">
      <c r="P2596">
        <f>IF(OR(F2596="",H2596="",J2596=""),"",J2596&amp;"|"&amp;F2596&amp;"|"&amp;IF(H2596="W3","W3_"&amp;IF(I2596="","unknown",I2596),H2596))</f>
        <v/>
      </c>
      <c r="Q2596">
        <f>IF(P2596="","",IFERROR(IF(AND(H2596="W7",OR(F2596="causal",F2596="predictive")),IF(AND(OR(K2596=1,K2596="1"),OR(L2596=1,L2596="1"),OR(M2596=1,M2596="1")),"adequate","partial"),IF(AND(H2596="W4",F2596="predictive",OR(J2596="P2",J2596="P3",J2596="P4")),IF(OR(U2596=1,U2596="1"),"adequate","partial"),INDEX(Fit_Matrix!$B:$B,MATCH(P2596,Fit_Matrix!$A:$A,0)))),"CHECK KEY"))</f>
        <v/>
      </c>
      <c r="U2596" s="10" t="n"/>
      <c r="V2596" s="10" t="n"/>
      <c r="W2596" s="10" t="n"/>
      <c r="X2596" s="10" t="n"/>
      <c r="Y2596" s="10" t="n"/>
      <c r="Z2596" s="10" t="n"/>
      <c r="AA2596" s="11">
        <f>IF(A2596="","",IF(AND(J2596="P4",F2596="causal"),"P4-CAUSAL",""))</f>
        <v/>
      </c>
    </row>
    <row r="2597" ht="15" customHeight="1" s="1">
      <c r="P2597">
        <f>IF(OR(F2597="",H2597="",J2597=""),"",J2597&amp;"|"&amp;F2597&amp;"|"&amp;IF(H2597="W3","W3_"&amp;IF(I2597="","unknown",I2597),H2597))</f>
        <v/>
      </c>
      <c r="Q2597">
        <f>IF(P2597="","",IFERROR(IF(AND(H2597="W7",OR(F2597="causal",F2597="predictive")),IF(AND(OR(K2597=1,K2597="1"),OR(L2597=1,L2597="1"),OR(M2597=1,M2597="1")),"adequate","partial"),IF(AND(H2597="W4",F2597="predictive",OR(J2597="P2",J2597="P3",J2597="P4")),IF(OR(U2597=1,U2597="1"),"adequate","partial"),INDEX(Fit_Matrix!$B:$B,MATCH(P2597,Fit_Matrix!$A:$A,0)))),"CHECK KEY"))</f>
        <v/>
      </c>
      <c r="U2597" s="10" t="n"/>
      <c r="V2597" s="10" t="n"/>
      <c r="W2597" s="10" t="n"/>
      <c r="X2597" s="10" t="n"/>
      <c r="Y2597" s="10" t="n"/>
      <c r="Z2597" s="10" t="n"/>
      <c r="AA2597" s="11">
        <f>IF(A2597="","",IF(AND(J2597="P4",F2597="causal"),"P4-CAUSAL",""))</f>
        <v/>
      </c>
    </row>
    <row r="2598" ht="15" customHeight="1" s="1">
      <c r="P2598">
        <f>IF(OR(F2598="",H2598="",J2598=""),"",J2598&amp;"|"&amp;F2598&amp;"|"&amp;IF(H2598="W3","W3_"&amp;IF(I2598="","unknown",I2598),H2598))</f>
        <v/>
      </c>
      <c r="Q2598">
        <f>IF(P2598="","",IFERROR(IF(AND(H2598="W7",OR(F2598="causal",F2598="predictive")),IF(AND(OR(K2598=1,K2598="1"),OR(L2598=1,L2598="1"),OR(M2598=1,M2598="1")),"adequate","partial"),IF(AND(H2598="W4",F2598="predictive",OR(J2598="P2",J2598="P3",J2598="P4")),IF(OR(U2598=1,U2598="1"),"adequate","partial"),INDEX(Fit_Matrix!$B:$B,MATCH(P2598,Fit_Matrix!$A:$A,0)))),"CHECK KEY"))</f>
        <v/>
      </c>
      <c r="U2598" s="10" t="n"/>
      <c r="V2598" s="10" t="n"/>
      <c r="W2598" s="10" t="n"/>
      <c r="X2598" s="10" t="n"/>
      <c r="Y2598" s="10" t="n"/>
      <c r="Z2598" s="10" t="n"/>
      <c r="AA2598" s="11">
        <f>IF(A2598="","",IF(AND(J2598="P4",F2598="causal"),"P4-CAUSAL",""))</f>
        <v/>
      </c>
    </row>
    <row r="2599" ht="15" customHeight="1" s="1">
      <c r="P2599">
        <f>IF(OR(F2599="",H2599="",J2599=""),"",J2599&amp;"|"&amp;F2599&amp;"|"&amp;IF(H2599="W3","W3_"&amp;IF(I2599="","unknown",I2599),H2599))</f>
        <v/>
      </c>
      <c r="Q2599">
        <f>IF(P2599="","",IFERROR(IF(AND(H2599="W7",OR(F2599="causal",F2599="predictive")),IF(AND(OR(K2599=1,K2599="1"),OR(L2599=1,L2599="1"),OR(M2599=1,M2599="1")),"adequate","partial"),IF(AND(H2599="W4",F2599="predictive",OR(J2599="P2",J2599="P3",J2599="P4")),IF(OR(U2599=1,U2599="1"),"adequate","partial"),INDEX(Fit_Matrix!$B:$B,MATCH(P2599,Fit_Matrix!$A:$A,0)))),"CHECK KEY"))</f>
        <v/>
      </c>
      <c r="U2599" s="10" t="n"/>
      <c r="V2599" s="10" t="n"/>
      <c r="W2599" s="10" t="n"/>
      <c r="X2599" s="10" t="n"/>
      <c r="Y2599" s="10" t="n"/>
      <c r="Z2599" s="10" t="n"/>
      <c r="AA2599" s="11">
        <f>IF(A2599="","",IF(AND(J2599="P4",F2599="causal"),"P4-CAUSAL",""))</f>
        <v/>
      </c>
    </row>
    <row r="2600" ht="15" customHeight="1" s="1">
      <c r="P2600">
        <f>IF(OR(F2600="",H2600="",J2600=""),"",J2600&amp;"|"&amp;F2600&amp;"|"&amp;IF(H2600="W3","W3_"&amp;IF(I2600="","unknown",I2600),H2600))</f>
        <v/>
      </c>
      <c r="Q2600">
        <f>IF(P2600="","",IFERROR(IF(AND(H2600="W7",OR(F2600="causal",F2600="predictive")),IF(AND(OR(K2600=1,K2600="1"),OR(L2600=1,L2600="1"),OR(M2600=1,M2600="1")),"adequate","partial"),IF(AND(H2600="W4",F2600="predictive",OR(J2600="P2",J2600="P3",J2600="P4")),IF(OR(U2600=1,U2600="1"),"adequate","partial"),INDEX(Fit_Matrix!$B:$B,MATCH(P2600,Fit_Matrix!$A:$A,0)))),"CHECK KEY"))</f>
        <v/>
      </c>
      <c r="U2600" s="10" t="n"/>
      <c r="V2600" s="10" t="n"/>
      <c r="W2600" s="10" t="n"/>
      <c r="X2600" s="10" t="n"/>
      <c r="Y2600" s="10" t="n"/>
      <c r="Z2600" s="10" t="n"/>
      <c r="AA2600" s="11">
        <f>IF(A2600="","",IF(AND(J2600="P4",F2600="causal"),"P4-CAUSAL",""))</f>
        <v/>
      </c>
    </row>
    <row r="2601" ht="15" customHeight="1" s="1">
      <c r="P2601">
        <f>IF(OR(F2601="",H2601="",J2601=""),"",J2601&amp;"|"&amp;F2601&amp;"|"&amp;IF(H2601="W3","W3_"&amp;IF(I2601="","unknown",I2601),H2601))</f>
        <v/>
      </c>
      <c r="Q2601">
        <f>IF(P2601="","",IFERROR(IF(AND(H2601="W7",OR(F2601="causal",F2601="predictive")),IF(AND(OR(K2601=1,K2601="1"),OR(L2601=1,L2601="1"),OR(M2601=1,M2601="1")),"adequate","partial"),IF(AND(H2601="W4",F2601="predictive",OR(J2601="P2",J2601="P3",J2601="P4")),IF(OR(U2601=1,U2601="1"),"adequate","partial"),INDEX(Fit_Matrix!$B:$B,MATCH(P2601,Fit_Matrix!$A:$A,0)))),"CHECK KEY"))</f>
        <v/>
      </c>
      <c r="U2601" s="10" t="n"/>
      <c r="V2601" s="10" t="n"/>
      <c r="W2601" s="10" t="n"/>
      <c r="X2601" s="10" t="n"/>
      <c r="Y2601" s="10" t="n"/>
      <c r="Z2601" s="10" t="n"/>
      <c r="AA2601" s="11">
        <f>IF(A2601="","",IF(AND(J2601="P4",F2601="causal"),"P4-CAUSAL",""))</f>
        <v/>
      </c>
    </row>
    <row r="2602" ht="15" customHeight="1" s="1">
      <c r="P2602">
        <f>IF(OR(F2602="",H2602="",J2602=""),"",J2602&amp;"|"&amp;F2602&amp;"|"&amp;IF(H2602="W3","W3_"&amp;IF(I2602="","unknown",I2602),H2602))</f>
        <v/>
      </c>
      <c r="Q2602">
        <f>IF(P2602="","",IFERROR(IF(AND(H2602="W7",OR(F2602="causal",F2602="predictive")),IF(AND(OR(K2602=1,K2602="1"),OR(L2602=1,L2602="1"),OR(M2602=1,M2602="1")),"adequate","partial"),IF(AND(H2602="W4",F2602="predictive",OR(J2602="P2",J2602="P3",J2602="P4")),IF(OR(U2602=1,U2602="1"),"adequate","partial"),INDEX(Fit_Matrix!$B:$B,MATCH(P2602,Fit_Matrix!$A:$A,0)))),"CHECK KEY"))</f>
        <v/>
      </c>
      <c r="U2602" s="10" t="n"/>
      <c r="V2602" s="10" t="n"/>
      <c r="W2602" s="10" t="n"/>
      <c r="X2602" s="10" t="n"/>
      <c r="Y2602" s="10" t="n"/>
      <c r="Z2602" s="10" t="n"/>
      <c r="AA2602" s="11">
        <f>IF(A2602="","",IF(AND(J2602="P4",F2602="causal"),"P4-CAUSAL",""))</f>
        <v/>
      </c>
    </row>
    <row r="2603" ht="15" customHeight="1" s="1">
      <c r="P2603">
        <f>IF(OR(F2603="",H2603="",J2603=""),"",J2603&amp;"|"&amp;F2603&amp;"|"&amp;IF(H2603="W3","W3_"&amp;IF(I2603="","unknown",I2603),H2603))</f>
        <v/>
      </c>
      <c r="Q2603">
        <f>IF(P2603="","",IFERROR(IF(AND(H2603="W7",OR(F2603="causal",F2603="predictive")),IF(AND(OR(K2603=1,K2603="1"),OR(L2603=1,L2603="1"),OR(M2603=1,M2603="1")),"adequate","partial"),IF(AND(H2603="W4",F2603="predictive",OR(J2603="P2",J2603="P3",J2603="P4")),IF(OR(U2603=1,U2603="1"),"adequate","partial"),INDEX(Fit_Matrix!$B:$B,MATCH(P2603,Fit_Matrix!$A:$A,0)))),"CHECK KEY"))</f>
        <v/>
      </c>
      <c r="U2603" s="10" t="n"/>
      <c r="V2603" s="10" t="n"/>
      <c r="W2603" s="10" t="n"/>
      <c r="X2603" s="10" t="n"/>
      <c r="Y2603" s="10" t="n"/>
      <c r="Z2603" s="10" t="n"/>
      <c r="AA2603" s="11">
        <f>IF(A2603="","",IF(AND(J2603="P4",F2603="causal"),"P4-CAUSAL",""))</f>
        <v/>
      </c>
    </row>
    <row r="2604" ht="15" customHeight="1" s="1">
      <c r="P2604">
        <f>IF(OR(F2604="",H2604="",J2604=""),"",J2604&amp;"|"&amp;F2604&amp;"|"&amp;IF(H2604="W3","W3_"&amp;IF(I2604="","unknown",I2604),H2604))</f>
        <v/>
      </c>
      <c r="Q2604">
        <f>IF(P2604="","",IFERROR(IF(AND(H2604="W7",OR(F2604="causal",F2604="predictive")),IF(AND(OR(K2604=1,K2604="1"),OR(L2604=1,L2604="1"),OR(M2604=1,M2604="1")),"adequate","partial"),IF(AND(H2604="W4",F2604="predictive",OR(J2604="P2",J2604="P3",J2604="P4")),IF(OR(U2604=1,U2604="1"),"adequate","partial"),INDEX(Fit_Matrix!$B:$B,MATCH(P2604,Fit_Matrix!$A:$A,0)))),"CHECK KEY"))</f>
        <v/>
      </c>
      <c r="U2604" s="10" t="n"/>
      <c r="V2604" s="10" t="n"/>
      <c r="W2604" s="10" t="n"/>
      <c r="X2604" s="10" t="n"/>
      <c r="Y2604" s="10" t="n"/>
      <c r="Z2604" s="10" t="n"/>
      <c r="AA2604" s="11">
        <f>IF(A2604="","",IF(AND(J2604="P4",F2604="causal"),"P4-CAUSAL",""))</f>
        <v/>
      </c>
    </row>
    <row r="2605" ht="15" customHeight="1" s="1">
      <c r="P2605">
        <f>IF(OR(F2605="",H2605="",J2605=""),"",J2605&amp;"|"&amp;F2605&amp;"|"&amp;IF(H2605="W3","W3_"&amp;IF(I2605="","unknown",I2605),H2605))</f>
        <v/>
      </c>
      <c r="Q2605">
        <f>IF(P2605="","",IFERROR(IF(AND(H2605="W7",OR(F2605="causal",F2605="predictive")),IF(AND(OR(K2605=1,K2605="1"),OR(L2605=1,L2605="1"),OR(M2605=1,M2605="1")),"adequate","partial"),IF(AND(H2605="W4",F2605="predictive",OR(J2605="P2",J2605="P3",J2605="P4")),IF(OR(U2605=1,U2605="1"),"adequate","partial"),INDEX(Fit_Matrix!$B:$B,MATCH(P2605,Fit_Matrix!$A:$A,0)))),"CHECK KEY"))</f>
        <v/>
      </c>
      <c r="U2605" s="10" t="n"/>
      <c r="V2605" s="10" t="n"/>
      <c r="W2605" s="10" t="n"/>
      <c r="X2605" s="10" t="n"/>
      <c r="Y2605" s="10" t="n"/>
      <c r="Z2605" s="10" t="n"/>
      <c r="AA2605" s="11">
        <f>IF(A2605="","",IF(AND(J2605="P4",F2605="causal"),"P4-CAUSAL",""))</f>
        <v/>
      </c>
    </row>
    <row r="2606" ht="15" customHeight="1" s="1">
      <c r="P2606">
        <f>IF(OR(F2606="",H2606="",J2606=""),"",J2606&amp;"|"&amp;F2606&amp;"|"&amp;IF(H2606="W3","W3_"&amp;IF(I2606="","unknown",I2606),H2606))</f>
        <v/>
      </c>
      <c r="Q2606">
        <f>IF(P2606="","",IFERROR(IF(AND(H2606="W7",OR(F2606="causal",F2606="predictive")),IF(AND(OR(K2606=1,K2606="1"),OR(L2606=1,L2606="1"),OR(M2606=1,M2606="1")),"adequate","partial"),IF(AND(H2606="W4",F2606="predictive",OR(J2606="P2",J2606="P3",J2606="P4")),IF(OR(U2606=1,U2606="1"),"adequate","partial"),INDEX(Fit_Matrix!$B:$B,MATCH(P2606,Fit_Matrix!$A:$A,0)))),"CHECK KEY"))</f>
        <v/>
      </c>
      <c r="U2606" s="10" t="n"/>
      <c r="V2606" s="10" t="n"/>
      <c r="W2606" s="10" t="n"/>
      <c r="X2606" s="10" t="n"/>
      <c r="Y2606" s="10" t="n"/>
      <c r="Z2606" s="10" t="n"/>
      <c r="AA2606" s="11">
        <f>IF(A2606="","",IF(AND(J2606="P4",F2606="causal"),"P4-CAUSAL",""))</f>
        <v/>
      </c>
    </row>
    <row r="2607" ht="15" customHeight="1" s="1">
      <c r="P2607">
        <f>IF(OR(F2607="",H2607="",J2607=""),"",J2607&amp;"|"&amp;F2607&amp;"|"&amp;IF(H2607="W3","W3_"&amp;IF(I2607="","unknown",I2607),H2607))</f>
        <v/>
      </c>
      <c r="Q2607">
        <f>IF(P2607="","",IFERROR(IF(AND(H2607="W7",OR(F2607="causal",F2607="predictive")),IF(AND(OR(K2607=1,K2607="1"),OR(L2607=1,L2607="1"),OR(M2607=1,M2607="1")),"adequate","partial"),IF(AND(H2607="W4",F2607="predictive",OR(J2607="P2",J2607="P3",J2607="P4")),IF(OR(U2607=1,U2607="1"),"adequate","partial"),INDEX(Fit_Matrix!$B:$B,MATCH(P2607,Fit_Matrix!$A:$A,0)))),"CHECK KEY"))</f>
        <v/>
      </c>
      <c r="U2607" s="10" t="n"/>
      <c r="V2607" s="10" t="n"/>
      <c r="W2607" s="10" t="n"/>
      <c r="X2607" s="10" t="n"/>
      <c r="Y2607" s="10" t="n"/>
      <c r="Z2607" s="10" t="n"/>
      <c r="AA2607" s="11">
        <f>IF(A2607="","",IF(AND(J2607="P4",F2607="causal"),"P4-CAUSAL",""))</f>
        <v/>
      </c>
    </row>
    <row r="2608" ht="15" customHeight="1" s="1">
      <c r="P2608">
        <f>IF(OR(F2608="",H2608="",J2608=""),"",J2608&amp;"|"&amp;F2608&amp;"|"&amp;IF(H2608="W3","W3_"&amp;IF(I2608="","unknown",I2608),H2608))</f>
        <v/>
      </c>
      <c r="Q2608">
        <f>IF(P2608="","",IFERROR(IF(AND(H2608="W7",OR(F2608="causal",F2608="predictive")),IF(AND(OR(K2608=1,K2608="1"),OR(L2608=1,L2608="1"),OR(M2608=1,M2608="1")),"adequate","partial"),IF(AND(H2608="W4",F2608="predictive",OR(J2608="P2",J2608="P3",J2608="P4")),IF(OR(U2608=1,U2608="1"),"adequate","partial"),INDEX(Fit_Matrix!$B:$B,MATCH(P2608,Fit_Matrix!$A:$A,0)))),"CHECK KEY"))</f>
        <v/>
      </c>
      <c r="U2608" s="10" t="n"/>
      <c r="V2608" s="10" t="n"/>
      <c r="W2608" s="10" t="n"/>
      <c r="X2608" s="10" t="n"/>
      <c r="Y2608" s="10" t="n"/>
      <c r="Z2608" s="10" t="n"/>
      <c r="AA2608" s="11">
        <f>IF(A2608="","",IF(AND(J2608="P4",F2608="causal"),"P4-CAUSAL",""))</f>
        <v/>
      </c>
    </row>
    <row r="2609" ht="15" customHeight="1" s="1">
      <c r="P2609">
        <f>IF(OR(F2609="",H2609="",J2609=""),"",J2609&amp;"|"&amp;F2609&amp;"|"&amp;IF(H2609="W3","W3_"&amp;IF(I2609="","unknown",I2609),H2609))</f>
        <v/>
      </c>
      <c r="Q2609">
        <f>IF(P2609="","",IFERROR(IF(AND(H2609="W7",OR(F2609="causal",F2609="predictive")),IF(AND(OR(K2609=1,K2609="1"),OR(L2609=1,L2609="1"),OR(M2609=1,M2609="1")),"adequate","partial"),IF(AND(H2609="W4",F2609="predictive",OR(J2609="P2",J2609="P3",J2609="P4")),IF(OR(U2609=1,U2609="1"),"adequate","partial"),INDEX(Fit_Matrix!$B:$B,MATCH(P2609,Fit_Matrix!$A:$A,0)))),"CHECK KEY"))</f>
        <v/>
      </c>
      <c r="U2609" s="10" t="n"/>
      <c r="V2609" s="10" t="n"/>
      <c r="W2609" s="10" t="n"/>
      <c r="X2609" s="10" t="n"/>
      <c r="Y2609" s="10" t="n"/>
      <c r="Z2609" s="10" t="n"/>
      <c r="AA2609" s="11">
        <f>IF(A2609="","",IF(AND(J2609="P4",F2609="causal"),"P4-CAUSAL",""))</f>
        <v/>
      </c>
    </row>
    <row r="2610" ht="15" customHeight="1" s="1">
      <c r="P2610">
        <f>IF(OR(F2610="",H2610="",J2610=""),"",J2610&amp;"|"&amp;F2610&amp;"|"&amp;IF(H2610="W3","W3_"&amp;IF(I2610="","unknown",I2610),H2610))</f>
        <v/>
      </c>
      <c r="Q2610">
        <f>IF(P2610="","",IFERROR(IF(AND(H2610="W7",OR(F2610="causal",F2610="predictive")),IF(AND(OR(K2610=1,K2610="1"),OR(L2610=1,L2610="1"),OR(M2610=1,M2610="1")),"adequate","partial"),IF(AND(H2610="W4",F2610="predictive",OR(J2610="P2",J2610="P3",J2610="P4")),IF(OR(U2610=1,U2610="1"),"adequate","partial"),INDEX(Fit_Matrix!$B:$B,MATCH(P2610,Fit_Matrix!$A:$A,0)))),"CHECK KEY"))</f>
        <v/>
      </c>
      <c r="U2610" s="10" t="n"/>
      <c r="V2610" s="10" t="n"/>
      <c r="W2610" s="10" t="n"/>
      <c r="X2610" s="10" t="n"/>
      <c r="Y2610" s="10" t="n"/>
      <c r="Z2610" s="10" t="n"/>
      <c r="AA2610" s="11">
        <f>IF(A2610="","",IF(AND(J2610="P4",F2610="causal"),"P4-CAUSAL",""))</f>
        <v/>
      </c>
    </row>
    <row r="2611" ht="15" customHeight="1" s="1">
      <c r="P2611">
        <f>IF(OR(F2611="",H2611="",J2611=""),"",J2611&amp;"|"&amp;F2611&amp;"|"&amp;IF(H2611="W3","W3_"&amp;IF(I2611="","unknown",I2611),H2611))</f>
        <v/>
      </c>
      <c r="Q2611">
        <f>IF(P2611="","",IFERROR(IF(AND(H2611="W7",OR(F2611="causal",F2611="predictive")),IF(AND(OR(K2611=1,K2611="1"),OR(L2611=1,L2611="1"),OR(M2611=1,M2611="1")),"adequate","partial"),IF(AND(H2611="W4",F2611="predictive",OR(J2611="P2",J2611="P3",J2611="P4")),IF(OR(U2611=1,U2611="1"),"adequate","partial"),INDEX(Fit_Matrix!$B:$B,MATCH(P2611,Fit_Matrix!$A:$A,0)))),"CHECK KEY"))</f>
        <v/>
      </c>
      <c r="U2611" s="10" t="n"/>
      <c r="V2611" s="10" t="n"/>
      <c r="W2611" s="10" t="n"/>
      <c r="X2611" s="10" t="n"/>
      <c r="Y2611" s="10" t="n"/>
      <c r="Z2611" s="10" t="n"/>
      <c r="AA2611" s="11">
        <f>IF(A2611="","",IF(AND(J2611="P4",F2611="causal"),"P4-CAUSAL",""))</f>
        <v/>
      </c>
    </row>
    <row r="2612" ht="15" customHeight="1" s="1">
      <c r="P2612">
        <f>IF(OR(F2612="",H2612="",J2612=""),"",J2612&amp;"|"&amp;F2612&amp;"|"&amp;IF(H2612="W3","W3_"&amp;IF(I2612="","unknown",I2612),H2612))</f>
        <v/>
      </c>
      <c r="Q2612">
        <f>IF(P2612="","",IFERROR(IF(AND(H2612="W7",OR(F2612="causal",F2612="predictive")),IF(AND(OR(K2612=1,K2612="1"),OR(L2612=1,L2612="1"),OR(M2612=1,M2612="1")),"adequate","partial"),IF(AND(H2612="W4",F2612="predictive",OR(J2612="P2",J2612="P3",J2612="P4")),IF(OR(U2612=1,U2612="1"),"adequate","partial"),INDEX(Fit_Matrix!$B:$B,MATCH(P2612,Fit_Matrix!$A:$A,0)))),"CHECK KEY"))</f>
        <v/>
      </c>
      <c r="U2612" s="10" t="n"/>
      <c r="V2612" s="10" t="n"/>
      <c r="W2612" s="10" t="n"/>
      <c r="X2612" s="10" t="n"/>
      <c r="Y2612" s="10" t="n"/>
      <c r="Z2612" s="10" t="n"/>
      <c r="AA2612" s="11">
        <f>IF(A2612="","",IF(AND(J2612="P4",F2612="causal"),"P4-CAUSAL",""))</f>
        <v/>
      </c>
    </row>
    <row r="2613" ht="15" customHeight="1" s="1">
      <c r="P2613">
        <f>IF(OR(F2613="",H2613="",J2613=""),"",J2613&amp;"|"&amp;F2613&amp;"|"&amp;IF(H2613="W3","W3_"&amp;IF(I2613="","unknown",I2613),H2613))</f>
        <v/>
      </c>
      <c r="Q2613">
        <f>IF(P2613="","",IFERROR(IF(AND(H2613="W7",OR(F2613="causal",F2613="predictive")),IF(AND(OR(K2613=1,K2613="1"),OR(L2613=1,L2613="1"),OR(M2613=1,M2613="1")),"adequate","partial"),IF(AND(H2613="W4",F2613="predictive",OR(J2613="P2",J2613="P3",J2613="P4")),IF(OR(U2613=1,U2613="1"),"adequate","partial"),INDEX(Fit_Matrix!$B:$B,MATCH(P2613,Fit_Matrix!$A:$A,0)))),"CHECK KEY"))</f>
        <v/>
      </c>
      <c r="U2613" s="10" t="n"/>
      <c r="V2613" s="10" t="n"/>
      <c r="W2613" s="10" t="n"/>
      <c r="X2613" s="10" t="n"/>
      <c r="Y2613" s="10" t="n"/>
      <c r="Z2613" s="10" t="n"/>
      <c r="AA2613" s="11">
        <f>IF(A2613="","",IF(AND(J2613="P4",F2613="causal"),"P4-CAUSAL",""))</f>
        <v/>
      </c>
    </row>
    <row r="2614" ht="15" customHeight="1" s="1">
      <c r="P2614">
        <f>IF(OR(F2614="",H2614="",J2614=""),"",J2614&amp;"|"&amp;F2614&amp;"|"&amp;IF(H2614="W3","W3_"&amp;IF(I2614="","unknown",I2614),H2614))</f>
        <v/>
      </c>
      <c r="Q2614">
        <f>IF(P2614="","",IFERROR(IF(AND(H2614="W7",OR(F2614="causal",F2614="predictive")),IF(AND(OR(K2614=1,K2614="1"),OR(L2614=1,L2614="1"),OR(M2614=1,M2614="1")),"adequate","partial"),IF(AND(H2614="W4",F2614="predictive",OR(J2614="P2",J2614="P3",J2614="P4")),IF(OR(U2614=1,U2614="1"),"adequate","partial"),INDEX(Fit_Matrix!$B:$B,MATCH(P2614,Fit_Matrix!$A:$A,0)))),"CHECK KEY"))</f>
        <v/>
      </c>
      <c r="U2614" s="10" t="n"/>
      <c r="V2614" s="10" t="n"/>
      <c r="W2614" s="10" t="n"/>
      <c r="X2614" s="10" t="n"/>
      <c r="Y2614" s="10" t="n"/>
      <c r="Z2614" s="10" t="n"/>
      <c r="AA2614" s="11">
        <f>IF(A2614="","",IF(AND(J2614="P4",F2614="causal"),"P4-CAUSAL",""))</f>
        <v/>
      </c>
    </row>
    <row r="2615" ht="15" customHeight="1" s="1">
      <c r="P2615">
        <f>IF(OR(F2615="",H2615="",J2615=""),"",J2615&amp;"|"&amp;F2615&amp;"|"&amp;IF(H2615="W3","W3_"&amp;IF(I2615="","unknown",I2615),H2615))</f>
        <v/>
      </c>
      <c r="Q2615">
        <f>IF(P2615="","",IFERROR(IF(AND(H2615="W7",OR(F2615="causal",F2615="predictive")),IF(AND(OR(K2615=1,K2615="1"),OR(L2615=1,L2615="1"),OR(M2615=1,M2615="1")),"adequate","partial"),IF(AND(H2615="W4",F2615="predictive",OR(J2615="P2",J2615="P3",J2615="P4")),IF(OR(U2615=1,U2615="1"),"adequate","partial"),INDEX(Fit_Matrix!$B:$B,MATCH(P2615,Fit_Matrix!$A:$A,0)))),"CHECK KEY"))</f>
        <v/>
      </c>
      <c r="U2615" s="10" t="n"/>
      <c r="V2615" s="10" t="n"/>
      <c r="W2615" s="10" t="n"/>
      <c r="X2615" s="10" t="n"/>
      <c r="Y2615" s="10" t="n"/>
      <c r="Z2615" s="10" t="n"/>
      <c r="AA2615" s="11">
        <f>IF(A2615="","",IF(AND(J2615="P4",F2615="causal"),"P4-CAUSAL",""))</f>
        <v/>
      </c>
    </row>
    <row r="2616" ht="15" customHeight="1" s="1">
      <c r="P2616">
        <f>IF(OR(F2616="",H2616="",J2616=""),"",J2616&amp;"|"&amp;F2616&amp;"|"&amp;IF(H2616="W3","W3_"&amp;IF(I2616="","unknown",I2616),H2616))</f>
        <v/>
      </c>
      <c r="Q2616">
        <f>IF(P2616="","",IFERROR(IF(AND(H2616="W7",OR(F2616="causal",F2616="predictive")),IF(AND(OR(K2616=1,K2616="1"),OR(L2616=1,L2616="1"),OR(M2616=1,M2616="1")),"adequate","partial"),IF(AND(H2616="W4",F2616="predictive",OR(J2616="P2",J2616="P3",J2616="P4")),IF(OR(U2616=1,U2616="1"),"adequate","partial"),INDEX(Fit_Matrix!$B:$B,MATCH(P2616,Fit_Matrix!$A:$A,0)))),"CHECK KEY"))</f>
        <v/>
      </c>
      <c r="U2616" s="10" t="n"/>
      <c r="V2616" s="10" t="n"/>
      <c r="W2616" s="10" t="n"/>
      <c r="X2616" s="10" t="n"/>
      <c r="Y2616" s="10" t="n"/>
      <c r="Z2616" s="10" t="n"/>
      <c r="AA2616" s="11">
        <f>IF(A2616="","",IF(AND(J2616="P4",F2616="causal"),"P4-CAUSAL",""))</f>
        <v/>
      </c>
    </row>
    <row r="2617" ht="15" customHeight="1" s="1">
      <c r="P2617">
        <f>IF(OR(F2617="",H2617="",J2617=""),"",J2617&amp;"|"&amp;F2617&amp;"|"&amp;IF(H2617="W3","W3_"&amp;IF(I2617="","unknown",I2617),H2617))</f>
        <v/>
      </c>
      <c r="Q2617">
        <f>IF(P2617="","",IFERROR(IF(AND(H2617="W7",OR(F2617="causal",F2617="predictive")),IF(AND(OR(K2617=1,K2617="1"),OR(L2617=1,L2617="1"),OR(M2617=1,M2617="1")),"adequate","partial"),IF(AND(H2617="W4",F2617="predictive",OR(J2617="P2",J2617="P3",J2617="P4")),IF(OR(U2617=1,U2617="1"),"adequate","partial"),INDEX(Fit_Matrix!$B:$B,MATCH(P2617,Fit_Matrix!$A:$A,0)))),"CHECK KEY"))</f>
        <v/>
      </c>
      <c r="U2617" s="10" t="n"/>
      <c r="V2617" s="10" t="n"/>
      <c r="W2617" s="10" t="n"/>
      <c r="X2617" s="10" t="n"/>
      <c r="Y2617" s="10" t="n"/>
      <c r="Z2617" s="10" t="n"/>
      <c r="AA2617" s="11">
        <f>IF(A2617="","",IF(AND(J2617="P4",F2617="causal"),"P4-CAUSAL",""))</f>
        <v/>
      </c>
    </row>
    <row r="2618" ht="15" customHeight="1" s="1">
      <c r="P2618">
        <f>IF(OR(F2618="",H2618="",J2618=""),"",J2618&amp;"|"&amp;F2618&amp;"|"&amp;IF(H2618="W3","W3_"&amp;IF(I2618="","unknown",I2618),H2618))</f>
        <v/>
      </c>
      <c r="Q2618">
        <f>IF(P2618="","",IFERROR(IF(AND(H2618="W7",OR(F2618="causal",F2618="predictive")),IF(AND(OR(K2618=1,K2618="1"),OR(L2618=1,L2618="1"),OR(M2618=1,M2618="1")),"adequate","partial"),IF(AND(H2618="W4",F2618="predictive",OR(J2618="P2",J2618="P3",J2618="P4")),IF(OR(U2618=1,U2618="1"),"adequate","partial"),INDEX(Fit_Matrix!$B:$B,MATCH(P2618,Fit_Matrix!$A:$A,0)))),"CHECK KEY"))</f>
        <v/>
      </c>
      <c r="U2618" s="10" t="n"/>
      <c r="V2618" s="10" t="n"/>
      <c r="W2618" s="10" t="n"/>
      <c r="X2618" s="10" t="n"/>
      <c r="Y2618" s="10" t="n"/>
      <c r="Z2618" s="10" t="n"/>
      <c r="AA2618" s="11">
        <f>IF(A2618="","",IF(AND(J2618="P4",F2618="causal"),"P4-CAUSAL",""))</f>
        <v/>
      </c>
    </row>
    <row r="2619" ht="15" customHeight="1" s="1">
      <c r="P2619">
        <f>IF(OR(F2619="",H2619="",J2619=""),"",J2619&amp;"|"&amp;F2619&amp;"|"&amp;IF(H2619="W3","W3_"&amp;IF(I2619="","unknown",I2619),H2619))</f>
        <v/>
      </c>
      <c r="Q2619">
        <f>IF(P2619="","",IFERROR(IF(AND(H2619="W7",OR(F2619="causal",F2619="predictive")),IF(AND(OR(K2619=1,K2619="1"),OR(L2619=1,L2619="1"),OR(M2619=1,M2619="1")),"adequate","partial"),IF(AND(H2619="W4",F2619="predictive",OR(J2619="P2",J2619="P3",J2619="P4")),IF(OR(U2619=1,U2619="1"),"adequate","partial"),INDEX(Fit_Matrix!$B:$B,MATCH(P2619,Fit_Matrix!$A:$A,0)))),"CHECK KEY"))</f>
        <v/>
      </c>
      <c r="U2619" s="10" t="n"/>
      <c r="V2619" s="10" t="n"/>
      <c r="W2619" s="10" t="n"/>
      <c r="X2619" s="10" t="n"/>
      <c r="Y2619" s="10" t="n"/>
      <c r="Z2619" s="10" t="n"/>
      <c r="AA2619" s="11">
        <f>IF(A2619="","",IF(AND(J2619="P4",F2619="causal"),"P4-CAUSAL",""))</f>
        <v/>
      </c>
    </row>
    <row r="2620" ht="15" customHeight="1" s="1">
      <c r="P2620">
        <f>IF(OR(F2620="",H2620="",J2620=""),"",J2620&amp;"|"&amp;F2620&amp;"|"&amp;IF(H2620="W3","W3_"&amp;IF(I2620="","unknown",I2620),H2620))</f>
        <v/>
      </c>
      <c r="Q2620">
        <f>IF(P2620="","",IFERROR(IF(AND(H2620="W7",OR(F2620="causal",F2620="predictive")),IF(AND(OR(K2620=1,K2620="1"),OR(L2620=1,L2620="1"),OR(M2620=1,M2620="1")),"adequate","partial"),IF(AND(H2620="W4",F2620="predictive",OR(J2620="P2",J2620="P3",J2620="P4")),IF(OR(U2620=1,U2620="1"),"adequate","partial"),INDEX(Fit_Matrix!$B:$B,MATCH(P2620,Fit_Matrix!$A:$A,0)))),"CHECK KEY"))</f>
        <v/>
      </c>
      <c r="U2620" s="10" t="n"/>
      <c r="V2620" s="10" t="n"/>
      <c r="W2620" s="10" t="n"/>
      <c r="X2620" s="10" t="n"/>
      <c r="Y2620" s="10" t="n"/>
      <c r="Z2620" s="10" t="n"/>
      <c r="AA2620" s="11">
        <f>IF(A2620="","",IF(AND(J2620="P4",F2620="causal"),"P4-CAUSAL",""))</f>
        <v/>
      </c>
    </row>
    <row r="2621" ht="15" customHeight="1" s="1">
      <c r="P2621">
        <f>IF(OR(F2621="",H2621="",J2621=""),"",J2621&amp;"|"&amp;F2621&amp;"|"&amp;IF(H2621="W3","W3_"&amp;IF(I2621="","unknown",I2621),H2621))</f>
        <v/>
      </c>
      <c r="Q2621">
        <f>IF(P2621="","",IFERROR(IF(AND(H2621="W7",OR(F2621="causal",F2621="predictive")),IF(AND(OR(K2621=1,K2621="1"),OR(L2621=1,L2621="1"),OR(M2621=1,M2621="1")),"adequate","partial"),IF(AND(H2621="W4",F2621="predictive",OR(J2621="P2",J2621="P3",J2621="P4")),IF(OR(U2621=1,U2621="1"),"adequate","partial"),INDEX(Fit_Matrix!$B:$B,MATCH(P2621,Fit_Matrix!$A:$A,0)))),"CHECK KEY"))</f>
        <v/>
      </c>
      <c r="U2621" s="10" t="n"/>
      <c r="V2621" s="10" t="n"/>
      <c r="W2621" s="10" t="n"/>
      <c r="X2621" s="10" t="n"/>
      <c r="Y2621" s="10" t="n"/>
      <c r="Z2621" s="10" t="n"/>
      <c r="AA2621" s="11">
        <f>IF(A2621="","",IF(AND(J2621="P4",F2621="causal"),"P4-CAUSAL",""))</f>
        <v/>
      </c>
    </row>
    <row r="2622" ht="15" customHeight="1" s="1">
      <c r="P2622">
        <f>IF(OR(F2622="",H2622="",J2622=""),"",J2622&amp;"|"&amp;F2622&amp;"|"&amp;IF(H2622="W3","W3_"&amp;IF(I2622="","unknown",I2622),H2622))</f>
        <v/>
      </c>
      <c r="Q2622">
        <f>IF(P2622="","",IFERROR(IF(AND(H2622="W7",OR(F2622="causal",F2622="predictive")),IF(AND(OR(K2622=1,K2622="1"),OR(L2622=1,L2622="1"),OR(M2622=1,M2622="1")),"adequate","partial"),IF(AND(H2622="W4",F2622="predictive",OR(J2622="P2",J2622="P3",J2622="P4")),IF(OR(U2622=1,U2622="1"),"adequate","partial"),INDEX(Fit_Matrix!$B:$B,MATCH(P2622,Fit_Matrix!$A:$A,0)))),"CHECK KEY"))</f>
        <v/>
      </c>
      <c r="U2622" s="10" t="n"/>
      <c r="V2622" s="10" t="n"/>
      <c r="W2622" s="10" t="n"/>
      <c r="X2622" s="10" t="n"/>
      <c r="Y2622" s="10" t="n"/>
      <c r="Z2622" s="10" t="n"/>
      <c r="AA2622" s="11">
        <f>IF(A2622="","",IF(AND(J2622="P4",F2622="causal"),"P4-CAUSAL",""))</f>
        <v/>
      </c>
    </row>
    <row r="2623" ht="15" customHeight="1" s="1">
      <c r="P2623">
        <f>IF(OR(F2623="",H2623="",J2623=""),"",J2623&amp;"|"&amp;F2623&amp;"|"&amp;IF(H2623="W3","W3_"&amp;IF(I2623="","unknown",I2623),H2623))</f>
        <v/>
      </c>
      <c r="Q2623">
        <f>IF(P2623="","",IFERROR(IF(AND(H2623="W7",OR(F2623="causal",F2623="predictive")),IF(AND(OR(K2623=1,K2623="1"),OR(L2623=1,L2623="1"),OR(M2623=1,M2623="1")),"adequate","partial"),IF(AND(H2623="W4",F2623="predictive",OR(J2623="P2",J2623="P3",J2623="P4")),IF(OR(U2623=1,U2623="1"),"adequate","partial"),INDEX(Fit_Matrix!$B:$B,MATCH(P2623,Fit_Matrix!$A:$A,0)))),"CHECK KEY"))</f>
        <v/>
      </c>
      <c r="U2623" s="10" t="n"/>
      <c r="V2623" s="10" t="n"/>
      <c r="W2623" s="10" t="n"/>
      <c r="X2623" s="10" t="n"/>
      <c r="Y2623" s="10" t="n"/>
      <c r="Z2623" s="10" t="n"/>
      <c r="AA2623" s="11">
        <f>IF(A2623="","",IF(AND(J2623="P4",F2623="causal"),"P4-CAUSAL",""))</f>
        <v/>
      </c>
    </row>
    <row r="2624" ht="15" customHeight="1" s="1">
      <c r="P2624">
        <f>IF(OR(F2624="",H2624="",J2624=""),"",J2624&amp;"|"&amp;F2624&amp;"|"&amp;IF(H2624="W3","W3_"&amp;IF(I2624="","unknown",I2624),H2624))</f>
        <v/>
      </c>
      <c r="Q2624">
        <f>IF(P2624="","",IFERROR(IF(AND(H2624="W7",OR(F2624="causal",F2624="predictive")),IF(AND(OR(K2624=1,K2624="1"),OR(L2624=1,L2624="1"),OR(M2624=1,M2624="1")),"adequate","partial"),IF(AND(H2624="W4",F2624="predictive",OR(J2624="P2",J2624="P3",J2624="P4")),IF(OR(U2624=1,U2624="1"),"adequate","partial"),INDEX(Fit_Matrix!$B:$B,MATCH(P2624,Fit_Matrix!$A:$A,0)))),"CHECK KEY"))</f>
        <v/>
      </c>
      <c r="U2624" s="10" t="n"/>
      <c r="V2624" s="10" t="n"/>
      <c r="W2624" s="10" t="n"/>
      <c r="X2624" s="10" t="n"/>
      <c r="Y2624" s="10" t="n"/>
      <c r="Z2624" s="10" t="n"/>
      <c r="AA2624" s="11">
        <f>IF(A2624="","",IF(AND(J2624="P4",F2624="causal"),"P4-CAUSAL",""))</f>
        <v/>
      </c>
    </row>
    <row r="2625" ht="15" customHeight="1" s="1">
      <c r="P2625">
        <f>IF(OR(F2625="",H2625="",J2625=""),"",J2625&amp;"|"&amp;F2625&amp;"|"&amp;IF(H2625="W3","W3_"&amp;IF(I2625="","unknown",I2625),H2625))</f>
        <v/>
      </c>
      <c r="Q2625">
        <f>IF(P2625="","",IFERROR(IF(AND(H2625="W7",OR(F2625="causal",F2625="predictive")),IF(AND(OR(K2625=1,K2625="1"),OR(L2625=1,L2625="1"),OR(M2625=1,M2625="1")),"adequate","partial"),IF(AND(H2625="W4",F2625="predictive",OR(J2625="P2",J2625="P3",J2625="P4")),IF(OR(U2625=1,U2625="1"),"adequate","partial"),INDEX(Fit_Matrix!$B:$B,MATCH(P2625,Fit_Matrix!$A:$A,0)))),"CHECK KEY"))</f>
        <v/>
      </c>
      <c r="U2625" s="10" t="n"/>
      <c r="V2625" s="10" t="n"/>
      <c r="W2625" s="10" t="n"/>
      <c r="X2625" s="10" t="n"/>
      <c r="Y2625" s="10" t="n"/>
      <c r="Z2625" s="10" t="n"/>
      <c r="AA2625" s="11">
        <f>IF(A2625="","",IF(AND(J2625="P4",F2625="causal"),"P4-CAUSAL",""))</f>
        <v/>
      </c>
    </row>
    <row r="2626" ht="15" customHeight="1" s="1">
      <c r="P2626">
        <f>IF(OR(F2626="",H2626="",J2626=""),"",J2626&amp;"|"&amp;F2626&amp;"|"&amp;IF(H2626="W3","W3_"&amp;IF(I2626="","unknown",I2626),H2626))</f>
        <v/>
      </c>
      <c r="Q2626">
        <f>IF(P2626="","",IFERROR(IF(AND(H2626="W7",OR(F2626="causal",F2626="predictive")),IF(AND(OR(K2626=1,K2626="1"),OR(L2626=1,L2626="1"),OR(M2626=1,M2626="1")),"adequate","partial"),IF(AND(H2626="W4",F2626="predictive",OR(J2626="P2",J2626="P3",J2626="P4")),IF(OR(U2626=1,U2626="1"),"adequate","partial"),INDEX(Fit_Matrix!$B:$B,MATCH(P2626,Fit_Matrix!$A:$A,0)))),"CHECK KEY"))</f>
        <v/>
      </c>
      <c r="U2626" s="10" t="n"/>
      <c r="V2626" s="10" t="n"/>
      <c r="W2626" s="10" t="n"/>
      <c r="X2626" s="10" t="n"/>
      <c r="Y2626" s="10" t="n"/>
      <c r="Z2626" s="10" t="n"/>
      <c r="AA2626" s="11">
        <f>IF(A2626="","",IF(AND(J2626="P4",F2626="causal"),"P4-CAUSAL",""))</f>
        <v/>
      </c>
    </row>
    <row r="2627" ht="15" customHeight="1" s="1">
      <c r="P2627">
        <f>IF(OR(F2627="",H2627="",J2627=""),"",J2627&amp;"|"&amp;F2627&amp;"|"&amp;IF(H2627="W3","W3_"&amp;IF(I2627="","unknown",I2627),H2627))</f>
        <v/>
      </c>
      <c r="Q2627">
        <f>IF(P2627="","",IFERROR(IF(AND(H2627="W7",OR(F2627="causal",F2627="predictive")),IF(AND(OR(K2627=1,K2627="1"),OR(L2627=1,L2627="1"),OR(M2627=1,M2627="1")),"adequate","partial"),IF(AND(H2627="W4",F2627="predictive",OR(J2627="P2",J2627="P3",J2627="P4")),IF(OR(U2627=1,U2627="1"),"adequate","partial"),INDEX(Fit_Matrix!$B:$B,MATCH(P2627,Fit_Matrix!$A:$A,0)))),"CHECK KEY"))</f>
        <v/>
      </c>
      <c r="U2627" s="10" t="n"/>
      <c r="V2627" s="10" t="n"/>
      <c r="W2627" s="10" t="n"/>
      <c r="X2627" s="10" t="n"/>
      <c r="Y2627" s="10" t="n"/>
      <c r="Z2627" s="10" t="n"/>
      <c r="AA2627" s="11">
        <f>IF(A2627="","",IF(AND(J2627="P4",F2627="causal"),"P4-CAUSAL",""))</f>
        <v/>
      </c>
    </row>
    <row r="2628" ht="15" customHeight="1" s="1">
      <c r="P2628">
        <f>IF(OR(F2628="",H2628="",J2628=""),"",J2628&amp;"|"&amp;F2628&amp;"|"&amp;IF(H2628="W3","W3_"&amp;IF(I2628="","unknown",I2628),H2628))</f>
        <v/>
      </c>
      <c r="Q2628">
        <f>IF(P2628="","",IFERROR(IF(AND(H2628="W7",OR(F2628="causal",F2628="predictive")),IF(AND(OR(K2628=1,K2628="1"),OR(L2628=1,L2628="1"),OR(M2628=1,M2628="1")),"adequate","partial"),IF(AND(H2628="W4",F2628="predictive",OR(J2628="P2",J2628="P3",J2628="P4")),IF(OR(U2628=1,U2628="1"),"adequate","partial"),INDEX(Fit_Matrix!$B:$B,MATCH(P2628,Fit_Matrix!$A:$A,0)))),"CHECK KEY"))</f>
        <v/>
      </c>
      <c r="U2628" s="10" t="n"/>
      <c r="V2628" s="10" t="n"/>
      <c r="W2628" s="10" t="n"/>
      <c r="X2628" s="10" t="n"/>
      <c r="Y2628" s="10" t="n"/>
      <c r="Z2628" s="10" t="n"/>
      <c r="AA2628" s="11">
        <f>IF(A2628="","",IF(AND(J2628="P4",F2628="causal"),"P4-CAUSAL",""))</f>
        <v/>
      </c>
    </row>
    <row r="2629" ht="15" customHeight="1" s="1">
      <c r="P2629">
        <f>IF(OR(F2629="",H2629="",J2629=""),"",J2629&amp;"|"&amp;F2629&amp;"|"&amp;IF(H2629="W3","W3_"&amp;IF(I2629="","unknown",I2629),H2629))</f>
        <v/>
      </c>
      <c r="Q2629">
        <f>IF(P2629="","",IFERROR(IF(AND(H2629="W7",OR(F2629="causal",F2629="predictive")),IF(AND(OR(K2629=1,K2629="1"),OR(L2629=1,L2629="1"),OR(M2629=1,M2629="1")),"adequate","partial"),IF(AND(H2629="W4",F2629="predictive",OR(J2629="P2",J2629="P3",J2629="P4")),IF(OR(U2629=1,U2629="1"),"adequate","partial"),INDEX(Fit_Matrix!$B:$B,MATCH(P2629,Fit_Matrix!$A:$A,0)))),"CHECK KEY"))</f>
        <v/>
      </c>
      <c r="U2629" s="10" t="n"/>
      <c r="V2629" s="10" t="n"/>
      <c r="W2629" s="10" t="n"/>
      <c r="X2629" s="10" t="n"/>
      <c r="Y2629" s="10" t="n"/>
      <c r="Z2629" s="10" t="n"/>
      <c r="AA2629" s="11">
        <f>IF(A2629="","",IF(AND(J2629="P4",F2629="causal"),"P4-CAUSAL",""))</f>
        <v/>
      </c>
    </row>
    <row r="2630" ht="15" customHeight="1" s="1">
      <c r="P2630">
        <f>IF(OR(F2630="",H2630="",J2630=""),"",J2630&amp;"|"&amp;F2630&amp;"|"&amp;IF(H2630="W3","W3_"&amp;IF(I2630="","unknown",I2630),H2630))</f>
        <v/>
      </c>
      <c r="Q2630">
        <f>IF(P2630="","",IFERROR(IF(AND(H2630="W7",OR(F2630="causal",F2630="predictive")),IF(AND(OR(K2630=1,K2630="1"),OR(L2630=1,L2630="1"),OR(M2630=1,M2630="1")),"adequate","partial"),IF(AND(H2630="W4",F2630="predictive",OR(J2630="P2",J2630="P3",J2630="P4")),IF(OR(U2630=1,U2630="1"),"adequate","partial"),INDEX(Fit_Matrix!$B:$B,MATCH(P2630,Fit_Matrix!$A:$A,0)))),"CHECK KEY"))</f>
        <v/>
      </c>
      <c r="U2630" s="10" t="n"/>
      <c r="V2630" s="10" t="n"/>
      <c r="W2630" s="10" t="n"/>
      <c r="X2630" s="10" t="n"/>
      <c r="Y2630" s="10" t="n"/>
      <c r="Z2630" s="10" t="n"/>
      <c r="AA2630" s="11">
        <f>IF(A2630="","",IF(AND(J2630="P4",F2630="causal"),"P4-CAUSAL",""))</f>
        <v/>
      </c>
    </row>
    <row r="2631" ht="15" customHeight="1" s="1">
      <c r="P2631">
        <f>IF(OR(F2631="",H2631="",J2631=""),"",J2631&amp;"|"&amp;F2631&amp;"|"&amp;IF(H2631="W3","W3_"&amp;IF(I2631="","unknown",I2631),H2631))</f>
        <v/>
      </c>
      <c r="Q2631">
        <f>IF(P2631="","",IFERROR(IF(AND(H2631="W7",OR(F2631="causal",F2631="predictive")),IF(AND(OR(K2631=1,K2631="1"),OR(L2631=1,L2631="1"),OR(M2631=1,M2631="1")),"adequate","partial"),IF(AND(H2631="W4",F2631="predictive",OR(J2631="P2",J2631="P3",J2631="P4")),IF(OR(U2631=1,U2631="1"),"adequate","partial"),INDEX(Fit_Matrix!$B:$B,MATCH(P2631,Fit_Matrix!$A:$A,0)))),"CHECK KEY"))</f>
        <v/>
      </c>
      <c r="U2631" s="10" t="n"/>
      <c r="V2631" s="10" t="n"/>
      <c r="W2631" s="10" t="n"/>
      <c r="X2631" s="10" t="n"/>
      <c r="Y2631" s="10" t="n"/>
      <c r="Z2631" s="10" t="n"/>
      <c r="AA2631" s="11">
        <f>IF(A2631="","",IF(AND(J2631="P4",F2631="causal"),"P4-CAUSAL",""))</f>
        <v/>
      </c>
    </row>
    <row r="2632" ht="15" customHeight="1" s="1">
      <c r="P2632">
        <f>IF(OR(F2632="",H2632="",J2632=""),"",J2632&amp;"|"&amp;F2632&amp;"|"&amp;IF(H2632="W3","W3_"&amp;IF(I2632="","unknown",I2632),H2632))</f>
        <v/>
      </c>
      <c r="Q2632">
        <f>IF(P2632="","",IFERROR(IF(AND(H2632="W7",OR(F2632="causal",F2632="predictive")),IF(AND(OR(K2632=1,K2632="1"),OR(L2632=1,L2632="1"),OR(M2632=1,M2632="1")),"adequate","partial"),IF(AND(H2632="W4",F2632="predictive",OR(J2632="P2",J2632="P3",J2632="P4")),IF(OR(U2632=1,U2632="1"),"adequate","partial"),INDEX(Fit_Matrix!$B:$B,MATCH(P2632,Fit_Matrix!$A:$A,0)))),"CHECK KEY"))</f>
        <v/>
      </c>
      <c r="U2632" s="10" t="n"/>
      <c r="V2632" s="10" t="n"/>
      <c r="W2632" s="10" t="n"/>
      <c r="X2632" s="10" t="n"/>
      <c r="Y2632" s="10" t="n"/>
      <c r="Z2632" s="10" t="n"/>
      <c r="AA2632" s="11">
        <f>IF(A2632="","",IF(AND(J2632="P4",F2632="causal"),"P4-CAUSAL",""))</f>
        <v/>
      </c>
    </row>
    <row r="2633" ht="15" customHeight="1" s="1">
      <c r="P2633">
        <f>IF(OR(F2633="",H2633="",J2633=""),"",J2633&amp;"|"&amp;F2633&amp;"|"&amp;IF(H2633="W3","W3_"&amp;IF(I2633="","unknown",I2633),H2633))</f>
        <v/>
      </c>
      <c r="Q2633">
        <f>IF(P2633="","",IFERROR(IF(AND(H2633="W7",OR(F2633="causal",F2633="predictive")),IF(AND(OR(K2633=1,K2633="1"),OR(L2633=1,L2633="1"),OR(M2633=1,M2633="1")),"adequate","partial"),IF(AND(H2633="W4",F2633="predictive",OR(J2633="P2",J2633="P3",J2633="P4")),IF(OR(U2633=1,U2633="1"),"adequate","partial"),INDEX(Fit_Matrix!$B:$B,MATCH(P2633,Fit_Matrix!$A:$A,0)))),"CHECK KEY"))</f>
        <v/>
      </c>
      <c r="U2633" s="10" t="n"/>
      <c r="V2633" s="10" t="n"/>
      <c r="W2633" s="10" t="n"/>
      <c r="X2633" s="10" t="n"/>
      <c r="Y2633" s="10" t="n"/>
      <c r="Z2633" s="10" t="n"/>
      <c r="AA2633" s="11">
        <f>IF(A2633="","",IF(AND(J2633="P4",F2633="causal"),"P4-CAUSAL",""))</f>
        <v/>
      </c>
    </row>
    <row r="2634" ht="15" customHeight="1" s="1">
      <c r="P2634">
        <f>IF(OR(F2634="",H2634="",J2634=""),"",J2634&amp;"|"&amp;F2634&amp;"|"&amp;IF(H2634="W3","W3_"&amp;IF(I2634="","unknown",I2634),H2634))</f>
        <v/>
      </c>
      <c r="Q2634">
        <f>IF(P2634="","",IFERROR(IF(AND(H2634="W7",OR(F2634="causal",F2634="predictive")),IF(AND(OR(K2634=1,K2634="1"),OR(L2634=1,L2634="1"),OR(M2634=1,M2634="1")),"adequate","partial"),IF(AND(H2634="W4",F2634="predictive",OR(J2634="P2",J2634="P3",J2634="P4")),IF(OR(U2634=1,U2634="1"),"adequate","partial"),INDEX(Fit_Matrix!$B:$B,MATCH(P2634,Fit_Matrix!$A:$A,0)))),"CHECK KEY"))</f>
        <v/>
      </c>
      <c r="U2634" s="10" t="n"/>
      <c r="V2634" s="10" t="n"/>
      <c r="W2634" s="10" t="n"/>
      <c r="X2634" s="10" t="n"/>
      <c r="Y2634" s="10" t="n"/>
      <c r="Z2634" s="10" t="n"/>
      <c r="AA2634" s="11">
        <f>IF(A2634="","",IF(AND(J2634="P4",F2634="causal"),"P4-CAUSAL",""))</f>
        <v/>
      </c>
    </row>
    <row r="2635" ht="15" customHeight="1" s="1">
      <c r="P2635">
        <f>IF(OR(F2635="",H2635="",J2635=""),"",J2635&amp;"|"&amp;F2635&amp;"|"&amp;IF(H2635="W3","W3_"&amp;IF(I2635="","unknown",I2635),H2635))</f>
        <v/>
      </c>
      <c r="Q2635">
        <f>IF(P2635="","",IFERROR(IF(AND(H2635="W7",OR(F2635="causal",F2635="predictive")),IF(AND(OR(K2635=1,K2635="1"),OR(L2635=1,L2635="1"),OR(M2635=1,M2635="1")),"adequate","partial"),IF(AND(H2635="W4",F2635="predictive",OR(J2635="P2",J2635="P3",J2635="P4")),IF(OR(U2635=1,U2635="1"),"adequate","partial"),INDEX(Fit_Matrix!$B:$B,MATCH(P2635,Fit_Matrix!$A:$A,0)))),"CHECK KEY"))</f>
        <v/>
      </c>
      <c r="U2635" s="10" t="n"/>
      <c r="V2635" s="10" t="n"/>
      <c r="W2635" s="10" t="n"/>
      <c r="X2635" s="10" t="n"/>
      <c r="Y2635" s="10" t="n"/>
      <c r="Z2635" s="10" t="n"/>
      <c r="AA2635" s="11">
        <f>IF(A2635="","",IF(AND(J2635="P4",F2635="causal"),"P4-CAUSAL",""))</f>
        <v/>
      </c>
    </row>
    <row r="2636" ht="15" customHeight="1" s="1">
      <c r="P2636">
        <f>IF(OR(F2636="",H2636="",J2636=""),"",J2636&amp;"|"&amp;F2636&amp;"|"&amp;IF(H2636="W3","W3_"&amp;IF(I2636="","unknown",I2636),H2636))</f>
        <v/>
      </c>
      <c r="Q2636">
        <f>IF(P2636="","",IFERROR(IF(AND(H2636="W7",OR(F2636="causal",F2636="predictive")),IF(AND(OR(K2636=1,K2636="1"),OR(L2636=1,L2636="1"),OR(M2636=1,M2636="1")),"adequate","partial"),IF(AND(H2636="W4",F2636="predictive",OR(J2636="P2",J2636="P3",J2636="P4")),IF(OR(U2636=1,U2636="1"),"adequate","partial"),INDEX(Fit_Matrix!$B:$B,MATCH(P2636,Fit_Matrix!$A:$A,0)))),"CHECK KEY"))</f>
        <v/>
      </c>
      <c r="U2636" s="10" t="n"/>
      <c r="V2636" s="10" t="n"/>
      <c r="W2636" s="10" t="n"/>
      <c r="X2636" s="10" t="n"/>
      <c r="Y2636" s="10" t="n"/>
      <c r="Z2636" s="10" t="n"/>
      <c r="AA2636" s="11">
        <f>IF(A2636="","",IF(AND(J2636="P4",F2636="causal"),"P4-CAUSAL",""))</f>
        <v/>
      </c>
    </row>
    <row r="2637" ht="15" customHeight="1" s="1">
      <c r="P2637">
        <f>IF(OR(F2637="",H2637="",J2637=""),"",J2637&amp;"|"&amp;F2637&amp;"|"&amp;IF(H2637="W3","W3_"&amp;IF(I2637="","unknown",I2637),H2637))</f>
        <v/>
      </c>
      <c r="Q2637">
        <f>IF(P2637="","",IFERROR(IF(AND(H2637="W7",OR(F2637="causal",F2637="predictive")),IF(AND(OR(K2637=1,K2637="1"),OR(L2637=1,L2637="1"),OR(M2637=1,M2637="1")),"adequate","partial"),IF(AND(H2637="W4",F2637="predictive",OR(J2637="P2",J2637="P3",J2637="P4")),IF(OR(U2637=1,U2637="1"),"adequate","partial"),INDEX(Fit_Matrix!$B:$B,MATCH(P2637,Fit_Matrix!$A:$A,0)))),"CHECK KEY"))</f>
        <v/>
      </c>
      <c r="U2637" s="10" t="n"/>
      <c r="V2637" s="10" t="n"/>
      <c r="W2637" s="10" t="n"/>
      <c r="X2637" s="10" t="n"/>
      <c r="Y2637" s="10" t="n"/>
      <c r="Z2637" s="10" t="n"/>
      <c r="AA2637" s="11">
        <f>IF(A2637="","",IF(AND(J2637="P4",F2637="causal"),"P4-CAUSAL",""))</f>
        <v/>
      </c>
    </row>
    <row r="2638" ht="15" customHeight="1" s="1">
      <c r="P2638">
        <f>IF(OR(F2638="",H2638="",J2638=""),"",J2638&amp;"|"&amp;F2638&amp;"|"&amp;IF(H2638="W3","W3_"&amp;IF(I2638="","unknown",I2638),H2638))</f>
        <v/>
      </c>
      <c r="Q2638">
        <f>IF(P2638="","",IFERROR(IF(AND(H2638="W7",OR(F2638="causal",F2638="predictive")),IF(AND(OR(K2638=1,K2638="1"),OR(L2638=1,L2638="1"),OR(M2638=1,M2638="1")),"adequate","partial"),IF(AND(H2638="W4",F2638="predictive",OR(J2638="P2",J2638="P3",J2638="P4")),IF(OR(U2638=1,U2638="1"),"adequate","partial"),INDEX(Fit_Matrix!$B:$B,MATCH(P2638,Fit_Matrix!$A:$A,0)))),"CHECK KEY"))</f>
        <v/>
      </c>
      <c r="U2638" s="10" t="n"/>
      <c r="V2638" s="10" t="n"/>
      <c r="W2638" s="10" t="n"/>
      <c r="X2638" s="10" t="n"/>
      <c r="Y2638" s="10" t="n"/>
      <c r="Z2638" s="10" t="n"/>
      <c r="AA2638" s="11">
        <f>IF(A2638="","",IF(AND(J2638="P4",F2638="causal"),"P4-CAUSAL",""))</f>
        <v/>
      </c>
    </row>
    <row r="2639" ht="15" customHeight="1" s="1">
      <c r="P2639">
        <f>IF(OR(F2639="",H2639="",J2639=""),"",J2639&amp;"|"&amp;F2639&amp;"|"&amp;IF(H2639="W3","W3_"&amp;IF(I2639="","unknown",I2639),H2639))</f>
        <v/>
      </c>
      <c r="Q2639">
        <f>IF(P2639="","",IFERROR(IF(AND(H2639="W7",OR(F2639="causal",F2639="predictive")),IF(AND(OR(K2639=1,K2639="1"),OR(L2639=1,L2639="1"),OR(M2639=1,M2639="1")),"adequate","partial"),IF(AND(H2639="W4",F2639="predictive",OR(J2639="P2",J2639="P3",J2639="P4")),IF(OR(U2639=1,U2639="1"),"adequate","partial"),INDEX(Fit_Matrix!$B:$B,MATCH(P2639,Fit_Matrix!$A:$A,0)))),"CHECK KEY"))</f>
        <v/>
      </c>
      <c r="U2639" s="10" t="n"/>
      <c r="V2639" s="10" t="n"/>
      <c r="W2639" s="10" t="n"/>
      <c r="X2639" s="10" t="n"/>
      <c r="Y2639" s="10" t="n"/>
      <c r="Z2639" s="10" t="n"/>
      <c r="AA2639" s="11">
        <f>IF(A2639="","",IF(AND(J2639="P4",F2639="causal"),"P4-CAUSAL",""))</f>
        <v/>
      </c>
    </row>
    <row r="2640" ht="15" customHeight="1" s="1">
      <c r="P2640">
        <f>IF(OR(F2640="",H2640="",J2640=""),"",J2640&amp;"|"&amp;F2640&amp;"|"&amp;IF(H2640="W3","W3_"&amp;IF(I2640="","unknown",I2640),H2640))</f>
        <v/>
      </c>
      <c r="Q2640">
        <f>IF(P2640="","",IFERROR(IF(AND(H2640="W7",OR(F2640="causal",F2640="predictive")),IF(AND(OR(K2640=1,K2640="1"),OR(L2640=1,L2640="1"),OR(M2640=1,M2640="1")),"adequate","partial"),IF(AND(H2640="W4",F2640="predictive",OR(J2640="P2",J2640="P3",J2640="P4")),IF(OR(U2640=1,U2640="1"),"adequate","partial"),INDEX(Fit_Matrix!$B:$B,MATCH(P2640,Fit_Matrix!$A:$A,0)))),"CHECK KEY"))</f>
        <v/>
      </c>
      <c r="U2640" s="10" t="n"/>
      <c r="V2640" s="10" t="n"/>
      <c r="W2640" s="10" t="n"/>
      <c r="X2640" s="10" t="n"/>
      <c r="Y2640" s="10" t="n"/>
      <c r="Z2640" s="10" t="n"/>
      <c r="AA2640" s="11">
        <f>IF(A2640="","",IF(AND(J2640="P4",F2640="causal"),"P4-CAUSAL",""))</f>
        <v/>
      </c>
    </row>
    <row r="2641" ht="15" customHeight="1" s="1">
      <c r="P2641">
        <f>IF(OR(F2641="",H2641="",J2641=""),"",J2641&amp;"|"&amp;F2641&amp;"|"&amp;IF(H2641="W3","W3_"&amp;IF(I2641="","unknown",I2641),H2641))</f>
        <v/>
      </c>
      <c r="Q2641">
        <f>IF(P2641="","",IFERROR(IF(AND(H2641="W7",OR(F2641="causal",F2641="predictive")),IF(AND(OR(K2641=1,K2641="1"),OR(L2641=1,L2641="1"),OR(M2641=1,M2641="1")),"adequate","partial"),IF(AND(H2641="W4",F2641="predictive",OR(J2641="P2",J2641="P3",J2641="P4")),IF(OR(U2641=1,U2641="1"),"adequate","partial"),INDEX(Fit_Matrix!$B:$B,MATCH(P2641,Fit_Matrix!$A:$A,0)))),"CHECK KEY"))</f>
        <v/>
      </c>
      <c r="U2641" s="10" t="n"/>
      <c r="V2641" s="10" t="n"/>
      <c r="W2641" s="10" t="n"/>
      <c r="X2641" s="10" t="n"/>
      <c r="Y2641" s="10" t="n"/>
      <c r="Z2641" s="10" t="n"/>
      <c r="AA2641" s="11">
        <f>IF(A2641="","",IF(AND(J2641="P4",F2641="causal"),"P4-CAUSAL",""))</f>
        <v/>
      </c>
    </row>
    <row r="2642" ht="15" customHeight="1" s="1">
      <c r="P2642">
        <f>IF(OR(F2642="",H2642="",J2642=""),"",J2642&amp;"|"&amp;F2642&amp;"|"&amp;IF(H2642="W3","W3_"&amp;IF(I2642="","unknown",I2642),H2642))</f>
        <v/>
      </c>
      <c r="Q2642">
        <f>IF(P2642="","",IFERROR(IF(AND(H2642="W7",OR(F2642="causal",F2642="predictive")),IF(AND(OR(K2642=1,K2642="1"),OR(L2642=1,L2642="1"),OR(M2642=1,M2642="1")),"adequate","partial"),IF(AND(H2642="W4",F2642="predictive",OR(J2642="P2",J2642="P3",J2642="P4")),IF(OR(U2642=1,U2642="1"),"adequate","partial"),INDEX(Fit_Matrix!$B:$B,MATCH(P2642,Fit_Matrix!$A:$A,0)))),"CHECK KEY"))</f>
        <v/>
      </c>
      <c r="U2642" s="10" t="n"/>
      <c r="V2642" s="10" t="n"/>
      <c r="W2642" s="10" t="n"/>
      <c r="X2642" s="10" t="n"/>
      <c r="Y2642" s="10" t="n"/>
      <c r="Z2642" s="10" t="n"/>
      <c r="AA2642" s="11">
        <f>IF(A2642="","",IF(AND(J2642="P4",F2642="causal"),"P4-CAUSAL",""))</f>
        <v/>
      </c>
    </row>
    <row r="2643" ht="15" customHeight="1" s="1">
      <c r="P2643">
        <f>IF(OR(F2643="",H2643="",J2643=""),"",J2643&amp;"|"&amp;F2643&amp;"|"&amp;IF(H2643="W3","W3_"&amp;IF(I2643="","unknown",I2643),H2643))</f>
        <v/>
      </c>
      <c r="Q2643">
        <f>IF(P2643="","",IFERROR(IF(AND(H2643="W7",OR(F2643="causal",F2643="predictive")),IF(AND(OR(K2643=1,K2643="1"),OR(L2643=1,L2643="1"),OR(M2643=1,M2643="1")),"adequate","partial"),IF(AND(H2643="W4",F2643="predictive",OR(J2643="P2",J2643="P3",J2643="P4")),IF(OR(U2643=1,U2643="1"),"adequate","partial"),INDEX(Fit_Matrix!$B:$B,MATCH(P2643,Fit_Matrix!$A:$A,0)))),"CHECK KEY"))</f>
        <v/>
      </c>
      <c r="U2643" s="10" t="n"/>
      <c r="V2643" s="10" t="n"/>
      <c r="W2643" s="10" t="n"/>
      <c r="X2643" s="10" t="n"/>
      <c r="Y2643" s="10" t="n"/>
      <c r="Z2643" s="10" t="n"/>
      <c r="AA2643" s="11">
        <f>IF(A2643="","",IF(AND(J2643="P4",F2643="causal"),"P4-CAUSAL",""))</f>
        <v/>
      </c>
    </row>
    <row r="2644" ht="15" customHeight="1" s="1">
      <c r="P2644">
        <f>IF(OR(F2644="",H2644="",J2644=""),"",J2644&amp;"|"&amp;F2644&amp;"|"&amp;IF(H2644="W3","W3_"&amp;IF(I2644="","unknown",I2644),H2644))</f>
        <v/>
      </c>
      <c r="Q2644">
        <f>IF(P2644="","",IFERROR(IF(AND(H2644="W7",OR(F2644="causal",F2644="predictive")),IF(AND(OR(K2644=1,K2644="1"),OR(L2644=1,L2644="1"),OR(M2644=1,M2644="1")),"adequate","partial"),IF(AND(H2644="W4",F2644="predictive",OR(J2644="P2",J2644="P3",J2644="P4")),IF(OR(U2644=1,U2644="1"),"adequate","partial"),INDEX(Fit_Matrix!$B:$B,MATCH(P2644,Fit_Matrix!$A:$A,0)))),"CHECK KEY"))</f>
        <v/>
      </c>
      <c r="U2644" s="10" t="n"/>
      <c r="V2644" s="10" t="n"/>
      <c r="W2644" s="10" t="n"/>
      <c r="X2644" s="10" t="n"/>
      <c r="Y2644" s="10" t="n"/>
      <c r="Z2644" s="10" t="n"/>
      <c r="AA2644" s="11">
        <f>IF(A2644="","",IF(AND(J2644="P4",F2644="causal"),"P4-CAUSAL",""))</f>
        <v/>
      </c>
    </row>
    <row r="2645" ht="15" customHeight="1" s="1">
      <c r="P2645">
        <f>IF(OR(F2645="",H2645="",J2645=""),"",J2645&amp;"|"&amp;F2645&amp;"|"&amp;IF(H2645="W3","W3_"&amp;IF(I2645="","unknown",I2645),H2645))</f>
        <v/>
      </c>
      <c r="Q2645">
        <f>IF(P2645="","",IFERROR(IF(AND(H2645="W7",OR(F2645="causal",F2645="predictive")),IF(AND(OR(K2645=1,K2645="1"),OR(L2645=1,L2645="1"),OR(M2645=1,M2645="1")),"adequate","partial"),IF(AND(H2645="W4",F2645="predictive",OR(J2645="P2",J2645="P3",J2645="P4")),IF(OR(U2645=1,U2645="1"),"adequate","partial"),INDEX(Fit_Matrix!$B:$B,MATCH(P2645,Fit_Matrix!$A:$A,0)))),"CHECK KEY"))</f>
        <v/>
      </c>
      <c r="U2645" s="10" t="n"/>
      <c r="V2645" s="10" t="n"/>
      <c r="W2645" s="10" t="n"/>
      <c r="X2645" s="10" t="n"/>
      <c r="Y2645" s="10" t="n"/>
      <c r="Z2645" s="10" t="n"/>
      <c r="AA2645" s="11">
        <f>IF(A2645="","",IF(AND(J2645="P4",F2645="causal"),"P4-CAUSAL",""))</f>
        <v/>
      </c>
    </row>
    <row r="2646" ht="15" customHeight="1" s="1">
      <c r="P2646">
        <f>IF(OR(F2646="",H2646="",J2646=""),"",J2646&amp;"|"&amp;F2646&amp;"|"&amp;IF(H2646="W3","W3_"&amp;IF(I2646="","unknown",I2646),H2646))</f>
        <v/>
      </c>
      <c r="Q2646">
        <f>IF(P2646="","",IFERROR(IF(AND(H2646="W7",OR(F2646="causal",F2646="predictive")),IF(AND(OR(K2646=1,K2646="1"),OR(L2646=1,L2646="1"),OR(M2646=1,M2646="1")),"adequate","partial"),IF(AND(H2646="W4",F2646="predictive",OR(J2646="P2",J2646="P3",J2646="P4")),IF(OR(U2646=1,U2646="1"),"adequate","partial"),INDEX(Fit_Matrix!$B:$B,MATCH(P2646,Fit_Matrix!$A:$A,0)))),"CHECK KEY"))</f>
        <v/>
      </c>
      <c r="U2646" s="10" t="n"/>
      <c r="V2646" s="10" t="n"/>
      <c r="W2646" s="10" t="n"/>
      <c r="X2646" s="10" t="n"/>
      <c r="Y2646" s="10" t="n"/>
      <c r="Z2646" s="10" t="n"/>
      <c r="AA2646" s="11">
        <f>IF(A2646="","",IF(AND(J2646="P4",F2646="causal"),"P4-CAUSAL",""))</f>
        <v/>
      </c>
    </row>
    <row r="2647" ht="15" customHeight="1" s="1">
      <c r="P2647">
        <f>IF(OR(F2647="",H2647="",J2647=""),"",J2647&amp;"|"&amp;F2647&amp;"|"&amp;IF(H2647="W3","W3_"&amp;IF(I2647="","unknown",I2647),H2647))</f>
        <v/>
      </c>
      <c r="Q2647">
        <f>IF(P2647="","",IFERROR(IF(AND(H2647="W7",OR(F2647="causal",F2647="predictive")),IF(AND(OR(K2647=1,K2647="1"),OR(L2647=1,L2647="1"),OR(M2647=1,M2647="1")),"adequate","partial"),IF(AND(H2647="W4",F2647="predictive",OR(J2647="P2",J2647="P3",J2647="P4")),IF(OR(U2647=1,U2647="1"),"adequate","partial"),INDEX(Fit_Matrix!$B:$B,MATCH(P2647,Fit_Matrix!$A:$A,0)))),"CHECK KEY"))</f>
        <v/>
      </c>
      <c r="U2647" s="10" t="n"/>
      <c r="V2647" s="10" t="n"/>
      <c r="W2647" s="10" t="n"/>
      <c r="X2647" s="10" t="n"/>
      <c r="Y2647" s="10" t="n"/>
      <c r="Z2647" s="10" t="n"/>
      <c r="AA2647" s="11">
        <f>IF(A2647="","",IF(AND(J2647="P4",F2647="causal"),"P4-CAUSAL",""))</f>
        <v/>
      </c>
    </row>
    <row r="2648" ht="15" customHeight="1" s="1">
      <c r="P2648">
        <f>IF(OR(F2648="",H2648="",J2648=""),"",J2648&amp;"|"&amp;F2648&amp;"|"&amp;IF(H2648="W3","W3_"&amp;IF(I2648="","unknown",I2648),H2648))</f>
        <v/>
      </c>
      <c r="Q2648">
        <f>IF(P2648="","",IFERROR(IF(AND(H2648="W7",OR(F2648="causal",F2648="predictive")),IF(AND(OR(K2648=1,K2648="1"),OR(L2648=1,L2648="1"),OR(M2648=1,M2648="1")),"adequate","partial"),IF(AND(H2648="W4",F2648="predictive",OR(J2648="P2",J2648="P3",J2648="P4")),IF(OR(U2648=1,U2648="1"),"adequate","partial"),INDEX(Fit_Matrix!$B:$B,MATCH(P2648,Fit_Matrix!$A:$A,0)))),"CHECK KEY"))</f>
        <v/>
      </c>
      <c r="U2648" s="10" t="n"/>
      <c r="V2648" s="10" t="n"/>
      <c r="W2648" s="10" t="n"/>
      <c r="X2648" s="10" t="n"/>
      <c r="Y2648" s="10" t="n"/>
      <c r="Z2648" s="10" t="n"/>
      <c r="AA2648" s="11">
        <f>IF(A2648="","",IF(AND(J2648="P4",F2648="causal"),"P4-CAUSAL",""))</f>
        <v/>
      </c>
    </row>
    <row r="2649" ht="15" customHeight="1" s="1">
      <c r="P2649">
        <f>IF(OR(F2649="",H2649="",J2649=""),"",J2649&amp;"|"&amp;F2649&amp;"|"&amp;IF(H2649="W3","W3_"&amp;IF(I2649="","unknown",I2649),H2649))</f>
        <v/>
      </c>
      <c r="Q2649">
        <f>IF(P2649="","",IFERROR(IF(AND(H2649="W7",OR(F2649="causal",F2649="predictive")),IF(AND(OR(K2649=1,K2649="1"),OR(L2649=1,L2649="1"),OR(M2649=1,M2649="1")),"adequate","partial"),IF(AND(H2649="W4",F2649="predictive",OR(J2649="P2",J2649="P3",J2649="P4")),IF(OR(U2649=1,U2649="1"),"adequate","partial"),INDEX(Fit_Matrix!$B:$B,MATCH(P2649,Fit_Matrix!$A:$A,0)))),"CHECK KEY"))</f>
        <v/>
      </c>
      <c r="U2649" s="10" t="n"/>
      <c r="V2649" s="10" t="n"/>
      <c r="W2649" s="10" t="n"/>
      <c r="X2649" s="10" t="n"/>
      <c r="Y2649" s="10" t="n"/>
      <c r="Z2649" s="10" t="n"/>
      <c r="AA2649" s="11">
        <f>IF(A2649="","",IF(AND(J2649="P4",F2649="causal"),"P4-CAUSAL",""))</f>
        <v/>
      </c>
    </row>
    <row r="2650" ht="15" customHeight="1" s="1">
      <c r="P2650">
        <f>IF(OR(F2650="",H2650="",J2650=""),"",J2650&amp;"|"&amp;F2650&amp;"|"&amp;IF(H2650="W3","W3_"&amp;IF(I2650="","unknown",I2650),H2650))</f>
        <v/>
      </c>
      <c r="Q2650">
        <f>IF(P2650="","",IFERROR(IF(AND(H2650="W7",OR(F2650="causal",F2650="predictive")),IF(AND(OR(K2650=1,K2650="1"),OR(L2650=1,L2650="1"),OR(M2650=1,M2650="1")),"adequate","partial"),IF(AND(H2650="W4",F2650="predictive",OR(J2650="P2",J2650="P3",J2650="P4")),IF(OR(U2650=1,U2650="1"),"adequate","partial"),INDEX(Fit_Matrix!$B:$B,MATCH(P2650,Fit_Matrix!$A:$A,0)))),"CHECK KEY"))</f>
        <v/>
      </c>
      <c r="U2650" s="10" t="n"/>
      <c r="V2650" s="10" t="n"/>
      <c r="W2650" s="10" t="n"/>
      <c r="X2650" s="10" t="n"/>
      <c r="Y2650" s="10" t="n"/>
      <c r="Z2650" s="10" t="n"/>
      <c r="AA2650" s="11">
        <f>IF(A2650="","",IF(AND(J2650="P4",F2650="causal"),"P4-CAUSAL",""))</f>
        <v/>
      </c>
    </row>
    <row r="2651" ht="15" customHeight="1" s="1">
      <c r="P2651">
        <f>IF(OR(F2651="",H2651="",J2651=""),"",J2651&amp;"|"&amp;F2651&amp;"|"&amp;IF(H2651="W3","W3_"&amp;IF(I2651="","unknown",I2651),H2651))</f>
        <v/>
      </c>
      <c r="Q2651">
        <f>IF(P2651="","",IFERROR(IF(AND(H2651="W7",OR(F2651="causal",F2651="predictive")),IF(AND(OR(K2651=1,K2651="1"),OR(L2651=1,L2651="1"),OR(M2651=1,M2651="1")),"adequate","partial"),IF(AND(H2651="W4",F2651="predictive",OR(J2651="P2",J2651="P3",J2651="P4")),IF(OR(U2651=1,U2651="1"),"adequate","partial"),INDEX(Fit_Matrix!$B:$B,MATCH(P2651,Fit_Matrix!$A:$A,0)))),"CHECK KEY"))</f>
        <v/>
      </c>
      <c r="U2651" s="10" t="n"/>
      <c r="V2651" s="10" t="n"/>
      <c r="W2651" s="10" t="n"/>
      <c r="X2651" s="10" t="n"/>
      <c r="Y2651" s="10" t="n"/>
      <c r="Z2651" s="10" t="n"/>
      <c r="AA2651" s="11">
        <f>IF(A2651="","",IF(AND(J2651="P4",F2651="causal"),"P4-CAUSAL",""))</f>
        <v/>
      </c>
    </row>
    <row r="2652" ht="15" customHeight="1" s="1">
      <c r="P2652">
        <f>IF(OR(F2652="",H2652="",J2652=""),"",J2652&amp;"|"&amp;F2652&amp;"|"&amp;IF(H2652="W3","W3_"&amp;IF(I2652="","unknown",I2652),H2652))</f>
        <v/>
      </c>
      <c r="Q2652">
        <f>IF(P2652="","",IFERROR(IF(AND(H2652="W7",OR(F2652="causal",F2652="predictive")),IF(AND(OR(K2652=1,K2652="1"),OR(L2652=1,L2652="1"),OR(M2652=1,M2652="1")),"adequate","partial"),IF(AND(H2652="W4",F2652="predictive",OR(J2652="P2",J2652="P3",J2652="P4")),IF(OR(U2652=1,U2652="1"),"adequate","partial"),INDEX(Fit_Matrix!$B:$B,MATCH(P2652,Fit_Matrix!$A:$A,0)))),"CHECK KEY"))</f>
        <v/>
      </c>
      <c r="U2652" s="10" t="n"/>
      <c r="V2652" s="10" t="n"/>
      <c r="W2652" s="10" t="n"/>
      <c r="X2652" s="10" t="n"/>
      <c r="Y2652" s="10" t="n"/>
      <c r="Z2652" s="10" t="n"/>
      <c r="AA2652" s="11">
        <f>IF(A2652="","",IF(AND(J2652="P4",F2652="causal"),"P4-CAUSAL",""))</f>
        <v/>
      </c>
    </row>
    <row r="2653" ht="15" customHeight="1" s="1">
      <c r="P2653">
        <f>IF(OR(F2653="",H2653="",J2653=""),"",J2653&amp;"|"&amp;F2653&amp;"|"&amp;IF(H2653="W3","W3_"&amp;IF(I2653="","unknown",I2653),H2653))</f>
        <v/>
      </c>
      <c r="Q2653">
        <f>IF(P2653="","",IFERROR(IF(AND(H2653="W7",OR(F2653="causal",F2653="predictive")),IF(AND(OR(K2653=1,K2653="1"),OR(L2653=1,L2653="1"),OR(M2653=1,M2653="1")),"adequate","partial"),IF(AND(H2653="W4",F2653="predictive",OR(J2653="P2",J2653="P3",J2653="P4")),IF(OR(U2653=1,U2653="1"),"adequate","partial"),INDEX(Fit_Matrix!$B:$B,MATCH(P2653,Fit_Matrix!$A:$A,0)))),"CHECK KEY"))</f>
        <v/>
      </c>
      <c r="U2653" s="10" t="n"/>
      <c r="V2653" s="10" t="n"/>
      <c r="W2653" s="10" t="n"/>
      <c r="X2653" s="10" t="n"/>
      <c r="Y2653" s="10" t="n"/>
      <c r="Z2653" s="10" t="n"/>
      <c r="AA2653" s="11">
        <f>IF(A2653="","",IF(AND(J2653="P4",F2653="causal"),"P4-CAUSAL",""))</f>
        <v/>
      </c>
    </row>
    <row r="2654" ht="15" customHeight="1" s="1">
      <c r="P2654">
        <f>IF(OR(F2654="",H2654="",J2654=""),"",J2654&amp;"|"&amp;F2654&amp;"|"&amp;IF(H2654="W3","W3_"&amp;IF(I2654="","unknown",I2654),H2654))</f>
        <v/>
      </c>
      <c r="Q2654">
        <f>IF(P2654="","",IFERROR(IF(AND(H2654="W7",OR(F2654="causal",F2654="predictive")),IF(AND(OR(K2654=1,K2654="1"),OR(L2654=1,L2654="1"),OR(M2654=1,M2654="1")),"adequate","partial"),IF(AND(H2654="W4",F2654="predictive",OR(J2654="P2",J2654="P3",J2654="P4")),IF(OR(U2654=1,U2654="1"),"adequate","partial"),INDEX(Fit_Matrix!$B:$B,MATCH(P2654,Fit_Matrix!$A:$A,0)))),"CHECK KEY"))</f>
        <v/>
      </c>
      <c r="U2654" s="10" t="n"/>
      <c r="V2654" s="10" t="n"/>
      <c r="W2654" s="10" t="n"/>
      <c r="X2654" s="10" t="n"/>
      <c r="Y2654" s="10" t="n"/>
      <c r="Z2654" s="10" t="n"/>
      <c r="AA2654" s="11">
        <f>IF(A2654="","",IF(AND(J2654="P4",F2654="causal"),"P4-CAUSAL",""))</f>
        <v/>
      </c>
    </row>
    <row r="2655" ht="15" customHeight="1" s="1">
      <c r="P2655">
        <f>IF(OR(F2655="",H2655="",J2655=""),"",J2655&amp;"|"&amp;F2655&amp;"|"&amp;IF(H2655="W3","W3_"&amp;IF(I2655="","unknown",I2655),H2655))</f>
        <v/>
      </c>
      <c r="Q2655">
        <f>IF(P2655="","",IFERROR(IF(AND(H2655="W7",OR(F2655="causal",F2655="predictive")),IF(AND(OR(K2655=1,K2655="1"),OR(L2655=1,L2655="1"),OR(M2655=1,M2655="1")),"adequate","partial"),IF(AND(H2655="W4",F2655="predictive",OR(J2655="P2",J2655="P3",J2655="P4")),IF(OR(U2655=1,U2655="1"),"adequate","partial"),INDEX(Fit_Matrix!$B:$B,MATCH(P2655,Fit_Matrix!$A:$A,0)))),"CHECK KEY"))</f>
        <v/>
      </c>
      <c r="U2655" s="10" t="n"/>
      <c r="V2655" s="10" t="n"/>
      <c r="W2655" s="10" t="n"/>
      <c r="X2655" s="10" t="n"/>
      <c r="Y2655" s="10" t="n"/>
      <c r="Z2655" s="10" t="n"/>
      <c r="AA2655" s="11">
        <f>IF(A2655="","",IF(AND(J2655="P4",F2655="causal"),"P4-CAUSAL",""))</f>
        <v/>
      </c>
    </row>
    <row r="2656" ht="15" customHeight="1" s="1">
      <c r="P2656">
        <f>IF(OR(F2656="",H2656="",J2656=""),"",J2656&amp;"|"&amp;F2656&amp;"|"&amp;IF(H2656="W3","W3_"&amp;IF(I2656="","unknown",I2656),H2656))</f>
        <v/>
      </c>
      <c r="Q2656">
        <f>IF(P2656="","",IFERROR(IF(AND(H2656="W7",OR(F2656="causal",F2656="predictive")),IF(AND(OR(K2656=1,K2656="1"),OR(L2656=1,L2656="1"),OR(M2656=1,M2656="1")),"adequate","partial"),IF(AND(H2656="W4",F2656="predictive",OR(J2656="P2",J2656="P3",J2656="P4")),IF(OR(U2656=1,U2656="1"),"adequate","partial"),INDEX(Fit_Matrix!$B:$B,MATCH(P2656,Fit_Matrix!$A:$A,0)))),"CHECK KEY"))</f>
        <v/>
      </c>
      <c r="U2656" s="10" t="n"/>
      <c r="V2656" s="10" t="n"/>
      <c r="W2656" s="10" t="n"/>
      <c r="X2656" s="10" t="n"/>
      <c r="Y2656" s="10" t="n"/>
      <c r="Z2656" s="10" t="n"/>
      <c r="AA2656" s="11">
        <f>IF(A2656="","",IF(AND(J2656="P4",F2656="causal"),"P4-CAUSAL",""))</f>
        <v/>
      </c>
    </row>
    <row r="2657" ht="15" customHeight="1" s="1">
      <c r="P2657">
        <f>IF(OR(F2657="",H2657="",J2657=""),"",J2657&amp;"|"&amp;F2657&amp;"|"&amp;IF(H2657="W3","W3_"&amp;IF(I2657="","unknown",I2657),H2657))</f>
        <v/>
      </c>
      <c r="Q2657">
        <f>IF(P2657="","",IFERROR(IF(AND(H2657="W7",OR(F2657="causal",F2657="predictive")),IF(AND(OR(K2657=1,K2657="1"),OR(L2657=1,L2657="1"),OR(M2657=1,M2657="1")),"adequate","partial"),IF(AND(H2657="W4",F2657="predictive",OR(J2657="P2",J2657="P3",J2657="P4")),IF(OR(U2657=1,U2657="1"),"adequate","partial"),INDEX(Fit_Matrix!$B:$B,MATCH(P2657,Fit_Matrix!$A:$A,0)))),"CHECK KEY"))</f>
        <v/>
      </c>
      <c r="U2657" s="10" t="n"/>
      <c r="V2657" s="10" t="n"/>
      <c r="W2657" s="10" t="n"/>
      <c r="X2657" s="10" t="n"/>
      <c r="Y2657" s="10" t="n"/>
      <c r="Z2657" s="10" t="n"/>
      <c r="AA2657" s="11">
        <f>IF(A2657="","",IF(AND(J2657="P4",F2657="causal"),"P4-CAUSAL",""))</f>
        <v/>
      </c>
    </row>
    <row r="2658" ht="15" customHeight="1" s="1">
      <c r="P2658">
        <f>IF(OR(F2658="",H2658="",J2658=""),"",J2658&amp;"|"&amp;F2658&amp;"|"&amp;IF(H2658="W3","W3_"&amp;IF(I2658="","unknown",I2658),H2658))</f>
        <v/>
      </c>
      <c r="Q2658">
        <f>IF(P2658="","",IFERROR(IF(AND(H2658="W7",OR(F2658="causal",F2658="predictive")),IF(AND(OR(K2658=1,K2658="1"),OR(L2658=1,L2658="1"),OR(M2658=1,M2658="1")),"adequate","partial"),IF(AND(H2658="W4",F2658="predictive",OR(J2658="P2",J2658="P3",J2658="P4")),IF(OR(U2658=1,U2658="1"),"adequate","partial"),INDEX(Fit_Matrix!$B:$B,MATCH(P2658,Fit_Matrix!$A:$A,0)))),"CHECK KEY"))</f>
        <v/>
      </c>
      <c r="U2658" s="10" t="n"/>
      <c r="V2658" s="10" t="n"/>
      <c r="W2658" s="10" t="n"/>
      <c r="X2658" s="10" t="n"/>
      <c r="Y2658" s="10" t="n"/>
      <c r="Z2658" s="10" t="n"/>
      <c r="AA2658" s="11">
        <f>IF(A2658="","",IF(AND(J2658="P4",F2658="causal"),"P4-CAUSAL",""))</f>
        <v/>
      </c>
    </row>
    <row r="2659" ht="15" customHeight="1" s="1">
      <c r="P2659">
        <f>IF(OR(F2659="",H2659="",J2659=""),"",J2659&amp;"|"&amp;F2659&amp;"|"&amp;IF(H2659="W3","W3_"&amp;IF(I2659="","unknown",I2659),H2659))</f>
        <v/>
      </c>
      <c r="Q2659">
        <f>IF(P2659="","",IFERROR(IF(AND(H2659="W7",OR(F2659="causal",F2659="predictive")),IF(AND(OR(K2659=1,K2659="1"),OR(L2659=1,L2659="1"),OR(M2659=1,M2659="1")),"adequate","partial"),IF(AND(H2659="W4",F2659="predictive",OR(J2659="P2",J2659="P3",J2659="P4")),IF(OR(U2659=1,U2659="1"),"adequate","partial"),INDEX(Fit_Matrix!$B:$B,MATCH(P2659,Fit_Matrix!$A:$A,0)))),"CHECK KEY"))</f>
        <v/>
      </c>
      <c r="U2659" s="10" t="n"/>
      <c r="V2659" s="10" t="n"/>
      <c r="W2659" s="10" t="n"/>
      <c r="X2659" s="10" t="n"/>
      <c r="Y2659" s="10" t="n"/>
      <c r="Z2659" s="10" t="n"/>
      <c r="AA2659" s="11">
        <f>IF(A2659="","",IF(AND(J2659="P4",F2659="causal"),"P4-CAUSAL",""))</f>
        <v/>
      </c>
    </row>
    <row r="2660" ht="15" customHeight="1" s="1">
      <c r="P2660">
        <f>IF(OR(F2660="",H2660="",J2660=""),"",J2660&amp;"|"&amp;F2660&amp;"|"&amp;IF(H2660="W3","W3_"&amp;IF(I2660="","unknown",I2660),H2660))</f>
        <v/>
      </c>
      <c r="Q2660">
        <f>IF(P2660="","",IFERROR(IF(AND(H2660="W7",OR(F2660="causal",F2660="predictive")),IF(AND(OR(K2660=1,K2660="1"),OR(L2660=1,L2660="1"),OR(M2660=1,M2660="1")),"adequate","partial"),IF(AND(H2660="W4",F2660="predictive",OR(J2660="P2",J2660="P3",J2660="P4")),IF(OR(U2660=1,U2660="1"),"adequate","partial"),INDEX(Fit_Matrix!$B:$B,MATCH(P2660,Fit_Matrix!$A:$A,0)))),"CHECK KEY"))</f>
        <v/>
      </c>
      <c r="U2660" s="10" t="n"/>
      <c r="V2660" s="10" t="n"/>
      <c r="W2660" s="10" t="n"/>
      <c r="X2660" s="10" t="n"/>
      <c r="Y2660" s="10" t="n"/>
      <c r="Z2660" s="10" t="n"/>
      <c r="AA2660" s="11">
        <f>IF(A2660="","",IF(AND(J2660="P4",F2660="causal"),"P4-CAUSAL",""))</f>
        <v/>
      </c>
    </row>
    <row r="2661" ht="15" customHeight="1" s="1">
      <c r="P2661">
        <f>IF(OR(F2661="",H2661="",J2661=""),"",J2661&amp;"|"&amp;F2661&amp;"|"&amp;IF(H2661="W3","W3_"&amp;IF(I2661="","unknown",I2661),H2661))</f>
        <v/>
      </c>
      <c r="Q2661">
        <f>IF(P2661="","",IFERROR(IF(AND(H2661="W7",OR(F2661="causal",F2661="predictive")),IF(AND(OR(K2661=1,K2661="1"),OR(L2661=1,L2661="1"),OR(M2661=1,M2661="1")),"adequate","partial"),IF(AND(H2661="W4",F2661="predictive",OR(J2661="P2",J2661="P3",J2661="P4")),IF(OR(U2661=1,U2661="1"),"adequate","partial"),INDEX(Fit_Matrix!$B:$B,MATCH(P2661,Fit_Matrix!$A:$A,0)))),"CHECK KEY"))</f>
        <v/>
      </c>
      <c r="U2661" s="10" t="n"/>
      <c r="V2661" s="10" t="n"/>
      <c r="W2661" s="10" t="n"/>
      <c r="X2661" s="10" t="n"/>
      <c r="Y2661" s="10" t="n"/>
      <c r="Z2661" s="10" t="n"/>
      <c r="AA2661" s="11">
        <f>IF(A2661="","",IF(AND(J2661="P4",F2661="causal"),"P4-CAUSAL",""))</f>
        <v/>
      </c>
    </row>
    <row r="2662" ht="15" customHeight="1" s="1">
      <c r="P2662">
        <f>IF(OR(F2662="",H2662="",J2662=""),"",J2662&amp;"|"&amp;F2662&amp;"|"&amp;IF(H2662="W3","W3_"&amp;IF(I2662="","unknown",I2662),H2662))</f>
        <v/>
      </c>
      <c r="Q2662">
        <f>IF(P2662="","",IFERROR(IF(AND(H2662="W7",OR(F2662="causal",F2662="predictive")),IF(AND(OR(K2662=1,K2662="1"),OR(L2662=1,L2662="1"),OR(M2662=1,M2662="1")),"adequate","partial"),IF(AND(H2662="W4",F2662="predictive",OR(J2662="P2",J2662="P3",J2662="P4")),IF(OR(U2662=1,U2662="1"),"adequate","partial"),INDEX(Fit_Matrix!$B:$B,MATCH(P2662,Fit_Matrix!$A:$A,0)))),"CHECK KEY"))</f>
        <v/>
      </c>
      <c r="U2662" s="10" t="n"/>
      <c r="V2662" s="10" t="n"/>
      <c r="W2662" s="10" t="n"/>
      <c r="X2662" s="10" t="n"/>
      <c r="Y2662" s="10" t="n"/>
      <c r="Z2662" s="10" t="n"/>
      <c r="AA2662" s="11">
        <f>IF(A2662="","",IF(AND(J2662="P4",F2662="causal"),"P4-CAUSAL",""))</f>
        <v/>
      </c>
    </row>
    <row r="2663" ht="15" customHeight="1" s="1">
      <c r="P2663">
        <f>IF(OR(F2663="",H2663="",J2663=""),"",J2663&amp;"|"&amp;F2663&amp;"|"&amp;IF(H2663="W3","W3_"&amp;IF(I2663="","unknown",I2663),H2663))</f>
        <v/>
      </c>
      <c r="Q2663">
        <f>IF(P2663="","",IFERROR(IF(AND(H2663="W7",OR(F2663="causal",F2663="predictive")),IF(AND(OR(K2663=1,K2663="1"),OR(L2663=1,L2663="1"),OR(M2663=1,M2663="1")),"adequate","partial"),IF(AND(H2663="W4",F2663="predictive",OR(J2663="P2",J2663="P3",J2663="P4")),IF(OR(U2663=1,U2663="1"),"adequate","partial"),INDEX(Fit_Matrix!$B:$B,MATCH(P2663,Fit_Matrix!$A:$A,0)))),"CHECK KEY"))</f>
        <v/>
      </c>
      <c r="U2663" s="10" t="n"/>
      <c r="V2663" s="10" t="n"/>
      <c r="W2663" s="10" t="n"/>
      <c r="X2663" s="10" t="n"/>
      <c r="Y2663" s="10" t="n"/>
      <c r="Z2663" s="10" t="n"/>
      <c r="AA2663" s="11">
        <f>IF(A2663="","",IF(AND(J2663="P4",F2663="causal"),"P4-CAUSAL",""))</f>
        <v/>
      </c>
    </row>
    <row r="2664" ht="15" customHeight="1" s="1">
      <c r="P2664">
        <f>IF(OR(F2664="",H2664="",J2664=""),"",J2664&amp;"|"&amp;F2664&amp;"|"&amp;IF(H2664="W3","W3_"&amp;IF(I2664="","unknown",I2664),H2664))</f>
        <v/>
      </c>
      <c r="Q2664">
        <f>IF(P2664="","",IFERROR(IF(AND(H2664="W7",OR(F2664="causal",F2664="predictive")),IF(AND(OR(K2664=1,K2664="1"),OR(L2664=1,L2664="1"),OR(M2664=1,M2664="1")),"adequate","partial"),IF(AND(H2664="W4",F2664="predictive",OR(J2664="P2",J2664="P3",J2664="P4")),IF(OR(U2664=1,U2664="1"),"adequate","partial"),INDEX(Fit_Matrix!$B:$B,MATCH(P2664,Fit_Matrix!$A:$A,0)))),"CHECK KEY"))</f>
        <v/>
      </c>
      <c r="U2664" s="10" t="n"/>
      <c r="V2664" s="10" t="n"/>
      <c r="W2664" s="10" t="n"/>
      <c r="X2664" s="10" t="n"/>
      <c r="Y2664" s="10" t="n"/>
      <c r="Z2664" s="10" t="n"/>
      <c r="AA2664" s="11">
        <f>IF(A2664="","",IF(AND(J2664="P4",F2664="causal"),"P4-CAUSAL",""))</f>
        <v/>
      </c>
    </row>
    <row r="2665" ht="15" customHeight="1" s="1">
      <c r="P2665">
        <f>IF(OR(F2665="",H2665="",J2665=""),"",J2665&amp;"|"&amp;F2665&amp;"|"&amp;IF(H2665="W3","W3_"&amp;IF(I2665="","unknown",I2665),H2665))</f>
        <v/>
      </c>
      <c r="Q2665">
        <f>IF(P2665="","",IFERROR(IF(AND(H2665="W7",OR(F2665="causal",F2665="predictive")),IF(AND(OR(K2665=1,K2665="1"),OR(L2665=1,L2665="1"),OR(M2665=1,M2665="1")),"adequate","partial"),IF(AND(H2665="W4",F2665="predictive",OR(J2665="P2",J2665="P3",J2665="P4")),IF(OR(U2665=1,U2665="1"),"adequate","partial"),INDEX(Fit_Matrix!$B:$B,MATCH(P2665,Fit_Matrix!$A:$A,0)))),"CHECK KEY"))</f>
        <v/>
      </c>
      <c r="U2665" s="10" t="n"/>
      <c r="V2665" s="10" t="n"/>
      <c r="W2665" s="10" t="n"/>
      <c r="X2665" s="10" t="n"/>
      <c r="Y2665" s="10" t="n"/>
      <c r="Z2665" s="10" t="n"/>
      <c r="AA2665" s="11">
        <f>IF(A2665="","",IF(AND(J2665="P4",F2665="causal"),"P4-CAUSAL",""))</f>
        <v/>
      </c>
    </row>
    <row r="2666" ht="15" customHeight="1" s="1">
      <c r="P2666">
        <f>IF(OR(F2666="",H2666="",J2666=""),"",J2666&amp;"|"&amp;F2666&amp;"|"&amp;IF(H2666="W3","W3_"&amp;IF(I2666="","unknown",I2666),H2666))</f>
        <v/>
      </c>
      <c r="Q2666">
        <f>IF(P2666="","",IFERROR(IF(AND(H2666="W7",OR(F2666="causal",F2666="predictive")),IF(AND(OR(K2666=1,K2666="1"),OR(L2666=1,L2666="1"),OR(M2666=1,M2666="1")),"adequate","partial"),IF(AND(H2666="W4",F2666="predictive",OR(J2666="P2",J2666="P3",J2666="P4")),IF(OR(U2666=1,U2666="1"),"adequate","partial"),INDEX(Fit_Matrix!$B:$B,MATCH(P2666,Fit_Matrix!$A:$A,0)))),"CHECK KEY"))</f>
        <v/>
      </c>
      <c r="U2666" s="10" t="n"/>
      <c r="V2666" s="10" t="n"/>
      <c r="W2666" s="10" t="n"/>
      <c r="X2666" s="10" t="n"/>
      <c r="Y2666" s="10" t="n"/>
      <c r="Z2666" s="10" t="n"/>
      <c r="AA2666" s="11">
        <f>IF(A2666="","",IF(AND(J2666="P4",F2666="causal"),"P4-CAUSAL",""))</f>
        <v/>
      </c>
    </row>
    <row r="2667" ht="15" customHeight="1" s="1">
      <c r="P2667">
        <f>IF(OR(F2667="",H2667="",J2667=""),"",J2667&amp;"|"&amp;F2667&amp;"|"&amp;IF(H2667="W3","W3_"&amp;IF(I2667="","unknown",I2667),H2667))</f>
        <v/>
      </c>
      <c r="Q2667">
        <f>IF(P2667="","",IFERROR(IF(AND(H2667="W7",OR(F2667="causal",F2667="predictive")),IF(AND(OR(K2667=1,K2667="1"),OR(L2667=1,L2667="1"),OR(M2667=1,M2667="1")),"adequate","partial"),IF(AND(H2667="W4",F2667="predictive",OR(J2667="P2",J2667="P3",J2667="P4")),IF(OR(U2667=1,U2667="1"),"adequate","partial"),INDEX(Fit_Matrix!$B:$B,MATCH(P2667,Fit_Matrix!$A:$A,0)))),"CHECK KEY"))</f>
        <v/>
      </c>
      <c r="U2667" s="10" t="n"/>
      <c r="V2667" s="10" t="n"/>
      <c r="W2667" s="10" t="n"/>
      <c r="X2667" s="10" t="n"/>
      <c r="Y2667" s="10" t="n"/>
      <c r="Z2667" s="10" t="n"/>
      <c r="AA2667" s="11">
        <f>IF(A2667="","",IF(AND(J2667="P4",F2667="causal"),"P4-CAUSAL",""))</f>
        <v/>
      </c>
    </row>
    <row r="2668" ht="15" customHeight="1" s="1">
      <c r="P2668">
        <f>IF(OR(F2668="",H2668="",J2668=""),"",J2668&amp;"|"&amp;F2668&amp;"|"&amp;IF(H2668="W3","W3_"&amp;IF(I2668="","unknown",I2668),H2668))</f>
        <v/>
      </c>
      <c r="Q2668">
        <f>IF(P2668="","",IFERROR(IF(AND(H2668="W7",OR(F2668="causal",F2668="predictive")),IF(AND(OR(K2668=1,K2668="1"),OR(L2668=1,L2668="1"),OR(M2668=1,M2668="1")),"adequate","partial"),IF(AND(H2668="W4",F2668="predictive",OR(J2668="P2",J2668="P3",J2668="P4")),IF(OR(U2668=1,U2668="1"),"adequate","partial"),INDEX(Fit_Matrix!$B:$B,MATCH(P2668,Fit_Matrix!$A:$A,0)))),"CHECK KEY"))</f>
        <v/>
      </c>
      <c r="U2668" s="10" t="n"/>
      <c r="V2668" s="10" t="n"/>
      <c r="W2668" s="10" t="n"/>
      <c r="X2668" s="10" t="n"/>
      <c r="Y2668" s="10" t="n"/>
      <c r="Z2668" s="10" t="n"/>
      <c r="AA2668" s="11">
        <f>IF(A2668="","",IF(AND(J2668="P4",F2668="causal"),"P4-CAUSAL",""))</f>
        <v/>
      </c>
    </row>
    <row r="2669" ht="15" customHeight="1" s="1">
      <c r="P2669">
        <f>IF(OR(F2669="",H2669="",J2669=""),"",J2669&amp;"|"&amp;F2669&amp;"|"&amp;IF(H2669="W3","W3_"&amp;IF(I2669="","unknown",I2669),H2669))</f>
        <v/>
      </c>
      <c r="Q2669">
        <f>IF(P2669="","",IFERROR(IF(AND(H2669="W7",OR(F2669="causal",F2669="predictive")),IF(AND(OR(K2669=1,K2669="1"),OR(L2669=1,L2669="1"),OR(M2669=1,M2669="1")),"adequate","partial"),IF(AND(H2669="W4",F2669="predictive",OR(J2669="P2",J2669="P3",J2669="P4")),IF(OR(U2669=1,U2669="1"),"adequate","partial"),INDEX(Fit_Matrix!$B:$B,MATCH(P2669,Fit_Matrix!$A:$A,0)))),"CHECK KEY"))</f>
        <v/>
      </c>
      <c r="U2669" s="10" t="n"/>
      <c r="V2669" s="10" t="n"/>
      <c r="W2669" s="10" t="n"/>
      <c r="X2669" s="10" t="n"/>
      <c r="Y2669" s="10" t="n"/>
      <c r="Z2669" s="10" t="n"/>
      <c r="AA2669" s="11">
        <f>IF(A2669="","",IF(AND(J2669="P4",F2669="causal"),"P4-CAUSAL",""))</f>
        <v/>
      </c>
    </row>
    <row r="2670" ht="15" customHeight="1" s="1">
      <c r="P2670">
        <f>IF(OR(F2670="",H2670="",J2670=""),"",J2670&amp;"|"&amp;F2670&amp;"|"&amp;IF(H2670="W3","W3_"&amp;IF(I2670="","unknown",I2670),H2670))</f>
        <v/>
      </c>
      <c r="Q2670">
        <f>IF(P2670="","",IFERROR(IF(AND(H2670="W7",OR(F2670="causal",F2670="predictive")),IF(AND(OR(K2670=1,K2670="1"),OR(L2670=1,L2670="1"),OR(M2670=1,M2670="1")),"adequate","partial"),IF(AND(H2670="W4",F2670="predictive",OR(J2670="P2",J2670="P3",J2670="P4")),IF(OR(U2670=1,U2670="1"),"adequate","partial"),INDEX(Fit_Matrix!$B:$B,MATCH(P2670,Fit_Matrix!$A:$A,0)))),"CHECK KEY"))</f>
        <v/>
      </c>
      <c r="U2670" s="10" t="n"/>
      <c r="V2670" s="10" t="n"/>
      <c r="W2670" s="10" t="n"/>
      <c r="X2670" s="10" t="n"/>
      <c r="Y2670" s="10" t="n"/>
      <c r="Z2670" s="10" t="n"/>
      <c r="AA2670" s="11">
        <f>IF(A2670="","",IF(AND(J2670="P4",F2670="causal"),"P4-CAUSAL",""))</f>
        <v/>
      </c>
    </row>
    <row r="2671" ht="15" customHeight="1" s="1">
      <c r="P2671">
        <f>IF(OR(F2671="",H2671="",J2671=""),"",J2671&amp;"|"&amp;F2671&amp;"|"&amp;IF(H2671="W3","W3_"&amp;IF(I2671="","unknown",I2671),H2671))</f>
        <v/>
      </c>
      <c r="Q2671">
        <f>IF(P2671="","",IFERROR(IF(AND(H2671="W7",OR(F2671="causal",F2671="predictive")),IF(AND(OR(K2671=1,K2671="1"),OR(L2671=1,L2671="1"),OR(M2671=1,M2671="1")),"adequate","partial"),IF(AND(H2671="W4",F2671="predictive",OR(J2671="P2",J2671="P3",J2671="P4")),IF(OR(U2671=1,U2671="1"),"adequate","partial"),INDEX(Fit_Matrix!$B:$B,MATCH(P2671,Fit_Matrix!$A:$A,0)))),"CHECK KEY"))</f>
        <v/>
      </c>
      <c r="U2671" s="10" t="n"/>
      <c r="V2671" s="10" t="n"/>
      <c r="W2671" s="10" t="n"/>
      <c r="X2671" s="10" t="n"/>
      <c r="Y2671" s="10" t="n"/>
      <c r="Z2671" s="10" t="n"/>
      <c r="AA2671" s="11">
        <f>IF(A2671="","",IF(AND(J2671="P4",F2671="causal"),"P4-CAUSAL",""))</f>
        <v/>
      </c>
    </row>
    <row r="2672" ht="15" customHeight="1" s="1">
      <c r="P2672">
        <f>IF(OR(F2672="",H2672="",J2672=""),"",J2672&amp;"|"&amp;F2672&amp;"|"&amp;IF(H2672="W3","W3_"&amp;IF(I2672="","unknown",I2672),H2672))</f>
        <v/>
      </c>
      <c r="Q2672">
        <f>IF(P2672="","",IFERROR(IF(AND(H2672="W7",OR(F2672="causal",F2672="predictive")),IF(AND(OR(K2672=1,K2672="1"),OR(L2672=1,L2672="1"),OR(M2672=1,M2672="1")),"adequate","partial"),IF(AND(H2672="W4",F2672="predictive",OR(J2672="P2",J2672="P3",J2672="P4")),IF(OR(U2672=1,U2672="1"),"adequate","partial"),INDEX(Fit_Matrix!$B:$B,MATCH(P2672,Fit_Matrix!$A:$A,0)))),"CHECK KEY"))</f>
        <v/>
      </c>
      <c r="U2672" s="10" t="n"/>
      <c r="V2672" s="10" t="n"/>
      <c r="W2672" s="10" t="n"/>
      <c r="X2672" s="10" t="n"/>
      <c r="Y2672" s="10" t="n"/>
      <c r="Z2672" s="10" t="n"/>
      <c r="AA2672" s="11">
        <f>IF(A2672="","",IF(AND(J2672="P4",F2672="causal"),"P4-CAUSAL",""))</f>
        <v/>
      </c>
    </row>
    <row r="2673" ht="15" customHeight="1" s="1">
      <c r="P2673">
        <f>IF(OR(F2673="",H2673="",J2673=""),"",J2673&amp;"|"&amp;F2673&amp;"|"&amp;IF(H2673="W3","W3_"&amp;IF(I2673="","unknown",I2673),H2673))</f>
        <v/>
      </c>
      <c r="Q2673">
        <f>IF(P2673="","",IFERROR(IF(AND(H2673="W7",OR(F2673="causal",F2673="predictive")),IF(AND(OR(K2673=1,K2673="1"),OR(L2673=1,L2673="1"),OR(M2673=1,M2673="1")),"adequate","partial"),IF(AND(H2673="W4",F2673="predictive",OR(J2673="P2",J2673="P3",J2673="P4")),IF(OR(U2673=1,U2673="1"),"adequate","partial"),INDEX(Fit_Matrix!$B:$B,MATCH(P2673,Fit_Matrix!$A:$A,0)))),"CHECK KEY"))</f>
        <v/>
      </c>
      <c r="U2673" s="10" t="n"/>
      <c r="V2673" s="10" t="n"/>
      <c r="W2673" s="10" t="n"/>
      <c r="X2673" s="10" t="n"/>
      <c r="Y2673" s="10" t="n"/>
      <c r="Z2673" s="10" t="n"/>
      <c r="AA2673" s="11">
        <f>IF(A2673="","",IF(AND(J2673="P4",F2673="causal"),"P4-CAUSAL",""))</f>
        <v/>
      </c>
    </row>
    <row r="2674" ht="15" customHeight="1" s="1">
      <c r="P2674">
        <f>IF(OR(F2674="",H2674="",J2674=""),"",J2674&amp;"|"&amp;F2674&amp;"|"&amp;IF(H2674="W3","W3_"&amp;IF(I2674="","unknown",I2674),H2674))</f>
        <v/>
      </c>
      <c r="Q2674">
        <f>IF(P2674="","",IFERROR(IF(AND(H2674="W7",OR(F2674="causal",F2674="predictive")),IF(AND(OR(K2674=1,K2674="1"),OR(L2674=1,L2674="1"),OR(M2674=1,M2674="1")),"adequate","partial"),IF(AND(H2674="W4",F2674="predictive",OR(J2674="P2",J2674="P3",J2674="P4")),IF(OR(U2674=1,U2674="1"),"adequate","partial"),INDEX(Fit_Matrix!$B:$B,MATCH(P2674,Fit_Matrix!$A:$A,0)))),"CHECK KEY"))</f>
        <v/>
      </c>
      <c r="U2674" s="10" t="n"/>
      <c r="V2674" s="10" t="n"/>
      <c r="W2674" s="10" t="n"/>
      <c r="X2674" s="10" t="n"/>
      <c r="Y2674" s="10" t="n"/>
      <c r="Z2674" s="10" t="n"/>
      <c r="AA2674" s="11">
        <f>IF(A2674="","",IF(AND(J2674="P4",F2674="causal"),"P4-CAUSAL",""))</f>
        <v/>
      </c>
    </row>
    <row r="2675" ht="15" customHeight="1" s="1">
      <c r="P2675">
        <f>IF(OR(F2675="",H2675="",J2675=""),"",J2675&amp;"|"&amp;F2675&amp;"|"&amp;IF(H2675="W3","W3_"&amp;IF(I2675="","unknown",I2675),H2675))</f>
        <v/>
      </c>
      <c r="Q2675">
        <f>IF(P2675="","",IFERROR(IF(AND(H2675="W7",OR(F2675="causal",F2675="predictive")),IF(AND(OR(K2675=1,K2675="1"),OR(L2675=1,L2675="1"),OR(M2675=1,M2675="1")),"adequate","partial"),IF(AND(H2675="W4",F2675="predictive",OR(J2675="P2",J2675="P3",J2675="P4")),IF(OR(U2675=1,U2675="1"),"adequate","partial"),INDEX(Fit_Matrix!$B:$B,MATCH(P2675,Fit_Matrix!$A:$A,0)))),"CHECK KEY"))</f>
        <v/>
      </c>
      <c r="U2675" s="10" t="n"/>
      <c r="V2675" s="10" t="n"/>
      <c r="W2675" s="10" t="n"/>
      <c r="X2675" s="10" t="n"/>
      <c r="Y2675" s="10" t="n"/>
      <c r="Z2675" s="10" t="n"/>
      <c r="AA2675" s="11">
        <f>IF(A2675="","",IF(AND(J2675="P4",F2675="causal"),"P4-CAUSAL",""))</f>
        <v/>
      </c>
    </row>
    <row r="2676" ht="15" customHeight="1" s="1">
      <c r="P2676">
        <f>IF(OR(F2676="",H2676="",J2676=""),"",J2676&amp;"|"&amp;F2676&amp;"|"&amp;IF(H2676="W3","W3_"&amp;IF(I2676="","unknown",I2676),H2676))</f>
        <v/>
      </c>
      <c r="Q2676">
        <f>IF(P2676="","",IFERROR(IF(AND(H2676="W7",OR(F2676="causal",F2676="predictive")),IF(AND(OR(K2676=1,K2676="1"),OR(L2676=1,L2676="1"),OR(M2676=1,M2676="1")),"adequate","partial"),IF(AND(H2676="W4",F2676="predictive",OR(J2676="P2",J2676="P3",J2676="P4")),IF(OR(U2676=1,U2676="1"),"adequate","partial"),INDEX(Fit_Matrix!$B:$B,MATCH(P2676,Fit_Matrix!$A:$A,0)))),"CHECK KEY"))</f>
        <v/>
      </c>
      <c r="U2676" s="10" t="n"/>
      <c r="V2676" s="10" t="n"/>
      <c r="W2676" s="10" t="n"/>
      <c r="X2676" s="10" t="n"/>
      <c r="Y2676" s="10" t="n"/>
      <c r="Z2676" s="10" t="n"/>
      <c r="AA2676" s="11">
        <f>IF(A2676="","",IF(AND(J2676="P4",F2676="causal"),"P4-CAUSAL",""))</f>
        <v/>
      </c>
    </row>
    <row r="2677" ht="15" customHeight="1" s="1">
      <c r="P2677">
        <f>IF(OR(F2677="",H2677="",J2677=""),"",J2677&amp;"|"&amp;F2677&amp;"|"&amp;IF(H2677="W3","W3_"&amp;IF(I2677="","unknown",I2677),H2677))</f>
        <v/>
      </c>
      <c r="Q2677">
        <f>IF(P2677="","",IFERROR(IF(AND(H2677="W7",OR(F2677="causal",F2677="predictive")),IF(AND(OR(K2677=1,K2677="1"),OR(L2677=1,L2677="1"),OR(M2677=1,M2677="1")),"adequate","partial"),IF(AND(H2677="W4",F2677="predictive",OR(J2677="P2",J2677="P3",J2677="P4")),IF(OR(U2677=1,U2677="1"),"adequate","partial"),INDEX(Fit_Matrix!$B:$B,MATCH(P2677,Fit_Matrix!$A:$A,0)))),"CHECK KEY"))</f>
        <v/>
      </c>
      <c r="U2677" s="10" t="n"/>
      <c r="V2677" s="10" t="n"/>
      <c r="W2677" s="10" t="n"/>
      <c r="X2677" s="10" t="n"/>
      <c r="Y2677" s="10" t="n"/>
      <c r="Z2677" s="10" t="n"/>
      <c r="AA2677" s="11">
        <f>IF(A2677="","",IF(AND(J2677="P4",F2677="causal"),"P4-CAUSAL",""))</f>
        <v/>
      </c>
    </row>
    <row r="2678" ht="15" customHeight="1" s="1">
      <c r="P2678">
        <f>IF(OR(F2678="",H2678="",J2678=""),"",J2678&amp;"|"&amp;F2678&amp;"|"&amp;IF(H2678="W3","W3_"&amp;IF(I2678="","unknown",I2678),H2678))</f>
        <v/>
      </c>
      <c r="Q2678">
        <f>IF(P2678="","",IFERROR(IF(AND(H2678="W7",OR(F2678="causal",F2678="predictive")),IF(AND(OR(K2678=1,K2678="1"),OR(L2678=1,L2678="1"),OR(M2678=1,M2678="1")),"adequate","partial"),IF(AND(H2678="W4",F2678="predictive",OR(J2678="P2",J2678="P3",J2678="P4")),IF(OR(U2678=1,U2678="1"),"adequate","partial"),INDEX(Fit_Matrix!$B:$B,MATCH(P2678,Fit_Matrix!$A:$A,0)))),"CHECK KEY"))</f>
        <v/>
      </c>
      <c r="U2678" s="10" t="n"/>
      <c r="V2678" s="10" t="n"/>
      <c r="W2678" s="10" t="n"/>
      <c r="X2678" s="10" t="n"/>
      <c r="Y2678" s="10" t="n"/>
      <c r="Z2678" s="10" t="n"/>
      <c r="AA2678" s="11">
        <f>IF(A2678="","",IF(AND(J2678="P4",F2678="causal"),"P4-CAUSAL",""))</f>
        <v/>
      </c>
    </row>
    <row r="2679" ht="15" customHeight="1" s="1">
      <c r="P2679">
        <f>IF(OR(F2679="",H2679="",J2679=""),"",J2679&amp;"|"&amp;F2679&amp;"|"&amp;IF(H2679="W3","W3_"&amp;IF(I2679="","unknown",I2679),H2679))</f>
        <v/>
      </c>
      <c r="Q2679">
        <f>IF(P2679="","",IFERROR(IF(AND(H2679="W7",OR(F2679="causal",F2679="predictive")),IF(AND(OR(K2679=1,K2679="1"),OR(L2679=1,L2679="1"),OR(M2679=1,M2679="1")),"adequate","partial"),IF(AND(H2679="W4",F2679="predictive",OR(J2679="P2",J2679="P3",J2679="P4")),IF(OR(U2679=1,U2679="1"),"adequate","partial"),INDEX(Fit_Matrix!$B:$B,MATCH(P2679,Fit_Matrix!$A:$A,0)))),"CHECK KEY"))</f>
        <v/>
      </c>
      <c r="U2679" s="10" t="n"/>
      <c r="V2679" s="10" t="n"/>
      <c r="W2679" s="10" t="n"/>
      <c r="X2679" s="10" t="n"/>
      <c r="Y2679" s="10" t="n"/>
      <c r="Z2679" s="10" t="n"/>
      <c r="AA2679" s="11">
        <f>IF(A2679="","",IF(AND(J2679="P4",F2679="causal"),"P4-CAUSAL",""))</f>
        <v/>
      </c>
    </row>
    <row r="2680" ht="15" customHeight="1" s="1">
      <c r="P2680">
        <f>IF(OR(F2680="",H2680="",J2680=""),"",J2680&amp;"|"&amp;F2680&amp;"|"&amp;IF(H2680="W3","W3_"&amp;IF(I2680="","unknown",I2680),H2680))</f>
        <v/>
      </c>
      <c r="Q2680">
        <f>IF(P2680="","",IFERROR(IF(AND(H2680="W7",OR(F2680="causal",F2680="predictive")),IF(AND(OR(K2680=1,K2680="1"),OR(L2680=1,L2680="1"),OR(M2680=1,M2680="1")),"adequate","partial"),IF(AND(H2680="W4",F2680="predictive",OR(J2680="P2",J2680="P3",J2680="P4")),IF(OR(U2680=1,U2680="1"),"adequate","partial"),INDEX(Fit_Matrix!$B:$B,MATCH(P2680,Fit_Matrix!$A:$A,0)))),"CHECK KEY"))</f>
        <v/>
      </c>
      <c r="U2680" s="10" t="n"/>
      <c r="V2680" s="10" t="n"/>
      <c r="W2680" s="10" t="n"/>
      <c r="X2680" s="10" t="n"/>
      <c r="Y2680" s="10" t="n"/>
      <c r="Z2680" s="10" t="n"/>
      <c r="AA2680" s="11">
        <f>IF(A2680="","",IF(AND(J2680="P4",F2680="causal"),"P4-CAUSAL",""))</f>
        <v/>
      </c>
    </row>
    <row r="2681" ht="15" customHeight="1" s="1">
      <c r="P2681">
        <f>IF(OR(F2681="",H2681="",J2681=""),"",J2681&amp;"|"&amp;F2681&amp;"|"&amp;IF(H2681="W3","W3_"&amp;IF(I2681="","unknown",I2681),H2681))</f>
        <v/>
      </c>
      <c r="Q2681">
        <f>IF(P2681="","",IFERROR(IF(AND(H2681="W7",OR(F2681="causal",F2681="predictive")),IF(AND(OR(K2681=1,K2681="1"),OR(L2681=1,L2681="1"),OR(M2681=1,M2681="1")),"adequate","partial"),IF(AND(H2681="W4",F2681="predictive",OR(J2681="P2",J2681="P3",J2681="P4")),IF(OR(U2681=1,U2681="1"),"adequate","partial"),INDEX(Fit_Matrix!$B:$B,MATCH(P2681,Fit_Matrix!$A:$A,0)))),"CHECK KEY"))</f>
        <v/>
      </c>
      <c r="U2681" s="10" t="n"/>
      <c r="V2681" s="10" t="n"/>
      <c r="W2681" s="10" t="n"/>
      <c r="X2681" s="10" t="n"/>
      <c r="Y2681" s="10" t="n"/>
      <c r="Z2681" s="10" t="n"/>
      <c r="AA2681" s="11">
        <f>IF(A2681="","",IF(AND(J2681="P4",F2681="causal"),"P4-CAUSAL",""))</f>
        <v/>
      </c>
    </row>
    <row r="2682" ht="15" customHeight="1" s="1">
      <c r="P2682">
        <f>IF(OR(F2682="",H2682="",J2682=""),"",J2682&amp;"|"&amp;F2682&amp;"|"&amp;IF(H2682="W3","W3_"&amp;IF(I2682="","unknown",I2682),H2682))</f>
        <v/>
      </c>
      <c r="Q2682">
        <f>IF(P2682="","",IFERROR(IF(AND(H2682="W7",OR(F2682="causal",F2682="predictive")),IF(AND(OR(K2682=1,K2682="1"),OR(L2682=1,L2682="1"),OR(M2682=1,M2682="1")),"adequate","partial"),IF(AND(H2682="W4",F2682="predictive",OR(J2682="P2",J2682="P3",J2682="P4")),IF(OR(U2682=1,U2682="1"),"adequate","partial"),INDEX(Fit_Matrix!$B:$B,MATCH(P2682,Fit_Matrix!$A:$A,0)))),"CHECK KEY"))</f>
        <v/>
      </c>
      <c r="U2682" s="10" t="n"/>
      <c r="V2682" s="10" t="n"/>
      <c r="W2682" s="10" t="n"/>
      <c r="X2682" s="10" t="n"/>
      <c r="Y2682" s="10" t="n"/>
      <c r="Z2682" s="10" t="n"/>
      <c r="AA2682" s="11">
        <f>IF(A2682="","",IF(AND(J2682="P4",F2682="causal"),"P4-CAUSAL",""))</f>
        <v/>
      </c>
    </row>
    <row r="2683" ht="15" customHeight="1" s="1">
      <c r="P2683">
        <f>IF(OR(F2683="",H2683="",J2683=""),"",J2683&amp;"|"&amp;F2683&amp;"|"&amp;IF(H2683="W3","W3_"&amp;IF(I2683="","unknown",I2683),H2683))</f>
        <v/>
      </c>
      <c r="Q2683">
        <f>IF(P2683="","",IFERROR(IF(AND(H2683="W7",OR(F2683="causal",F2683="predictive")),IF(AND(OR(K2683=1,K2683="1"),OR(L2683=1,L2683="1"),OR(M2683=1,M2683="1")),"adequate","partial"),IF(AND(H2683="W4",F2683="predictive",OR(J2683="P2",J2683="P3",J2683="P4")),IF(OR(U2683=1,U2683="1"),"adequate","partial"),INDEX(Fit_Matrix!$B:$B,MATCH(P2683,Fit_Matrix!$A:$A,0)))),"CHECK KEY"))</f>
        <v/>
      </c>
      <c r="U2683" s="10" t="n"/>
      <c r="V2683" s="10" t="n"/>
      <c r="W2683" s="10" t="n"/>
      <c r="X2683" s="10" t="n"/>
      <c r="Y2683" s="10" t="n"/>
      <c r="Z2683" s="10" t="n"/>
      <c r="AA2683" s="11">
        <f>IF(A2683="","",IF(AND(J2683="P4",F2683="causal"),"P4-CAUSAL",""))</f>
        <v/>
      </c>
    </row>
    <row r="2684" ht="15" customHeight="1" s="1">
      <c r="P2684">
        <f>IF(OR(F2684="",H2684="",J2684=""),"",J2684&amp;"|"&amp;F2684&amp;"|"&amp;IF(H2684="W3","W3_"&amp;IF(I2684="","unknown",I2684),H2684))</f>
        <v/>
      </c>
      <c r="Q2684">
        <f>IF(P2684="","",IFERROR(IF(AND(H2684="W7",OR(F2684="causal",F2684="predictive")),IF(AND(OR(K2684=1,K2684="1"),OR(L2684=1,L2684="1"),OR(M2684=1,M2684="1")),"adequate","partial"),IF(AND(H2684="W4",F2684="predictive",OR(J2684="P2",J2684="P3",J2684="P4")),IF(OR(U2684=1,U2684="1"),"adequate","partial"),INDEX(Fit_Matrix!$B:$B,MATCH(P2684,Fit_Matrix!$A:$A,0)))),"CHECK KEY"))</f>
        <v/>
      </c>
      <c r="U2684" s="10" t="n"/>
      <c r="V2684" s="10" t="n"/>
      <c r="W2684" s="10" t="n"/>
      <c r="X2684" s="10" t="n"/>
      <c r="Y2684" s="10" t="n"/>
      <c r="Z2684" s="10" t="n"/>
      <c r="AA2684" s="11">
        <f>IF(A2684="","",IF(AND(J2684="P4",F2684="causal"),"P4-CAUSAL",""))</f>
        <v/>
      </c>
    </row>
    <row r="2685" ht="15" customHeight="1" s="1">
      <c r="P2685">
        <f>IF(OR(F2685="",H2685="",J2685=""),"",J2685&amp;"|"&amp;F2685&amp;"|"&amp;IF(H2685="W3","W3_"&amp;IF(I2685="","unknown",I2685),H2685))</f>
        <v/>
      </c>
      <c r="Q2685">
        <f>IF(P2685="","",IFERROR(IF(AND(H2685="W7",OR(F2685="causal",F2685="predictive")),IF(AND(OR(K2685=1,K2685="1"),OR(L2685=1,L2685="1"),OR(M2685=1,M2685="1")),"adequate","partial"),IF(AND(H2685="W4",F2685="predictive",OR(J2685="P2",J2685="P3",J2685="P4")),IF(OR(U2685=1,U2685="1"),"adequate","partial"),INDEX(Fit_Matrix!$B:$B,MATCH(P2685,Fit_Matrix!$A:$A,0)))),"CHECK KEY"))</f>
        <v/>
      </c>
      <c r="U2685" s="10" t="n"/>
      <c r="V2685" s="10" t="n"/>
      <c r="W2685" s="10" t="n"/>
      <c r="X2685" s="10" t="n"/>
      <c r="Y2685" s="10" t="n"/>
      <c r="Z2685" s="10" t="n"/>
      <c r="AA2685" s="11">
        <f>IF(A2685="","",IF(AND(J2685="P4",F2685="causal"),"P4-CAUSAL",""))</f>
        <v/>
      </c>
    </row>
    <row r="2686" ht="15" customHeight="1" s="1">
      <c r="P2686">
        <f>IF(OR(F2686="",H2686="",J2686=""),"",J2686&amp;"|"&amp;F2686&amp;"|"&amp;IF(H2686="W3","W3_"&amp;IF(I2686="","unknown",I2686),H2686))</f>
        <v/>
      </c>
      <c r="Q2686">
        <f>IF(P2686="","",IFERROR(IF(AND(H2686="W7",OR(F2686="causal",F2686="predictive")),IF(AND(OR(K2686=1,K2686="1"),OR(L2686=1,L2686="1"),OR(M2686=1,M2686="1")),"adequate","partial"),IF(AND(H2686="W4",F2686="predictive",OR(J2686="P2",J2686="P3",J2686="P4")),IF(OR(U2686=1,U2686="1"),"adequate","partial"),INDEX(Fit_Matrix!$B:$B,MATCH(P2686,Fit_Matrix!$A:$A,0)))),"CHECK KEY"))</f>
        <v/>
      </c>
      <c r="U2686" s="10" t="n"/>
      <c r="V2686" s="10" t="n"/>
      <c r="W2686" s="10" t="n"/>
      <c r="X2686" s="10" t="n"/>
      <c r="Y2686" s="10" t="n"/>
      <c r="Z2686" s="10" t="n"/>
      <c r="AA2686" s="11">
        <f>IF(A2686="","",IF(AND(J2686="P4",F2686="causal"),"P4-CAUSAL",""))</f>
        <v/>
      </c>
    </row>
    <row r="2687" ht="15" customHeight="1" s="1">
      <c r="P2687">
        <f>IF(OR(F2687="",H2687="",J2687=""),"",J2687&amp;"|"&amp;F2687&amp;"|"&amp;IF(H2687="W3","W3_"&amp;IF(I2687="","unknown",I2687),H2687))</f>
        <v/>
      </c>
      <c r="Q2687">
        <f>IF(P2687="","",IFERROR(IF(AND(H2687="W7",OR(F2687="causal",F2687="predictive")),IF(AND(OR(K2687=1,K2687="1"),OR(L2687=1,L2687="1"),OR(M2687=1,M2687="1")),"adequate","partial"),IF(AND(H2687="W4",F2687="predictive",OR(J2687="P2",J2687="P3",J2687="P4")),IF(OR(U2687=1,U2687="1"),"adequate","partial"),INDEX(Fit_Matrix!$B:$B,MATCH(P2687,Fit_Matrix!$A:$A,0)))),"CHECK KEY"))</f>
        <v/>
      </c>
      <c r="U2687" s="10" t="n"/>
      <c r="V2687" s="10" t="n"/>
      <c r="W2687" s="10" t="n"/>
      <c r="X2687" s="10" t="n"/>
      <c r="Y2687" s="10" t="n"/>
      <c r="Z2687" s="10" t="n"/>
      <c r="AA2687" s="11">
        <f>IF(A2687="","",IF(AND(J2687="P4",F2687="causal"),"P4-CAUSAL",""))</f>
        <v/>
      </c>
    </row>
    <row r="2688" ht="15" customHeight="1" s="1">
      <c r="P2688">
        <f>IF(OR(F2688="",H2688="",J2688=""),"",J2688&amp;"|"&amp;F2688&amp;"|"&amp;IF(H2688="W3","W3_"&amp;IF(I2688="","unknown",I2688),H2688))</f>
        <v/>
      </c>
      <c r="Q2688">
        <f>IF(P2688="","",IFERROR(IF(AND(H2688="W7",OR(F2688="causal",F2688="predictive")),IF(AND(OR(K2688=1,K2688="1"),OR(L2688=1,L2688="1"),OR(M2688=1,M2688="1")),"adequate","partial"),IF(AND(H2688="W4",F2688="predictive",OR(J2688="P2",J2688="P3",J2688="P4")),IF(OR(U2688=1,U2688="1"),"adequate","partial"),INDEX(Fit_Matrix!$B:$B,MATCH(P2688,Fit_Matrix!$A:$A,0)))),"CHECK KEY"))</f>
        <v/>
      </c>
      <c r="U2688" s="10" t="n"/>
      <c r="V2688" s="10" t="n"/>
      <c r="W2688" s="10" t="n"/>
      <c r="X2688" s="10" t="n"/>
      <c r="Y2688" s="10" t="n"/>
      <c r="Z2688" s="10" t="n"/>
      <c r="AA2688" s="11">
        <f>IF(A2688="","",IF(AND(J2688="P4",F2688="causal"),"P4-CAUSAL",""))</f>
        <v/>
      </c>
    </row>
    <row r="2689" ht="15" customHeight="1" s="1">
      <c r="P2689">
        <f>IF(OR(F2689="",H2689="",J2689=""),"",J2689&amp;"|"&amp;F2689&amp;"|"&amp;IF(H2689="W3","W3_"&amp;IF(I2689="","unknown",I2689),H2689))</f>
        <v/>
      </c>
      <c r="Q2689">
        <f>IF(P2689="","",IFERROR(IF(AND(H2689="W7",OR(F2689="causal",F2689="predictive")),IF(AND(OR(K2689=1,K2689="1"),OR(L2689=1,L2689="1"),OR(M2689=1,M2689="1")),"adequate","partial"),IF(AND(H2689="W4",F2689="predictive",OR(J2689="P2",J2689="P3",J2689="P4")),IF(OR(U2689=1,U2689="1"),"adequate","partial"),INDEX(Fit_Matrix!$B:$B,MATCH(P2689,Fit_Matrix!$A:$A,0)))),"CHECK KEY"))</f>
        <v/>
      </c>
      <c r="U2689" s="10" t="n"/>
      <c r="V2689" s="10" t="n"/>
      <c r="W2689" s="10" t="n"/>
      <c r="X2689" s="10" t="n"/>
      <c r="Y2689" s="10" t="n"/>
      <c r="Z2689" s="10" t="n"/>
      <c r="AA2689" s="11">
        <f>IF(A2689="","",IF(AND(J2689="P4",F2689="causal"),"P4-CAUSAL",""))</f>
        <v/>
      </c>
    </row>
    <row r="2690" ht="15" customHeight="1" s="1">
      <c r="P2690">
        <f>IF(OR(F2690="",H2690="",J2690=""),"",J2690&amp;"|"&amp;F2690&amp;"|"&amp;IF(H2690="W3","W3_"&amp;IF(I2690="","unknown",I2690),H2690))</f>
        <v/>
      </c>
      <c r="Q2690">
        <f>IF(P2690="","",IFERROR(IF(AND(H2690="W7",OR(F2690="causal",F2690="predictive")),IF(AND(OR(K2690=1,K2690="1"),OR(L2690=1,L2690="1"),OR(M2690=1,M2690="1")),"adequate","partial"),IF(AND(H2690="W4",F2690="predictive",OR(J2690="P2",J2690="P3",J2690="P4")),IF(OR(U2690=1,U2690="1"),"adequate","partial"),INDEX(Fit_Matrix!$B:$B,MATCH(P2690,Fit_Matrix!$A:$A,0)))),"CHECK KEY"))</f>
        <v/>
      </c>
      <c r="U2690" s="10" t="n"/>
      <c r="V2690" s="10" t="n"/>
      <c r="W2690" s="10" t="n"/>
      <c r="X2690" s="10" t="n"/>
      <c r="Y2690" s="10" t="n"/>
      <c r="Z2690" s="10" t="n"/>
      <c r="AA2690" s="11">
        <f>IF(A2690="","",IF(AND(J2690="P4",F2690="causal"),"P4-CAUSAL",""))</f>
        <v/>
      </c>
    </row>
    <row r="2691" ht="15" customHeight="1" s="1">
      <c r="P2691">
        <f>IF(OR(F2691="",H2691="",J2691=""),"",J2691&amp;"|"&amp;F2691&amp;"|"&amp;IF(H2691="W3","W3_"&amp;IF(I2691="","unknown",I2691),H2691))</f>
        <v/>
      </c>
      <c r="Q2691">
        <f>IF(P2691="","",IFERROR(IF(AND(H2691="W7",OR(F2691="causal",F2691="predictive")),IF(AND(OR(K2691=1,K2691="1"),OR(L2691=1,L2691="1"),OR(M2691=1,M2691="1")),"adequate","partial"),IF(AND(H2691="W4",F2691="predictive",OR(J2691="P2",J2691="P3",J2691="P4")),IF(OR(U2691=1,U2691="1"),"adequate","partial"),INDEX(Fit_Matrix!$B:$B,MATCH(P2691,Fit_Matrix!$A:$A,0)))),"CHECK KEY"))</f>
        <v/>
      </c>
      <c r="U2691" s="10" t="n"/>
      <c r="V2691" s="10" t="n"/>
      <c r="W2691" s="10" t="n"/>
      <c r="X2691" s="10" t="n"/>
      <c r="Y2691" s="10" t="n"/>
      <c r="Z2691" s="10" t="n"/>
      <c r="AA2691" s="11">
        <f>IF(A2691="","",IF(AND(J2691="P4",F2691="causal"),"P4-CAUSAL",""))</f>
        <v/>
      </c>
    </row>
    <row r="2692" ht="15" customHeight="1" s="1">
      <c r="P2692">
        <f>IF(OR(F2692="",H2692="",J2692=""),"",J2692&amp;"|"&amp;F2692&amp;"|"&amp;IF(H2692="W3","W3_"&amp;IF(I2692="","unknown",I2692),H2692))</f>
        <v/>
      </c>
      <c r="Q2692">
        <f>IF(P2692="","",IFERROR(IF(AND(H2692="W7",OR(F2692="causal",F2692="predictive")),IF(AND(OR(K2692=1,K2692="1"),OR(L2692=1,L2692="1"),OR(M2692=1,M2692="1")),"adequate","partial"),IF(AND(H2692="W4",F2692="predictive",OR(J2692="P2",J2692="P3",J2692="P4")),IF(OR(U2692=1,U2692="1"),"adequate","partial"),INDEX(Fit_Matrix!$B:$B,MATCH(P2692,Fit_Matrix!$A:$A,0)))),"CHECK KEY"))</f>
        <v/>
      </c>
      <c r="U2692" s="10" t="n"/>
      <c r="V2692" s="10" t="n"/>
      <c r="W2692" s="10" t="n"/>
      <c r="X2692" s="10" t="n"/>
      <c r="Y2692" s="10" t="n"/>
      <c r="Z2692" s="10" t="n"/>
      <c r="AA2692" s="11">
        <f>IF(A2692="","",IF(AND(J2692="P4",F2692="causal"),"P4-CAUSAL",""))</f>
        <v/>
      </c>
    </row>
    <row r="2693" ht="15" customHeight="1" s="1">
      <c r="P2693">
        <f>IF(OR(F2693="",H2693="",J2693=""),"",J2693&amp;"|"&amp;F2693&amp;"|"&amp;IF(H2693="W3","W3_"&amp;IF(I2693="","unknown",I2693),H2693))</f>
        <v/>
      </c>
      <c r="Q2693">
        <f>IF(P2693="","",IFERROR(IF(AND(H2693="W7",OR(F2693="causal",F2693="predictive")),IF(AND(OR(K2693=1,K2693="1"),OR(L2693=1,L2693="1"),OR(M2693=1,M2693="1")),"adequate","partial"),IF(AND(H2693="W4",F2693="predictive",OR(J2693="P2",J2693="P3",J2693="P4")),IF(OR(U2693=1,U2693="1"),"adequate","partial"),INDEX(Fit_Matrix!$B:$B,MATCH(P2693,Fit_Matrix!$A:$A,0)))),"CHECK KEY"))</f>
        <v/>
      </c>
      <c r="U2693" s="10" t="n"/>
      <c r="V2693" s="10" t="n"/>
      <c r="W2693" s="10" t="n"/>
      <c r="X2693" s="10" t="n"/>
      <c r="Y2693" s="10" t="n"/>
      <c r="Z2693" s="10" t="n"/>
      <c r="AA2693" s="11">
        <f>IF(A2693="","",IF(AND(J2693="P4",F2693="causal"),"P4-CAUSAL",""))</f>
        <v/>
      </c>
    </row>
    <row r="2694" ht="15" customHeight="1" s="1">
      <c r="P2694">
        <f>IF(OR(F2694="",H2694="",J2694=""),"",J2694&amp;"|"&amp;F2694&amp;"|"&amp;IF(H2694="W3","W3_"&amp;IF(I2694="","unknown",I2694),H2694))</f>
        <v/>
      </c>
      <c r="Q2694">
        <f>IF(P2694="","",IFERROR(IF(AND(H2694="W7",OR(F2694="causal",F2694="predictive")),IF(AND(OR(K2694=1,K2694="1"),OR(L2694=1,L2694="1"),OR(M2694=1,M2694="1")),"adequate","partial"),IF(AND(H2694="W4",F2694="predictive",OR(J2694="P2",J2694="P3",J2694="P4")),IF(OR(U2694=1,U2694="1"),"adequate","partial"),INDEX(Fit_Matrix!$B:$B,MATCH(P2694,Fit_Matrix!$A:$A,0)))),"CHECK KEY"))</f>
        <v/>
      </c>
      <c r="U2694" s="10" t="n"/>
      <c r="V2694" s="10" t="n"/>
      <c r="W2694" s="10" t="n"/>
      <c r="X2694" s="10" t="n"/>
      <c r="Y2694" s="10" t="n"/>
      <c r="Z2694" s="10" t="n"/>
      <c r="AA2694" s="11">
        <f>IF(A2694="","",IF(AND(J2694="P4",F2694="causal"),"P4-CAUSAL",""))</f>
        <v/>
      </c>
    </row>
    <row r="2695" ht="15" customHeight="1" s="1">
      <c r="P2695">
        <f>IF(OR(F2695="",H2695="",J2695=""),"",J2695&amp;"|"&amp;F2695&amp;"|"&amp;IF(H2695="W3","W3_"&amp;IF(I2695="","unknown",I2695),H2695))</f>
        <v/>
      </c>
      <c r="Q2695">
        <f>IF(P2695="","",IFERROR(IF(AND(H2695="W7",OR(F2695="causal",F2695="predictive")),IF(AND(OR(K2695=1,K2695="1"),OR(L2695=1,L2695="1"),OR(M2695=1,M2695="1")),"adequate","partial"),IF(AND(H2695="W4",F2695="predictive",OR(J2695="P2",J2695="P3",J2695="P4")),IF(OR(U2695=1,U2695="1"),"adequate","partial"),INDEX(Fit_Matrix!$B:$B,MATCH(P2695,Fit_Matrix!$A:$A,0)))),"CHECK KEY"))</f>
        <v/>
      </c>
      <c r="U2695" s="10" t="n"/>
      <c r="V2695" s="10" t="n"/>
      <c r="W2695" s="10" t="n"/>
      <c r="X2695" s="10" t="n"/>
      <c r="Y2695" s="10" t="n"/>
      <c r="Z2695" s="10" t="n"/>
      <c r="AA2695" s="11">
        <f>IF(A2695="","",IF(AND(J2695="P4",F2695="causal"),"P4-CAUSAL",""))</f>
        <v/>
      </c>
    </row>
    <row r="2696" ht="15" customHeight="1" s="1">
      <c r="P2696">
        <f>IF(OR(F2696="",H2696="",J2696=""),"",J2696&amp;"|"&amp;F2696&amp;"|"&amp;IF(H2696="W3","W3_"&amp;IF(I2696="","unknown",I2696),H2696))</f>
        <v/>
      </c>
      <c r="Q2696">
        <f>IF(P2696="","",IFERROR(IF(AND(H2696="W7",OR(F2696="causal",F2696="predictive")),IF(AND(OR(K2696=1,K2696="1"),OR(L2696=1,L2696="1"),OR(M2696=1,M2696="1")),"adequate","partial"),IF(AND(H2696="W4",F2696="predictive",OR(J2696="P2",J2696="P3",J2696="P4")),IF(OR(U2696=1,U2696="1"),"adequate","partial"),INDEX(Fit_Matrix!$B:$B,MATCH(P2696,Fit_Matrix!$A:$A,0)))),"CHECK KEY"))</f>
        <v/>
      </c>
      <c r="U2696" s="10" t="n"/>
      <c r="V2696" s="10" t="n"/>
      <c r="W2696" s="10" t="n"/>
      <c r="X2696" s="10" t="n"/>
      <c r="Y2696" s="10" t="n"/>
      <c r="Z2696" s="10" t="n"/>
      <c r="AA2696" s="11">
        <f>IF(A2696="","",IF(AND(J2696="P4",F2696="causal"),"P4-CAUSAL",""))</f>
        <v/>
      </c>
    </row>
    <row r="2697" ht="15" customHeight="1" s="1">
      <c r="P2697">
        <f>IF(OR(F2697="",H2697="",J2697=""),"",J2697&amp;"|"&amp;F2697&amp;"|"&amp;IF(H2697="W3","W3_"&amp;IF(I2697="","unknown",I2697),H2697))</f>
        <v/>
      </c>
      <c r="Q2697">
        <f>IF(P2697="","",IFERROR(IF(AND(H2697="W7",OR(F2697="causal",F2697="predictive")),IF(AND(OR(K2697=1,K2697="1"),OR(L2697=1,L2697="1"),OR(M2697=1,M2697="1")),"adequate","partial"),IF(AND(H2697="W4",F2697="predictive",OR(J2697="P2",J2697="P3",J2697="P4")),IF(OR(U2697=1,U2697="1"),"adequate","partial"),INDEX(Fit_Matrix!$B:$B,MATCH(P2697,Fit_Matrix!$A:$A,0)))),"CHECK KEY"))</f>
        <v/>
      </c>
      <c r="U2697" s="10" t="n"/>
      <c r="V2697" s="10" t="n"/>
      <c r="W2697" s="10" t="n"/>
      <c r="X2697" s="10" t="n"/>
      <c r="Y2697" s="10" t="n"/>
      <c r="Z2697" s="10" t="n"/>
      <c r="AA2697" s="11">
        <f>IF(A2697="","",IF(AND(J2697="P4",F2697="causal"),"P4-CAUSAL",""))</f>
        <v/>
      </c>
    </row>
    <row r="2698" ht="15" customHeight="1" s="1">
      <c r="P2698">
        <f>IF(OR(F2698="",H2698="",J2698=""),"",J2698&amp;"|"&amp;F2698&amp;"|"&amp;IF(H2698="W3","W3_"&amp;IF(I2698="","unknown",I2698),H2698))</f>
        <v/>
      </c>
      <c r="Q2698">
        <f>IF(P2698="","",IFERROR(IF(AND(H2698="W7",OR(F2698="causal",F2698="predictive")),IF(AND(OR(K2698=1,K2698="1"),OR(L2698=1,L2698="1"),OR(M2698=1,M2698="1")),"adequate","partial"),IF(AND(H2698="W4",F2698="predictive",OR(J2698="P2",J2698="P3",J2698="P4")),IF(OR(U2698=1,U2698="1"),"adequate","partial"),INDEX(Fit_Matrix!$B:$B,MATCH(P2698,Fit_Matrix!$A:$A,0)))),"CHECK KEY"))</f>
        <v/>
      </c>
      <c r="U2698" s="10" t="n"/>
      <c r="V2698" s="10" t="n"/>
      <c r="W2698" s="10" t="n"/>
      <c r="X2698" s="10" t="n"/>
      <c r="Y2698" s="10" t="n"/>
      <c r="Z2698" s="10" t="n"/>
      <c r="AA2698" s="11">
        <f>IF(A2698="","",IF(AND(J2698="P4",F2698="causal"),"P4-CAUSAL",""))</f>
        <v/>
      </c>
    </row>
    <row r="2699" ht="15" customHeight="1" s="1">
      <c r="P2699">
        <f>IF(OR(F2699="",H2699="",J2699=""),"",J2699&amp;"|"&amp;F2699&amp;"|"&amp;IF(H2699="W3","W3_"&amp;IF(I2699="","unknown",I2699),H2699))</f>
        <v/>
      </c>
      <c r="Q2699">
        <f>IF(P2699="","",IFERROR(IF(AND(H2699="W7",OR(F2699="causal",F2699="predictive")),IF(AND(OR(K2699=1,K2699="1"),OR(L2699=1,L2699="1"),OR(M2699=1,M2699="1")),"adequate","partial"),IF(AND(H2699="W4",F2699="predictive",OR(J2699="P2",J2699="P3",J2699="P4")),IF(OR(U2699=1,U2699="1"),"adequate","partial"),INDEX(Fit_Matrix!$B:$B,MATCH(P2699,Fit_Matrix!$A:$A,0)))),"CHECK KEY"))</f>
        <v/>
      </c>
      <c r="U2699" s="10" t="n"/>
      <c r="V2699" s="10" t="n"/>
      <c r="W2699" s="10" t="n"/>
      <c r="X2699" s="10" t="n"/>
      <c r="Y2699" s="10" t="n"/>
      <c r="Z2699" s="10" t="n"/>
      <c r="AA2699" s="11">
        <f>IF(A2699="","",IF(AND(J2699="P4",F2699="causal"),"P4-CAUSAL",""))</f>
        <v/>
      </c>
    </row>
    <row r="2700" ht="15" customHeight="1" s="1">
      <c r="P2700">
        <f>IF(OR(F2700="",H2700="",J2700=""),"",J2700&amp;"|"&amp;F2700&amp;"|"&amp;IF(H2700="W3","W3_"&amp;IF(I2700="","unknown",I2700),H2700))</f>
        <v/>
      </c>
      <c r="Q2700">
        <f>IF(P2700="","",IFERROR(IF(AND(H2700="W7",OR(F2700="causal",F2700="predictive")),IF(AND(OR(K2700=1,K2700="1"),OR(L2700=1,L2700="1"),OR(M2700=1,M2700="1")),"adequate","partial"),IF(AND(H2700="W4",F2700="predictive",OR(J2700="P2",J2700="P3",J2700="P4")),IF(OR(U2700=1,U2700="1"),"adequate","partial"),INDEX(Fit_Matrix!$B:$B,MATCH(P2700,Fit_Matrix!$A:$A,0)))),"CHECK KEY"))</f>
        <v/>
      </c>
      <c r="U2700" s="10" t="n"/>
      <c r="V2700" s="10" t="n"/>
      <c r="W2700" s="10" t="n"/>
      <c r="X2700" s="10" t="n"/>
      <c r="Y2700" s="10" t="n"/>
      <c r="Z2700" s="10" t="n"/>
      <c r="AA2700" s="11">
        <f>IF(A2700="","",IF(AND(J2700="P4",F2700="causal"),"P4-CAUSAL",""))</f>
        <v/>
      </c>
    </row>
    <row r="2701" ht="15" customHeight="1" s="1">
      <c r="P2701">
        <f>IF(OR(F2701="",H2701="",J2701=""),"",J2701&amp;"|"&amp;F2701&amp;"|"&amp;IF(H2701="W3","W3_"&amp;IF(I2701="","unknown",I2701),H2701))</f>
        <v/>
      </c>
      <c r="Q2701">
        <f>IF(P2701="","",IFERROR(IF(AND(H2701="W7",OR(F2701="causal",F2701="predictive")),IF(AND(OR(K2701=1,K2701="1"),OR(L2701=1,L2701="1"),OR(M2701=1,M2701="1")),"adequate","partial"),IF(AND(H2701="W4",F2701="predictive",OR(J2701="P2",J2701="P3",J2701="P4")),IF(OR(U2701=1,U2701="1"),"adequate","partial"),INDEX(Fit_Matrix!$B:$B,MATCH(P2701,Fit_Matrix!$A:$A,0)))),"CHECK KEY"))</f>
        <v/>
      </c>
      <c r="U2701" s="10" t="n"/>
      <c r="V2701" s="10" t="n"/>
      <c r="W2701" s="10" t="n"/>
      <c r="X2701" s="10" t="n"/>
      <c r="Y2701" s="10" t="n"/>
      <c r="Z2701" s="10" t="n"/>
      <c r="AA2701" s="11">
        <f>IF(A2701="","",IF(AND(J2701="P4",F2701="causal"),"P4-CAUSAL",""))</f>
        <v/>
      </c>
    </row>
    <row r="2702" ht="15" customHeight="1" s="1">
      <c r="P2702">
        <f>IF(OR(F2702="",H2702="",J2702=""),"",J2702&amp;"|"&amp;F2702&amp;"|"&amp;IF(H2702="W3","W3_"&amp;IF(I2702="","unknown",I2702),H2702))</f>
        <v/>
      </c>
      <c r="Q2702">
        <f>IF(P2702="","",IFERROR(IF(AND(H2702="W7",OR(F2702="causal",F2702="predictive")),IF(AND(OR(K2702=1,K2702="1"),OR(L2702=1,L2702="1"),OR(M2702=1,M2702="1")),"adequate","partial"),IF(AND(H2702="W4",F2702="predictive",OR(J2702="P2",J2702="P3",J2702="P4")),IF(OR(U2702=1,U2702="1"),"adequate","partial"),INDEX(Fit_Matrix!$B:$B,MATCH(P2702,Fit_Matrix!$A:$A,0)))),"CHECK KEY"))</f>
        <v/>
      </c>
      <c r="U2702" s="10" t="n"/>
      <c r="V2702" s="10" t="n"/>
      <c r="W2702" s="10" t="n"/>
      <c r="X2702" s="10" t="n"/>
      <c r="Y2702" s="10" t="n"/>
      <c r="Z2702" s="10" t="n"/>
      <c r="AA2702" s="11">
        <f>IF(A2702="","",IF(AND(J2702="P4",F2702="causal"),"P4-CAUSAL",""))</f>
        <v/>
      </c>
    </row>
    <row r="2703" ht="15" customHeight="1" s="1">
      <c r="P2703">
        <f>IF(OR(F2703="",H2703="",J2703=""),"",J2703&amp;"|"&amp;F2703&amp;"|"&amp;IF(H2703="W3","W3_"&amp;IF(I2703="","unknown",I2703),H2703))</f>
        <v/>
      </c>
      <c r="Q2703">
        <f>IF(P2703="","",IFERROR(IF(AND(H2703="W7",OR(F2703="causal",F2703="predictive")),IF(AND(OR(K2703=1,K2703="1"),OR(L2703=1,L2703="1"),OR(M2703=1,M2703="1")),"adequate","partial"),IF(AND(H2703="W4",F2703="predictive",OR(J2703="P2",J2703="P3",J2703="P4")),IF(OR(U2703=1,U2703="1"),"adequate","partial"),INDEX(Fit_Matrix!$B:$B,MATCH(P2703,Fit_Matrix!$A:$A,0)))),"CHECK KEY"))</f>
        <v/>
      </c>
      <c r="U2703" s="10" t="n"/>
      <c r="V2703" s="10" t="n"/>
      <c r="W2703" s="10" t="n"/>
      <c r="X2703" s="10" t="n"/>
      <c r="Y2703" s="10" t="n"/>
      <c r="Z2703" s="10" t="n"/>
      <c r="AA2703" s="11">
        <f>IF(A2703="","",IF(AND(J2703="P4",F2703="causal"),"P4-CAUSAL",""))</f>
        <v/>
      </c>
    </row>
    <row r="2704" ht="15" customHeight="1" s="1">
      <c r="P2704">
        <f>IF(OR(F2704="",H2704="",J2704=""),"",J2704&amp;"|"&amp;F2704&amp;"|"&amp;IF(H2704="W3","W3_"&amp;IF(I2704="","unknown",I2704),H2704))</f>
        <v/>
      </c>
      <c r="Q2704">
        <f>IF(P2704="","",IFERROR(IF(AND(H2704="W7",OR(F2704="causal",F2704="predictive")),IF(AND(OR(K2704=1,K2704="1"),OR(L2704=1,L2704="1"),OR(M2704=1,M2704="1")),"adequate","partial"),IF(AND(H2704="W4",F2704="predictive",OR(J2704="P2",J2704="P3",J2704="P4")),IF(OR(U2704=1,U2704="1"),"adequate","partial"),INDEX(Fit_Matrix!$B:$B,MATCH(P2704,Fit_Matrix!$A:$A,0)))),"CHECK KEY"))</f>
        <v/>
      </c>
      <c r="U2704" s="10" t="n"/>
      <c r="V2704" s="10" t="n"/>
      <c r="W2704" s="10" t="n"/>
      <c r="X2704" s="10" t="n"/>
      <c r="Y2704" s="10" t="n"/>
      <c r="Z2704" s="10" t="n"/>
      <c r="AA2704" s="11">
        <f>IF(A2704="","",IF(AND(J2704="P4",F2704="causal"),"P4-CAUSAL",""))</f>
        <v/>
      </c>
    </row>
    <row r="2705" ht="15" customHeight="1" s="1">
      <c r="P2705">
        <f>IF(OR(F2705="",H2705="",J2705=""),"",J2705&amp;"|"&amp;F2705&amp;"|"&amp;IF(H2705="W3","W3_"&amp;IF(I2705="","unknown",I2705),H2705))</f>
        <v/>
      </c>
      <c r="Q2705">
        <f>IF(P2705="","",IFERROR(IF(AND(H2705="W7",OR(F2705="causal",F2705="predictive")),IF(AND(OR(K2705=1,K2705="1"),OR(L2705=1,L2705="1"),OR(M2705=1,M2705="1")),"adequate","partial"),IF(AND(H2705="W4",F2705="predictive",OR(J2705="P2",J2705="P3",J2705="P4")),IF(OR(U2705=1,U2705="1"),"adequate","partial"),INDEX(Fit_Matrix!$B:$B,MATCH(P2705,Fit_Matrix!$A:$A,0)))),"CHECK KEY"))</f>
        <v/>
      </c>
      <c r="U2705" s="10" t="n"/>
      <c r="V2705" s="10" t="n"/>
      <c r="W2705" s="10" t="n"/>
      <c r="X2705" s="10" t="n"/>
      <c r="Y2705" s="10" t="n"/>
      <c r="Z2705" s="10" t="n"/>
      <c r="AA2705" s="11">
        <f>IF(A2705="","",IF(AND(J2705="P4",F2705="causal"),"P4-CAUSAL",""))</f>
        <v/>
      </c>
    </row>
    <row r="2706" ht="15" customHeight="1" s="1">
      <c r="P2706">
        <f>IF(OR(F2706="",H2706="",J2706=""),"",J2706&amp;"|"&amp;F2706&amp;"|"&amp;IF(H2706="W3","W3_"&amp;IF(I2706="","unknown",I2706),H2706))</f>
        <v/>
      </c>
      <c r="Q2706">
        <f>IF(P2706="","",IFERROR(IF(AND(H2706="W7",OR(F2706="causal",F2706="predictive")),IF(AND(OR(K2706=1,K2706="1"),OR(L2706=1,L2706="1"),OR(M2706=1,M2706="1")),"adequate","partial"),IF(AND(H2706="W4",F2706="predictive",OR(J2706="P2",J2706="P3",J2706="P4")),IF(OR(U2706=1,U2706="1"),"adequate","partial"),INDEX(Fit_Matrix!$B:$B,MATCH(P2706,Fit_Matrix!$A:$A,0)))),"CHECK KEY"))</f>
        <v/>
      </c>
      <c r="U2706" s="10" t="n"/>
      <c r="V2706" s="10" t="n"/>
      <c r="W2706" s="10" t="n"/>
      <c r="X2706" s="10" t="n"/>
      <c r="Y2706" s="10" t="n"/>
      <c r="Z2706" s="10" t="n"/>
      <c r="AA2706" s="11">
        <f>IF(A2706="","",IF(AND(J2706="P4",F2706="causal"),"P4-CAUSAL",""))</f>
        <v/>
      </c>
    </row>
    <row r="2707" ht="15" customHeight="1" s="1">
      <c r="P2707">
        <f>IF(OR(F2707="",H2707="",J2707=""),"",J2707&amp;"|"&amp;F2707&amp;"|"&amp;IF(H2707="W3","W3_"&amp;IF(I2707="","unknown",I2707),H2707))</f>
        <v/>
      </c>
      <c r="Q2707">
        <f>IF(P2707="","",IFERROR(IF(AND(H2707="W7",OR(F2707="causal",F2707="predictive")),IF(AND(OR(K2707=1,K2707="1"),OR(L2707=1,L2707="1"),OR(M2707=1,M2707="1")),"adequate","partial"),IF(AND(H2707="W4",F2707="predictive",OR(J2707="P2",J2707="P3",J2707="P4")),IF(OR(U2707=1,U2707="1"),"adequate","partial"),INDEX(Fit_Matrix!$B:$B,MATCH(P2707,Fit_Matrix!$A:$A,0)))),"CHECK KEY"))</f>
        <v/>
      </c>
      <c r="U2707" s="10" t="n"/>
      <c r="V2707" s="10" t="n"/>
      <c r="W2707" s="10" t="n"/>
      <c r="X2707" s="10" t="n"/>
      <c r="Y2707" s="10" t="n"/>
      <c r="Z2707" s="10" t="n"/>
      <c r="AA2707" s="11">
        <f>IF(A2707="","",IF(AND(J2707="P4",F2707="causal"),"P4-CAUSAL",""))</f>
        <v/>
      </c>
    </row>
    <row r="2708" ht="15" customHeight="1" s="1">
      <c r="P2708">
        <f>IF(OR(F2708="",H2708="",J2708=""),"",J2708&amp;"|"&amp;F2708&amp;"|"&amp;IF(H2708="W3","W3_"&amp;IF(I2708="","unknown",I2708),H2708))</f>
        <v/>
      </c>
      <c r="Q2708">
        <f>IF(P2708="","",IFERROR(IF(AND(H2708="W7",OR(F2708="causal",F2708="predictive")),IF(AND(OR(K2708=1,K2708="1"),OR(L2708=1,L2708="1"),OR(M2708=1,M2708="1")),"adequate","partial"),IF(AND(H2708="W4",F2708="predictive",OR(J2708="P2",J2708="P3",J2708="P4")),IF(OR(U2708=1,U2708="1"),"adequate","partial"),INDEX(Fit_Matrix!$B:$B,MATCH(P2708,Fit_Matrix!$A:$A,0)))),"CHECK KEY"))</f>
        <v/>
      </c>
      <c r="U2708" s="10" t="n"/>
      <c r="V2708" s="10" t="n"/>
      <c r="W2708" s="10" t="n"/>
      <c r="X2708" s="10" t="n"/>
      <c r="Y2708" s="10" t="n"/>
      <c r="Z2708" s="10" t="n"/>
      <c r="AA2708" s="11">
        <f>IF(A2708="","",IF(AND(J2708="P4",F2708="causal"),"P4-CAUSAL",""))</f>
        <v/>
      </c>
    </row>
    <row r="2709" ht="15" customHeight="1" s="1">
      <c r="P2709">
        <f>IF(OR(F2709="",H2709="",J2709=""),"",J2709&amp;"|"&amp;F2709&amp;"|"&amp;IF(H2709="W3","W3_"&amp;IF(I2709="","unknown",I2709),H2709))</f>
        <v/>
      </c>
      <c r="Q2709">
        <f>IF(P2709="","",IFERROR(IF(AND(H2709="W7",OR(F2709="causal",F2709="predictive")),IF(AND(OR(K2709=1,K2709="1"),OR(L2709=1,L2709="1"),OR(M2709=1,M2709="1")),"adequate","partial"),IF(AND(H2709="W4",F2709="predictive",OR(J2709="P2",J2709="P3",J2709="P4")),IF(OR(U2709=1,U2709="1"),"adequate","partial"),INDEX(Fit_Matrix!$B:$B,MATCH(P2709,Fit_Matrix!$A:$A,0)))),"CHECK KEY"))</f>
        <v/>
      </c>
      <c r="U2709" s="10" t="n"/>
      <c r="V2709" s="10" t="n"/>
      <c r="W2709" s="10" t="n"/>
      <c r="X2709" s="10" t="n"/>
      <c r="Y2709" s="10" t="n"/>
      <c r="Z2709" s="10" t="n"/>
      <c r="AA2709" s="11">
        <f>IF(A2709="","",IF(AND(J2709="P4",F2709="causal"),"P4-CAUSAL",""))</f>
        <v/>
      </c>
    </row>
    <row r="2710" ht="15" customHeight="1" s="1">
      <c r="P2710">
        <f>IF(OR(F2710="",H2710="",J2710=""),"",J2710&amp;"|"&amp;F2710&amp;"|"&amp;IF(H2710="W3","W3_"&amp;IF(I2710="","unknown",I2710),H2710))</f>
        <v/>
      </c>
      <c r="Q2710">
        <f>IF(P2710="","",IFERROR(IF(AND(H2710="W7",OR(F2710="causal",F2710="predictive")),IF(AND(OR(K2710=1,K2710="1"),OR(L2710=1,L2710="1"),OR(M2710=1,M2710="1")),"adequate","partial"),IF(AND(H2710="W4",F2710="predictive",OR(J2710="P2",J2710="P3",J2710="P4")),IF(OR(U2710=1,U2710="1"),"adequate","partial"),INDEX(Fit_Matrix!$B:$B,MATCH(P2710,Fit_Matrix!$A:$A,0)))),"CHECK KEY"))</f>
        <v/>
      </c>
      <c r="U2710" s="10" t="n"/>
      <c r="V2710" s="10" t="n"/>
      <c r="W2710" s="10" t="n"/>
      <c r="X2710" s="10" t="n"/>
      <c r="Y2710" s="10" t="n"/>
      <c r="Z2710" s="10" t="n"/>
      <c r="AA2710" s="11">
        <f>IF(A2710="","",IF(AND(J2710="P4",F2710="causal"),"P4-CAUSAL",""))</f>
        <v/>
      </c>
    </row>
    <row r="2711" ht="15" customHeight="1" s="1">
      <c r="P2711">
        <f>IF(OR(F2711="",H2711="",J2711=""),"",J2711&amp;"|"&amp;F2711&amp;"|"&amp;IF(H2711="W3","W3_"&amp;IF(I2711="","unknown",I2711),H2711))</f>
        <v/>
      </c>
      <c r="Q2711">
        <f>IF(P2711="","",IFERROR(IF(AND(H2711="W7",OR(F2711="causal",F2711="predictive")),IF(AND(OR(K2711=1,K2711="1"),OR(L2711=1,L2711="1"),OR(M2711=1,M2711="1")),"adequate","partial"),IF(AND(H2711="W4",F2711="predictive",OR(J2711="P2",J2711="P3",J2711="P4")),IF(OR(U2711=1,U2711="1"),"adequate","partial"),INDEX(Fit_Matrix!$B:$B,MATCH(P2711,Fit_Matrix!$A:$A,0)))),"CHECK KEY"))</f>
        <v/>
      </c>
      <c r="U2711" s="10" t="n"/>
      <c r="V2711" s="10" t="n"/>
      <c r="W2711" s="10" t="n"/>
      <c r="X2711" s="10" t="n"/>
      <c r="Y2711" s="10" t="n"/>
      <c r="Z2711" s="10" t="n"/>
      <c r="AA2711" s="11">
        <f>IF(A2711="","",IF(AND(J2711="P4",F2711="causal"),"P4-CAUSAL",""))</f>
        <v/>
      </c>
    </row>
    <row r="2712" ht="15" customHeight="1" s="1">
      <c r="P2712">
        <f>IF(OR(F2712="",H2712="",J2712=""),"",J2712&amp;"|"&amp;F2712&amp;"|"&amp;IF(H2712="W3","W3_"&amp;IF(I2712="","unknown",I2712),H2712))</f>
        <v/>
      </c>
      <c r="Q2712">
        <f>IF(P2712="","",IFERROR(IF(AND(H2712="W7",OR(F2712="causal",F2712="predictive")),IF(AND(OR(K2712=1,K2712="1"),OR(L2712=1,L2712="1"),OR(M2712=1,M2712="1")),"adequate","partial"),IF(AND(H2712="W4",F2712="predictive",OR(J2712="P2",J2712="P3",J2712="P4")),IF(OR(U2712=1,U2712="1"),"adequate","partial"),INDEX(Fit_Matrix!$B:$B,MATCH(P2712,Fit_Matrix!$A:$A,0)))),"CHECK KEY"))</f>
        <v/>
      </c>
      <c r="U2712" s="10" t="n"/>
      <c r="V2712" s="10" t="n"/>
      <c r="W2712" s="10" t="n"/>
      <c r="X2712" s="10" t="n"/>
      <c r="Y2712" s="10" t="n"/>
      <c r="Z2712" s="10" t="n"/>
      <c r="AA2712" s="11">
        <f>IF(A2712="","",IF(AND(J2712="P4",F2712="causal"),"P4-CAUSAL",""))</f>
        <v/>
      </c>
    </row>
    <row r="2713" ht="15" customHeight="1" s="1">
      <c r="P2713">
        <f>IF(OR(F2713="",H2713="",J2713=""),"",J2713&amp;"|"&amp;F2713&amp;"|"&amp;IF(H2713="W3","W3_"&amp;IF(I2713="","unknown",I2713),H2713))</f>
        <v/>
      </c>
      <c r="Q2713">
        <f>IF(P2713="","",IFERROR(IF(AND(H2713="W7",OR(F2713="causal",F2713="predictive")),IF(AND(OR(K2713=1,K2713="1"),OR(L2713=1,L2713="1"),OR(M2713=1,M2713="1")),"adequate","partial"),IF(AND(H2713="W4",F2713="predictive",OR(J2713="P2",J2713="P3",J2713="P4")),IF(OR(U2713=1,U2713="1"),"adequate","partial"),INDEX(Fit_Matrix!$B:$B,MATCH(P2713,Fit_Matrix!$A:$A,0)))),"CHECK KEY"))</f>
        <v/>
      </c>
      <c r="U2713" s="10" t="n"/>
      <c r="V2713" s="10" t="n"/>
      <c r="W2713" s="10" t="n"/>
      <c r="X2713" s="10" t="n"/>
      <c r="Y2713" s="10" t="n"/>
      <c r="Z2713" s="10" t="n"/>
      <c r="AA2713" s="11">
        <f>IF(A2713="","",IF(AND(J2713="P4",F2713="causal"),"P4-CAUSAL",""))</f>
        <v/>
      </c>
    </row>
    <row r="2714" ht="15" customHeight="1" s="1">
      <c r="P2714">
        <f>IF(OR(F2714="",H2714="",J2714=""),"",J2714&amp;"|"&amp;F2714&amp;"|"&amp;IF(H2714="W3","W3_"&amp;IF(I2714="","unknown",I2714),H2714))</f>
        <v/>
      </c>
      <c r="Q2714">
        <f>IF(P2714="","",IFERROR(IF(AND(H2714="W7",OR(F2714="causal",F2714="predictive")),IF(AND(OR(K2714=1,K2714="1"),OR(L2714=1,L2714="1"),OR(M2714=1,M2714="1")),"adequate","partial"),IF(AND(H2714="W4",F2714="predictive",OR(J2714="P2",J2714="P3",J2714="P4")),IF(OR(U2714=1,U2714="1"),"adequate","partial"),INDEX(Fit_Matrix!$B:$B,MATCH(P2714,Fit_Matrix!$A:$A,0)))),"CHECK KEY"))</f>
        <v/>
      </c>
      <c r="U2714" s="10" t="n"/>
      <c r="V2714" s="10" t="n"/>
      <c r="W2714" s="10" t="n"/>
      <c r="X2714" s="10" t="n"/>
      <c r="Y2714" s="10" t="n"/>
      <c r="Z2714" s="10" t="n"/>
      <c r="AA2714" s="11">
        <f>IF(A2714="","",IF(AND(J2714="P4",F2714="causal"),"P4-CAUSAL",""))</f>
        <v/>
      </c>
    </row>
    <row r="2715" ht="15" customHeight="1" s="1">
      <c r="P2715">
        <f>IF(OR(F2715="",H2715="",J2715=""),"",J2715&amp;"|"&amp;F2715&amp;"|"&amp;IF(H2715="W3","W3_"&amp;IF(I2715="","unknown",I2715),H2715))</f>
        <v/>
      </c>
      <c r="Q2715">
        <f>IF(P2715="","",IFERROR(IF(AND(H2715="W7",OR(F2715="causal",F2715="predictive")),IF(AND(OR(K2715=1,K2715="1"),OR(L2715=1,L2715="1"),OR(M2715=1,M2715="1")),"adequate","partial"),IF(AND(H2715="W4",F2715="predictive",OR(J2715="P2",J2715="P3",J2715="P4")),IF(OR(U2715=1,U2715="1"),"adequate","partial"),INDEX(Fit_Matrix!$B:$B,MATCH(P2715,Fit_Matrix!$A:$A,0)))),"CHECK KEY"))</f>
        <v/>
      </c>
      <c r="U2715" s="10" t="n"/>
      <c r="V2715" s="10" t="n"/>
      <c r="W2715" s="10" t="n"/>
      <c r="X2715" s="10" t="n"/>
      <c r="Y2715" s="10" t="n"/>
      <c r="Z2715" s="10" t="n"/>
      <c r="AA2715" s="11">
        <f>IF(A2715="","",IF(AND(J2715="P4",F2715="causal"),"P4-CAUSAL",""))</f>
        <v/>
      </c>
    </row>
    <row r="2716" ht="15" customHeight="1" s="1">
      <c r="P2716">
        <f>IF(OR(F2716="",H2716="",J2716=""),"",J2716&amp;"|"&amp;F2716&amp;"|"&amp;IF(H2716="W3","W3_"&amp;IF(I2716="","unknown",I2716),H2716))</f>
        <v/>
      </c>
      <c r="Q2716">
        <f>IF(P2716="","",IFERROR(IF(AND(H2716="W7",OR(F2716="causal",F2716="predictive")),IF(AND(OR(K2716=1,K2716="1"),OR(L2716=1,L2716="1"),OR(M2716=1,M2716="1")),"adequate","partial"),IF(AND(H2716="W4",F2716="predictive",OR(J2716="P2",J2716="P3",J2716="P4")),IF(OR(U2716=1,U2716="1"),"adequate","partial"),INDEX(Fit_Matrix!$B:$B,MATCH(P2716,Fit_Matrix!$A:$A,0)))),"CHECK KEY"))</f>
        <v/>
      </c>
      <c r="U2716" s="10" t="n"/>
      <c r="V2716" s="10" t="n"/>
      <c r="W2716" s="10" t="n"/>
      <c r="X2716" s="10" t="n"/>
      <c r="Y2716" s="10" t="n"/>
      <c r="Z2716" s="10" t="n"/>
      <c r="AA2716" s="11">
        <f>IF(A2716="","",IF(AND(J2716="P4",F2716="causal"),"P4-CAUSAL",""))</f>
        <v/>
      </c>
    </row>
    <row r="2717" ht="15" customHeight="1" s="1">
      <c r="P2717">
        <f>IF(OR(F2717="",H2717="",J2717=""),"",J2717&amp;"|"&amp;F2717&amp;"|"&amp;IF(H2717="W3","W3_"&amp;IF(I2717="","unknown",I2717),H2717))</f>
        <v/>
      </c>
      <c r="Q2717">
        <f>IF(P2717="","",IFERROR(IF(AND(H2717="W7",OR(F2717="causal",F2717="predictive")),IF(AND(OR(K2717=1,K2717="1"),OR(L2717=1,L2717="1"),OR(M2717=1,M2717="1")),"adequate","partial"),IF(AND(H2717="W4",F2717="predictive",OR(J2717="P2",J2717="P3",J2717="P4")),IF(OR(U2717=1,U2717="1"),"adequate","partial"),INDEX(Fit_Matrix!$B:$B,MATCH(P2717,Fit_Matrix!$A:$A,0)))),"CHECK KEY"))</f>
        <v/>
      </c>
      <c r="U2717" s="10" t="n"/>
      <c r="V2717" s="10" t="n"/>
      <c r="W2717" s="10" t="n"/>
      <c r="X2717" s="10" t="n"/>
      <c r="Y2717" s="10" t="n"/>
      <c r="Z2717" s="10" t="n"/>
      <c r="AA2717" s="11">
        <f>IF(A2717="","",IF(AND(J2717="P4",F2717="causal"),"P4-CAUSAL",""))</f>
        <v/>
      </c>
    </row>
    <row r="2718" ht="15" customHeight="1" s="1">
      <c r="P2718">
        <f>IF(OR(F2718="",H2718="",J2718=""),"",J2718&amp;"|"&amp;F2718&amp;"|"&amp;IF(H2718="W3","W3_"&amp;IF(I2718="","unknown",I2718),H2718))</f>
        <v/>
      </c>
      <c r="Q2718">
        <f>IF(P2718="","",IFERROR(IF(AND(H2718="W7",OR(F2718="causal",F2718="predictive")),IF(AND(OR(K2718=1,K2718="1"),OR(L2718=1,L2718="1"),OR(M2718=1,M2718="1")),"adequate","partial"),IF(AND(H2718="W4",F2718="predictive",OR(J2718="P2",J2718="P3",J2718="P4")),IF(OR(U2718=1,U2718="1"),"adequate","partial"),INDEX(Fit_Matrix!$B:$B,MATCH(P2718,Fit_Matrix!$A:$A,0)))),"CHECK KEY"))</f>
        <v/>
      </c>
      <c r="U2718" s="10" t="n"/>
      <c r="V2718" s="10" t="n"/>
      <c r="W2718" s="10" t="n"/>
      <c r="X2718" s="10" t="n"/>
      <c r="Y2718" s="10" t="n"/>
      <c r="Z2718" s="10" t="n"/>
      <c r="AA2718" s="11">
        <f>IF(A2718="","",IF(AND(J2718="P4",F2718="causal"),"P4-CAUSAL",""))</f>
        <v/>
      </c>
    </row>
    <row r="2719" ht="15" customHeight="1" s="1">
      <c r="P2719">
        <f>IF(OR(F2719="",H2719="",J2719=""),"",J2719&amp;"|"&amp;F2719&amp;"|"&amp;IF(H2719="W3","W3_"&amp;IF(I2719="","unknown",I2719),H2719))</f>
        <v/>
      </c>
      <c r="Q2719">
        <f>IF(P2719="","",IFERROR(IF(AND(H2719="W7",OR(F2719="causal",F2719="predictive")),IF(AND(OR(K2719=1,K2719="1"),OR(L2719=1,L2719="1"),OR(M2719=1,M2719="1")),"adequate","partial"),IF(AND(H2719="W4",F2719="predictive",OR(J2719="P2",J2719="P3",J2719="P4")),IF(OR(U2719=1,U2719="1"),"adequate","partial"),INDEX(Fit_Matrix!$B:$B,MATCH(P2719,Fit_Matrix!$A:$A,0)))),"CHECK KEY"))</f>
        <v/>
      </c>
      <c r="U2719" s="10" t="n"/>
      <c r="V2719" s="10" t="n"/>
      <c r="W2719" s="10" t="n"/>
      <c r="X2719" s="10" t="n"/>
      <c r="Y2719" s="10" t="n"/>
      <c r="Z2719" s="10" t="n"/>
      <c r="AA2719" s="11">
        <f>IF(A2719="","",IF(AND(J2719="P4",F2719="causal"),"P4-CAUSAL",""))</f>
        <v/>
      </c>
    </row>
    <row r="2720" ht="15" customHeight="1" s="1">
      <c r="P2720">
        <f>IF(OR(F2720="",H2720="",J2720=""),"",J2720&amp;"|"&amp;F2720&amp;"|"&amp;IF(H2720="W3","W3_"&amp;IF(I2720="","unknown",I2720),H2720))</f>
        <v/>
      </c>
      <c r="Q2720">
        <f>IF(P2720="","",IFERROR(IF(AND(H2720="W7",OR(F2720="causal",F2720="predictive")),IF(AND(OR(K2720=1,K2720="1"),OR(L2720=1,L2720="1"),OR(M2720=1,M2720="1")),"adequate","partial"),IF(AND(H2720="W4",F2720="predictive",OR(J2720="P2",J2720="P3",J2720="P4")),IF(OR(U2720=1,U2720="1"),"adequate","partial"),INDEX(Fit_Matrix!$B:$B,MATCH(P2720,Fit_Matrix!$A:$A,0)))),"CHECK KEY"))</f>
        <v/>
      </c>
      <c r="U2720" s="10" t="n"/>
      <c r="V2720" s="10" t="n"/>
      <c r="W2720" s="10" t="n"/>
      <c r="X2720" s="10" t="n"/>
      <c r="Y2720" s="10" t="n"/>
      <c r="Z2720" s="10" t="n"/>
      <c r="AA2720" s="11">
        <f>IF(A2720="","",IF(AND(J2720="P4",F2720="causal"),"P4-CAUSAL",""))</f>
        <v/>
      </c>
    </row>
    <row r="2721" ht="15" customHeight="1" s="1">
      <c r="P2721">
        <f>IF(OR(F2721="",H2721="",J2721=""),"",J2721&amp;"|"&amp;F2721&amp;"|"&amp;IF(H2721="W3","W3_"&amp;IF(I2721="","unknown",I2721),H2721))</f>
        <v/>
      </c>
      <c r="Q2721">
        <f>IF(P2721="","",IFERROR(IF(AND(H2721="W7",OR(F2721="causal",F2721="predictive")),IF(AND(OR(K2721=1,K2721="1"),OR(L2721=1,L2721="1"),OR(M2721=1,M2721="1")),"adequate","partial"),IF(AND(H2721="W4",F2721="predictive",OR(J2721="P2",J2721="P3",J2721="P4")),IF(OR(U2721=1,U2721="1"),"adequate","partial"),INDEX(Fit_Matrix!$B:$B,MATCH(P2721,Fit_Matrix!$A:$A,0)))),"CHECK KEY"))</f>
        <v/>
      </c>
      <c r="U2721" s="10" t="n"/>
      <c r="V2721" s="10" t="n"/>
      <c r="W2721" s="10" t="n"/>
      <c r="X2721" s="10" t="n"/>
      <c r="Y2721" s="10" t="n"/>
      <c r="Z2721" s="10" t="n"/>
      <c r="AA2721" s="11">
        <f>IF(A2721="","",IF(AND(J2721="P4",F2721="causal"),"P4-CAUSAL",""))</f>
        <v/>
      </c>
    </row>
    <row r="2722" ht="15" customHeight="1" s="1">
      <c r="P2722">
        <f>IF(OR(F2722="",H2722="",J2722=""),"",J2722&amp;"|"&amp;F2722&amp;"|"&amp;IF(H2722="W3","W3_"&amp;IF(I2722="","unknown",I2722),H2722))</f>
        <v/>
      </c>
      <c r="Q2722">
        <f>IF(P2722="","",IFERROR(IF(AND(H2722="W7",OR(F2722="causal",F2722="predictive")),IF(AND(OR(K2722=1,K2722="1"),OR(L2722=1,L2722="1"),OR(M2722=1,M2722="1")),"adequate","partial"),IF(AND(H2722="W4",F2722="predictive",OR(J2722="P2",J2722="P3",J2722="P4")),IF(OR(U2722=1,U2722="1"),"adequate","partial"),INDEX(Fit_Matrix!$B:$B,MATCH(P2722,Fit_Matrix!$A:$A,0)))),"CHECK KEY"))</f>
        <v/>
      </c>
      <c r="U2722" s="10" t="n"/>
      <c r="V2722" s="10" t="n"/>
      <c r="W2722" s="10" t="n"/>
      <c r="X2722" s="10" t="n"/>
      <c r="Y2722" s="10" t="n"/>
      <c r="Z2722" s="10" t="n"/>
      <c r="AA2722" s="11">
        <f>IF(A2722="","",IF(AND(J2722="P4",F2722="causal"),"P4-CAUSAL",""))</f>
        <v/>
      </c>
    </row>
    <row r="2723" ht="15" customHeight="1" s="1">
      <c r="P2723">
        <f>IF(OR(F2723="",H2723="",J2723=""),"",J2723&amp;"|"&amp;F2723&amp;"|"&amp;IF(H2723="W3","W3_"&amp;IF(I2723="","unknown",I2723),H2723))</f>
        <v/>
      </c>
      <c r="Q2723">
        <f>IF(P2723="","",IFERROR(IF(AND(H2723="W7",OR(F2723="causal",F2723="predictive")),IF(AND(OR(K2723=1,K2723="1"),OR(L2723=1,L2723="1"),OR(M2723=1,M2723="1")),"adequate","partial"),IF(AND(H2723="W4",F2723="predictive",OR(J2723="P2",J2723="P3",J2723="P4")),IF(OR(U2723=1,U2723="1"),"adequate","partial"),INDEX(Fit_Matrix!$B:$B,MATCH(P2723,Fit_Matrix!$A:$A,0)))),"CHECK KEY"))</f>
        <v/>
      </c>
      <c r="U2723" s="10" t="n"/>
      <c r="V2723" s="10" t="n"/>
      <c r="W2723" s="10" t="n"/>
      <c r="X2723" s="10" t="n"/>
      <c r="Y2723" s="10" t="n"/>
      <c r="Z2723" s="10" t="n"/>
      <c r="AA2723" s="11">
        <f>IF(A2723="","",IF(AND(J2723="P4",F2723="causal"),"P4-CAUSAL",""))</f>
        <v/>
      </c>
    </row>
    <row r="2724" ht="15" customHeight="1" s="1">
      <c r="P2724">
        <f>IF(OR(F2724="",H2724="",J2724=""),"",J2724&amp;"|"&amp;F2724&amp;"|"&amp;IF(H2724="W3","W3_"&amp;IF(I2724="","unknown",I2724),H2724))</f>
        <v/>
      </c>
      <c r="Q2724">
        <f>IF(P2724="","",IFERROR(IF(AND(H2724="W7",OR(F2724="causal",F2724="predictive")),IF(AND(OR(K2724=1,K2724="1"),OR(L2724=1,L2724="1"),OR(M2724=1,M2724="1")),"adequate","partial"),IF(AND(H2724="W4",F2724="predictive",OR(J2724="P2",J2724="P3",J2724="P4")),IF(OR(U2724=1,U2724="1"),"adequate","partial"),INDEX(Fit_Matrix!$B:$B,MATCH(P2724,Fit_Matrix!$A:$A,0)))),"CHECK KEY"))</f>
        <v/>
      </c>
      <c r="U2724" s="10" t="n"/>
      <c r="V2724" s="10" t="n"/>
      <c r="W2724" s="10" t="n"/>
      <c r="X2724" s="10" t="n"/>
      <c r="Y2724" s="10" t="n"/>
      <c r="Z2724" s="10" t="n"/>
      <c r="AA2724" s="11">
        <f>IF(A2724="","",IF(AND(J2724="P4",F2724="causal"),"P4-CAUSAL",""))</f>
        <v/>
      </c>
    </row>
    <row r="2725" ht="15" customHeight="1" s="1">
      <c r="P2725">
        <f>IF(OR(F2725="",H2725="",J2725=""),"",J2725&amp;"|"&amp;F2725&amp;"|"&amp;IF(H2725="W3","W3_"&amp;IF(I2725="","unknown",I2725),H2725))</f>
        <v/>
      </c>
      <c r="Q2725">
        <f>IF(P2725="","",IFERROR(IF(AND(H2725="W7",OR(F2725="causal",F2725="predictive")),IF(AND(OR(K2725=1,K2725="1"),OR(L2725=1,L2725="1"),OR(M2725=1,M2725="1")),"adequate","partial"),IF(AND(H2725="W4",F2725="predictive",OR(J2725="P2",J2725="P3",J2725="P4")),IF(OR(U2725=1,U2725="1"),"adequate","partial"),INDEX(Fit_Matrix!$B:$B,MATCH(P2725,Fit_Matrix!$A:$A,0)))),"CHECK KEY"))</f>
        <v/>
      </c>
      <c r="U2725" s="10" t="n"/>
      <c r="V2725" s="10" t="n"/>
      <c r="W2725" s="10" t="n"/>
      <c r="X2725" s="10" t="n"/>
      <c r="Y2725" s="10" t="n"/>
      <c r="Z2725" s="10" t="n"/>
      <c r="AA2725" s="11">
        <f>IF(A2725="","",IF(AND(J2725="P4",F2725="causal"),"P4-CAUSAL",""))</f>
        <v/>
      </c>
    </row>
    <row r="2726" ht="15" customHeight="1" s="1">
      <c r="P2726">
        <f>IF(OR(F2726="",H2726="",J2726=""),"",J2726&amp;"|"&amp;F2726&amp;"|"&amp;IF(H2726="W3","W3_"&amp;IF(I2726="","unknown",I2726),H2726))</f>
        <v/>
      </c>
      <c r="Q2726">
        <f>IF(P2726="","",IFERROR(IF(AND(H2726="W7",OR(F2726="causal",F2726="predictive")),IF(AND(OR(K2726=1,K2726="1"),OR(L2726=1,L2726="1"),OR(M2726=1,M2726="1")),"adequate","partial"),IF(AND(H2726="W4",F2726="predictive",OR(J2726="P2",J2726="P3",J2726="P4")),IF(OR(U2726=1,U2726="1"),"adequate","partial"),INDEX(Fit_Matrix!$B:$B,MATCH(P2726,Fit_Matrix!$A:$A,0)))),"CHECK KEY"))</f>
        <v/>
      </c>
      <c r="U2726" s="10" t="n"/>
      <c r="V2726" s="10" t="n"/>
      <c r="W2726" s="10" t="n"/>
      <c r="X2726" s="10" t="n"/>
      <c r="Y2726" s="10" t="n"/>
      <c r="Z2726" s="10" t="n"/>
      <c r="AA2726" s="11">
        <f>IF(A2726="","",IF(AND(J2726="P4",F2726="causal"),"P4-CAUSAL",""))</f>
        <v/>
      </c>
    </row>
    <row r="2727" ht="15" customHeight="1" s="1">
      <c r="P2727">
        <f>IF(OR(F2727="",H2727="",J2727=""),"",J2727&amp;"|"&amp;F2727&amp;"|"&amp;IF(H2727="W3","W3_"&amp;IF(I2727="","unknown",I2727),H2727))</f>
        <v/>
      </c>
      <c r="Q2727">
        <f>IF(P2727="","",IFERROR(IF(AND(H2727="W7",OR(F2727="causal",F2727="predictive")),IF(AND(OR(K2727=1,K2727="1"),OR(L2727=1,L2727="1"),OR(M2727=1,M2727="1")),"adequate","partial"),IF(AND(H2727="W4",F2727="predictive",OR(J2727="P2",J2727="P3",J2727="P4")),IF(OR(U2727=1,U2727="1"),"adequate","partial"),INDEX(Fit_Matrix!$B:$B,MATCH(P2727,Fit_Matrix!$A:$A,0)))),"CHECK KEY"))</f>
        <v/>
      </c>
      <c r="U2727" s="10" t="n"/>
      <c r="V2727" s="10" t="n"/>
      <c r="W2727" s="10" t="n"/>
      <c r="X2727" s="10" t="n"/>
      <c r="Y2727" s="10" t="n"/>
      <c r="Z2727" s="10" t="n"/>
      <c r="AA2727" s="11">
        <f>IF(A2727="","",IF(AND(J2727="P4",F2727="causal"),"P4-CAUSAL",""))</f>
        <v/>
      </c>
    </row>
    <row r="2728" ht="15" customHeight="1" s="1">
      <c r="P2728">
        <f>IF(OR(F2728="",H2728="",J2728=""),"",J2728&amp;"|"&amp;F2728&amp;"|"&amp;IF(H2728="W3","W3_"&amp;IF(I2728="","unknown",I2728),H2728))</f>
        <v/>
      </c>
      <c r="Q2728">
        <f>IF(P2728="","",IFERROR(IF(AND(H2728="W7",OR(F2728="causal",F2728="predictive")),IF(AND(OR(K2728=1,K2728="1"),OR(L2728=1,L2728="1"),OR(M2728=1,M2728="1")),"adequate","partial"),IF(AND(H2728="W4",F2728="predictive",OR(J2728="P2",J2728="P3",J2728="P4")),IF(OR(U2728=1,U2728="1"),"adequate","partial"),INDEX(Fit_Matrix!$B:$B,MATCH(P2728,Fit_Matrix!$A:$A,0)))),"CHECK KEY"))</f>
        <v/>
      </c>
      <c r="U2728" s="10" t="n"/>
      <c r="V2728" s="10" t="n"/>
      <c r="W2728" s="10" t="n"/>
      <c r="X2728" s="10" t="n"/>
      <c r="Y2728" s="10" t="n"/>
      <c r="Z2728" s="10" t="n"/>
      <c r="AA2728" s="11">
        <f>IF(A2728="","",IF(AND(J2728="P4",F2728="causal"),"P4-CAUSAL",""))</f>
        <v/>
      </c>
    </row>
    <row r="2729" ht="15" customHeight="1" s="1">
      <c r="P2729">
        <f>IF(OR(F2729="",H2729="",J2729=""),"",J2729&amp;"|"&amp;F2729&amp;"|"&amp;IF(H2729="W3","W3_"&amp;IF(I2729="","unknown",I2729),H2729))</f>
        <v/>
      </c>
      <c r="Q2729">
        <f>IF(P2729="","",IFERROR(IF(AND(H2729="W7",OR(F2729="causal",F2729="predictive")),IF(AND(OR(K2729=1,K2729="1"),OR(L2729=1,L2729="1"),OR(M2729=1,M2729="1")),"adequate","partial"),IF(AND(H2729="W4",F2729="predictive",OR(J2729="P2",J2729="P3",J2729="P4")),IF(OR(U2729=1,U2729="1"),"adequate","partial"),INDEX(Fit_Matrix!$B:$B,MATCH(P2729,Fit_Matrix!$A:$A,0)))),"CHECK KEY"))</f>
        <v/>
      </c>
      <c r="U2729" s="10" t="n"/>
      <c r="V2729" s="10" t="n"/>
      <c r="W2729" s="10" t="n"/>
      <c r="X2729" s="10" t="n"/>
      <c r="Y2729" s="10" t="n"/>
      <c r="Z2729" s="10" t="n"/>
      <c r="AA2729" s="11">
        <f>IF(A2729="","",IF(AND(J2729="P4",F2729="causal"),"P4-CAUSAL",""))</f>
        <v/>
      </c>
    </row>
    <row r="2730" ht="15" customHeight="1" s="1">
      <c r="P2730">
        <f>IF(OR(F2730="",H2730="",J2730=""),"",J2730&amp;"|"&amp;F2730&amp;"|"&amp;IF(H2730="W3","W3_"&amp;IF(I2730="","unknown",I2730),H2730))</f>
        <v/>
      </c>
      <c r="Q2730">
        <f>IF(P2730="","",IFERROR(IF(AND(H2730="W7",OR(F2730="causal",F2730="predictive")),IF(AND(OR(K2730=1,K2730="1"),OR(L2730=1,L2730="1"),OR(M2730=1,M2730="1")),"adequate","partial"),IF(AND(H2730="W4",F2730="predictive",OR(J2730="P2",J2730="P3",J2730="P4")),IF(OR(U2730=1,U2730="1"),"adequate","partial"),INDEX(Fit_Matrix!$B:$B,MATCH(P2730,Fit_Matrix!$A:$A,0)))),"CHECK KEY"))</f>
        <v/>
      </c>
      <c r="U2730" s="10" t="n"/>
      <c r="V2730" s="10" t="n"/>
      <c r="W2730" s="10" t="n"/>
      <c r="X2730" s="10" t="n"/>
      <c r="Y2730" s="10" t="n"/>
      <c r="Z2730" s="10" t="n"/>
      <c r="AA2730" s="11">
        <f>IF(A2730="","",IF(AND(J2730="P4",F2730="causal"),"P4-CAUSAL",""))</f>
        <v/>
      </c>
    </row>
    <row r="2731" ht="15" customHeight="1" s="1">
      <c r="P2731">
        <f>IF(OR(F2731="",H2731="",J2731=""),"",J2731&amp;"|"&amp;F2731&amp;"|"&amp;IF(H2731="W3","W3_"&amp;IF(I2731="","unknown",I2731),H2731))</f>
        <v/>
      </c>
      <c r="Q2731">
        <f>IF(P2731="","",IFERROR(IF(AND(H2731="W7",OR(F2731="causal",F2731="predictive")),IF(AND(OR(K2731=1,K2731="1"),OR(L2731=1,L2731="1"),OR(M2731=1,M2731="1")),"adequate","partial"),IF(AND(H2731="W4",F2731="predictive",OR(J2731="P2",J2731="P3",J2731="P4")),IF(OR(U2731=1,U2731="1"),"adequate","partial"),INDEX(Fit_Matrix!$B:$B,MATCH(P2731,Fit_Matrix!$A:$A,0)))),"CHECK KEY"))</f>
        <v/>
      </c>
      <c r="U2731" s="10" t="n"/>
      <c r="V2731" s="10" t="n"/>
      <c r="W2731" s="10" t="n"/>
      <c r="X2731" s="10" t="n"/>
      <c r="Y2731" s="10" t="n"/>
      <c r="Z2731" s="10" t="n"/>
      <c r="AA2731" s="11">
        <f>IF(A2731="","",IF(AND(J2731="P4",F2731="causal"),"P4-CAUSAL",""))</f>
        <v/>
      </c>
    </row>
    <row r="2732" ht="15" customHeight="1" s="1">
      <c r="P2732">
        <f>IF(OR(F2732="",H2732="",J2732=""),"",J2732&amp;"|"&amp;F2732&amp;"|"&amp;IF(H2732="W3","W3_"&amp;IF(I2732="","unknown",I2732),H2732))</f>
        <v/>
      </c>
      <c r="Q2732">
        <f>IF(P2732="","",IFERROR(IF(AND(H2732="W7",OR(F2732="causal",F2732="predictive")),IF(AND(OR(K2732=1,K2732="1"),OR(L2732=1,L2732="1"),OR(M2732=1,M2732="1")),"adequate","partial"),IF(AND(H2732="W4",F2732="predictive",OR(J2732="P2",J2732="P3",J2732="P4")),IF(OR(U2732=1,U2732="1"),"adequate","partial"),INDEX(Fit_Matrix!$B:$B,MATCH(P2732,Fit_Matrix!$A:$A,0)))),"CHECK KEY"))</f>
        <v/>
      </c>
      <c r="U2732" s="10" t="n"/>
      <c r="V2732" s="10" t="n"/>
      <c r="W2732" s="10" t="n"/>
      <c r="X2732" s="10" t="n"/>
      <c r="Y2732" s="10" t="n"/>
      <c r="Z2732" s="10" t="n"/>
      <c r="AA2732" s="11">
        <f>IF(A2732="","",IF(AND(J2732="P4",F2732="causal"),"P4-CAUSAL",""))</f>
        <v/>
      </c>
    </row>
    <row r="2733" ht="15" customHeight="1" s="1">
      <c r="P2733">
        <f>IF(OR(F2733="",H2733="",J2733=""),"",J2733&amp;"|"&amp;F2733&amp;"|"&amp;IF(H2733="W3","W3_"&amp;IF(I2733="","unknown",I2733),H2733))</f>
        <v/>
      </c>
      <c r="Q2733">
        <f>IF(P2733="","",IFERROR(IF(AND(H2733="W7",OR(F2733="causal",F2733="predictive")),IF(AND(OR(K2733=1,K2733="1"),OR(L2733=1,L2733="1"),OR(M2733=1,M2733="1")),"adequate","partial"),IF(AND(H2733="W4",F2733="predictive",OR(J2733="P2",J2733="P3",J2733="P4")),IF(OR(U2733=1,U2733="1"),"adequate","partial"),INDEX(Fit_Matrix!$B:$B,MATCH(P2733,Fit_Matrix!$A:$A,0)))),"CHECK KEY"))</f>
        <v/>
      </c>
      <c r="U2733" s="10" t="n"/>
      <c r="V2733" s="10" t="n"/>
      <c r="W2733" s="10" t="n"/>
      <c r="X2733" s="10" t="n"/>
      <c r="Y2733" s="10" t="n"/>
      <c r="Z2733" s="10" t="n"/>
      <c r="AA2733" s="11">
        <f>IF(A2733="","",IF(AND(J2733="P4",F2733="causal"),"P4-CAUSAL",""))</f>
        <v/>
      </c>
    </row>
    <row r="2734" ht="15" customHeight="1" s="1">
      <c r="P2734">
        <f>IF(OR(F2734="",H2734="",J2734=""),"",J2734&amp;"|"&amp;F2734&amp;"|"&amp;IF(H2734="W3","W3_"&amp;IF(I2734="","unknown",I2734),H2734))</f>
        <v/>
      </c>
      <c r="Q2734">
        <f>IF(P2734="","",IFERROR(IF(AND(H2734="W7",OR(F2734="causal",F2734="predictive")),IF(AND(OR(K2734=1,K2734="1"),OR(L2734=1,L2734="1"),OR(M2734=1,M2734="1")),"adequate","partial"),IF(AND(H2734="W4",F2734="predictive",OR(J2734="P2",J2734="P3",J2734="P4")),IF(OR(U2734=1,U2734="1"),"adequate","partial"),INDEX(Fit_Matrix!$B:$B,MATCH(P2734,Fit_Matrix!$A:$A,0)))),"CHECK KEY"))</f>
        <v/>
      </c>
      <c r="U2734" s="10" t="n"/>
      <c r="V2734" s="10" t="n"/>
      <c r="W2734" s="10" t="n"/>
      <c r="X2734" s="10" t="n"/>
      <c r="Y2734" s="10" t="n"/>
      <c r="Z2734" s="10" t="n"/>
      <c r="AA2734" s="11">
        <f>IF(A2734="","",IF(AND(J2734="P4",F2734="causal"),"P4-CAUSAL",""))</f>
        <v/>
      </c>
    </row>
    <row r="2735" ht="15" customHeight="1" s="1">
      <c r="P2735">
        <f>IF(OR(F2735="",H2735="",J2735=""),"",J2735&amp;"|"&amp;F2735&amp;"|"&amp;IF(H2735="W3","W3_"&amp;IF(I2735="","unknown",I2735),H2735))</f>
        <v/>
      </c>
      <c r="Q2735">
        <f>IF(P2735="","",IFERROR(IF(AND(H2735="W7",OR(F2735="causal",F2735="predictive")),IF(AND(OR(K2735=1,K2735="1"),OR(L2735=1,L2735="1"),OR(M2735=1,M2735="1")),"adequate","partial"),IF(AND(H2735="W4",F2735="predictive",OR(J2735="P2",J2735="P3",J2735="P4")),IF(OR(U2735=1,U2735="1"),"adequate","partial"),INDEX(Fit_Matrix!$B:$B,MATCH(P2735,Fit_Matrix!$A:$A,0)))),"CHECK KEY"))</f>
        <v/>
      </c>
      <c r="U2735" s="10" t="n"/>
      <c r="V2735" s="10" t="n"/>
      <c r="W2735" s="10" t="n"/>
      <c r="X2735" s="10" t="n"/>
      <c r="Y2735" s="10" t="n"/>
      <c r="Z2735" s="10" t="n"/>
      <c r="AA2735" s="11">
        <f>IF(A2735="","",IF(AND(J2735="P4",F2735="causal"),"P4-CAUSAL",""))</f>
        <v/>
      </c>
    </row>
    <row r="2736" ht="15" customHeight="1" s="1">
      <c r="P2736">
        <f>IF(OR(F2736="",H2736="",J2736=""),"",J2736&amp;"|"&amp;F2736&amp;"|"&amp;IF(H2736="W3","W3_"&amp;IF(I2736="","unknown",I2736),H2736))</f>
        <v/>
      </c>
      <c r="Q2736">
        <f>IF(P2736="","",IFERROR(IF(AND(H2736="W7",OR(F2736="causal",F2736="predictive")),IF(AND(OR(K2736=1,K2736="1"),OR(L2736=1,L2736="1"),OR(M2736=1,M2736="1")),"adequate","partial"),IF(AND(H2736="W4",F2736="predictive",OR(J2736="P2",J2736="P3",J2736="P4")),IF(OR(U2736=1,U2736="1"),"adequate","partial"),INDEX(Fit_Matrix!$B:$B,MATCH(P2736,Fit_Matrix!$A:$A,0)))),"CHECK KEY"))</f>
        <v/>
      </c>
      <c r="U2736" s="10" t="n"/>
      <c r="V2736" s="10" t="n"/>
      <c r="W2736" s="10" t="n"/>
      <c r="X2736" s="10" t="n"/>
      <c r="Y2736" s="10" t="n"/>
      <c r="Z2736" s="10" t="n"/>
      <c r="AA2736" s="11">
        <f>IF(A2736="","",IF(AND(J2736="P4",F2736="causal"),"P4-CAUSAL",""))</f>
        <v/>
      </c>
    </row>
    <row r="2737" ht="15" customHeight="1" s="1">
      <c r="P2737">
        <f>IF(OR(F2737="",H2737="",J2737=""),"",J2737&amp;"|"&amp;F2737&amp;"|"&amp;IF(H2737="W3","W3_"&amp;IF(I2737="","unknown",I2737),H2737))</f>
        <v/>
      </c>
      <c r="Q2737">
        <f>IF(P2737="","",IFERROR(IF(AND(H2737="W7",OR(F2737="causal",F2737="predictive")),IF(AND(OR(K2737=1,K2737="1"),OR(L2737=1,L2737="1"),OR(M2737=1,M2737="1")),"adequate","partial"),IF(AND(H2737="W4",F2737="predictive",OR(J2737="P2",J2737="P3",J2737="P4")),IF(OR(U2737=1,U2737="1"),"adequate","partial"),INDEX(Fit_Matrix!$B:$B,MATCH(P2737,Fit_Matrix!$A:$A,0)))),"CHECK KEY"))</f>
        <v/>
      </c>
      <c r="U2737" s="10" t="n"/>
      <c r="V2737" s="10" t="n"/>
      <c r="W2737" s="10" t="n"/>
      <c r="X2737" s="10" t="n"/>
      <c r="Y2737" s="10" t="n"/>
      <c r="Z2737" s="10" t="n"/>
      <c r="AA2737" s="11">
        <f>IF(A2737="","",IF(AND(J2737="P4",F2737="causal"),"P4-CAUSAL",""))</f>
        <v/>
      </c>
    </row>
    <row r="2738" ht="15" customHeight="1" s="1">
      <c r="P2738">
        <f>IF(OR(F2738="",H2738="",J2738=""),"",J2738&amp;"|"&amp;F2738&amp;"|"&amp;IF(H2738="W3","W3_"&amp;IF(I2738="","unknown",I2738),H2738))</f>
        <v/>
      </c>
      <c r="Q2738">
        <f>IF(P2738="","",IFERROR(IF(AND(H2738="W7",OR(F2738="causal",F2738="predictive")),IF(AND(OR(K2738=1,K2738="1"),OR(L2738=1,L2738="1"),OR(M2738=1,M2738="1")),"adequate","partial"),IF(AND(H2738="W4",F2738="predictive",OR(J2738="P2",J2738="P3",J2738="P4")),IF(OR(U2738=1,U2738="1"),"adequate","partial"),INDEX(Fit_Matrix!$B:$B,MATCH(P2738,Fit_Matrix!$A:$A,0)))),"CHECK KEY"))</f>
        <v/>
      </c>
      <c r="U2738" s="10" t="n"/>
      <c r="V2738" s="10" t="n"/>
      <c r="W2738" s="10" t="n"/>
      <c r="X2738" s="10" t="n"/>
      <c r="Y2738" s="10" t="n"/>
      <c r="Z2738" s="10" t="n"/>
      <c r="AA2738" s="11">
        <f>IF(A2738="","",IF(AND(J2738="P4",F2738="causal"),"P4-CAUSAL",""))</f>
        <v/>
      </c>
    </row>
    <row r="2739" ht="15" customHeight="1" s="1">
      <c r="P2739">
        <f>IF(OR(F2739="",H2739="",J2739=""),"",J2739&amp;"|"&amp;F2739&amp;"|"&amp;IF(H2739="W3","W3_"&amp;IF(I2739="","unknown",I2739),H2739))</f>
        <v/>
      </c>
      <c r="Q2739">
        <f>IF(P2739="","",IFERROR(IF(AND(H2739="W7",OR(F2739="causal",F2739="predictive")),IF(AND(OR(K2739=1,K2739="1"),OR(L2739=1,L2739="1"),OR(M2739=1,M2739="1")),"adequate","partial"),IF(AND(H2739="W4",F2739="predictive",OR(J2739="P2",J2739="P3",J2739="P4")),IF(OR(U2739=1,U2739="1"),"adequate","partial"),INDEX(Fit_Matrix!$B:$B,MATCH(P2739,Fit_Matrix!$A:$A,0)))),"CHECK KEY"))</f>
        <v/>
      </c>
      <c r="U2739" s="10" t="n"/>
      <c r="V2739" s="10" t="n"/>
      <c r="W2739" s="10" t="n"/>
      <c r="X2739" s="10" t="n"/>
      <c r="Y2739" s="10" t="n"/>
      <c r="Z2739" s="10" t="n"/>
      <c r="AA2739" s="11">
        <f>IF(A2739="","",IF(AND(J2739="P4",F2739="causal"),"P4-CAUSAL",""))</f>
        <v/>
      </c>
    </row>
    <row r="2740" ht="15" customHeight="1" s="1">
      <c r="P2740">
        <f>IF(OR(F2740="",H2740="",J2740=""),"",J2740&amp;"|"&amp;F2740&amp;"|"&amp;IF(H2740="W3","W3_"&amp;IF(I2740="","unknown",I2740),H2740))</f>
        <v/>
      </c>
      <c r="Q2740">
        <f>IF(P2740="","",IFERROR(IF(AND(H2740="W7",OR(F2740="causal",F2740="predictive")),IF(AND(OR(K2740=1,K2740="1"),OR(L2740=1,L2740="1"),OR(M2740=1,M2740="1")),"adequate","partial"),IF(AND(H2740="W4",F2740="predictive",OR(J2740="P2",J2740="P3",J2740="P4")),IF(OR(U2740=1,U2740="1"),"adequate","partial"),INDEX(Fit_Matrix!$B:$B,MATCH(P2740,Fit_Matrix!$A:$A,0)))),"CHECK KEY"))</f>
        <v/>
      </c>
      <c r="U2740" s="10" t="n"/>
      <c r="V2740" s="10" t="n"/>
      <c r="W2740" s="10" t="n"/>
      <c r="X2740" s="10" t="n"/>
      <c r="Y2740" s="10" t="n"/>
      <c r="Z2740" s="10" t="n"/>
      <c r="AA2740" s="11">
        <f>IF(A2740="","",IF(AND(J2740="P4",F2740="causal"),"P4-CAUSAL",""))</f>
        <v/>
      </c>
    </row>
    <row r="2741" ht="15" customHeight="1" s="1">
      <c r="P2741">
        <f>IF(OR(F2741="",H2741="",J2741=""),"",J2741&amp;"|"&amp;F2741&amp;"|"&amp;IF(H2741="W3","W3_"&amp;IF(I2741="","unknown",I2741),H2741))</f>
        <v/>
      </c>
      <c r="Q2741">
        <f>IF(P2741="","",IFERROR(IF(AND(H2741="W7",OR(F2741="causal",F2741="predictive")),IF(AND(OR(K2741=1,K2741="1"),OR(L2741=1,L2741="1"),OR(M2741=1,M2741="1")),"adequate","partial"),IF(AND(H2741="W4",F2741="predictive",OR(J2741="P2",J2741="P3",J2741="P4")),IF(OR(U2741=1,U2741="1"),"adequate","partial"),INDEX(Fit_Matrix!$B:$B,MATCH(P2741,Fit_Matrix!$A:$A,0)))),"CHECK KEY"))</f>
        <v/>
      </c>
      <c r="U2741" s="10" t="n"/>
      <c r="V2741" s="10" t="n"/>
      <c r="W2741" s="10" t="n"/>
      <c r="X2741" s="10" t="n"/>
      <c r="Y2741" s="10" t="n"/>
      <c r="Z2741" s="10" t="n"/>
      <c r="AA2741" s="11">
        <f>IF(A2741="","",IF(AND(J2741="P4",F2741="causal"),"P4-CAUSAL",""))</f>
        <v/>
      </c>
    </row>
    <row r="2742" ht="15" customHeight="1" s="1">
      <c r="P2742">
        <f>IF(OR(F2742="",H2742="",J2742=""),"",J2742&amp;"|"&amp;F2742&amp;"|"&amp;IF(H2742="W3","W3_"&amp;IF(I2742="","unknown",I2742),H2742))</f>
        <v/>
      </c>
      <c r="Q2742">
        <f>IF(P2742="","",IFERROR(IF(AND(H2742="W7",OR(F2742="causal",F2742="predictive")),IF(AND(OR(K2742=1,K2742="1"),OR(L2742=1,L2742="1"),OR(M2742=1,M2742="1")),"adequate","partial"),IF(AND(H2742="W4",F2742="predictive",OR(J2742="P2",J2742="P3",J2742="P4")),IF(OR(U2742=1,U2742="1"),"adequate","partial"),INDEX(Fit_Matrix!$B:$B,MATCH(P2742,Fit_Matrix!$A:$A,0)))),"CHECK KEY"))</f>
        <v/>
      </c>
      <c r="U2742" s="10" t="n"/>
      <c r="V2742" s="10" t="n"/>
      <c r="W2742" s="10" t="n"/>
      <c r="X2742" s="10" t="n"/>
      <c r="Y2742" s="10" t="n"/>
      <c r="Z2742" s="10" t="n"/>
      <c r="AA2742" s="11">
        <f>IF(A2742="","",IF(AND(J2742="P4",F2742="causal"),"P4-CAUSAL",""))</f>
        <v/>
      </c>
    </row>
    <row r="2743" ht="15" customHeight="1" s="1">
      <c r="P2743">
        <f>IF(OR(F2743="",H2743="",J2743=""),"",J2743&amp;"|"&amp;F2743&amp;"|"&amp;IF(H2743="W3","W3_"&amp;IF(I2743="","unknown",I2743),H2743))</f>
        <v/>
      </c>
      <c r="Q2743">
        <f>IF(P2743="","",IFERROR(IF(AND(H2743="W7",OR(F2743="causal",F2743="predictive")),IF(AND(OR(K2743=1,K2743="1"),OR(L2743=1,L2743="1"),OR(M2743=1,M2743="1")),"adequate","partial"),IF(AND(H2743="W4",F2743="predictive",OR(J2743="P2",J2743="P3",J2743="P4")),IF(OR(U2743=1,U2743="1"),"adequate","partial"),INDEX(Fit_Matrix!$B:$B,MATCH(P2743,Fit_Matrix!$A:$A,0)))),"CHECK KEY"))</f>
        <v/>
      </c>
      <c r="U2743" s="10" t="n"/>
      <c r="V2743" s="10" t="n"/>
      <c r="W2743" s="10" t="n"/>
      <c r="X2743" s="10" t="n"/>
      <c r="Y2743" s="10" t="n"/>
      <c r="Z2743" s="10" t="n"/>
      <c r="AA2743" s="11">
        <f>IF(A2743="","",IF(AND(J2743="P4",F2743="causal"),"P4-CAUSAL",""))</f>
        <v/>
      </c>
    </row>
    <row r="2744" ht="15" customHeight="1" s="1">
      <c r="P2744">
        <f>IF(OR(F2744="",H2744="",J2744=""),"",J2744&amp;"|"&amp;F2744&amp;"|"&amp;IF(H2744="W3","W3_"&amp;IF(I2744="","unknown",I2744),H2744))</f>
        <v/>
      </c>
      <c r="Q2744">
        <f>IF(P2744="","",IFERROR(IF(AND(H2744="W7",OR(F2744="causal",F2744="predictive")),IF(AND(OR(K2744=1,K2744="1"),OR(L2744=1,L2744="1"),OR(M2744=1,M2744="1")),"adequate","partial"),IF(AND(H2744="W4",F2744="predictive",OR(J2744="P2",J2744="P3",J2744="P4")),IF(OR(U2744=1,U2744="1"),"adequate","partial"),INDEX(Fit_Matrix!$B:$B,MATCH(P2744,Fit_Matrix!$A:$A,0)))),"CHECK KEY"))</f>
        <v/>
      </c>
      <c r="U2744" s="10" t="n"/>
      <c r="V2744" s="10" t="n"/>
      <c r="W2744" s="10" t="n"/>
      <c r="X2744" s="10" t="n"/>
      <c r="Y2744" s="10" t="n"/>
      <c r="Z2744" s="10" t="n"/>
      <c r="AA2744" s="11">
        <f>IF(A2744="","",IF(AND(J2744="P4",F2744="causal"),"P4-CAUSAL",""))</f>
        <v/>
      </c>
    </row>
    <row r="2745" ht="15" customHeight="1" s="1">
      <c r="P2745">
        <f>IF(OR(F2745="",H2745="",J2745=""),"",J2745&amp;"|"&amp;F2745&amp;"|"&amp;IF(H2745="W3","W3_"&amp;IF(I2745="","unknown",I2745),H2745))</f>
        <v/>
      </c>
      <c r="Q2745">
        <f>IF(P2745="","",IFERROR(IF(AND(H2745="W7",OR(F2745="causal",F2745="predictive")),IF(AND(OR(K2745=1,K2745="1"),OR(L2745=1,L2745="1"),OR(M2745=1,M2745="1")),"adequate","partial"),IF(AND(H2745="W4",F2745="predictive",OR(J2745="P2",J2745="P3",J2745="P4")),IF(OR(U2745=1,U2745="1"),"adequate","partial"),INDEX(Fit_Matrix!$B:$B,MATCH(P2745,Fit_Matrix!$A:$A,0)))),"CHECK KEY"))</f>
        <v/>
      </c>
      <c r="U2745" s="10" t="n"/>
      <c r="V2745" s="10" t="n"/>
      <c r="W2745" s="10" t="n"/>
      <c r="X2745" s="10" t="n"/>
      <c r="Y2745" s="10" t="n"/>
      <c r="Z2745" s="10" t="n"/>
      <c r="AA2745" s="11">
        <f>IF(A2745="","",IF(AND(J2745="P4",F2745="causal"),"P4-CAUSAL",""))</f>
        <v/>
      </c>
    </row>
    <row r="2746" ht="15" customHeight="1" s="1">
      <c r="P2746">
        <f>IF(OR(F2746="",H2746="",J2746=""),"",J2746&amp;"|"&amp;F2746&amp;"|"&amp;IF(H2746="W3","W3_"&amp;IF(I2746="","unknown",I2746),H2746))</f>
        <v/>
      </c>
      <c r="Q2746">
        <f>IF(P2746="","",IFERROR(IF(AND(H2746="W7",OR(F2746="causal",F2746="predictive")),IF(AND(OR(K2746=1,K2746="1"),OR(L2746=1,L2746="1"),OR(M2746=1,M2746="1")),"adequate","partial"),IF(AND(H2746="W4",F2746="predictive",OR(J2746="P2",J2746="P3",J2746="P4")),IF(OR(U2746=1,U2746="1"),"adequate","partial"),INDEX(Fit_Matrix!$B:$B,MATCH(P2746,Fit_Matrix!$A:$A,0)))),"CHECK KEY"))</f>
        <v/>
      </c>
      <c r="U2746" s="10" t="n"/>
      <c r="V2746" s="10" t="n"/>
      <c r="W2746" s="10" t="n"/>
      <c r="X2746" s="10" t="n"/>
      <c r="Y2746" s="10" t="n"/>
      <c r="Z2746" s="10" t="n"/>
      <c r="AA2746" s="11">
        <f>IF(A2746="","",IF(AND(J2746="P4",F2746="causal"),"P4-CAUSAL",""))</f>
        <v/>
      </c>
    </row>
    <row r="2747" ht="15" customHeight="1" s="1">
      <c r="P2747">
        <f>IF(OR(F2747="",H2747="",J2747=""),"",J2747&amp;"|"&amp;F2747&amp;"|"&amp;IF(H2747="W3","W3_"&amp;IF(I2747="","unknown",I2747),H2747))</f>
        <v/>
      </c>
      <c r="Q2747">
        <f>IF(P2747="","",IFERROR(IF(AND(H2747="W7",OR(F2747="causal",F2747="predictive")),IF(AND(OR(K2747=1,K2747="1"),OR(L2747=1,L2747="1"),OR(M2747=1,M2747="1")),"adequate","partial"),IF(AND(H2747="W4",F2747="predictive",OR(J2747="P2",J2747="P3",J2747="P4")),IF(OR(U2747=1,U2747="1"),"adequate","partial"),INDEX(Fit_Matrix!$B:$B,MATCH(P2747,Fit_Matrix!$A:$A,0)))),"CHECK KEY"))</f>
        <v/>
      </c>
      <c r="U2747" s="10" t="n"/>
      <c r="V2747" s="10" t="n"/>
      <c r="W2747" s="10" t="n"/>
      <c r="X2747" s="10" t="n"/>
      <c r="Y2747" s="10" t="n"/>
      <c r="Z2747" s="10" t="n"/>
      <c r="AA2747" s="11">
        <f>IF(A2747="","",IF(AND(J2747="P4",F2747="causal"),"P4-CAUSAL",""))</f>
        <v/>
      </c>
    </row>
    <row r="2748" ht="15" customHeight="1" s="1">
      <c r="P2748">
        <f>IF(OR(F2748="",H2748="",J2748=""),"",J2748&amp;"|"&amp;F2748&amp;"|"&amp;IF(H2748="W3","W3_"&amp;IF(I2748="","unknown",I2748),H2748))</f>
        <v/>
      </c>
      <c r="Q2748">
        <f>IF(P2748="","",IFERROR(IF(AND(H2748="W7",OR(F2748="causal",F2748="predictive")),IF(AND(OR(K2748=1,K2748="1"),OR(L2748=1,L2748="1"),OR(M2748=1,M2748="1")),"adequate","partial"),IF(AND(H2748="W4",F2748="predictive",OR(J2748="P2",J2748="P3",J2748="P4")),IF(OR(U2748=1,U2748="1"),"adequate","partial"),INDEX(Fit_Matrix!$B:$B,MATCH(P2748,Fit_Matrix!$A:$A,0)))),"CHECK KEY"))</f>
        <v/>
      </c>
      <c r="U2748" s="10" t="n"/>
      <c r="V2748" s="10" t="n"/>
      <c r="W2748" s="10" t="n"/>
      <c r="X2748" s="10" t="n"/>
      <c r="Y2748" s="10" t="n"/>
      <c r="Z2748" s="10" t="n"/>
      <c r="AA2748" s="11">
        <f>IF(A2748="","",IF(AND(J2748="P4",F2748="causal"),"P4-CAUSAL",""))</f>
        <v/>
      </c>
    </row>
    <row r="2749" ht="15" customHeight="1" s="1">
      <c r="P2749">
        <f>IF(OR(F2749="",H2749="",J2749=""),"",J2749&amp;"|"&amp;F2749&amp;"|"&amp;IF(H2749="W3","W3_"&amp;IF(I2749="","unknown",I2749),H2749))</f>
        <v/>
      </c>
      <c r="Q2749">
        <f>IF(P2749="","",IFERROR(IF(AND(H2749="W7",OR(F2749="causal",F2749="predictive")),IF(AND(OR(K2749=1,K2749="1"),OR(L2749=1,L2749="1"),OR(M2749=1,M2749="1")),"adequate","partial"),IF(AND(H2749="W4",F2749="predictive",OR(J2749="P2",J2749="P3",J2749="P4")),IF(OR(U2749=1,U2749="1"),"adequate","partial"),INDEX(Fit_Matrix!$B:$B,MATCH(P2749,Fit_Matrix!$A:$A,0)))),"CHECK KEY"))</f>
        <v/>
      </c>
      <c r="U2749" s="10" t="n"/>
      <c r="V2749" s="10" t="n"/>
      <c r="W2749" s="10" t="n"/>
      <c r="X2749" s="10" t="n"/>
      <c r="Y2749" s="10" t="n"/>
      <c r="Z2749" s="10" t="n"/>
      <c r="AA2749" s="11">
        <f>IF(A2749="","",IF(AND(J2749="P4",F2749="causal"),"P4-CAUSAL",""))</f>
        <v/>
      </c>
    </row>
    <row r="2750" ht="15" customHeight="1" s="1">
      <c r="P2750">
        <f>IF(OR(F2750="",H2750="",J2750=""),"",J2750&amp;"|"&amp;F2750&amp;"|"&amp;IF(H2750="W3","W3_"&amp;IF(I2750="","unknown",I2750),H2750))</f>
        <v/>
      </c>
      <c r="Q2750">
        <f>IF(P2750="","",IFERROR(IF(AND(H2750="W7",OR(F2750="causal",F2750="predictive")),IF(AND(OR(K2750=1,K2750="1"),OR(L2750=1,L2750="1"),OR(M2750=1,M2750="1")),"adequate","partial"),IF(AND(H2750="W4",F2750="predictive",OR(J2750="P2",J2750="P3",J2750="P4")),IF(OR(U2750=1,U2750="1"),"adequate","partial"),INDEX(Fit_Matrix!$B:$B,MATCH(P2750,Fit_Matrix!$A:$A,0)))),"CHECK KEY"))</f>
        <v/>
      </c>
      <c r="U2750" s="10" t="n"/>
      <c r="V2750" s="10" t="n"/>
      <c r="W2750" s="10" t="n"/>
      <c r="X2750" s="10" t="n"/>
      <c r="Y2750" s="10" t="n"/>
      <c r="Z2750" s="10" t="n"/>
      <c r="AA2750" s="11">
        <f>IF(A2750="","",IF(AND(J2750="P4",F2750="causal"),"P4-CAUSAL",""))</f>
        <v/>
      </c>
    </row>
    <row r="2751" ht="15" customHeight="1" s="1">
      <c r="P2751">
        <f>IF(OR(F2751="",H2751="",J2751=""),"",J2751&amp;"|"&amp;F2751&amp;"|"&amp;IF(H2751="W3","W3_"&amp;IF(I2751="","unknown",I2751),H2751))</f>
        <v/>
      </c>
      <c r="Q2751">
        <f>IF(P2751="","",IFERROR(IF(AND(H2751="W7",OR(F2751="causal",F2751="predictive")),IF(AND(OR(K2751=1,K2751="1"),OR(L2751=1,L2751="1"),OR(M2751=1,M2751="1")),"adequate","partial"),IF(AND(H2751="W4",F2751="predictive",OR(J2751="P2",J2751="P3",J2751="P4")),IF(OR(U2751=1,U2751="1"),"adequate","partial"),INDEX(Fit_Matrix!$B:$B,MATCH(P2751,Fit_Matrix!$A:$A,0)))),"CHECK KEY"))</f>
        <v/>
      </c>
      <c r="U2751" s="10" t="n"/>
      <c r="V2751" s="10" t="n"/>
      <c r="W2751" s="10" t="n"/>
      <c r="X2751" s="10" t="n"/>
      <c r="Y2751" s="10" t="n"/>
      <c r="Z2751" s="10" t="n"/>
      <c r="AA2751" s="11">
        <f>IF(A2751="","",IF(AND(J2751="P4",F2751="causal"),"P4-CAUSAL",""))</f>
        <v/>
      </c>
    </row>
    <row r="2752" ht="15" customHeight="1" s="1">
      <c r="P2752">
        <f>IF(OR(F2752="",H2752="",J2752=""),"",J2752&amp;"|"&amp;F2752&amp;"|"&amp;IF(H2752="W3","W3_"&amp;IF(I2752="","unknown",I2752),H2752))</f>
        <v/>
      </c>
      <c r="Q2752">
        <f>IF(P2752="","",IFERROR(IF(AND(H2752="W7",OR(F2752="causal",F2752="predictive")),IF(AND(OR(K2752=1,K2752="1"),OR(L2752=1,L2752="1"),OR(M2752=1,M2752="1")),"adequate","partial"),IF(AND(H2752="W4",F2752="predictive",OR(J2752="P2",J2752="P3",J2752="P4")),IF(OR(U2752=1,U2752="1"),"adequate","partial"),INDEX(Fit_Matrix!$B:$B,MATCH(P2752,Fit_Matrix!$A:$A,0)))),"CHECK KEY"))</f>
        <v/>
      </c>
      <c r="U2752" s="10" t="n"/>
      <c r="V2752" s="10" t="n"/>
      <c r="W2752" s="10" t="n"/>
      <c r="X2752" s="10" t="n"/>
      <c r="Y2752" s="10" t="n"/>
      <c r="Z2752" s="10" t="n"/>
      <c r="AA2752" s="11">
        <f>IF(A2752="","",IF(AND(J2752="P4",F2752="causal"),"P4-CAUSAL",""))</f>
        <v/>
      </c>
    </row>
    <row r="2753" ht="15" customHeight="1" s="1">
      <c r="P2753">
        <f>IF(OR(F2753="",H2753="",J2753=""),"",J2753&amp;"|"&amp;F2753&amp;"|"&amp;IF(H2753="W3","W3_"&amp;IF(I2753="","unknown",I2753),H2753))</f>
        <v/>
      </c>
      <c r="Q2753">
        <f>IF(P2753="","",IFERROR(IF(AND(H2753="W7",OR(F2753="causal",F2753="predictive")),IF(AND(OR(K2753=1,K2753="1"),OR(L2753=1,L2753="1"),OR(M2753=1,M2753="1")),"adequate","partial"),IF(AND(H2753="W4",F2753="predictive",OR(J2753="P2",J2753="P3",J2753="P4")),IF(OR(U2753=1,U2753="1"),"adequate","partial"),INDEX(Fit_Matrix!$B:$B,MATCH(P2753,Fit_Matrix!$A:$A,0)))),"CHECK KEY"))</f>
        <v/>
      </c>
      <c r="U2753" s="10" t="n"/>
      <c r="V2753" s="10" t="n"/>
      <c r="W2753" s="10" t="n"/>
      <c r="X2753" s="10" t="n"/>
      <c r="Y2753" s="10" t="n"/>
      <c r="Z2753" s="10" t="n"/>
      <c r="AA2753" s="11">
        <f>IF(A2753="","",IF(AND(J2753="P4",F2753="causal"),"P4-CAUSAL",""))</f>
        <v/>
      </c>
    </row>
    <row r="2754" ht="15" customHeight="1" s="1">
      <c r="P2754">
        <f>IF(OR(F2754="",H2754="",J2754=""),"",J2754&amp;"|"&amp;F2754&amp;"|"&amp;IF(H2754="W3","W3_"&amp;IF(I2754="","unknown",I2754),H2754))</f>
        <v/>
      </c>
      <c r="Q2754">
        <f>IF(P2754="","",IFERROR(IF(AND(H2754="W7",OR(F2754="causal",F2754="predictive")),IF(AND(OR(K2754=1,K2754="1"),OR(L2754=1,L2754="1"),OR(M2754=1,M2754="1")),"adequate","partial"),IF(AND(H2754="W4",F2754="predictive",OR(J2754="P2",J2754="P3",J2754="P4")),IF(OR(U2754=1,U2754="1"),"adequate","partial"),INDEX(Fit_Matrix!$B:$B,MATCH(P2754,Fit_Matrix!$A:$A,0)))),"CHECK KEY"))</f>
        <v/>
      </c>
      <c r="U2754" s="10" t="n"/>
      <c r="V2754" s="10" t="n"/>
      <c r="W2754" s="10" t="n"/>
      <c r="X2754" s="10" t="n"/>
      <c r="Y2754" s="10" t="n"/>
      <c r="Z2754" s="10" t="n"/>
      <c r="AA2754" s="11">
        <f>IF(A2754="","",IF(AND(J2754="P4",F2754="causal"),"P4-CAUSAL",""))</f>
        <v/>
      </c>
    </row>
    <row r="2755" ht="15" customHeight="1" s="1">
      <c r="P2755">
        <f>IF(OR(F2755="",H2755="",J2755=""),"",J2755&amp;"|"&amp;F2755&amp;"|"&amp;IF(H2755="W3","W3_"&amp;IF(I2755="","unknown",I2755),H2755))</f>
        <v/>
      </c>
      <c r="Q2755">
        <f>IF(P2755="","",IFERROR(IF(AND(H2755="W7",OR(F2755="causal",F2755="predictive")),IF(AND(OR(K2755=1,K2755="1"),OR(L2755=1,L2755="1"),OR(M2755=1,M2755="1")),"adequate","partial"),IF(AND(H2755="W4",F2755="predictive",OR(J2755="P2",J2755="P3",J2755="P4")),IF(OR(U2755=1,U2755="1"),"adequate","partial"),INDEX(Fit_Matrix!$B:$B,MATCH(P2755,Fit_Matrix!$A:$A,0)))),"CHECK KEY"))</f>
        <v/>
      </c>
      <c r="U2755" s="10" t="n"/>
      <c r="V2755" s="10" t="n"/>
      <c r="W2755" s="10" t="n"/>
      <c r="X2755" s="10" t="n"/>
      <c r="Y2755" s="10" t="n"/>
      <c r="Z2755" s="10" t="n"/>
      <c r="AA2755" s="11">
        <f>IF(A2755="","",IF(AND(J2755="P4",F2755="causal"),"P4-CAUSAL",""))</f>
        <v/>
      </c>
    </row>
    <row r="2756" ht="15" customHeight="1" s="1">
      <c r="P2756">
        <f>IF(OR(F2756="",H2756="",J2756=""),"",J2756&amp;"|"&amp;F2756&amp;"|"&amp;IF(H2756="W3","W3_"&amp;IF(I2756="","unknown",I2756),H2756))</f>
        <v/>
      </c>
      <c r="Q2756">
        <f>IF(P2756="","",IFERROR(IF(AND(H2756="W7",OR(F2756="causal",F2756="predictive")),IF(AND(OR(K2756=1,K2756="1"),OR(L2756=1,L2756="1"),OR(M2756=1,M2756="1")),"adequate","partial"),IF(AND(H2756="W4",F2756="predictive",OR(J2756="P2",J2756="P3",J2756="P4")),IF(OR(U2756=1,U2756="1"),"adequate","partial"),INDEX(Fit_Matrix!$B:$B,MATCH(P2756,Fit_Matrix!$A:$A,0)))),"CHECK KEY"))</f>
        <v/>
      </c>
      <c r="U2756" s="10" t="n"/>
      <c r="V2756" s="10" t="n"/>
      <c r="W2756" s="10" t="n"/>
      <c r="X2756" s="10" t="n"/>
      <c r="Y2756" s="10" t="n"/>
      <c r="Z2756" s="10" t="n"/>
      <c r="AA2756" s="11">
        <f>IF(A2756="","",IF(AND(J2756="P4",F2756="causal"),"P4-CAUSAL",""))</f>
        <v/>
      </c>
    </row>
    <row r="2757" ht="15" customHeight="1" s="1">
      <c r="P2757">
        <f>IF(OR(F2757="",H2757="",J2757=""),"",J2757&amp;"|"&amp;F2757&amp;"|"&amp;IF(H2757="W3","W3_"&amp;IF(I2757="","unknown",I2757),H2757))</f>
        <v/>
      </c>
      <c r="Q2757">
        <f>IF(P2757="","",IFERROR(IF(AND(H2757="W7",OR(F2757="causal",F2757="predictive")),IF(AND(OR(K2757=1,K2757="1"),OR(L2757=1,L2757="1"),OR(M2757=1,M2757="1")),"adequate","partial"),IF(AND(H2757="W4",F2757="predictive",OR(J2757="P2",J2757="P3",J2757="P4")),IF(OR(U2757=1,U2757="1"),"adequate","partial"),INDEX(Fit_Matrix!$B:$B,MATCH(P2757,Fit_Matrix!$A:$A,0)))),"CHECK KEY"))</f>
        <v/>
      </c>
      <c r="U2757" s="10" t="n"/>
      <c r="V2757" s="10" t="n"/>
      <c r="W2757" s="10" t="n"/>
      <c r="X2757" s="10" t="n"/>
      <c r="Y2757" s="10" t="n"/>
      <c r="Z2757" s="10" t="n"/>
      <c r="AA2757" s="11">
        <f>IF(A2757="","",IF(AND(J2757="P4",F2757="causal"),"P4-CAUSAL",""))</f>
        <v/>
      </c>
    </row>
    <row r="2758" ht="15" customHeight="1" s="1">
      <c r="P2758">
        <f>IF(OR(F2758="",H2758="",J2758=""),"",J2758&amp;"|"&amp;F2758&amp;"|"&amp;IF(H2758="W3","W3_"&amp;IF(I2758="","unknown",I2758),H2758))</f>
        <v/>
      </c>
      <c r="Q2758">
        <f>IF(P2758="","",IFERROR(IF(AND(H2758="W7",OR(F2758="causal",F2758="predictive")),IF(AND(OR(K2758=1,K2758="1"),OR(L2758=1,L2758="1"),OR(M2758=1,M2758="1")),"adequate","partial"),IF(AND(H2758="W4",F2758="predictive",OR(J2758="P2",J2758="P3",J2758="P4")),IF(OR(U2758=1,U2758="1"),"adequate","partial"),INDEX(Fit_Matrix!$B:$B,MATCH(P2758,Fit_Matrix!$A:$A,0)))),"CHECK KEY"))</f>
        <v/>
      </c>
      <c r="U2758" s="10" t="n"/>
      <c r="V2758" s="10" t="n"/>
      <c r="W2758" s="10" t="n"/>
      <c r="X2758" s="10" t="n"/>
      <c r="Y2758" s="10" t="n"/>
      <c r="Z2758" s="10" t="n"/>
      <c r="AA2758" s="11">
        <f>IF(A2758="","",IF(AND(J2758="P4",F2758="causal"),"P4-CAUSAL",""))</f>
        <v/>
      </c>
    </row>
    <row r="2759" ht="15" customHeight="1" s="1">
      <c r="P2759">
        <f>IF(OR(F2759="",H2759="",J2759=""),"",J2759&amp;"|"&amp;F2759&amp;"|"&amp;IF(H2759="W3","W3_"&amp;IF(I2759="","unknown",I2759),H2759))</f>
        <v/>
      </c>
      <c r="Q2759">
        <f>IF(P2759="","",IFERROR(IF(AND(H2759="W7",OR(F2759="causal",F2759="predictive")),IF(AND(OR(K2759=1,K2759="1"),OR(L2759=1,L2759="1"),OR(M2759=1,M2759="1")),"adequate","partial"),IF(AND(H2759="W4",F2759="predictive",OR(J2759="P2",J2759="P3",J2759="P4")),IF(OR(U2759=1,U2759="1"),"adequate","partial"),INDEX(Fit_Matrix!$B:$B,MATCH(P2759,Fit_Matrix!$A:$A,0)))),"CHECK KEY"))</f>
        <v/>
      </c>
      <c r="U2759" s="10" t="n"/>
      <c r="V2759" s="10" t="n"/>
      <c r="W2759" s="10" t="n"/>
      <c r="X2759" s="10" t="n"/>
      <c r="Y2759" s="10" t="n"/>
      <c r="Z2759" s="10" t="n"/>
      <c r="AA2759" s="11">
        <f>IF(A2759="","",IF(AND(J2759="P4",F2759="causal"),"P4-CAUSAL",""))</f>
        <v/>
      </c>
    </row>
    <row r="2760" ht="15" customHeight="1" s="1">
      <c r="P2760">
        <f>IF(OR(F2760="",H2760="",J2760=""),"",J2760&amp;"|"&amp;F2760&amp;"|"&amp;IF(H2760="W3","W3_"&amp;IF(I2760="","unknown",I2760),H2760))</f>
        <v/>
      </c>
      <c r="Q2760">
        <f>IF(P2760="","",IFERROR(IF(AND(H2760="W7",OR(F2760="causal",F2760="predictive")),IF(AND(OR(K2760=1,K2760="1"),OR(L2760=1,L2760="1"),OR(M2760=1,M2760="1")),"adequate","partial"),IF(AND(H2760="W4",F2760="predictive",OR(J2760="P2",J2760="P3",J2760="P4")),IF(OR(U2760=1,U2760="1"),"adequate","partial"),INDEX(Fit_Matrix!$B:$B,MATCH(P2760,Fit_Matrix!$A:$A,0)))),"CHECK KEY"))</f>
        <v/>
      </c>
      <c r="U2760" s="10" t="n"/>
      <c r="V2760" s="10" t="n"/>
      <c r="W2760" s="10" t="n"/>
      <c r="X2760" s="10" t="n"/>
      <c r="Y2760" s="10" t="n"/>
      <c r="Z2760" s="10" t="n"/>
      <c r="AA2760" s="11">
        <f>IF(A2760="","",IF(AND(J2760="P4",F2760="causal"),"P4-CAUSAL",""))</f>
        <v/>
      </c>
    </row>
    <row r="2761" ht="15" customHeight="1" s="1">
      <c r="P2761">
        <f>IF(OR(F2761="",H2761="",J2761=""),"",J2761&amp;"|"&amp;F2761&amp;"|"&amp;IF(H2761="W3","W3_"&amp;IF(I2761="","unknown",I2761),H2761))</f>
        <v/>
      </c>
      <c r="Q2761">
        <f>IF(P2761="","",IFERROR(IF(AND(H2761="W7",OR(F2761="causal",F2761="predictive")),IF(AND(OR(K2761=1,K2761="1"),OR(L2761=1,L2761="1"),OR(M2761=1,M2761="1")),"adequate","partial"),IF(AND(H2761="W4",F2761="predictive",OR(J2761="P2",J2761="P3",J2761="P4")),IF(OR(U2761=1,U2761="1"),"adequate","partial"),INDEX(Fit_Matrix!$B:$B,MATCH(P2761,Fit_Matrix!$A:$A,0)))),"CHECK KEY"))</f>
        <v/>
      </c>
      <c r="U2761" s="10" t="n"/>
      <c r="V2761" s="10" t="n"/>
      <c r="W2761" s="10" t="n"/>
      <c r="X2761" s="10" t="n"/>
      <c r="Y2761" s="10" t="n"/>
      <c r="Z2761" s="10" t="n"/>
      <c r="AA2761" s="11">
        <f>IF(A2761="","",IF(AND(J2761="P4",F2761="causal"),"P4-CAUSAL",""))</f>
        <v/>
      </c>
    </row>
    <row r="2762" ht="15" customHeight="1" s="1">
      <c r="P2762">
        <f>IF(OR(F2762="",H2762="",J2762=""),"",J2762&amp;"|"&amp;F2762&amp;"|"&amp;IF(H2762="W3","W3_"&amp;IF(I2762="","unknown",I2762),H2762))</f>
        <v/>
      </c>
      <c r="Q2762">
        <f>IF(P2762="","",IFERROR(IF(AND(H2762="W7",OR(F2762="causal",F2762="predictive")),IF(AND(OR(K2762=1,K2762="1"),OR(L2762=1,L2762="1"),OR(M2762=1,M2762="1")),"adequate","partial"),IF(AND(H2762="W4",F2762="predictive",OR(J2762="P2",J2762="P3",J2762="P4")),IF(OR(U2762=1,U2762="1"),"adequate","partial"),INDEX(Fit_Matrix!$B:$B,MATCH(P2762,Fit_Matrix!$A:$A,0)))),"CHECK KEY"))</f>
        <v/>
      </c>
      <c r="U2762" s="10" t="n"/>
      <c r="V2762" s="10" t="n"/>
      <c r="W2762" s="10" t="n"/>
      <c r="X2762" s="10" t="n"/>
      <c r="Y2762" s="10" t="n"/>
      <c r="Z2762" s="10" t="n"/>
      <c r="AA2762" s="11">
        <f>IF(A2762="","",IF(AND(J2762="P4",F2762="causal"),"P4-CAUSAL",""))</f>
        <v/>
      </c>
    </row>
    <row r="2763" ht="15" customHeight="1" s="1">
      <c r="P2763">
        <f>IF(OR(F2763="",H2763="",J2763=""),"",J2763&amp;"|"&amp;F2763&amp;"|"&amp;IF(H2763="W3","W3_"&amp;IF(I2763="","unknown",I2763),H2763))</f>
        <v/>
      </c>
      <c r="Q2763">
        <f>IF(P2763="","",IFERROR(IF(AND(H2763="W7",OR(F2763="causal",F2763="predictive")),IF(AND(OR(K2763=1,K2763="1"),OR(L2763=1,L2763="1"),OR(M2763=1,M2763="1")),"adequate","partial"),IF(AND(H2763="W4",F2763="predictive",OR(J2763="P2",J2763="P3",J2763="P4")),IF(OR(U2763=1,U2763="1"),"adequate","partial"),INDEX(Fit_Matrix!$B:$B,MATCH(P2763,Fit_Matrix!$A:$A,0)))),"CHECK KEY"))</f>
        <v/>
      </c>
      <c r="U2763" s="10" t="n"/>
      <c r="V2763" s="10" t="n"/>
      <c r="W2763" s="10" t="n"/>
      <c r="X2763" s="10" t="n"/>
      <c r="Y2763" s="10" t="n"/>
      <c r="Z2763" s="10" t="n"/>
      <c r="AA2763" s="11">
        <f>IF(A2763="","",IF(AND(J2763="P4",F2763="causal"),"P4-CAUSAL",""))</f>
        <v/>
      </c>
    </row>
    <row r="2764" ht="15" customHeight="1" s="1">
      <c r="P2764">
        <f>IF(OR(F2764="",H2764="",J2764=""),"",J2764&amp;"|"&amp;F2764&amp;"|"&amp;IF(H2764="W3","W3_"&amp;IF(I2764="","unknown",I2764),H2764))</f>
        <v/>
      </c>
      <c r="Q2764">
        <f>IF(P2764="","",IFERROR(IF(AND(H2764="W7",OR(F2764="causal",F2764="predictive")),IF(AND(OR(K2764=1,K2764="1"),OR(L2764=1,L2764="1"),OR(M2764=1,M2764="1")),"adequate","partial"),IF(AND(H2764="W4",F2764="predictive",OR(J2764="P2",J2764="P3",J2764="P4")),IF(OR(U2764=1,U2764="1"),"adequate","partial"),INDEX(Fit_Matrix!$B:$B,MATCH(P2764,Fit_Matrix!$A:$A,0)))),"CHECK KEY"))</f>
        <v/>
      </c>
      <c r="U2764" s="10" t="n"/>
      <c r="V2764" s="10" t="n"/>
      <c r="W2764" s="10" t="n"/>
      <c r="X2764" s="10" t="n"/>
      <c r="Y2764" s="10" t="n"/>
      <c r="Z2764" s="10" t="n"/>
      <c r="AA2764" s="11">
        <f>IF(A2764="","",IF(AND(J2764="P4",F2764="causal"),"P4-CAUSAL",""))</f>
        <v/>
      </c>
    </row>
    <row r="2765" ht="15" customHeight="1" s="1">
      <c r="P2765">
        <f>IF(OR(F2765="",H2765="",J2765=""),"",J2765&amp;"|"&amp;F2765&amp;"|"&amp;IF(H2765="W3","W3_"&amp;IF(I2765="","unknown",I2765),H2765))</f>
        <v/>
      </c>
      <c r="Q2765">
        <f>IF(P2765="","",IFERROR(IF(AND(H2765="W7",OR(F2765="causal",F2765="predictive")),IF(AND(OR(K2765=1,K2765="1"),OR(L2765=1,L2765="1"),OR(M2765=1,M2765="1")),"adequate","partial"),IF(AND(H2765="W4",F2765="predictive",OR(J2765="P2",J2765="P3",J2765="P4")),IF(OR(U2765=1,U2765="1"),"adequate","partial"),INDEX(Fit_Matrix!$B:$B,MATCH(P2765,Fit_Matrix!$A:$A,0)))),"CHECK KEY"))</f>
        <v/>
      </c>
      <c r="U2765" s="10" t="n"/>
      <c r="V2765" s="10" t="n"/>
      <c r="W2765" s="10" t="n"/>
      <c r="X2765" s="10" t="n"/>
      <c r="Y2765" s="10" t="n"/>
      <c r="Z2765" s="10" t="n"/>
      <c r="AA2765" s="11">
        <f>IF(A2765="","",IF(AND(J2765="P4",F2765="causal"),"P4-CAUSAL",""))</f>
        <v/>
      </c>
    </row>
    <row r="2766" ht="15" customHeight="1" s="1">
      <c r="P2766">
        <f>IF(OR(F2766="",H2766="",J2766=""),"",J2766&amp;"|"&amp;F2766&amp;"|"&amp;IF(H2766="W3","W3_"&amp;IF(I2766="","unknown",I2766),H2766))</f>
        <v/>
      </c>
      <c r="Q2766">
        <f>IF(P2766="","",IFERROR(IF(AND(H2766="W7",OR(F2766="causal",F2766="predictive")),IF(AND(OR(K2766=1,K2766="1"),OR(L2766=1,L2766="1"),OR(M2766=1,M2766="1")),"adequate","partial"),IF(AND(H2766="W4",F2766="predictive",OR(J2766="P2",J2766="P3",J2766="P4")),IF(OR(U2766=1,U2766="1"),"adequate","partial"),INDEX(Fit_Matrix!$B:$B,MATCH(P2766,Fit_Matrix!$A:$A,0)))),"CHECK KEY"))</f>
        <v/>
      </c>
      <c r="U2766" s="10" t="n"/>
      <c r="V2766" s="10" t="n"/>
      <c r="W2766" s="10" t="n"/>
      <c r="X2766" s="10" t="n"/>
      <c r="Y2766" s="10" t="n"/>
      <c r="Z2766" s="10" t="n"/>
      <c r="AA2766" s="11">
        <f>IF(A2766="","",IF(AND(J2766="P4",F2766="causal"),"P4-CAUSAL",""))</f>
        <v/>
      </c>
    </row>
    <row r="2767" ht="15" customHeight="1" s="1">
      <c r="P2767">
        <f>IF(OR(F2767="",H2767="",J2767=""),"",J2767&amp;"|"&amp;F2767&amp;"|"&amp;IF(H2767="W3","W3_"&amp;IF(I2767="","unknown",I2767),H2767))</f>
        <v/>
      </c>
      <c r="Q2767">
        <f>IF(P2767="","",IFERROR(IF(AND(H2767="W7",OR(F2767="causal",F2767="predictive")),IF(AND(OR(K2767=1,K2767="1"),OR(L2767=1,L2767="1"),OR(M2767=1,M2767="1")),"adequate","partial"),IF(AND(H2767="W4",F2767="predictive",OR(J2767="P2",J2767="P3",J2767="P4")),IF(OR(U2767=1,U2767="1"),"adequate","partial"),INDEX(Fit_Matrix!$B:$B,MATCH(P2767,Fit_Matrix!$A:$A,0)))),"CHECK KEY"))</f>
        <v/>
      </c>
      <c r="U2767" s="10" t="n"/>
      <c r="V2767" s="10" t="n"/>
      <c r="W2767" s="10" t="n"/>
      <c r="X2767" s="10" t="n"/>
      <c r="Y2767" s="10" t="n"/>
      <c r="Z2767" s="10" t="n"/>
      <c r="AA2767" s="11">
        <f>IF(A2767="","",IF(AND(J2767="P4",F2767="causal"),"P4-CAUSAL",""))</f>
        <v/>
      </c>
    </row>
    <row r="2768" ht="15" customHeight="1" s="1">
      <c r="P2768">
        <f>IF(OR(F2768="",H2768="",J2768=""),"",J2768&amp;"|"&amp;F2768&amp;"|"&amp;IF(H2768="W3","W3_"&amp;IF(I2768="","unknown",I2768),H2768))</f>
        <v/>
      </c>
      <c r="Q2768">
        <f>IF(P2768="","",IFERROR(IF(AND(H2768="W7",OR(F2768="causal",F2768="predictive")),IF(AND(OR(K2768=1,K2768="1"),OR(L2768=1,L2768="1"),OR(M2768=1,M2768="1")),"adequate","partial"),IF(AND(H2768="W4",F2768="predictive",OR(J2768="P2",J2768="P3",J2768="P4")),IF(OR(U2768=1,U2768="1"),"adequate","partial"),INDEX(Fit_Matrix!$B:$B,MATCH(P2768,Fit_Matrix!$A:$A,0)))),"CHECK KEY"))</f>
        <v/>
      </c>
      <c r="U2768" s="10" t="n"/>
      <c r="V2768" s="10" t="n"/>
      <c r="W2768" s="10" t="n"/>
      <c r="X2768" s="10" t="n"/>
      <c r="Y2768" s="10" t="n"/>
      <c r="Z2768" s="10" t="n"/>
      <c r="AA2768" s="11">
        <f>IF(A2768="","",IF(AND(J2768="P4",F2768="causal"),"P4-CAUSAL",""))</f>
        <v/>
      </c>
    </row>
    <row r="2769" ht="15" customHeight="1" s="1">
      <c r="P2769">
        <f>IF(OR(F2769="",H2769="",J2769=""),"",J2769&amp;"|"&amp;F2769&amp;"|"&amp;IF(H2769="W3","W3_"&amp;IF(I2769="","unknown",I2769),H2769))</f>
        <v/>
      </c>
      <c r="Q2769">
        <f>IF(P2769="","",IFERROR(IF(AND(H2769="W7",OR(F2769="causal",F2769="predictive")),IF(AND(OR(K2769=1,K2769="1"),OR(L2769=1,L2769="1"),OR(M2769=1,M2769="1")),"adequate","partial"),IF(AND(H2769="W4",F2769="predictive",OR(J2769="P2",J2769="P3",J2769="P4")),IF(OR(U2769=1,U2769="1"),"adequate","partial"),INDEX(Fit_Matrix!$B:$B,MATCH(P2769,Fit_Matrix!$A:$A,0)))),"CHECK KEY"))</f>
        <v/>
      </c>
      <c r="U2769" s="10" t="n"/>
      <c r="V2769" s="10" t="n"/>
      <c r="W2769" s="10" t="n"/>
      <c r="X2769" s="10" t="n"/>
      <c r="Y2769" s="10" t="n"/>
      <c r="Z2769" s="10" t="n"/>
      <c r="AA2769" s="11">
        <f>IF(A2769="","",IF(AND(J2769="P4",F2769="causal"),"P4-CAUSAL",""))</f>
        <v/>
      </c>
    </row>
    <row r="2770" ht="15" customHeight="1" s="1">
      <c r="P2770">
        <f>IF(OR(F2770="",H2770="",J2770=""),"",J2770&amp;"|"&amp;F2770&amp;"|"&amp;IF(H2770="W3","W3_"&amp;IF(I2770="","unknown",I2770),H2770))</f>
        <v/>
      </c>
      <c r="Q2770">
        <f>IF(P2770="","",IFERROR(IF(AND(H2770="W7",OR(F2770="causal",F2770="predictive")),IF(AND(OR(K2770=1,K2770="1"),OR(L2770=1,L2770="1"),OR(M2770=1,M2770="1")),"adequate","partial"),IF(AND(H2770="W4",F2770="predictive",OR(J2770="P2",J2770="P3",J2770="P4")),IF(OR(U2770=1,U2770="1"),"adequate","partial"),INDEX(Fit_Matrix!$B:$B,MATCH(P2770,Fit_Matrix!$A:$A,0)))),"CHECK KEY"))</f>
        <v/>
      </c>
      <c r="U2770" s="10" t="n"/>
      <c r="V2770" s="10" t="n"/>
      <c r="W2770" s="10" t="n"/>
      <c r="X2770" s="10" t="n"/>
      <c r="Y2770" s="10" t="n"/>
      <c r="Z2770" s="10" t="n"/>
      <c r="AA2770" s="11">
        <f>IF(A2770="","",IF(AND(J2770="P4",F2770="causal"),"P4-CAUSAL",""))</f>
        <v/>
      </c>
    </row>
    <row r="2771" ht="15" customHeight="1" s="1">
      <c r="P2771">
        <f>IF(OR(F2771="",H2771="",J2771=""),"",J2771&amp;"|"&amp;F2771&amp;"|"&amp;IF(H2771="W3","W3_"&amp;IF(I2771="","unknown",I2771),H2771))</f>
        <v/>
      </c>
      <c r="Q2771">
        <f>IF(P2771="","",IFERROR(IF(AND(H2771="W7",OR(F2771="causal",F2771="predictive")),IF(AND(OR(K2771=1,K2771="1"),OR(L2771=1,L2771="1"),OR(M2771=1,M2771="1")),"adequate","partial"),IF(AND(H2771="W4",F2771="predictive",OR(J2771="P2",J2771="P3",J2771="P4")),IF(OR(U2771=1,U2771="1"),"adequate","partial"),INDEX(Fit_Matrix!$B:$B,MATCH(P2771,Fit_Matrix!$A:$A,0)))),"CHECK KEY"))</f>
        <v/>
      </c>
      <c r="U2771" s="10" t="n"/>
      <c r="V2771" s="10" t="n"/>
      <c r="W2771" s="10" t="n"/>
      <c r="X2771" s="10" t="n"/>
      <c r="Y2771" s="10" t="n"/>
      <c r="Z2771" s="10" t="n"/>
      <c r="AA2771" s="11">
        <f>IF(A2771="","",IF(AND(J2771="P4",F2771="causal"),"P4-CAUSAL",""))</f>
        <v/>
      </c>
    </row>
    <row r="2772" ht="15" customHeight="1" s="1">
      <c r="P2772">
        <f>IF(OR(F2772="",H2772="",J2772=""),"",J2772&amp;"|"&amp;F2772&amp;"|"&amp;IF(H2772="W3","W3_"&amp;IF(I2772="","unknown",I2772),H2772))</f>
        <v/>
      </c>
      <c r="Q2772">
        <f>IF(P2772="","",IFERROR(IF(AND(H2772="W7",OR(F2772="causal",F2772="predictive")),IF(AND(OR(K2772=1,K2772="1"),OR(L2772=1,L2772="1"),OR(M2772=1,M2772="1")),"adequate","partial"),IF(AND(H2772="W4",F2772="predictive",OR(J2772="P2",J2772="P3",J2772="P4")),IF(OR(U2772=1,U2772="1"),"adequate","partial"),INDEX(Fit_Matrix!$B:$B,MATCH(P2772,Fit_Matrix!$A:$A,0)))),"CHECK KEY"))</f>
        <v/>
      </c>
      <c r="U2772" s="10" t="n"/>
      <c r="V2772" s="10" t="n"/>
      <c r="W2772" s="10" t="n"/>
      <c r="X2772" s="10" t="n"/>
      <c r="Y2772" s="10" t="n"/>
      <c r="Z2772" s="10" t="n"/>
      <c r="AA2772" s="11">
        <f>IF(A2772="","",IF(AND(J2772="P4",F2772="causal"),"P4-CAUSAL",""))</f>
        <v/>
      </c>
    </row>
    <row r="2773" ht="15" customHeight="1" s="1">
      <c r="P2773">
        <f>IF(OR(F2773="",H2773="",J2773=""),"",J2773&amp;"|"&amp;F2773&amp;"|"&amp;IF(H2773="W3","W3_"&amp;IF(I2773="","unknown",I2773),H2773))</f>
        <v/>
      </c>
      <c r="Q2773">
        <f>IF(P2773="","",IFERROR(IF(AND(H2773="W7",OR(F2773="causal",F2773="predictive")),IF(AND(OR(K2773=1,K2773="1"),OR(L2773=1,L2773="1"),OR(M2773=1,M2773="1")),"adequate","partial"),IF(AND(H2773="W4",F2773="predictive",OR(J2773="P2",J2773="P3",J2773="P4")),IF(OR(U2773=1,U2773="1"),"adequate","partial"),INDEX(Fit_Matrix!$B:$B,MATCH(P2773,Fit_Matrix!$A:$A,0)))),"CHECK KEY"))</f>
        <v/>
      </c>
      <c r="U2773" s="10" t="n"/>
      <c r="V2773" s="10" t="n"/>
      <c r="W2773" s="10" t="n"/>
      <c r="X2773" s="10" t="n"/>
      <c r="Y2773" s="10" t="n"/>
      <c r="Z2773" s="10" t="n"/>
      <c r="AA2773" s="11">
        <f>IF(A2773="","",IF(AND(J2773="P4",F2773="causal"),"P4-CAUSAL",""))</f>
        <v/>
      </c>
    </row>
    <row r="2774" ht="15" customHeight="1" s="1">
      <c r="P2774">
        <f>IF(OR(F2774="",H2774="",J2774=""),"",J2774&amp;"|"&amp;F2774&amp;"|"&amp;IF(H2774="W3","W3_"&amp;IF(I2774="","unknown",I2774),H2774))</f>
        <v/>
      </c>
      <c r="Q2774">
        <f>IF(P2774="","",IFERROR(IF(AND(H2774="W7",OR(F2774="causal",F2774="predictive")),IF(AND(OR(K2774=1,K2774="1"),OR(L2774=1,L2774="1"),OR(M2774=1,M2774="1")),"adequate","partial"),IF(AND(H2774="W4",F2774="predictive",OR(J2774="P2",J2774="P3",J2774="P4")),IF(OR(U2774=1,U2774="1"),"adequate","partial"),INDEX(Fit_Matrix!$B:$B,MATCH(P2774,Fit_Matrix!$A:$A,0)))),"CHECK KEY"))</f>
        <v/>
      </c>
      <c r="U2774" s="10" t="n"/>
      <c r="V2774" s="10" t="n"/>
      <c r="W2774" s="10" t="n"/>
      <c r="X2774" s="10" t="n"/>
      <c r="Y2774" s="10" t="n"/>
      <c r="Z2774" s="10" t="n"/>
      <c r="AA2774" s="11">
        <f>IF(A2774="","",IF(AND(J2774="P4",F2774="causal"),"P4-CAUSAL",""))</f>
        <v/>
      </c>
    </row>
    <row r="2775" ht="15" customHeight="1" s="1">
      <c r="P2775">
        <f>IF(OR(F2775="",H2775="",J2775=""),"",J2775&amp;"|"&amp;F2775&amp;"|"&amp;IF(H2775="W3","W3_"&amp;IF(I2775="","unknown",I2775),H2775))</f>
        <v/>
      </c>
      <c r="Q2775">
        <f>IF(P2775="","",IFERROR(IF(AND(H2775="W7",OR(F2775="causal",F2775="predictive")),IF(AND(OR(K2775=1,K2775="1"),OR(L2775=1,L2775="1"),OR(M2775=1,M2775="1")),"adequate","partial"),IF(AND(H2775="W4",F2775="predictive",OR(J2775="P2",J2775="P3",J2775="P4")),IF(OR(U2775=1,U2775="1"),"adequate","partial"),INDEX(Fit_Matrix!$B:$B,MATCH(P2775,Fit_Matrix!$A:$A,0)))),"CHECK KEY"))</f>
        <v/>
      </c>
      <c r="U2775" s="10" t="n"/>
      <c r="V2775" s="10" t="n"/>
      <c r="W2775" s="10" t="n"/>
      <c r="X2775" s="10" t="n"/>
      <c r="Y2775" s="10" t="n"/>
      <c r="Z2775" s="10" t="n"/>
      <c r="AA2775" s="11">
        <f>IF(A2775="","",IF(AND(J2775="P4",F2775="causal"),"P4-CAUSAL",""))</f>
        <v/>
      </c>
    </row>
    <row r="2776" ht="15" customHeight="1" s="1">
      <c r="P2776">
        <f>IF(OR(F2776="",H2776="",J2776=""),"",J2776&amp;"|"&amp;F2776&amp;"|"&amp;IF(H2776="W3","W3_"&amp;IF(I2776="","unknown",I2776),H2776))</f>
        <v/>
      </c>
      <c r="Q2776">
        <f>IF(P2776="","",IFERROR(IF(AND(H2776="W7",OR(F2776="causal",F2776="predictive")),IF(AND(OR(K2776=1,K2776="1"),OR(L2776=1,L2776="1"),OR(M2776=1,M2776="1")),"adequate","partial"),IF(AND(H2776="W4",F2776="predictive",OR(J2776="P2",J2776="P3",J2776="P4")),IF(OR(U2776=1,U2776="1"),"adequate","partial"),INDEX(Fit_Matrix!$B:$B,MATCH(P2776,Fit_Matrix!$A:$A,0)))),"CHECK KEY"))</f>
        <v/>
      </c>
      <c r="U2776" s="10" t="n"/>
      <c r="V2776" s="10" t="n"/>
      <c r="W2776" s="10" t="n"/>
      <c r="X2776" s="10" t="n"/>
      <c r="Y2776" s="10" t="n"/>
      <c r="Z2776" s="10" t="n"/>
      <c r="AA2776" s="11">
        <f>IF(A2776="","",IF(AND(J2776="P4",F2776="causal"),"P4-CAUSAL",""))</f>
        <v/>
      </c>
    </row>
    <row r="2777" ht="15" customHeight="1" s="1">
      <c r="P2777">
        <f>IF(OR(F2777="",H2777="",J2777=""),"",J2777&amp;"|"&amp;F2777&amp;"|"&amp;IF(H2777="W3","W3_"&amp;IF(I2777="","unknown",I2777),H2777))</f>
        <v/>
      </c>
      <c r="Q2777">
        <f>IF(P2777="","",IFERROR(IF(AND(H2777="W7",OR(F2777="causal",F2777="predictive")),IF(AND(OR(K2777=1,K2777="1"),OR(L2777=1,L2777="1"),OR(M2777=1,M2777="1")),"adequate","partial"),IF(AND(H2777="W4",F2777="predictive",OR(J2777="P2",J2777="P3",J2777="P4")),IF(OR(U2777=1,U2777="1"),"adequate","partial"),INDEX(Fit_Matrix!$B:$B,MATCH(P2777,Fit_Matrix!$A:$A,0)))),"CHECK KEY"))</f>
        <v/>
      </c>
      <c r="U2777" s="10" t="n"/>
      <c r="V2777" s="10" t="n"/>
      <c r="W2777" s="10" t="n"/>
      <c r="X2777" s="10" t="n"/>
      <c r="Y2777" s="10" t="n"/>
      <c r="Z2777" s="10" t="n"/>
      <c r="AA2777" s="11">
        <f>IF(A2777="","",IF(AND(J2777="P4",F2777="causal"),"P4-CAUSAL",""))</f>
        <v/>
      </c>
    </row>
    <row r="2778" ht="15" customHeight="1" s="1">
      <c r="P2778">
        <f>IF(OR(F2778="",H2778="",J2778=""),"",J2778&amp;"|"&amp;F2778&amp;"|"&amp;IF(H2778="W3","W3_"&amp;IF(I2778="","unknown",I2778),H2778))</f>
        <v/>
      </c>
      <c r="Q2778">
        <f>IF(P2778="","",IFERROR(IF(AND(H2778="W7",OR(F2778="causal",F2778="predictive")),IF(AND(OR(K2778=1,K2778="1"),OR(L2778=1,L2778="1"),OR(M2778=1,M2778="1")),"adequate","partial"),IF(AND(H2778="W4",F2778="predictive",OR(J2778="P2",J2778="P3",J2778="P4")),IF(OR(U2778=1,U2778="1"),"adequate","partial"),INDEX(Fit_Matrix!$B:$B,MATCH(P2778,Fit_Matrix!$A:$A,0)))),"CHECK KEY"))</f>
        <v/>
      </c>
      <c r="U2778" s="10" t="n"/>
      <c r="V2778" s="10" t="n"/>
      <c r="W2778" s="10" t="n"/>
      <c r="X2778" s="10" t="n"/>
      <c r="Y2778" s="10" t="n"/>
      <c r="Z2778" s="10" t="n"/>
      <c r="AA2778" s="11">
        <f>IF(A2778="","",IF(AND(J2778="P4",F2778="causal"),"P4-CAUSAL",""))</f>
        <v/>
      </c>
    </row>
    <row r="2779" ht="15" customHeight="1" s="1">
      <c r="P2779">
        <f>IF(OR(F2779="",H2779="",J2779=""),"",J2779&amp;"|"&amp;F2779&amp;"|"&amp;IF(H2779="W3","W3_"&amp;IF(I2779="","unknown",I2779),H2779))</f>
        <v/>
      </c>
      <c r="Q2779">
        <f>IF(P2779="","",IFERROR(IF(AND(H2779="W7",OR(F2779="causal",F2779="predictive")),IF(AND(OR(K2779=1,K2779="1"),OR(L2779=1,L2779="1"),OR(M2779=1,M2779="1")),"adequate","partial"),IF(AND(H2779="W4",F2779="predictive",OR(J2779="P2",J2779="P3",J2779="P4")),IF(OR(U2779=1,U2779="1"),"adequate","partial"),INDEX(Fit_Matrix!$B:$B,MATCH(P2779,Fit_Matrix!$A:$A,0)))),"CHECK KEY"))</f>
        <v/>
      </c>
      <c r="U2779" s="10" t="n"/>
      <c r="V2779" s="10" t="n"/>
      <c r="W2779" s="10" t="n"/>
      <c r="X2779" s="10" t="n"/>
      <c r="Y2779" s="10" t="n"/>
      <c r="Z2779" s="10" t="n"/>
      <c r="AA2779" s="11">
        <f>IF(A2779="","",IF(AND(J2779="P4",F2779="causal"),"P4-CAUSAL",""))</f>
        <v/>
      </c>
    </row>
    <row r="2780" ht="15" customHeight="1" s="1">
      <c r="P2780">
        <f>IF(OR(F2780="",H2780="",J2780=""),"",J2780&amp;"|"&amp;F2780&amp;"|"&amp;IF(H2780="W3","W3_"&amp;IF(I2780="","unknown",I2780),H2780))</f>
        <v/>
      </c>
      <c r="Q2780">
        <f>IF(P2780="","",IFERROR(IF(AND(H2780="W7",OR(F2780="causal",F2780="predictive")),IF(AND(OR(K2780=1,K2780="1"),OR(L2780=1,L2780="1"),OR(M2780=1,M2780="1")),"adequate","partial"),IF(AND(H2780="W4",F2780="predictive",OR(J2780="P2",J2780="P3",J2780="P4")),IF(OR(U2780=1,U2780="1"),"adequate","partial"),INDEX(Fit_Matrix!$B:$B,MATCH(P2780,Fit_Matrix!$A:$A,0)))),"CHECK KEY"))</f>
        <v/>
      </c>
      <c r="U2780" s="10" t="n"/>
      <c r="V2780" s="10" t="n"/>
      <c r="W2780" s="10" t="n"/>
      <c r="X2780" s="10" t="n"/>
      <c r="Y2780" s="10" t="n"/>
      <c r="Z2780" s="10" t="n"/>
      <c r="AA2780" s="11">
        <f>IF(A2780="","",IF(AND(J2780="P4",F2780="causal"),"P4-CAUSAL",""))</f>
        <v/>
      </c>
    </row>
    <row r="2781" ht="15" customHeight="1" s="1">
      <c r="P2781">
        <f>IF(OR(F2781="",H2781="",J2781=""),"",J2781&amp;"|"&amp;F2781&amp;"|"&amp;IF(H2781="W3","W3_"&amp;IF(I2781="","unknown",I2781),H2781))</f>
        <v/>
      </c>
      <c r="Q2781">
        <f>IF(P2781="","",IFERROR(IF(AND(H2781="W7",OR(F2781="causal",F2781="predictive")),IF(AND(OR(K2781=1,K2781="1"),OR(L2781=1,L2781="1"),OR(M2781=1,M2781="1")),"adequate","partial"),IF(AND(H2781="W4",F2781="predictive",OR(J2781="P2",J2781="P3",J2781="P4")),IF(OR(U2781=1,U2781="1"),"adequate","partial"),INDEX(Fit_Matrix!$B:$B,MATCH(P2781,Fit_Matrix!$A:$A,0)))),"CHECK KEY"))</f>
        <v/>
      </c>
      <c r="U2781" s="10" t="n"/>
      <c r="V2781" s="10" t="n"/>
      <c r="W2781" s="10" t="n"/>
      <c r="X2781" s="10" t="n"/>
      <c r="Y2781" s="10" t="n"/>
      <c r="Z2781" s="10" t="n"/>
      <c r="AA2781" s="11">
        <f>IF(A2781="","",IF(AND(J2781="P4",F2781="causal"),"P4-CAUSAL",""))</f>
        <v/>
      </c>
    </row>
    <row r="2782" ht="15" customHeight="1" s="1">
      <c r="P2782">
        <f>IF(OR(F2782="",H2782="",J2782=""),"",J2782&amp;"|"&amp;F2782&amp;"|"&amp;IF(H2782="W3","W3_"&amp;IF(I2782="","unknown",I2782),H2782))</f>
        <v/>
      </c>
      <c r="Q2782">
        <f>IF(P2782="","",IFERROR(IF(AND(H2782="W7",OR(F2782="causal",F2782="predictive")),IF(AND(OR(K2782=1,K2782="1"),OR(L2782=1,L2782="1"),OR(M2782=1,M2782="1")),"adequate","partial"),IF(AND(H2782="W4",F2782="predictive",OR(J2782="P2",J2782="P3",J2782="P4")),IF(OR(U2782=1,U2782="1"),"adequate","partial"),INDEX(Fit_Matrix!$B:$B,MATCH(P2782,Fit_Matrix!$A:$A,0)))),"CHECK KEY"))</f>
        <v/>
      </c>
      <c r="U2782" s="10" t="n"/>
      <c r="V2782" s="10" t="n"/>
      <c r="W2782" s="10" t="n"/>
      <c r="X2782" s="10" t="n"/>
      <c r="Y2782" s="10" t="n"/>
      <c r="Z2782" s="10" t="n"/>
      <c r="AA2782" s="11">
        <f>IF(A2782="","",IF(AND(J2782="P4",F2782="causal"),"P4-CAUSAL",""))</f>
        <v/>
      </c>
    </row>
    <row r="2783" ht="15" customHeight="1" s="1">
      <c r="P2783">
        <f>IF(OR(F2783="",H2783="",J2783=""),"",J2783&amp;"|"&amp;F2783&amp;"|"&amp;IF(H2783="W3","W3_"&amp;IF(I2783="","unknown",I2783),H2783))</f>
        <v/>
      </c>
      <c r="Q2783">
        <f>IF(P2783="","",IFERROR(IF(AND(H2783="W7",OR(F2783="causal",F2783="predictive")),IF(AND(OR(K2783=1,K2783="1"),OR(L2783=1,L2783="1"),OR(M2783=1,M2783="1")),"adequate","partial"),IF(AND(H2783="W4",F2783="predictive",OR(J2783="P2",J2783="P3",J2783="P4")),IF(OR(U2783=1,U2783="1"),"adequate","partial"),INDEX(Fit_Matrix!$B:$B,MATCH(P2783,Fit_Matrix!$A:$A,0)))),"CHECK KEY"))</f>
        <v/>
      </c>
      <c r="U2783" s="10" t="n"/>
      <c r="V2783" s="10" t="n"/>
      <c r="W2783" s="10" t="n"/>
      <c r="X2783" s="10" t="n"/>
      <c r="Y2783" s="10" t="n"/>
      <c r="Z2783" s="10" t="n"/>
      <c r="AA2783" s="11">
        <f>IF(A2783="","",IF(AND(J2783="P4",F2783="causal"),"P4-CAUSAL",""))</f>
        <v/>
      </c>
    </row>
    <row r="2784" ht="15" customHeight="1" s="1">
      <c r="P2784">
        <f>IF(OR(F2784="",H2784="",J2784=""),"",J2784&amp;"|"&amp;F2784&amp;"|"&amp;IF(H2784="W3","W3_"&amp;IF(I2784="","unknown",I2784),H2784))</f>
        <v/>
      </c>
      <c r="Q2784">
        <f>IF(P2784="","",IFERROR(IF(AND(H2784="W7",OR(F2784="causal",F2784="predictive")),IF(AND(OR(K2784=1,K2784="1"),OR(L2784=1,L2784="1"),OR(M2784=1,M2784="1")),"adequate","partial"),IF(AND(H2784="W4",F2784="predictive",OR(J2784="P2",J2784="P3",J2784="P4")),IF(OR(U2784=1,U2784="1"),"adequate","partial"),INDEX(Fit_Matrix!$B:$B,MATCH(P2784,Fit_Matrix!$A:$A,0)))),"CHECK KEY"))</f>
        <v/>
      </c>
      <c r="U2784" s="10" t="n"/>
      <c r="V2784" s="10" t="n"/>
      <c r="W2784" s="10" t="n"/>
      <c r="X2784" s="10" t="n"/>
      <c r="Y2784" s="10" t="n"/>
      <c r="Z2784" s="10" t="n"/>
      <c r="AA2784" s="11">
        <f>IF(A2784="","",IF(AND(J2784="P4",F2784="causal"),"P4-CAUSAL",""))</f>
        <v/>
      </c>
    </row>
    <row r="2785" ht="15" customHeight="1" s="1">
      <c r="P2785">
        <f>IF(OR(F2785="",H2785="",J2785=""),"",J2785&amp;"|"&amp;F2785&amp;"|"&amp;IF(H2785="W3","W3_"&amp;IF(I2785="","unknown",I2785),H2785))</f>
        <v/>
      </c>
      <c r="Q2785">
        <f>IF(P2785="","",IFERROR(IF(AND(H2785="W7",OR(F2785="causal",F2785="predictive")),IF(AND(OR(K2785=1,K2785="1"),OR(L2785=1,L2785="1"),OR(M2785=1,M2785="1")),"adequate","partial"),IF(AND(H2785="W4",F2785="predictive",OR(J2785="P2",J2785="P3",J2785="P4")),IF(OR(U2785=1,U2785="1"),"adequate","partial"),INDEX(Fit_Matrix!$B:$B,MATCH(P2785,Fit_Matrix!$A:$A,0)))),"CHECK KEY"))</f>
        <v/>
      </c>
      <c r="U2785" s="10" t="n"/>
      <c r="V2785" s="10" t="n"/>
      <c r="W2785" s="10" t="n"/>
      <c r="X2785" s="10" t="n"/>
      <c r="Y2785" s="10" t="n"/>
      <c r="Z2785" s="10" t="n"/>
      <c r="AA2785" s="11">
        <f>IF(A2785="","",IF(AND(J2785="P4",F2785="causal"),"P4-CAUSAL",""))</f>
        <v/>
      </c>
    </row>
    <row r="2786" ht="15" customHeight="1" s="1">
      <c r="P2786">
        <f>IF(OR(F2786="",H2786="",J2786=""),"",J2786&amp;"|"&amp;F2786&amp;"|"&amp;IF(H2786="W3","W3_"&amp;IF(I2786="","unknown",I2786),H2786))</f>
        <v/>
      </c>
      <c r="Q2786">
        <f>IF(P2786="","",IFERROR(IF(AND(H2786="W7",OR(F2786="causal",F2786="predictive")),IF(AND(OR(K2786=1,K2786="1"),OR(L2786=1,L2786="1"),OR(M2786=1,M2786="1")),"adequate","partial"),IF(AND(H2786="W4",F2786="predictive",OR(J2786="P2",J2786="P3",J2786="P4")),IF(OR(U2786=1,U2786="1"),"adequate","partial"),INDEX(Fit_Matrix!$B:$B,MATCH(P2786,Fit_Matrix!$A:$A,0)))),"CHECK KEY"))</f>
        <v/>
      </c>
      <c r="U2786" s="10" t="n"/>
      <c r="V2786" s="10" t="n"/>
      <c r="W2786" s="10" t="n"/>
      <c r="X2786" s="10" t="n"/>
      <c r="Y2786" s="10" t="n"/>
      <c r="Z2786" s="10" t="n"/>
      <c r="AA2786" s="11">
        <f>IF(A2786="","",IF(AND(J2786="P4",F2786="causal"),"P4-CAUSAL",""))</f>
        <v/>
      </c>
    </row>
    <row r="2787" ht="15" customHeight="1" s="1">
      <c r="P2787">
        <f>IF(OR(F2787="",H2787="",J2787=""),"",J2787&amp;"|"&amp;F2787&amp;"|"&amp;IF(H2787="W3","W3_"&amp;IF(I2787="","unknown",I2787),H2787))</f>
        <v/>
      </c>
      <c r="Q2787">
        <f>IF(P2787="","",IFERROR(IF(AND(H2787="W7",OR(F2787="causal",F2787="predictive")),IF(AND(OR(K2787=1,K2787="1"),OR(L2787=1,L2787="1"),OR(M2787=1,M2787="1")),"adequate","partial"),IF(AND(H2787="W4",F2787="predictive",OR(J2787="P2",J2787="P3",J2787="P4")),IF(OR(U2787=1,U2787="1"),"adequate","partial"),INDEX(Fit_Matrix!$B:$B,MATCH(P2787,Fit_Matrix!$A:$A,0)))),"CHECK KEY"))</f>
        <v/>
      </c>
      <c r="U2787" s="10" t="n"/>
      <c r="V2787" s="10" t="n"/>
      <c r="W2787" s="10" t="n"/>
      <c r="X2787" s="10" t="n"/>
      <c r="Y2787" s="10" t="n"/>
      <c r="Z2787" s="10" t="n"/>
      <c r="AA2787" s="11">
        <f>IF(A2787="","",IF(AND(J2787="P4",F2787="causal"),"P4-CAUSAL",""))</f>
        <v/>
      </c>
    </row>
    <row r="2788" ht="15" customHeight="1" s="1">
      <c r="P2788">
        <f>IF(OR(F2788="",H2788="",J2788=""),"",J2788&amp;"|"&amp;F2788&amp;"|"&amp;IF(H2788="W3","W3_"&amp;IF(I2788="","unknown",I2788),H2788))</f>
        <v/>
      </c>
      <c r="Q2788">
        <f>IF(P2788="","",IFERROR(IF(AND(H2788="W7",OR(F2788="causal",F2788="predictive")),IF(AND(OR(K2788=1,K2788="1"),OR(L2788=1,L2788="1"),OR(M2788=1,M2788="1")),"adequate","partial"),IF(AND(H2788="W4",F2788="predictive",OR(J2788="P2",J2788="P3",J2788="P4")),IF(OR(U2788=1,U2788="1"),"adequate","partial"),INDEX(Fit_Matrix!$B:$B,MATCH(P2788,Fit_Matrix!$A:$A,0)))),"CHECK KEY"))</f>
        <v/>
      </c>
      <c r="U2788" s="10" t="n"/>
      <c r="V2788" s="10" t="n"/>
      <c r="W2788" s="10" t="n"/>
      <c r="X2788" s="10" t="n"/>
      <c r="Y2788" s="10" t="n"/>
      <c r="Z2788" s="10" t="n"/>
      <c r="AA2788" s="11">
        <f>IF(A2788="","",IF(AND(J2788="P4",F2788="causal"),"P4-CAUSAL",""))</f>
        <v/>
      </c>
    </row>
    <row r="2789" ht="15" customHeight="1" s="1">
      <c r="P2789">
        <f>IF(OR(F2789="",H2789="",J2789=""),"",J2789&amp;"|"&amp;F2789&amp;"|"&amp;IF(H2789="W3","W3_"&amp;IF(I2789="","unknown",I2789),H2789))</f>
        <v/>
      </c>
      <c r="Q2789">
        <f>IF(P2789="","",IFERROR(IF(AND(H2789="W7",OR(F2789="causal",F2789="predictive")),IF(AND(OR(K2789=1,K2789="1"),OR(L2789=1,L2789="1"),OR(M2789=1,M2789="1")),"adequate","partial"),IF(AND(H2789="W4",F2789="predictive",OR(J2789="P2",J2789="P3",J2789="P4")),IF(OR(U2789=1,U2789="1"),"adequate","partial"),INDEX(Fit_Matrix!$B:$B,MATCH(P2789,Fit_Matrix!$A:$A,0)))),"CHECK KEY"))</f>
        <v/>
      </c>
      <c r="U2789" s="10" t="n"/>
      <c r="V2789" s="10" t="n"/>
      <c r="W2789" s="10" t="n"/>
      <c r="X2789" s="10" t="n"/>
      <c r="Y2789" s="10" t="n"/>
      <c r="Z2789" s="10" t="n"/>
      <c r="AA2789" s="11">
        <f>IF(A2789="","",IF(AND(J2789="P4",F2789="causal"),"P4-CAUSAL",""))</f>
        <v/>
      </c>
    </row>
    <row r="2790" ht="15" customHeight="1" s="1">
      <c r="P2790">
        <f>IF(OR(F2790="",H2790="",J2790=""),"",J2790&amp;"|"&amp;F2790&amp;"|"&amp;IF(H2790="W3","W3_"&amp;IF(I2790="","unknown",I2790),H2790))</f>
        <v/>
      </c>
      <c r="Q2790">
        <f>IF(P2790="","",IFERROR(IF(AND(H2790="W7",OR(F2790="causal",F2790="predictive")),IF(AND(OR(K2790=1,K2790="1"),OR(L2790=1,L2790="1"),OR(M2790=1,M2790="1")),"adequate","partial"),IF(AND(H2790="W4",F2790="predictive",OR(J2790="P2",J2790="P3",J2790="P4")),IF(OR(U2790=1,U2790="1"),"adequate","partial"),INDEX(Fit_Matrix!$B:$B,MATCH(P2790,Fit_Matrix!$A:$A,0)))),"CHECK KEY"))</f>
        <v/>
      </c>
      <c r="U2790" s="10" t="n"/>
      <c r="V2790" s="10" t="n"/>
      <c r="W2790" s="10" t="n"/>
      <c r="X2790" s="10" t="n"/>
      <c r="Y2790" s="10" t="n"/>
      <c r="Z2790" s="10" t="n"/>
      <c r="AA2790" s="11">
        <f>IF(A2790="","",IF(AND(J2790="P4",F2790="causal"),"P4-CAUSAL",""))</f>
        <v/>
      </c>
    </row>
    <row r="2791" ht="15" customHeight="1" s="1">
      <c r="P2791">
        <f>IF(OR(F2791="",H2791="",J2791=""),"",J2791&amp;"|"&amp;F2791&amp;"|"&amp;IF(H2791="W3","W3_"&amp;IF(I2791="","unknown",I2791),H2791))</f>
        <v/>
      </c>
      <c r="Q2791">
        <f>IF(P2791="","",IFERROR(IF(AND(H2791="W7",OR(F2791="causal",F2791="predictive")),IF(AND(OR(K2791=1,K2791="1"),OR(L2791=1,L2791="1"),OR(M2791=1,M2791="1")),"adequate","partial"),IF(AND(H2791="W4",F2791="predictive",OR(J2791="P2",J2791="P3",J2791="P4")),IF(OR(U2791=1,U2791="1"),"adequate","partial"),INDEX(Fit_Matrix!$B:$B,MATCH(P2791,Fit_Matrix!$A:$A,0)))),"CHECK KEY"))</f>
        <v/>
      </c>
      <c r="U2791" s="10" t="n"/>
      <c r="V2791" s="10" t="n"/>
      <c r="W2791" s="10" t="n"/>
      <c r="X2791" s="10" t="n"/>
      <c r="Y2791" s="10" t="n"/>
      <c r="Z2791" s="10" t="n"/>
      <c r="AA2791" s="11">
        <f>IF(A2791="","",IF(AND(J2791="P4",F2791="causal"),"P4-CAUSAL",""))</f>
        <v/>
      </c>
    </row>
    <row r="2792" ht="15" customHeight="1" s="1">
      <c r="P2792">
        <f>IF(OR(F2792="",H2792="",J2792=""),"",J2792&amp;"|"&amp;F2792&amp;"|"&amp;IF(H2792="W3","W3_"&amp;IF(I2792="","unknown",I2792),H2792))</f>
        <v/>
      </c>
      <c r="Q2792">
        <f>IF(P2792="","",IFERROR(IF(AND(H2792="W7",OR(F2792="causal",F2792="predictive")),IF(AND(OR(K2792=1,K2792="1"),OR(L2792=1,L2792="1"),OR(M2792=1,M2792="1")),"adequate","partial"),IF(AND(H2792="W4",F2792="predictive",OR(J2792="P2",J2792="P3",J2792="P4")),IF(OR(U2792=1,U2792="1"),"adequate","partial"),INDEX(Fit_Matrix!$B:$B,MATCH(P2792,Fit_Matrix!$A:$A,0)))),"CHECK KEY"))</f>
        <v/>
      </c>
      <c r="U2792" s="10" t="n"/>
      <c r="V2792" s="10" t="n"/>
      <c r="W2792" s="10" t="n"/>
      <c r="X2792" s="10" t="n"/>
      <c r="Y2792" s="10" t="n"/>
      <c r="Z2792" s="10" t="n"/>
      <c r="AA2792" s="11">
        <f>IF(A2792="","",IF(AND(J2792="P4",F2792="causal"),"P4-CAUSAL",""))</f>
        <v/>
      </c>
    </row>
    <row r="2793" ht="15" customHeight="1" s="1">
      <c r="P2793">
        <f>IF(OR(F2793="",H2793="",J2793=""),"",J2793&amp;"|"&amp;F2793&amp;"|"&amp;IF(H2793="W3","W3_"&amp;IF(I2793="","unknown",I2793),H2793))</f>
        <v/>
      </c>
      <c r="Q2793">
        <f>IF(P2793="","",IFERROR(IF(AND(H2793="W7",OR(F2793="causal",F2793="predictive")),IF(AND(OR(K2793=1,K2793="1"),OR(L2793=1,L2793="1"),OR(M2793=1,M2793="1")),"adequate","partial"),IF(AND(H2793="W4",F2793="predictive",OR(J2793="P2",J2793="P3",J2793="P4")),IF(OR(U2793=1,U2793="1"),"adequate","partial"),INDEX(Fit_Matrix!$B:$B,MATCH(P2793,Fit_Matrix!$A:$A,0)))),"CHECK KEY"))</f>
        <v/>
      </c>
      <c r="U2793" s="10" t="n"/>
      <c r="V2793" s="10" t="n"/>
      <c r="W2793" s="10" t="n"/>
      <c r="X2793" s="10" t="n"/>
      <c r="Y2793" s="10" t="n"/>
      <c r="Z2793" s="10" t="n"/>
      <c r="AA2793" s="11">
        <f>IF(A2793="","",IF(AND(J2793="P4",F2793="causal"),"P4-CAUSAL",""))</f>
        <v/>
      </c>
    </row>
    <row r="2794" ht="15" customHeight="1" s="1">
      <c r="P2794">
        <f>IF(OR(F2794="",H2794="",J2794=""),"",J2794&amp;"|"&amp;F2794&amp;"|"&amp;IF(H2794="W3","W3_"&amp;IF(I2794="","unknown",I2794),H2794))</f>
        <v/>
      </c>
      <c r="Q2794">
        <f>IF(P2794="","",IFERROR(IF(AND(H2794="W7",OR(F2794="causal",F2794="predictive")),IF(AND(OR(K2794=1,K2794="1"),OR(L2794=1,L2794="1"),OR(M2794=1,M2794="1")),"adequate","partial"),IF(AND(H2794="W4",F2794="predictive",OR(J2794="P2",J2794="P3",J2794="P4")),IF(OR(U2794=1,U2794="1"),"adequate","partial"),INDEX(Fit_Matrix!$B:$B,MATCH(P2794,Fit_Matrix!$A:$A,0)))),"CHECK KEY"))</f>
        <v/>
      </c>
      <c r="U2794" s="10" t="n"/>
      <c r="V2794" s="10" t="n"/>
      <c r="W2794" s="10" t="n"/>
      <c r="X2794" s="10" t="n"/>
      <c r="Y2794" s="10" t="n"/>
      <c r="Z2794" s="10" t="n"/>
      <c r="AA2794" s="11">
        <f>IF(A2794="","",IF(AND(J2794="P4",F2794="causal"),"P4-CAUSAL",""))</f>
        <v/>
      </c>
    </row>
    <row r="2795" ht="15" customHeight="1" s="1">
      <c r="P2795">
        <f>IF(OR(F2795="",H2795="",J2795=""),"",J2795&amp;"|"&amp;F2795&amp;"|"&amp;IF(H2795="W3","W3_"&amp;IF(I2795="","unknown",I2795),H2795))</f>
        <v/>
      </c>
      <c r="Q2795">
        <f>IF(P2795="","",IFERROR(IF(AND(H2795="W7",OR(F2795="causal",F2795="predictive")),IF(AND(OR(K2795=1,K2795="1"),OR(L2795=1,L2795="1"),OR(M2795=1,M2795="1")),"adequate","partial"),IF(AND(H2795="W4",F2795="predictive",OR(J2795="P2",J2795="P3",J2795="P4")),IF(OR(U2795=1,U2795="1"),"adequate","partial"),INDEX(Fit_Matrix!$B:$B,MATCH(P2795,Fit_Matrix!$A:$A,0)))),"CHECK KEY"))</f>
        <v/>
      </c>
      <c r="U2795" s="10" t="n"/>
      <c r="V2795" s="10" t="n"/>
      <c r="W2795" s="10" t="n"/>
      <c r="X2795" s="10" t="n"/>
      <c r="Y2795" s="10" t="n"/>
      <c r="Z2795" s="10" t="n"/>
      <c r="AA2795" s="11">
        <f>IF(A2795="","",IF(AND(J2795="P4",F2795="causal"),"P4-CAUSAL",""))</f>
        <v/>
      </c>
    </row>
    <row r="2796" ht="15" customHeight="1" s="1">
      <c r="P2796">
        <f>IF(OR(F2796="",H2796="",J2796=""),"",J2796&amp;"|"&amp;F2796&amp;"|"&amp;IF(H2796="W3","W3_"&amp;IF(I2796="","unknown",I2796),H2796))</f>
        <v/>
      </c>
      <c r="Q2796">
        <f>IF(P2796="","",IFERROR(IF(AND(H2796="W7",OR(F2796="causal",F2796="predictive")),IF(AND(OR(K2796=1,K2796="1"),OR(L2796=1,L2796="1"),OR(M2796=1,M2796="1")),"adequate","partial"),IF(AND(H2796="W4",F2796="predictive",OR(J2796="P2",J2796="P3",J2796="P4")),IF(OR(U2796=1,U2796="1"),"adequate","partial"),INDEX(Fit_Matrix!$B:$B,MATCH(P2796,Fit_Matrix!$A:$A,0)))),"CHECK KEY"))</f>
        <v/>
      </c>
      <c r="U2796" s="10" t="n"/>
      <c r="V2796" s="10" t="n"/>
      <c r="W2796" s="10" t="n"/>
      <c r="X2796" s="10" t="n"/>
      <c r="Y2796" s="10" t="n"/>
      <c r="Z2796" s="10" t="n"/>
      <c r="AA2796" s="11">
        <f>IF(A2796="","",IF(AND(J2796="P4",F2796="causal"),"P4-CAUSAL",""))</f>
        <v/>
      </c>
    </row>
    <row r="2797" ht="15" customHeight="1" s="1">
      <c r="P2797">
        <f>IF(OR(F2797="",H2797="",J2797=""),"",J2797&amp;"|"&amp;F2797&amp;"|"&amp;IF(H2797="W3","W3_"&amp;IF(I2797="","unknown",I2797),H2797))</f>
        <v/>
      </c>
      <c r="Q2797">
        <f>IF(P2797="","",IFERROR(IF(AND(H2797="W7",OR(F2797="causal",F2797="predictive")),IF(AND(OR(K2797=1,K2797="1"),OR(L2797=1,L2797="1"),OR(M2797=1,M2797="1")),"adequate","partial"),IF(AND(H2797="W4",F2797="predictive",OR(J2797="P2",J2797="P3",J2797="P4")),IF(OR(U2797=1,U2797="1"),"adequate","partial"),INDEX(Fit_Matrix!$B:$B,MATCH(P2797,Fit_Matrix!$A:$A,0)))),"CHECK KEY"))</f>
        <v/>
      </c>
      <c r="U2797" s="10" t="n"/>
      <c r="V2797" s="10" t="n"/>
      <c r="W2797" s="10" t="n"/>
      <c r="X2797" s="10" t="n"/>
      <c r="Y2797" s="10" t="n"/>
      <c r="Z2797" s="10" t="n"/>
      <c r="AA2797" s="11">
        <f>IF(A2797="","",IF(AND(J2797="P4",F2797="causal"),"P4-CAUSAL",""))</f>
        <v/>
      </c>
    </row>
    <row r="2798" ht="15" customHeight="1" s="1">
      <c r="P2798">
        <f>IF(OR(F2798="",H2798="",J2798=""),"",J2798&amp;"|"&amp;F2798&amp;"|"&amp;IF(H2798="W3","W3_"&amp;IF(I2798="","unknown",I2798),H2798))</f>
        <v/>
      </c>
      <c r="Q2798">
        <f>IF(P2798="","",IFERROR(IF(AND(H2798="W7",OR(F2798="causal",F2798="predictive")),IF(AND(OR(K2798=1,K2798="1"),OR(L2798=1,L2798="1"),OR(M2798=1,M2798="1")),"adequate","partial"),IF(AND(H2798="W4",F2798="predictive",OR(J2798="P2",J2798="P3",J2798="P4")),IF(OR(U2798=1,U2798="1"),"adequate","partial"),INDEX(Fit_Matrix!$B:$B,MATCH(P2798,Fit_Matrix!$A:$A,0)))),"CHECK KEY"))</f>
        <v/>
      </c>
      <c r="U2798" s="10" t="n"/>
      <c r="V2798" s="10" t="n"/>
      <c r="W2798" s="10" t="n"/>
      <c r="X2798" s="10" t="n"/>
      <c r="Y2798" s="10" t="n"/>
      <c r="Z2798" s="10" t="n"/>
      <c r="AA2798" s="11">
        <f>IF(A2798="","",IF(AND(J2798="P4",F2798="causal"),"P4-CAUSAL",""))</f>
        <v/>
      </c>
    </row>
    <row r="2799" ht="15" customHeight="1" s="1">
      <c r="P2799">
        <f>IF(OR(F2799="",H2799="",J2799=""),"",J2799&amp;"|"&amp;F2799&amp;"|"&amp;IF(H2799="W3","W3_"&amp;IF(I2799="","unknown",I2799),H2799))</f>
        <v/>
      </c>
      <c r="Q2799">
        <f>IF(P2799="","",IFERROR(IF(AND(H2799="W7",OR(F2799="causal",F2799="predictive")),IF(AND(OR(K2799=1,K2799="1"),OR(L2799=1,L2799="1"),OR(M2799=1,M2799="1")),"adequate","partial"),IF(AND(H2799="W4",F2799="predictive",OR(J2799="P2",J2799="P3",J2799="P4")),IF(OR(U2799=1,U2799="1"),"adequate","partial"),INDEX(Fit_Matrix!$B:$B,MATCH(P2799,Fit_Matrix!$A:$A,0)))),"CHECK KEY"))</f>
        <v/>
      </c>
      <c r="U2799" s="10" t="n"/>
      <c r="V2799" s="10" t="n"/>
      <c r="W2799" s="10" t="n"/>
      <c r="X2799" s="10" t="n"/>
      <c r="Y2799" s="10" t="n"/>
      <c r="Z2799" s="10" t="n"/>
      <c r="AA2799" s="11">
        <f>IF(A2799="","",IF(AND(J2799="P4",F2799="causal"),"P4-CAUSAL",""))</f>
        <v/>
      </c>
    </row>
    <row r="2800" ht="15" customHeight="1" s="1">
      <c r="P2800">
        <f>IF(OR(F2800="",H2800="",J2800=""),"",J2800&amp;"|"&amp;F2800&amp;"|"&amp;IF(H2800="W3","W3_"&amp;IF(I2800="","unknown",I2800),H2800))</f>
        <v/>
      </c>
      <c r="Q2800">
        <f>IF(P2800="","",IFERROR(IF(AND(H2800="W7",OR(F2800="causal",F2800="predictive")),IF(AND(OR(K2800=1,K2800="1"),OR(L2800=1,L2800="1"),OR(M2800=1,M2800="1")),"adequate","partial"),IF(AND(H2800="W4",F2800="predictive",OR(J2800="P2",J2800="P3",J2800="P4")),IF(OR(U2800=1,U2800="1"),"adequate","partial"),INDEX(Fit_Matrix!$B:$B,MATCH(P2800,Fit_Matrix!$A:$A,0)))),"CHECK KEY"))</f>
        <v/>
      </c>
      <c r="U2800" s="10" t="n"/>
      <c r="V2800" s="10" t="n"/>
      <c r="W2800" s="10" t="n"/>
      <c r="X2800" s="10" t="n"/>
      <c r="Y2800" s="10" t="n"/>
      <c r="Z2800" s="10" t="n"/>
      <c r="AA2800" s="11">
        <f>IF(A2800="","",IF(AND(J2800="P4",F2800="causal"),"P4-CAUSAL",""))</f>
        <v/>
      </c>
    </row>
    <row r="2801" ht="15" customHeight="1" s="1">
      <c r="P2801">
        <f>IF(OR(F2801="",H2801="",J2801=""),"",J2801&amp;"|"&amp;F2801&amp;"|"&amp;IF(H2801="W3","W3_"&amp;IF(I2801="","unknown",I2801),H2801))</f>
        <v/>
      </c>
      <c r="Q2801">
        <f>IF(P2801="","",IFERROR(IF(AND(H2801="W7",OR(F2801="causal",F2801="predictive")),IF(AND(OR(K2801=1,K2801="1"),OR(L2801=1,L2801="1"),OR(M2801=1,M2801="1")),"adequate","partial"),IF(AND(H2801="W4",F2801="predictive",OR(J2801="P2",J2801="P3",J2801="P4")),IF(OR(U2801=1,U2801="1"),"adequate","partial"),INDEX(Fit_Matrix!$B:$B,MATCH(P2801,Fit_Matrix!$A:$A,0)))),"CHECK KEY"))</f>
        <v/>
      </c>
      <c r="U2801" s="10" t="n"/>
      <c r="V2801" s="10" t="n"/>
      <c r="W2801" s="10" t="n"/>
      <c r="X2801" s="10" t="n"/>
      <c r="Y2801" s="10" t="n"/>
      <c r="Z2801" s="10" t="n"/>
      <c r="AA2801" s="11">
        <f>IF(A2801="","",IF(AND(J2801="P4",F2801="causal"),"P4-CAUSAL",""))</f>
        <v/>
      </c>
    </row>
    <row r="2802" ht="15" customHeight="1" s="1">
      <c r="P2802">
        <f>IF(OR(F2802="",H2802="",J2802=""),"",J2802&amp;"|"&amp;F2802&amp;"|"&amp;IF(H2802="W3","W3_"&amp;IF(I2802="","unknown",I2802),H2802))</f>
        <v/>
      </c>
      <c r="Q2802">
        <f>IF(P2802="","",IFERROR(IF(AND(H2802="W7",OR(F2802="causal",F2802="predictive")),IF(AND(OR(K2802=1,K2802="1"),OR(L2802=1,L2802="1"),OR(M2802=1,M2802="1")),"adequate","partial"),IF(AND(H2802="W4",F2802="predictive",OR(J2802="P2",J2802="P3",J2802="P4")),IF(OR(U2802=1,U2802="1"),"adequate","partial"),INDEX(Fit_Matrix!$B:$B,MATCH(P2802,Fit_Matrix!$A:$A,0)))),"CHECK KEY"))</f>
        <v/>
      </c>
      <c r="U2802" s="10" t="n"/>
      <c r="V2802" s="10" t="n"/>
      <c r="W2802" s="10" t="n"/>
      <c r="X2802" s="10" t="n"/>
      <c r="Y2802" s="10" t="n"/>
      <c r="Z2802" s="10" t="n"/>
      <c r="AA2802" s="11">
        <f>IF(A2802="","",IF(AND(J2802="P4",F2802="causal"),"P4-CAUSAL",""))</f>
        <v/>
      </c>
    </row>
    <row r="2803" ht="15" customHeight="1" s="1">
      <c r="P2803">
        <f>IF(OR(F2803="",H2803="",J2803=""),"",J2803&amp;"|"&amp;F2803&amp;"|"&amp;IF(H2803="W3","W3_"&amp;IF(I2803="","unknown",I2803),H2803))</f>
        <v/>
      </c>
      <c r="Q2803">
        <f>IF(P2803="","",IFERROR(IF(AND(H2803="W7",OR(F2803="causal",F2803="predictive")),IF(AND(OR(K2803=1,K2803="1"),OR(L2803=1,L2803="1"),OR(M2803=1,M2803="1")),"adequate","partial"),IF(AND(H2803="W4",F2803="predictive",OR(J2803="P2",J2803="P3",J2803="P4")),IF(OR(U2803=1,U2803="1"),"adequate","partial"),INDEX(Fit_Matrix!$B:$B,MATCH(P2803,Fit_Matrix!$A:$A,0)))),"CHECK KEY"))</f>
        <v/>
      </c>
      <c r="U2803" s="10" t="n"/>
      <c r="V2803" s="10" t="n"/>
      <c r="W2803" s="10" t="n"/>
      <c r="X2803" s="10" t="n"/>
      <c r="Y2803" s="10" t="n"/>
      <c r="Z2803" s="10" t="n"/>
      <c r="AA2803" s="11">
        <f>IF(A2803="","",IF(AND(J2803="P4",F2803="causal"),"P4-CAUSAL",""))</f>
        <v/>
      </c>
    </row>
    <row r="2804" ht="15" customHeight="1" s="1">
      <c r="P2804">
        <f>IF(OR(F2804="",H2804="",J2804=""),"",J2804&amp;"|"&amp;F2804&amp;"|"&amp;IF(H2804="W3","W3_"&amp;IF(I2804="","unknown",I2804),H2804))</f>
        <v/>
      </c>
      <c r="Q2804">
        <f>IF(P2804="","",IFERROR(IF(AND(H2804="W7",OR(F2804="causal",F2804="predictive")),IF(AND(OR(K2804=1,K2804="1"),OR(L2804=1,L2804="1"),OR(M2804=1,M2804="1")),"adequate","partial"),IF(AND(H2804="W4",F2804="predictive",OR(J2804="P2",J2804="P3",J2804="P4")),IF(OR(U2804=1,U2804="1"),"adequate","partial"),INDEX(Fit_Matrix!$B:$B,MATCH(P2804,Fit_Matrix!$A:$A,0)))),"CHECK KEY"))</f>
        <v/>
      </c>
      <c r="U2804" s="10" t="n"/>
      <c r="V2804" s="10" t="n"/>
      <c r="W2804" s="10" t="n"/>
      <c r="X2804" s="10" t="n"/>
      <c r="Y2804" s="10" t="n"/>
      <c r="Z2804" s="10" t="n"/>
      <c r="AA2804" s="11">
        <f>IF(A2804="","",IF(AND(J2804="P4",F2804="causal"),"P4-CAUSAL",""))</f>
        <v/>
      </c>
    </row>
    <row r="2805" ht="15" customHeight="1" s="1">
      <c r="P2805">
        <f>IF(OR(F2805="",H2805="",J2805=""),"",J2805&amp;"|"&amp;F2805&amp;"|"&amp;IF(H2805="W3","W3_"&amp;IF(I2805="","unknown",I2805),H2805))</f>
        <v/>
      </c>
      <c r="Q2805">
        <f>IF(P2805="","",IFERROR(IF(AND(H2805="W7",OR(F2805="causal",F2805="predictive")),IF(AND(OR(K2805=1,K2805="1"),OR(L2805=1,L2805="1"),OR(M2805=1,M2805="1")),"adequate","partial"),IF(AND(H2805="W4",F2805="predictive",OR(J2805="P2",J2805="P3",J2805="P4")),IF(OR(U2805=1,U2805="1"),"adequate","partial"),INDEX(Fit_Matrix!$B:$B,MATCH(P2805,Fit_Matrix!$A:$A,0)))),"CHECK KEY"))</f>
        <v/>
      </c>
      <c r="U2805" s="10" t="n"/>
      <c r="V2805" s="10" t="n"/>
      <c r="W2805" s="10" t="n"/>
      <c r="X2805" s="10" t="n"/>
      <c r="Y2805" s="10" t="n"/>
      <c r="Z2805" s="10" t="n"/>
      <c r="AA2805" s="11">
        <f>IF(A2805="","",IF(AND(J2805="P4",F2805="causal"),"P4-CAUSAL",""))</f>
        <v/>
      </c>
    </row>
    <row r="2806" ht="15" customHeight="1" s="1">
      <c r="P2806">
        <f>IF(OR(F2806="",H2806="",J2806=""),"",J2806&amp;"|"&amp;F2806&amp;"|"&amp;IF(H2806="W3","W3_"&amp;IF(I2806="","unknown",I2806),H2806))</f>
        <v/>
      </c>
      <c r="Q2806">
        <f>IF(P2806="","",IFERROR(IF(AND(H2806="W7",OR(F2806="causal",F2806="predictive")),IF(AND(OR(K2806=1,K2806="1"),OR(L2806=1,L2806="1"),OR(M2806=1,M2806="1")),"adequate","partial"),IF(AND(H2806="W4",F2806="predictive",OR(J2806="P2",J2806="P3",J2806="P4")),IF(OR(U2806=1,U2806="1"),"adequate","partial"),INDEX(Fit_Matrix!$B:$B,MATCH(P2806,Fit_Matrix!$A:$A,0)))),"CHECK KEY"))</f>
        <v/>
      </c>
      <c r="U2806" s="10" t="n"/>
      <c r="V2806" s="10" t="n"/>
      <c r="W2806" s="10" t="n"/>
      <c r="X2806" s="10" t="n"/>
      <c r="Y2806" s="10" t="n"/>
      <c r="Z2806" s="10" t="n"/>
      <c r="AA2806" s="11">
        <f>IF(A2806="","",IF(AND(J2806="P4",F2806="causal"),"P4-CAUSAL",""))</f>
        <v/>
      </c>
    </row>
    <row r="2807" ht="15" customHeight="1" s="1">
      <c r="P2807">
        <f>IF(OR(F2807="",H2807="",J2807=""),"",J2807&amp;"|"&amp;F2807&amp;"|"&amp;IF(H2807="W3","W3_"&amp;IF(I2807="","unknown",I2807),H2807))</f>
        <v/>
      </c>
      <c r="Q2807">
        <f>IF(P2807="","",IFERROR(IF(AND(H2807="W7",OR(F2807="causal",F2807="predictive")),IF(AND(OR(K2807=1,K2807="1"),OR(L2807=1,L2807="1"),OR(M2807=1,M2807="1")),"adequate","partial"),IF(AND(H2807="W4",F2807="predictive",OR(J2807="P2",J2807="P3",J2807="P4")),IF(OR(U2807=1,U2807="1"),"adequate","partial"),INDEX(Fit_Matrix!$B:$B,MATCH(P2807,Fit_Matrix!$A:$A,0)))),"CHECK KEY"))</f>
        <v/>
      </c>
      <c r="U2807" s="10" t="n"/>
      <c r="V2807" s="10" t="n"/>
      <c r="W2807" s="10" t="n"/>
      <c r="X2807" s="10" t="n"/>
      <c r="Y2807" s="10" t="n"/>
      <c r="Z2807" s="10" t="n"/>
      <c r="AA2807" s="11">
        <f>IF(A2807="","",IF(AND(J2807="P4",F2807="causal"),"P4-CAUSAL",""))</f>
        <v/>
      </c>
    </row>
    <row r="2808" ht="15" customHeight="1" s="1">
      <c r="P2808">
        <f>IF(OR(F2808="",H2808="",J2808=""),"",J2808&amp;"|"&amp;F2808&amp;"|"&amp;IF(H2808="W3","W3_"&amp;IF(I2808="","unknown",I2808),H2808))</f>
        <v/>
      </c>
      <c r="Q2808">
        <f>IF(P2808="","",IFERROR(IF(AND(H2808="W7",OR(F2808="causal",F2808="predictive")),IF(AND(OR(K2808=1,K2808="1"),OR(L2808=1,L2808="1"),OR(M2808=1,M2808="1")),"adequate","partial"),IF(AND(H2808="W4",F2808="predictive",OR(J2808="P2",J2808="P3",J2808="P4")),IF(OR(U2808=1,U2808="1"),"adequate","partial"),INDEX(Fit_Matrix!$B:$B,MATCH(P2808,Fit_Matrix!$A:$A,0)))),"CHECK KEY"))</f>
        <v/>
      </c>
      <c r="U2808" s="10" t="n"/>
      <c r="V2808" s="10" t="n"/>
      <c r="W2808" s="10" t="n"/>
      <c r="X2808" s="10" t="n"/>
      <c r="Y2808" s="10" t="n"/>
      <c r="Z2808" s="10" t="n"/>
      <c r="AA2808" s="11">
        <f>IF(A2808="","",IF(AND(J2808="P4",F2808="causal"),"P4-CAUSAL",""))</f>
        <v/>
      </c>
    </row>
    <row r="2809" ht="15" customHeight="1" s="1">
      <c r="P2809">
        <f>IF(OR(F2809="",H2809="",J2809=""),"",J2809&amp;"|"&amp;F2809&amp;"|"&amp;IF(H2809="W3","W3_"&amp;IF(I2809="","unknown",I2809),H2809))</f>
        <v/>
      </c>
      <c r="Q2809">
        <f>IF(P2809="","",IFERROR(IF(AND(H2809="W7",OR(F2809="causal",F2809="predictive")),IF(AND(OR(K2809=1,K2809="1"),OR(L2809=1,L2809="1"),OR(M2809=1,M2809="1")),"adequate","partial"),IF(AND(H2809="W4",F2809="predictive",OR(J2809="P2",J2809="P3",J2809="P4")),IF(OR(U2809=1,U2809="1"),"adequate","partial"),INDEX(Fit_Matrix!$B:$B,MATCH(P2809,Fit_Matrix!$A:$A,0)))),"CHECK KEY"))</f>
        <v/>
      </c>
      <c r="U2809" s="10" t="n"/>
      <c r="V2809" s="10" t="n"/>
      <c r="W2809" s="10" t="n"/>
      <c r="X2809" s="10" t="n"/>
      <c r="Y2809" s="10" t="n"/>
      <c r="Z2809" s="10" t="n"/>
      <c r="AA2809" s="11">
        <f>IF(A2809="","",IF(AND(J2809="P4",F2809="causal"),"P4-CAUSAL",""))</f>
        <v/>
      </c>
    </row>
    <row r="2810" ht="15" customHeight="1" s="1">
      <c r="P2810">
        <f>IF(OR(F2810="",H2810="",J2810=""),"",J2810&amp;"|"&amp;F2810&amp;"|"&amp;IF(H2810="W3","W3_"&amp;IF(I2810="","unknown",I2810),H2810))</f>
        <v/>
      </c>
      <c r="Q2810">
        <f>IF(P2810="","",IFERROR(IF(AND(H2810="W7",OR(F2810="causal",F2810="predictive")),IF(AND(OR(K2810=1,K2810="1"),OR(L2810=1,L2810="1"),OR(M2810=1,M2810="1")),"adequate","partial"),IF(AND(H2810="W4",F2810="predictive",OR(J2810="P2",J2810="P3",J2810="P4")),IF(OR(U2810=1,U2810="1"),"adequate","partial"),INDEX(Fit_Matrix!$B:$B,MATCH(P2810,Fit_Matrix!$A:$A,0)))),"CHECK KEY"))</f>
        <v/>
      </c>
      <c r="U2810" s="10" t="n"/>
      <c r="V2810" s="10" t="n"/>
      <c r="W2810" s="10" t="n"/>
      <c r="X2810" s="10" t="n"/>
      <c r="Y2810" s="10" t="n"/>
      <c r="Z2810" s="10" t="n"/>
      <c r="AA2810" s="11">
        <f>IF(A2810="","",IF(AND(J2810="P4",F2810="causal"),"P4-CAUSAL",""))</f>
        <v/>
      </c>
    </row>
    <row r="2811" ht="15" customHeight="1" s="1">
      <c r="P2811">
        <f>IF(OR(F2811="",H2811="",J2811=""),"",J2811&amp;"|"&amp;F2811&amp;"|"&amp;IF(H2811="W3","W3_"&amp;IF(I2811="","unknown",I2811),H2811))</f>
        <v/>
      </c>
      <c r="Q2811">
        <f>IF(P2811="","",IFERROR(IF(AND(H2811="W7",OR(F2811="causal",F2811="predictive")),IF(AND(OR(K2811=1,K2811="1"),OR(L2811=1,L2811="1"),OR(M2811=1,M2811="1")),"adequate","partial"),IF(AND(H2811="W4",F2811="predictive",OR(J2811="P2",J2811="P3",J2811="P4")),IF(OR(U2811=1,U2811="1"),"adequate","partial"),INDEX(Fit_Matrix!$B:$B,MATCH(P2811,Fit_Matrix!$A:$A,0)))),"CHECK KEY"))</f>
        <v/>
      </c>
      <c r="U2811" s="10" t="n"/>
      <c r="V2811" s="10" t="n"/>
      <c r="W2811" s="10" t="n"/>
      <c r="X2811" s="10" t="n"/>
      <c r="Y2811" s="10" t="n"/>
      <c r="Z2811" s="10" t="n"/>
      <c r="AA2811" s="11">
        <f>IF(A2811="","",IF(AND(J2811="P4",F2811="causal"),"P4-CAUSAL",""))</f>
        <v/>
      </c>
    </row>
    <row r="2812" ht="15" customHeight="1" s="1">
      <c r="P2812">
        <f>IF(OR(F2812="",H2812="",J2812=""),"",J2812&amp;"|"&amp;F2812&amp;"|"&amp;IF(H2812="W3","W3_"&amp;IF(I2812="","unknown",I2812),H2812))</f>
        <v/>
      </c>
      <c r="Q2812">
        <f>IF(P2812="","",IFERROR(IF(AND(H2812="W7",OR(F2812="causal",F2812="predictive")),IF(AND(OR(K2812=1,K2812="1"),OR(L2812=1,L2812="1"),OR(M2812=1,M2812="1")),"adequate","partial"),IF(AND(H2812="W4",F2812="predictive",OR(J2812="P2",J2812="P3",J2812="P4")),IF(OR(U2812=1,U2812="1"),"adequate","partial"),INDEX(Fit_Matrix!$B:$B,MATCH(P2812,Fit_Matrix!$A:$A,0)))),"CHECK KEY"))</f>
        <v/>
      </c>
      <c r="U2812" s="10" t="n"/>
      <c r="V2812" s="10" t="n"/>
      <c r="W2812" s="10" t="n"/>
      <c r="X2812" s="10" t="n"/>
      <c r="Y2812" s="10" t="n"/>
      <c r="Z2812" s="10" t="n"/>
      <c r="AA2812" s="11">
        <f>IF(A2812="","",IF(AND(J2812="P4",F2812="causal"),"P4-CAUSAL",""))</f>
        <v/>
      </c>
    </row>
    <row r="2813" ht="15" customHeight="1" s="1">
      <c r="P2813">
        <f>IF(OR(F2813="",H2813="",J2813=""),"",J2813&amp;"|"&amp;F2813&amp;"|"&amp;IF(H2813="W3","W3_"&amp;IF(I2813="","unknown",I2813),H2813))</f>
        <v/>
      </c>
      <c r="Q2813">
        <f>IF(P2813="","",IFERROR(IF(AND(H2813="W7",OR(F2813="causal",F2813="predictive")),IF(AND(OR(K2813=1,K2813="1"),OR(L2813=1,L2813="1"),OR(M2813=1,M2813="1")),"adequate","partial"),IF(AND(H2813="W4",F2813="predictive",OR(J2813="P2",J2813="P3",J2813="P4")),IF(OR(U2813=1,U2813="1"),"adequate","partial"),INDEX(Fit_Matrix!$B:$B,MATCH(P2813,Fit_Matrix!$A:$A,0)))),"CHECK KEY"))</f>
        <v/>
      </c>
      <c r="U2813" s="10" t="n"/>
      <c r="V2813" s="10" t="n"/>
      <c r="W2813" s="10" t="n"/>
      <c r="X2813" s="10" t="n"/>
      <c r="Y2813" s="10" t="n"/>
      <c r="Z2813" s="10" t="n"/>
      <c r="AA2813" s="11">
        <f>IF(A2813="","",IF(AND(J2813="P4",F2813="causal"),"P4-CAUSAL",""))</f>
        <v/>
      </c>
    </row>
    <row r="2814" ht="15" customHeight="1" s="1">
      <c r="P2814">
        <f>IF(OR(F2814="",H2814="",J2814=""),"",J2814&amp;"|"&amp;F2814&amp;"|"&amp;IF(H2814="W3","W3_"&amp;IF(I2814="","unknown",I2814),H2814))</f>
        <v/>
      </c>
      <c r="Q2814">
        <f>IF(P2814="","",IFERROR(IF(AND(H2814="W7",OR(F2814="causal",F2814="predictive")),IF(AND(OR(K2814=1,K2814="1"),OR(L2814=1,L2814="1"),OR(M2814=1,M2814="1")),"adequate","partial"),IF(AND(H2814="W4",F2814="predictive",OR(J2814="P2",J2814="P3",J2814="P4")),IF(OR(U2814=1,U2814="1"),"adequate","partial"),INDEX(Fit_Matrix!$B:$B,MATCH(P2814,Fit_Matrix!$A:$A,0)))),"CHECK KEY"))</f>
        <v/>
      </c>
      <c r="U2814" s="10" t="n"/>
      <c r="V2814" s="10" t="n"/>
      <c r="W2814" s="10" t="n"/>
      <c r="X2814" s="10" t="n"/>
      <c r="Y2814" s="10" t="n"/>
      <c r="Z2814" s="10" t="n"/>
      <c r="AA2814" s="11">
        <f>IF(A2814="","",IF(AND(J2814="P4",F2814="causal"),"P4-CAUSAL",""))</f>
        <v/>
      </c>
    </row>
    <row r="2815" ht="15" customHeight="1" s="1">
      <c r="P2815">
        <f>IF(OR(F2815="",H2815="",J2815=""),"",J2815&amp;"|"&amp;F2815&amp;"|"&amp;IF(H2815="W3","W3_"&amp;IF(I2815="","unknown",I2815),H2815))</f>
        <v/>
      </c>
      <c r="Q2815">
        <f>IF(P2815="","",IFERROR(IF(AND(H2815="W7",OR(F2815="causal",F2815="predictive")),IF(AND(OR(K2815=1,K2815="1"),OR(L2815=1,L2815="1"),OR(M2815=1,M2815="1")),"adequate","partial"),IF(AND(H2815="W4",F2815="predictive",OR(J2815="P2",J2815="P3",J2815="P4")),IF(OR(U2815=1,U2815="1"),"adequate","partial"),INDEX(Fit_Matrix!$B:$B,MATCH(P2815,Fit_Matrix!$A:$A,0)))),"CHECK KEY"))</f>
        <v/>
      </c>
      <c r="U2815" s="10" t="n"/>
      <c r="V2815" s="10" t="n"/>
      <c r="W2815" s="10" t="n"/>
      <c r="X2815" s="10" t="n"/>
      <c r="Y2815" s="10" t="n"/>
      <c r="Z2815" s="10" t="n"/>
      <c r="AA2815" s="11">
        <f>IF(A2815="","",IF(AND(J2815="P4",F2815="causal"),"P4-CAUSAL",""))</f>
        <v/>
      </c>
    </row>
    <row r="2816" ht="15" customHeight="1" s="1">
      <c r="P2816">
        <f>IF(OR(F2816="",H2816="",J2816=""),"",J2816&amp;"|"&amp;F2816&amp;"|"&amp;IF(H2816="W3","W3_"&amp;IF(I2816="","unknown",I2816),H2816))</f>
        <v/>
      </c>
      <c r="Q2816">
        <f>IF(P2816="","",IFERROR(IF(AND(H2816="W7",OR(F2816="causal",F2816="predictive")),IF(AND(OR(K2816=1,K2816="1"),OR(L2816=1,L2816="1"),OR(M2816=1,M2816="1")),"adequate","partial"),IF(AND(H2816="W4",F2816="predictive",OR(J2816="P2",J2816="P3",J2816="P4")),IF(OR(U2816=1,U2816="1"),"adequate","partial"),INDEX(Fit_Matrix!$B:$B,MATCH(P2816,Fit_Matrix!$A:$A,0)))),"CHECK KEY"))</f>
        <v/>
      </c>
      <c r="U2816" s="10" t="n"/>
      <c r="V2816" s="10" t="n"/>
      <c r="W2816" s="10" t="n"/>
      <c r="X2816" s="10" t="n"/>
      <c r="Y2816" s="10" t="n"/>
      <c r="Z2816" s="10" t="n"/>
      <c r="AA2816" s="11">
        <f>IF(A2816="","",IF(AND(J2816="P4",F2816="causal"),"P4-CAUSAL",""))</f>
        <v/>
      </c>
    </row>
    <row r="2817" ht="15" customHeight="1" s="1">
      <c r="P2817">
        <f>IF(OR(F2817="",H2817="",J2817=""),"",J2817&amp;"|"&amp;F2817&amp;"|"&amp;IF(H2817="W3","W3_"&amp;IF(I2817="","unknown",I2817),H2817))</f>
        <v/>
      </c>
      <c r="Q2817">
        <f>IF(P2817="","",IFERROR(IF(AND(H2817="W7",OR(F2817="causal",F2817="predictive")),IF(AND(OR(K2817=1,K2817="1"),OR(L2817=1,L2817="1"),OR(M2817=1,M2817="1")),"adequate","partial"),IF(AND(H2817="W4",F2817="predictive",OR(J2817="P2",J2817="P3",J2817="P4")),IF(OR(U2817=1,U2817="1"),"adequate","partial"),INDEX(Fit_Matrix!$B:$B,MATCH(P2817,Fit_Matrix!$A:$A,0)))),"CHECK KEY"))</f>
        <v/>
      </c>
      <c r="U2817" s="10" t="n"/>
      <c r="V2817" s="10" t="n"/>
      <c r="W2817" s="10" t="n"/>
      <c r="X2817" s="10" t="n"/>
      <c r="Y2817" s="10" t="n"/>
      <c r="Z2817" s="10" t="n"/>
      <c r="AA2817" s="11">
        <f>IF(A2817="","",IF(AND(J2817="P4",F2817="causal"),"P4-CAUSAL",""))</f>
        <v/>
      </c>
    </row>
    <row r="2818" ht="15" customHeight="1" s="1">
      <c r="P2818">
        <f>IF(OR(F2818="",H2818="",J2818=""),"",J2818&amp;"|"&amp;F2818&amp;"|"&amp;IF(H2818="W3","W3_"&amp;IF(I2818="","unknown",I2818),H2818))</f>
        <v/>
      </c>
      <c r="Q2818">
        <f>IF(P2818="","",IFERROR(IF(AND(H2818="W7",OR(F2818="causal",F2818="predictive")),IF(AND(OR(K2818=1,K2818="1"),OR(L2818=1,L2818="1"),OR(M2818=1,M2818="1")),"adequate","partial"),IF(AND(H2818="W4",F2818="predictive",OR(J2818="P2",J2818="P3",J2818="P4")),IF(OR(U2818=1,U2818="1"),"adequate","partial"),INDEX(Fit_Matrix!$B:$B,MATCH(P2818,Fit_Matrix!$A:$A,0)))),"CHECK KEY"))</f>
        <v/>
      </c>
      <c r="U2818" s="10" t="n"/>
      <c r="V2818" s="10" t="n"/>
      <c r="W2818" s="10" t="n"/>
      <c r="X2818" s="10" t="n"/>
      <c r="Y2818" s="10" t="n"/>
      <c r="Z2818" s="10" t="n"/>
      <c r="AA2818" s="11">
        <f>IF(A2818="","",IF(AND(J2818="P4",F2818="causal"),"P4-CAUSAL",""))</f>
        <v/>
      </c>
    </row>
    <row r="2819" ht="15" customHeight="1" s="1">
      <c r="P2819">
        <f>IF(OR(F2819="",H2819="",J2819=""),"",J2819&amp;"|"&amp;F2819&amp;"|"&amp;IF(H2819="W3","W3_"&amp;IF(I2819="","unknown",I2819),H2819))</f>
        <v/>
      </c>
      <c r="Q2819">
        <f>IF(P2819="","",IFERROR(IF(AND(H2819="W7",OR(F2819="causal",F2819="predictive")),IF(AND(OR(K2819=1,K2819="1"),OR(L2819=1,L2819="1"),OR(M2819=1,M2819="1")),"adequate","partial"),IF(AND(H2819="W4",F2819="predictive",OR(J2819="P2",J2819="P3",J2819="P4")),IF(OR(U2819=1,U2819="1"),"adequate","partial"),INDEX(Fit_Matrix!$B:$B,MATCH(P2819,Fit_Matrix!$A:$A,0)))),"CHECK KEY"))</f>
        <v/>
      </c>
      <c r="U2819" s="10" t="n"/>
      <c r="V2819" s="10" t="n"/>
      <c r="W2819" s="10" t="n"/>
      <c r="X2819" s="10" t="n"/>
      <c r="Y2819" s="10" t="n"/>
      <c r="Z2819" s="10" t="n"/>
      <c r="AA2819" s="11">
        <f>IF(A2819="","",IF(AND(J2819="P4",F2819="causal"),"P4-CAUSAL",""))</f>
        <v/>
      </c>
    </row>
    <row r="2820" ht="15" customHeight="1" s="1">
      <c r="P2820">
        <f>IF(OR(F2820="",H2820="",J2820=""),"",J2820&amp;"|"&amp;F2820&amp;"|"&amp;IF(H2820="W3","W3_"&amp;IF(I2820="","unknown",I2820),H2820))</f>
        <v/>
      </c>
      <c r="Q2820">
        <f>IF(P2820="","",IFERROR(IF(AND(H2820="W7",OR(F2820="causal",F2820="predictive")),IF(AND(OR(K2820=1,K2820="1"),OR(L2820=1,L2820="1"),OR(M2820=1,M2820="1")),"adequate","partial"),IF(AND(H2820="W4",F2820="predictive",OR(J2820="P2",J2820="P3",J2820="P4")),IF(OR(U2820=1,U2820="1"),"adequate","partial"),INDEX(Fit_Matrix!$B:$B,MATCH(P2820,Fit_Matrix!$A:$A,0)))),"CHECK KEY"))</f>
        <v/>
      </c>
      <c r="U2820" s="10" t="n"/>
      <c r="V2820" s="10" t="n"/>
      <c r="W2820" s="10" t="n"/>
      <c r="X2820" s="10" t="n"/>
      <c r="Y2820" s="10" t="n"/>
      <c r="Z2820" s="10" t="n"/>
      <c r="AA2820" s="11">
        <f>IF(A2820="","",IF(AND(J2820="P4",F2820="causal"),"P4-CAUSAL",""))</f>
        <v/>
      </c>
    </row>
    <row r="2821" ht="15" customHeight="1" s="1">
      <c r="P2821">
        <f>IF(OR(F2821="",H2821="",J2821=""),"",J2821&amp;"|"&amp;F2821&amp;"|"&amp;IF(H2821="W3","W3_"&amp;IF(I2821="","unknown",I2821),H2821))</f>
        <v/>
      </c>
      <c r="Q2821">
        <f>IF(P2821="","",IFERROR(IF(AND(H2821="W7",OR(F2821="causal",F2821="predictive")),IF(AND(OR(K2821=1,K2821="1"),OR(L2821=1,L2821="1"),OR(M2821=1,M2821="1")),"adequate","partial"),IF(AND(H2821="W4",F2821="predictive",OR(J2821="P2",J2821="P3",J2821="P4")),IF(OR(U2821=1,U2821="1"),"adequate","partial"),INDEX(Fit_Matrix!$B:$B,MATCH(P2821,Fit_Matrix!$A:$A,0)))),"CHECK KEY"))</f>
        <v/>
      </c>
      <c r="U2821" s="10" t="n"/>
      <c r="V2821" s="10" t="n"/>
      <c r="W2821" s="10" t="n"/>
      <c r="X2821" s="10" t="n"/>
      <c r="Y2821" s="10" t="n"/>
      <c r="Z2821" s="10" t="n"/>
      <c r="AA2821" s="11">
        <f>IF(A2821="","",IF(AND(J2821="P4",F2821="causal"),"P4-CAUSAL",""))</f>
        <v/>
      </c>
    </row>
    <row r="2822" ht="15" customHeight="1" s="1">
      <c r="P2822">
        <f>IF(OR(F2822="",H2822="",J2822=""),"",J2822&amp;"|"&amp;F2822&amp;"|"&amp;IF(H2822="W3","W3_"&amp;IF(I2822="","unknown",I2822),H2822))</f>
        <v/>
      </c>
      <c r="Q2822">
        <f>IF(P2822="","",IFERROR(IF(AND(H2822="W7",OR(F2822="causal",F2822="predictive")),IF(AND(OR(K2822=1,K2822="1"),OR(L2822=1,L2822="1"),OR(M2822=1,M2822="1")),"adequate","partial"),IF(AND(H2822="W4",F2822="predictive",OR(J2822="P2",J2822="P3",J2822="P4")),IF(OR(U2822=1,U2822="1"),"adequate","partial"),INDEX(Fit_Matrix!$B:$B,MATCH(P2822,Fit_Matrix!$A:$A,0)))),"CHECK KEY"))</f>
        <v/>
      </c>
      <c r="U2822" s="10" t="n"/>
      <c r="V2822" s="10" t="n"/>
      <c r="W2822" s="10" t="n"/>
      <c r="X2822" s="10" t="n"/>
      <c r="Y2822" s="10" t="n"/>
      <c r="Z2822" s="10" t="n"/>
      <c r="AA2822" s="11">
        <f>IF(A2822="","",IF(AND(J2822="P4",F2822="causal"),"P4-CAUSAL",""))</f>
        <v/>
      </c>
    </row>
    <row r="2823" ht="15" customHeight="1" s="1">
      <c r="P2823">
        <f>IF(OR(F2823="",H2823="",J2823=""),"",J2823&amp;"|"&amp;F2823&amp;"|"&amp;IF(H2823="W3","W3_"&amp;IF(I2823="","unknown",I2823),H2823))</f>
        <v/>
      </c>
      <c r="Q2823">
        <f>IF(P2823="","",IFERROR(IF(AND(H2823="W7",OR(F2823="causal",F2823="predictive")),IF(AND(OR(K2823=1,K2823="1"),OR(L2823=1,L2823="1"),OR(M2823=1,M2823="1")),"adequate","partial"),IF(AND(H2823="W4",F2823="predictive",OR(J2823="P2",J2823="P3",J2823="P4")),IF(OR(U2823=1,U2823="1"),"adequate","partial"),INDEX(Fit_Matrix!$B:$B,MATCH(P2823,Fit_Matrix!$A:$A,0)))),"CHECK KEY"))</f>
        <v/>
      </c>
      <c r="U2823" s="10" t="n"/>
      <c r="V2823" s="10" t="n"/>
      <c r="W2823" s="10" t="n"/>
      <c r="X2823" s="10" t="n"/>
      <c r="Y2823" s="10" t="n"/>
      <c r="Z2823" s="10" t="n"/>
      <c r="AA2823" s="11">
        <f>IF(A2823="","",IF(AND(J2823="P4",F2823="causal"),"P4-CAUSAL",""))</f>
        <v/>
      </c>
    </row>
    <row r="2824" ht="15" customHeight="1" s="1">
      <c r="P2824">
        <f>IF(OR(F2824="",H2824="",J2824=""),"",J2824&amp;"|"&amp;F2824&amp;"|"&amp;IF(H2824="W3","W3_"&amp;IF(I2824="","unknown",I2824),H2824))</f>
        <v/>
      </c>
      <c r="Q2824">
        <f>IF(P2824="","",IFERROR(IF(AND(H2824="W7",OR(F2824="causal",F2824="predictive")),IF(AND(OR(K2824=1,K2824="1"),OR(L2824=1,L2824="1"),OR(M2824=1,M2824="1")),"adequate","partial"),IF(AND(H2824="W4",F2824="predictive",OR(J2824="P2",J2824="P3",J2824="P4")),IF(OR(U2824=1,U2824="1"),"adequate","partial"),INDEX(Fit_Matrix!$B:$B,MATCH(P2824,Fit_Matrix!$A:$A,0)))),"CHECK KEY"))</f>
        <v/>
      </c>
      <c r="U2824" s="10" t="n"/>
      <c r="V2824" s="10" t="n"/>
      <c r="W2824" s="10" t="n"/>
      <c r="X2824" s="10" t="n"/>
      <c r="Y2824" s="10" t="n"/>
      <c r="Z2824" s="10" t="n"/>
      <c r="AA2824" s="11">
        <f>IF(A2824="","",IF(AND(J2824="P4",F2824="causal"),"P4-CAUSAL",""))</f>
        <v/>
      </c>
    </row>
    <row r="2825" ht="15" customHeight="1" s="1">
      <c r="P2825">
        <f>IF(OR(F2825="",H2825="",J2825=""),"",J2825&amp;"|"&amp;F2825&amp;"|"&amp;IF(H2825="W3","W3_"&amp;IF(I2825="","unknown",I2825),H2825))</f>
        <v/>
      </c>
      <c r="Q2825">
        <f>IF(P2825="","",IFERROR(IF(AND(H2825="W7",OR(F2825="causal",F2825="predictive")),IF(AND(OR(K2825=1,K2825="1"),OR(L2825=1,L2825="1"),OR(M2825=1,M2825="1")),"adequate","partial"),IF(AND(H2825="W4",F2825="predictive",OR(J2825="P2",J2825="P3",J2825="P4")),IF(OR(U2825=1,U2825="1"),"adequate","partial"),INDEX(Fit_Matrix!$B:$B,MATCH(P2825,Fit_Matrix!$A:$A,0)))),"CHECK KEY"))</f>
        <v/>
      </c>
      <c r="U2825" s="10" t="n"/>
      <c r="V2825" s="10" t="n"/>
      <c r="W2825" s="10" t="n"/>
      <c r="X2825" s="10" t="n"/>
      <c r="Y2825" s="10" t="n"/>
      <c r="Z2825" s="10" t="n"/>
      <c r="AA2825" s="11">
        <f>IF(A2825="","",IF(AND(J2825="P4",F2825="causal"),"P4-CAUSAL",""))</f>
        <v/>
      </c>
    </row>
    <row r="2826" ht="15" customHeight="1" s="1">
      <c r="P2826">
        <f>IF(OR(F2826="",H2826="",J2826=""),"",J2826&amp;"|"&amp;F2826&amp;"|"&amp;IF(H2826="W3","W3_"&amp;IF(I2826="","unknown",I2826),H2826))</f>
        <v/>
      </c>
      <c r="Q2826">
        <f>IF(P2826="","",IFERROR(IF(AND(H2826="W7",OR(F2826="causal",F2826="predictive")),IF(AND(OR(K2826=1,K2826="1"),OR(L2826=1,L2826="1"),OR(M2826=1,M2826="1")),"adequate","partial"),IF(AND(H2826="W4",F2826="predictive",OR(J2826="P2",J2826="P3",J2826="P4")),IF(OR(U2826=1,U2826="1"),"adequate","partial"),INDEX(Fit_Matrix!$B:$B,MATCH(P2826,Fit_Matrix!$A:$A,0)))),"CHECK KEY"))</f>
        <v/>
      </c>
      <c r="U2826" s="10" t="n"/>
      <c r="V2826" s="10" t="n"/>
      <c r="W2826" s="10" t="n"/>
      <c r="X2826" s="10" t="n"/>
      <c r="Y2826" s="10" t="n"/>
      <c r="Z2826" s="10" t="n"/>
      <c r="AA2826" s="11">
        <f>IF(A2826="","",IF(AND(J2826="P4",F2826="causal"),"P4-CAUSAL",""))</f>
        <v/>
      </c>
    </row>
    <row r="2827" ht="15" customHeight="1" s="1">
      <c r="P2827">
        <f>IF(OR(F2827="",H2827="",J2827=""),"",J2827&amp;"|"&amp;F2827&amp;"|"&amp;IF(H2827="W3","W3_"&amp;IF(I2827="","unknown",I2827),H2827))</f>
        <v/>
      </c>
      <c r="Q2827">
        <f>IF(P2827="","",IFERROR(IF(AND(H2827="W7",OR(F2827="causal",F2827="predictive")),IF(AND(OR(K2827=1,K2827="1"),OR(L2827=1,L2827="1"),OR(M2827=1,M2827="1")),"adequate","partial"),IF(AND(H2827="W4",F2827="predictive",OR(J2827="P2",J2827="P3",J2827="P4")),IF(OR(U2827=1,U2827="1"),"adequate","partial"),INDEX(Fit_Matrix!$B:$B,MATCH(P2827,Fit_Matrix!$A:$A,0)))),"CHECK KEY"))</f>
        <v/>
      </c>
      <c r="U2827" s="10" t="n"/>
      <c r="V2827" s="10" t="n"/>
      <c r="W2827" s="10" t="n"/>
      <c r="X2827" s="10" t="n"/>
      <c r="Y2827" s="10" t="n"/>
      <c r="Z2827" s="10" t="n"/>
      <c r="AA2827" s="11">
        <f>IF(A2827="","",IF(AND(J2827="P4",F2827="causal"),"P4-CAUSAL",""))</f>
        <v/>
      </c>
    </row>
    <row r="2828" ht="15" customHeight="1" s="1">
      <c r="P2828">
        <f>IF(OR(F2828="",H2828="",J2828=""),"",J2828&amp;"|"&amp;F2828&amp;"|"&amp;IF(H2828="W3","W3_"&amp;IF(I2828="","unknown",I2828),H2828))</f>
        <v/>
      </c>
      <c r="Q2828">
        <f>IF(P2828="","",IFERROR(IF(AND(H2828="W7",OR(F2828="causal",F2828="predictive")),IF(AND(OR(K2828=1,K2828="1"),OR(L2828=1,L2828="1"),OR(M2828=1,M2828="1")),"adequate","partial"),IF(AND(H2828="W4",F2828="predictive",OR(J2828="P2",J2828="P3",J2828="P4")),IF(OR(U2828=1,U2828="1"),"adequate","partial"),INDEX(Fit_Matrix!$B:$B,MATCH(P2828,Fit_Matrix!$A:$A,0)))),"CHECK KEY"))</f>
        <v/>
      </c>
      <c r="U2828" s="10" t="n"/>
      <c r="V2828" s="10" t="n"/>
      <c r="W2828" s="10" t="n"/>
      <c r="X2828" s="10" t="n"/>
      <c r="Y2828" s="10" t="n"/>
      <c r="Z2828" s="10" t="n"/>
      <c r="AA2828" s="11">
        <f>IF(A2828="","",IF(AND(J2828="P4",F2828="causal"),"P4-CAUSAL",""))</f>
        <v/>
      </c>
    </row>
    <row r="2829" ht="15" customHeight="1" s="1">
      <c r="P2829">
        <f>IF(OR(F2829="",H2829="",J2829=""),"",J2829&amp;"|"&amp;F2829&amp;"|"&amp;IF(H2829="W3","W3_"&amp;IF(I2829="","unknown",I2829),H2829))</f>
        <v/>
      </c>
      <c r="Q2829">
        <f>IF(P2829="","",IFERROR(IF(AND(H2829="W7",OR(F2829="causal",F2829="predictive")),IF(AND(OR(K2829=1,K2829="1"),OR(L2829=1,L2829="1"),OR(M2829=1,M2829="1")),"adequate","partial"),IF(AND(H2829="W4",F2829="predictive",OR(J2829="P2",J2829="P3",J2829="P4")),IF(OR(U2829=1,U2829="1"),"adequate","partial"),INDEX(Fit_Matrix!$B:$B,MATCH(P2829,Fit_Matrix!$A:$A,0)))),"CHECK KEY"))</f>
        <v/>
      </c>
      <c r="U2829" s="10" t="n"/>
      <c r="V2829" s="10" t="n"/>
      <c r="W2829" s="10" t="n"/>
      <c r="X2829" s="10" t="n"/>
      <c r="Y2829" s="10" t="n"/>
      <c r="Z2829" s="10" t="n"/>
      <c r="AA2829" s="11">
        <f>IF(A2829="","",IF(AND(J2829="P4",F2829="causal"),"P4-CAUSAL",""))</f>
        <v/>
      </c>
    </row>
    <row r="2830" ht="15" customHeight="1" s="1">
      <c r="P2830">
        <f>IF(OR(F2830="",H2830="",J2830=""),"",J2830&amp;"|"&amp;F2830&amp;"|"&amp;IF(H2830="W3","W3_"&amp;IF(I2830="","unknown",I2830),H2830))</f>
        <v/>
      </c>
      <c r="Q2830">
        <f>IF(P2830="","",IFERROR(IF(AND(H2830="W7",OR(F2830="causal",F2830="predictive")),IF(AND(OR(K2830=1,K2830="1"),OR(L2830=1,L2830="1"),OR(M2830=1,M2830="1")),"adequate","partial"),IF(AND(H2830="W4",F2830="predictive",OR(J2830="P2",J2830="P3",J2830="P4")),IF(OR(U2830=1,U2830="1"),"adequate","partial"),INDEX(Fit_Matrix!$B:$B,MATCH(P2830,Fit_Matrix!$A:$A,0)))),"CHECK KEY"))</f>
        <v/>
      </c>
      <c r="U2830" s="10" t="n"/>
      <c r="V2830" s="10" t="n"/>
      <c r="W2830" s="10" t="n"/>
      <c r="X2830" s="10" t="n"/>
      <c r="Y2830" s="10" t="n"/>
      <c r="Z2830" s="10" t="n"/>
      <c r="AA2830" s="11">
        <f>IF(A2830="","",IF(AND(J2830="P4",F2830="causal"),"P4-CAUSAL",""))</f>
        <v/>
      </c>
    </row>
    <row r="2831" ht="15" customHeight="1" s="1">
      <c r="P2831">
        <f>IF(OR(F2831="",H2831="",J2831=""),"",J2831&amp;"|"&amp;F2831&amp;"|"&amp;IF(H2831="W3","W3_"&amp;IF(I2831="","unknown",I2831),H2831))</f>
        <v/>
      </c>
      <c r="Q2831">
        <f>IF(P2831="","",IFERROR(IF(AND(H2831="W7",OR(F2831="causal",F2831="predictive")),IF(AND(OR(K2831=1,K2831="1"),OR(L2831=1,L2831="1"),OR(M2831=1,M2831="1")),"adequate","partial"),IF(AND(H2831="W4",F2831="predictive",OR(J2831="P2",J2831="P3",J2831="P4")),IF(OR(U2831=1,U2831="1"),"adequate","partial"),INDEX(Fit_Matrix!$B:$B,MATCH(P2831,Fit_Matrix!$A:$A,0)))),"CHECK KEY"))</f>
        <v/>
      </c>
      <c r="U2831" s="10" t="n"/>
      <c r="V2831" s="10" t="n"/>
      <c r="W2831" s="10" t="n"/>
      <c r="X2831" s="10" t="n"/>
      <c r="Y2831" s="10" t="n"/>
      <c r="Z2831" s="10" t="n"/>
      <c r="AA2831" s="11">
        <f>IF(A2831="","",IF(AND(J2831="P4",F2831="causal"),"P4-CAUSAL",""))</f>
        <v/>
      </c>
    </row>
    <row r="2832" ht="15" customHeight="1" s="1">
      <c r="P2832">
        <f>IF(OR(F2832="",H2832="",J2832=""),"",J2832&amp;"|"&amp;F2832&amp;"|"&amp;IF(H2832="W3","W3_"&amp;IF(I2832="","unknown",I2832),H2832))</f>
        <v/>
      </c>
      <c r="Q2832">
        <f>IF(P2832="","",IFERROR(IF(AND(H2832="W7",OR(F2832="causal",F2832="predictive")),IF(AND(OR(K2832=1,K2832="1"),OR(L2832=1,L2832="1"),OR(M2832=1,M2832="1")),"adequate","partial"),IF(AND(H2832="W4",F2832="predictive",OR(J2832="P2",J2832="P3",J2832="P4")),IF(OR(U2832=1,U2832="1"),"adequate","partial"),INDEX(Fit_Matrix!$B:$B,MATCH(P2832,Fit_Matrix!$A:$A,0)))),"CHECK KEY"))</f>
        <v/>
      </c>
      <c r="U2832" s="10" t="n"/>
      <c r="V2832" s="10" t="n"/>
      <c r="W2832" s="10" t="n"/>
      <c r="X2832" s="10" t="n"/>
      <c r="Y2832" s="10" t="n"/>
      <c r="Z2832" s="10" t="n"/>
      <c r="AA2832" s="11">
        <f>IF(A2832="","",IF(AND(J2832="P4",F2832="causal"),"P4-CAUSAL",""))</f>
        <v/>
      </c>
    </row>
    <row r="2833" ht="15" customHeight="1" s="1">
      <c r="P2833">
        <f>IF(OR(F2833="",H2833="",J2833=""),"",J2833&amp;"|"&amp;F2833&amp;"|"&amp;IF(H2833="W3","W3_"&amp;IF(I2833="","unknown",I2833),H2833))</f>
        <v/>
      </c>
      <c r="Q2833">
        <f>IF(P2833="","",IFERROR(IF(AND(H2833="W7",OR(F2833="causal",F2833="predictive")),IF(AND(OR(K2833=1,K2833="1"),OR(L2833=1,L2833="1"),OR(M2833=1,M2833="1")),"adequate","partial"),IF(AND(H2833="W4",F2833="predictive",OR(J2833="P2",J2833="P3",J2833="P4")),IF(OR(U2833=1,U2833="1"),"adequate","partial"),INDEX(Fit_Matrix!$B:$B,MATCH(P2833,Fit_Matrix!$A:$A,0)))),"CHECK KEY"))</f>
        <v/>
      </c>
      <c r="U2833" s="10" t="n"/>
      <c r="V2833" s="10" t="n"/>
      <c r="W2833" s="10" t="n"/>
      <c r="X2833" s="10" t="n"/>
      <c r="Y2833" s="10" t="n"/>
      <c r="Z2833" s="10" t="n"/>
      <c r="AA2833" s="11">
        <f>IF(A2833="","",IF(AND(J2833="P4",F2833="causal"),"P4-CAUSAL",""))</f>
        <v/>
      </c>
    </row>
    <row r="2834" ht="15" customHeight="1" s="1">
      <c r="P2834">
        <f>IF(OR(F2834="",H2834="",J2834=""),"",J2834&amp;"|"&amp;F2834&amp;"|"&amp;IF(H2834="W3","W3_"&amp;IF(I2834="","unknown",I2834),H2834))</f>
        <v/>
      </c>
      <c r="Q2834">
        <f>IF(P2834="","",IFERROR(IF(AND(H2834="W7",OR(F2834="causal",F2834="predictive")),IF(AND(OR(K2834=1,K2834="1"),OR(L2834=1,L2834="1"),OR(M2834=1,M2834="1")),"adequate","partial"),IF(AND(H2834="W4",F2834="predictive",OR(J2834="P2",J2834="P3",J2834="P4")),IF(OR(U2834=1,U2834="1"),"adequate","partial"),INDEX(Fit_Matrix!$B:$B,MATCH(P2834,Fit_Matrix!$A:$A,0)))),"CHECK KEY"))</f>
        <v/>
      </c>
      <c r="U2834" s="10" t="n"/>
      <c r="V2834" s="10" t="n"/>
      <c r="W2834" s="10" t="n"/>
      <c r="X2834" s="10" t="n"/>
      <c r="Y2834" s="10" t="n"/>
      <c r="Z2834" s="10" t="n"/>
      <c r="AA2834" s="11">
        <f>IF(A2834="","",IF(AND(J2834="P4",F2834="causal"),"P4-CAUSAL",""))</f>
        <v/>
      </c>
    </row>
    <row r="2835" ht="15" customHeight="1" s="1">
      <c r="P2835">
        <f>IF(OR(F2835="",H2835="",J2835=""),"",J2835&amp;"|"&amp;F2835&amp;"|"&amp;IF(H2835="W3","W3_"&amp;IF(I2835="","unknown",I2835),H2835))</f>
        <v/>
      </c>
      <c r="Q2835">
        <f>IF(P2835="","",IFERROR(IF(AND(H2835="W7",OR(F2835="causal",F2835="predictive")),IF(AND(OR(K2835=1,K2835="1"),OR(L2835=1,L2835="1"),OR(M2835=1,M2835="1")),"adequate","partial"),IF(AND(H2835="W4",F2835="predictive",OR(J2835="P2",J2835="P3",J2835="P4")),IF(OR(U2835=1,U2835="1"),"adequate","partial"),INDEX(Fit_Matrix!$B:$B,MATCH(P2835,Fit_Matrix!$A:$A,0)))),"CHECK KEY"))</f>
        <v/>
      </c>
      <c r="U2835" s="10" t="n"/>
      <c r="V2835" s="10" t="n"/>
      <c r="W2835" s="10" t="n"/>
      <c r="X2835" s="10" t="n"/>
      <c r="Y2835" s="10" t="n"/>
      <c r="Z2835" s="10" t="n"/>
      <c r="AA2835" s="11">
        <f>IF(A2835="","",IF(AND(J2835="P4",F2835="causal"),"P4-CAUSAL",""))</f>
        <v/>
      </c>
    </row>
    <row r="2836" ht="15" customHeight="1" s="1">
      <c r="P2836">
        <f>IF(OR(F2836="",H2836="",J2836=""),"",J2836&amp;"|"&amp;F2836&amp;"|"&amp;IF(H2836="W3","W3_"&amp;IF(I2836="","unknown",I2836),H2836))</f>
        <v/>
      </c>
      <c r="Q2836">
        <f>IF(P2836="","",IFERROR(IF(AND(H2836="W7",OR(F2836="causal",F2836="predictive")),IF(AND(OR(K2836=1,K2836="1"),OR(L2836=1,L2836="1"),OR(M2836=1,M2836="1")),"adequate","partial"),IF(AND(H2836="W4",F2836="predictive",OR(J2836="P2",J2836="P3",J2836="P4")),IF(OR(U2836=1,U2836="1"),"adequate","partial"),INDEX(Fit_Matrix!$B:$B,MATCH(P2836,Fit_Matrix!$A:$A,0)))),"CHECK KEY"))</f>
        <v/>
      </c>
      <c r="U2836" s="10" t="n"/>
      <c r="V2836" s="10" t="n"/>
      <c r="W2836" s="10" t="n"/>
      <c r="X2836" s="10" t="n"/>
      <c r="Y2836" s="10" t="n"/>
      <c r="Z2836" s="10" t="n"/>
      <c r="AA2836" s="11">
        <f>IF(A2836="","",IF(AND(J2836="P4",F2836="causal"),"P4-CAUSAL",""))</f>
        <v/>
      </c>
    </row>
    <row r="2837" ht="15" customHeight="1" s="1">
      <c r="P2837">
        <f>IF(OR(F2837="",H2837="",J2837=""),"",J2837&amp;"|"&amp;F2837&amp;"|"&amp;IF(H2837="W3","W3_"&amp;IF(I2837="","unknown",I2837),H2837))</f>
        <v/>
      </c>
      <c r="Q2837">
        <f>IF(P2837="","",IFERROR(IF(AND(H2837="W7",OR(F2837="causal",F2837="predictive")),IF(AND(OR(K2837=1,K2837="1"),OR(L2837=1,L2837="1"),OR(M2837=1,M2837="1")),"adequate","partial"),IF(AND(H2837="W4",F2837="predictive",OR(J2837="P2",J2837="P3",J2837="P4")),IF(OR(U2837=1,U2837="1"),"adequate","partial"),INDEX(Fit_Matrix!$B:$B,MATCH(P2837,Fit_Matrix!$A:$A,0)))),"CHECK KEY"))</f>
        <v/>
      </c>
      <c r="U2837" s="10" t="n"/>
      <c r="V2837" s="10" t="n"/>
      <c r="W2837" s="10" t="n"/>
      <c r="X2837" s="10" t="n"/>
      <c r="Y2837" s="10" t="n"/>
      <c r="Z2837" s="10" t="n"/>
      <c r="AA2837" s="11">
        <f>IF(A2837="","",IF(AND(J2837="P4",F2837="causal"),"P4-CAUSAL",""))</f>
        <v/>
      </c>
    </row>
    <row r="2838" ht="15" customHeight="1" s="1">
      <c r="P2838">
        <f>IF(OR(F2838="",H2838="",J2838=""),"",J2838&amp;"|"&amp;F2838&amp;"|"&amp;IF(H2838="W3","W3_"&amp;IF(I2838="","unknown",I2838),H2838))</f>
        <v/>
      </c>
      <c r="Q2838">
        <f>IF(P2838="","",IFERROR(IF(AND(H2838="W7",OR(F2838="causal",F2838="predictive")),IF(AND(OR(K2838=1,K2838="1"),OR(L2838=1,L2838="1"),OR(M2838=1,M2838="1")),"adequate","partial"),IF(AND(H2838="W4",F2838="predictive",OR(J2838="P2",J2838="P3",J2838="P4")),IF(OR(U2838=1,U2838="1"),"adequate","partial"),INDEX(Fit_Matrix!$B:$B,MATCH(P2838,Fit_Matrix!$A:$A,0)))),"CHECK KEY"))</f>
        <v/>
      </c>
      <c r="U2838" s="10" t="n"/>
      <c r="V2838" s="10" t="n"/>
      <c r="W2838" s="10" t="n"/>
      <c r="X2838" s="10" t="n"/>
      <c r="Y2838" s="10" t="n"/>
      <c r="Z2838" s="10" t="n"/>
      <c r="AA2838" s="11">
        <f>IF(A2838="","",IF(AND(J2838="P4",F2838="causal"),"P4-CAUSAL",""))</f>
        <v/>
      </c>
    </row>
    <row r="2839" ht="15" customHeight="1" s="1">
      <c r="P2839">
        <f>IF(OR(F2839="",H2839="",J2839=""),"",J2839&amp;"|"&amp;F2839&amp;"|"&amp;IF(H2839="W3","W3_"&amp;IF(I2839="","unknown",I2839),H2839))</f>
        <v/>
      </c>
      <c r="Q2839">
        <f>IF(P2839="","",IFERROR(IF(AND(H2839="W7",OR(F2839="causal",F2839="predictive")),IF(AND(OR(K2839=1,K2839="1"),OR(L2839=1,L2839="1"),OR(M2839=1,M2839="1")),"adequate","partial"),IF(AND(H2839="W4",F2839="predictive",OR(J2839="P2",J2839="P3",J2839="P4")),IF(OR(U2839=1,U2839="1"),"adequate","partial"),INDEX(Fit_Matrix!$B:$B,MATCH(P2839,Fit_Matrix!$A:$A,0)))),"CHECK KEY"))</f>
        <v/>
      </c>
      <c r="U2839" s="10" t="n"/>
      <c r="V2839" s="10" t="n"/>
      <c r="W2839" s="10" t="n"/>
      <c r="X2839" s="10" t="n"/>
      <c r="Y2839" s="10" t="n"/>
      <c r="Z2839" s="10" t="n"/>
      <c r="AA2839" s="11">
        <f>IF(A2839="","",IF(AND(J2839="P4",F2839="causal"),"P4-CAUSAL",""))</f>
        <v/>
      </c>
    </row>
    <row r="2840" ht="15" customHeight="1" s="1">
      <c r="P2840">
        <f>IF(OR(F2840="",H2840="",J2840=""),"",J2840&amp;"|"&amp;F2840&amp;"|"&amp;IF(H2840="W3","W3_"&amp;IF(I2840="","unknown",I2840),H2840))</f>
        <v/>
      </c>
      <c r="Q2840">
        <f>IF(P2840="","",IFERROR(IF(AND(H2840="W7",OR(F2840="causal",F2840="predictive")),IF(AND(OR(K2840=1,K2840="1"),OR(L2840=1,L2840="1"),OR(M2840=1,M2840="1")),"adequate","partial"),IF(AND(H2840="W4",F2840="predictive",OR(J2840="P2",J2840="P3",J2840="P4")),IF(OR(U2840=1,U2840="1"),"adequate","partial"),INDEX(Fit_Matrix!$B:$B,MATCH(P2840,Fit_Matrix!$A:$A,0)))),"CHECK KEY"))</f>
        <v/>
      </c>
      <c r="U2840" s="10" t="n"/>
      <c r="V2840" s="10" t="n"/>
      <c r="W2840" s="10" t="n"/>
      <c r="X2840" s="10" t="n"/>
      <c r="Y2840" s="10" t="n"/>
      <c r="Z2840" s="10" t="n"/>
      <c r="AA2840" s="11">
        <f>IF(A2840="","",IF(AND(J2840="P4",F2840="causal"),"P4-CAUSAL",""))</f>
        <v/>
      </c>
    </row>
    <row r="2841" ht="15" customHeight="1" s="1">
      <c r="P2841">
        <f>IF(OR(F2841="",H2841="",J2841=""),"",J2841&amp;"|"&amp;F2841&amp;"|"&amp;IF(H2841="W3","W3_"&amp;IF(I2841="","unknown",I2841),H2841))</f>
        <v/>
      </c>
      <c r="Q2841">
        <f>IF(P2841="","",IFERROR(IF(AND(H2841="W7",OR(F2841="causal",F2841="predictive")),IF(AND(OR(K2841=1,K2841="1"),OR(L2841=1,L2841="1"),OR(M2841=1,M2841="1")),"adequate","partial"),IF(AND(H2841="W4",F2841="predictive",OR(J2841="P2",J2841="P3",J2841="P4")),IF(OR(U2841=1,U2841="1"),"adequate","partial"),INDEX(Fit_Matrix!$B:$B,MATCH(P2841,Fit_Matrix!$A:$A,0)))),"CHECK KEY"))</f>
        <v/>
      </c>
      <c r="U2841" s="10" t="n"/>
      <c r="V2841" s="10" t="n"/>
      <c r="W2841" s="10" t="n"/>
      <c r="X2841" s="10" t="n"/>
      <c r="Y2841" s="10" t="n"/>
      <c r="Z2841" s="10" t="n"/>
      <c r="AA2841" s="11">
        <f>IF(A2841="","",IF(AND(J2841="P4",F2841="causal"),"P4-CAUSAL",""))</f>
        <v/>
      </c>
    </row>
    <row r="2842" ht="15" customHeight="1" s="1">
      <c r="P2842">
        <f>IF(OR(F2842="",H2842="",J2842=""),"",J2842&amp;"|"&amp;F2842&amp;"|"&amp;IF(H2842="W3","W3_"&amp;IF(I2842="","unknown",I2842),H2842))</f>
        <v/>
      </c>
      <c r="Q2842">
        <f>IF(P2842="","",IFERROR(IF(AND(H2842="W7",OR(F2842="causal",F2842="predictive")),IF(AND(OR(K2842=1,K2842="1"),OR(L2842=1,L2842="1"),OR(M2842=1,M2842="1")),"adequate","partial"),IF(AND(H2842="W4",F2842="predictive",OR(J2842="P2",J2842="P3",J2842="P4")),IF(OR(U2842=1,U2842="1"),"adequate","partial"),INDEX(Fit_Matrix!$B:$B,MATCH(P2842,Fit_Matrix!$A:$A,0)))),"CHECK KEY"))</f>
        <v/>
      </c>
      <c r="U2842" s="10" t="n"/>
      <c r="V2842" s="10" t="n"/>
      <c r="W2842" s="10" t="n"/>
      <c r="X2842" s="10" t="n"/>
      <c r="Y2842" s="10" t="n"/>
      <c r="Z2842" s="10" t="n"/>
      <c r="AA2842" s="11">
        <f>IF(A2842="","",IF(AND(J2842="P4",F2842="causal"),"P4-CAUSAL",""))</f>
        <v/>
      </c>
    </row>
    <row r="2843" ht="15" customHeight="1" s="1">
      <c r="P2843">
        <f>IF(OR(F2843="",H2843="",J2843=""),"",J2843&amp;"|"&amp;F2843&amp;"|"&amp;IF(H2843="W3","W3_"&amp;IF(I2843="","unknown",I2843),H2843))</f>
        <v/>
      </c>
      <c r="Q2843">
        <f>IF(P2843="","",IFERROR(IF(AND(H2843="W7",OR(F2843="causal",F2843="predictive")),IF(AND(OR(K2843=1,K2843="1"),OR(L2843=1,L2843="1"),OR(M2843=1,M2843="1")),"adequate","partial"),IF(AND(H2843="W4",F2843="predictive",OR(J2843="P2",J2843="P3",J2843="P4")),IF(OR(U2843=1,U2843="1"),"adequate","partial"),INDEX(Fit_Matrix!$B:$B,MATCH(P2843,Fit_Matrix!$A:$A,0)))),"CHECK KEY"))</f>
        <v/>
      </c>
      <c r="U2843" s="10" t="n"/>
      <c r="V2843" s="10" t="n"/>
      <c r="W2843" s="10" t="n"/>
      <c r="X2843" s="10" t="n"/>
      <c r="Y2843" s="10" t="n"/>
      <c r="Z2843" s="10" t="n"/>
      <c r="AA2843" s="11">
        <f>IF(A2843="","",IF(AND(J2843="P4",F2843="causal"),"P4-CAUSAL",""))</f>
        <v/>
      </c>
    </row>
    <row r="2844" ht="15" customHeight="1" s="1">
      <c r="P2844">
        <f>IF(OR(F2844="",H2844="",J2844=""),"",J2844&amp;"|"&amp;F2844&amp;"|"&amp;IF(H2844="W3","W3_"&amp;IF(I2844="","unknown",I2844),H2844))</f>
        <v/>
      </c>
      <c r="Q2844">
        <f>IF(P2844="","",IFERROR(IF(AND(H2844="W7",OR(F2844="causal",F2844="predictive")),IF(AND(OR(K2844=1,K2844="1"),OR(L2844=1,L2844="1"),OR(M2844=1,M2844="1")),"adequate","partial"),IF(AND(H2844="W4",F2844="predictive",OR(J2844="P2",J2844="P3",J2844="P4")),IF(OR(U2844=1,U2844="1"),"adequate","partial"),INDEX(Fit_Matrix!$B:$B,MATCH(P2844,Fit_Matrix!$A:$A,0)))),"CHECK KEY"))</f>
        <v/>
      </c>
      <c r="U2844" s="10" t="n"/>
      <c r="V2844" s="10" t="n"/>
      <c r="W2844" s="10" t="n"/>
      <c r="X2844" s="10" t="n"/>
      <c r="Y2844" s="10" t="n"/>
      <c r="Z2844" s="10" t="n"/>
      <c r="AA2844" s="11">
        <f>IF(A2844="","",IF(AND(J2844="P4",F2844="causal"),"P4-CAUSAL",""))</f>
        <v/>
      </c>
    </row>
    <row r="2845" ht="15" customHeight="1" s="1">
      <c r="P2845">
        <f>IF(OR(F2845="",H2845="",J2845=""),"",J2845&amp;"|"&amp;F2845&amp;"|"&amp;IF(H2845="W3","W3_"&amp;IF(I2845="","unknown",I2845),H2845))</f>
        <v/>
      </c>
      <c r="Q2845">
        <f>IF(P2845="","",IFERROR(IF(AND(H2845="W7",OR(F2845="causal",F2845="predictive")),IF(AND(OR(K2845=1,K2845="1"),OR(L2845=1,L2845="1"),OR(M2845=1,M2845="1")),"adequate","partial"),IF(AND(H2845="W4",F2845="predictive",OR(J2845="P2",J2845="P3",J2845="P4")),IF(OR(U2845=1,U2845="1"),"adequate","partial"),INDEX(Fit_Matrix!$B:$B,MATCH(P2845,Fit_Matrix!$A:$A,0)))),"CHECK KEY"))</f>
        <v/>
      </c>
      <c r="U2845" s="10" t="n"/>
      <c r="V2845" s="10" t="n"/>
      <c r="W2845" s="10" t="n"/>
      <c r="X2845" s="10" t="n"/>
      <c r="Y2845" s="10" t="n"/>
      <c r="Z2845" s="10" t="n"/>
      <c r="AA2845" s="11">
        <f>IF(A2845="","",IF(AND(J2845="P4",F2845="causal"),"P4-CAUSAL",""))</f>
        <v/>
      </c>
    </row>
    <row r="2846" ht="15" customHeight="1" s="1">
      <c r="P2846">
        <f>IF(OR(F2846="",H2846="",J2846=""),"",J2846&amp;"|"&amp;F2846&amp;"|"&amp;IF(H2846="W3","W3_"&amp;IF(I2846="","unknown",I2846),H2846))</f>
        <v/>
      </c>
      <c r="Q2846">
        <f>IF(P2846="","",IFERROR(IF(AND(H2846="W7",OR(F2846="causal",F2846="predictive")),IF(AND(OR(K2846=1,K2846="1"),OR(L2846=1,L2846="1"),OR(M2846=1,M2846="1")),"adequate","partial"),IF(AND(H2846="W4",F2846="predictive",OR(J2846="P2",J2846="P3",J2846="P4")),IF(OR(U2846=1,U2846="1"),"adequate","partial"),INDEX(Fit_Matrix!$B:$B,MATCH(P2846,Fit_Matrix!$A:$A,0)))),"CHECK KEY"))</f>
        <v/>
      </c>
      <c r="U2846" s="10" t="n"/>
      <c r="V2846" s="10" t="n"/>
      <c r="W2846" s="10" t="n"/>
      <c r="X2846" s="10" t="n"/>
      <c r="Y2846" s="10" t="n"/>
      <c r="Z2846" s="10" t="n"/>
      <c r="AA2846" s="11">
        <f>IF(A2846="","",IF(AND(J2846="P4",F2846="causal"),"P4-CAUSAL",""))</f>
        <v/>
      </c>
    </row>
    <row r="2847" ht="15" customHeight="1" s="1">
      <c r="P2847">
        <f>IF(OR(F2847="",H2847="",J2847=""),"",J2847&amp;"|"&amp;F2847&amp;"|"&amp;IF(H2847="W3","W3_"&amp;IF(I2847="","unknown",I2847),H2847))</f>
        <v/>
      </c>
      <c r="Q2847">
        <f>IF(P2847="","",IFERROR(IF(AND(H2847="W7",OR(F2847="causal",F2847="predictive")),IF(AND(OR(K2847=1,K2847="1"),OR(L2847=1,L2847="1"),OR(M2847=1,M2847="1")),"adequate","partial"),IF(AND(H2847="W4",F2847="predictive",OR(J2847="P2",J2847="P3",J2847="P4")),IF(OR(U2847=1,U2847="1"),"adequate","partial"),INDEX(Fit_Matrix!$B:$B,MATCH(P2847,Fit_Matrix!$A:$A,0)))),"CHECK KEY"))</f>
        <v/>
      </c>
      <c r="U2847" s="10" t="n"/>
      <c r="V2847" s="10" t="n"/>
      <c r="W2847" s="10" t="n"/>
      <c r="X2847" s="10" t="n"/>
      <c r="Y2847" s="10" t="n"/>
      <c r="Z2847" s="10" t="n"/>
      <c r="AA2847" s="11">
        <f>IF(A2847="","",IF(AND(J2847="P4",F2847="causal"),"P4-CAUSAL",""))</f>
        <v/>
      </c>
    </row>
    <row r="2848" ht="15" customHeight="1" s="1">
      <c r="P2848">
        <f>IF(OR(F2848="",H2848="",J2848=""),"",J2848&amp;"|"&amp;F2848&amp;"|"&amp;IF(H2848="W3","W3_"&amp;IF(I2848="","unknown",I2848),H2848))</f>
        <v/>
      </c>
      <c r="Q2848">
        <f>IF(P2848="","",IFERROR(IF(AND(H2848="W7",OR(F2848="causal",F2848="predictive")),IF(AND(OR(K2848=1,K2848="1"),OR(L2848=1,L2848="1"),OR(M2848=1,M2848="1")),"adequate","partial"),IF(AND(H2848="W4",F2848="predictive",OR(J2848="P2",J2848="P3",J2848="P4")),IF(OR(U2848=1,U2848="1"),"adequate","partial"),INDEX(Fit_Matrix!$B:$B,MATCH(P2848,Fit_Matrix!$A:$A,0)))),"CHECK KEY"))</f>
        <v/>
      </c>
      <c r="U2848" s="10" t="n"/>
      <c r="V2848" s="10" t="n"/>
      <c r="W2848" s="10" t="n"/>
      <c r="X2848" s="10" t="n"/>
      <c r="Y2848" s="10" t="n"/>
      <c r="Z2848" s="10" t="n"/>
      <c r="AA2848" s="11">
        <f>IF(A2848="","",IF(AND(J2848="P4",F2848="causal"),"P4-CAUSAL",""))</f>
        <v/>
      </c>
    </row>
    <row r="2849" ht="15" customHeight="1" s="1">
      <c r="P2849">
        <f>IF(OR(F2849="",H2849="",J2849=""),"",J2849&amp;"|"&amp;F2849&amp;"|"&amp;IF(H2849="W3","W3_"&amp;IF(I2849="","unknown",I2849),H2849))</f>
        <v/>
      </c>
      <c r="Q2849">
        <f>IF(P2849="","",IFERROR(IF(AND(H2849="W7",OR(F2849="causal",F2849="predictive")),IF(AND(OR(K2849=1,K2849="1"),OR(L2849=1,L2849="1"),OR(M2849=1,M2849="1")),"adequate","partial"),IF(AND(H2849="W4",F2849="predictive",OR(J2849="P2",J2849="P3",J2849="P4")),IF(OR(U2849=1,U2849="1"),"adequate","partial"),INDEX(Fit_Matrix!$B:$B,MATCH(P2849,Fit_Matrix!$A:$A,0)))),"CHECK KEY"))</f>
        <v/>
      </c>
      <c r="U2849" s="10" t="n"/>
      <c r="V2849" s="10" t="n"/>
      <c r="W2849" s="10" t="n"/>
      <c r="X2849" s="10" t="n"/>
      <c r="Y2849" s="10" t="n"/>
      <c r="Z2849" s="10" t="n"/>
      <c r="AA2849" s="11">
        <f>IF(A2849="","",IF(AND(J2849="P4",F2849="causal"),"P4-CAUSAL",""))</f>
        <v/>
      </c>
    </row>
    <row r="2850" ht="15" customHeight="1" s="1">
      <c r="P2850">
        <f>IF(OR(F2850="",H2850="",J2850=""),"",J2850&amp;"|"&amp;F2850&amp;"|"&amp;IF(H2850="W3","W3_"&amp;IF(I2850="","unknown",I2850),H2850))</f>
        <v/>
      </c>
      <c r="Q2850">
        <f>IF(P2850="","",IFERROR(IF(AND(H2850="W7",OR(F2850="causal",F2850="predictive")),IF(AND(OR(K2850=1,K2850="1"),OR(L2850=1,L2850="1"),OR(M2850=1,M2850="1")),"adequate","partial"),IF(AND(H2850="W4",F2850="predictive",OR(J2850="P2",J2850="P3",J2850="P4")),IF(OR(U2850=1,U2850="1"),"adequate","partial"),INDEX(Fit_Matrix!$B:$B,MATCH(P2850,Fit_Matrix!$A:$A,0)))),"CHECK KEY"))</f>
        <v/>
      </c>
      <c r="U2850" s="10" t="n"/>
      <c r="V2850" s="10" t="n"/>
      <c r="W2850" s="10" t="n"/>
      <c r="X2850" s="10" t="n"/>
      <c r="Y2850" s="10" t="n"/>
      <c r="Z2850" s="10" t="n"/>
      <c r="AA2850" s="11">
        <f>IF(A2850="","",IF(AND(J2850="P4",F2850="causal"),"P4-CAUSAL",""))</f>
        <v/>
      </c>
    </row>
    <row r="2851" ht="15" customHeight="1" s="1">
      <c r="P2851">
        <f>IF(OR(F2851="",H2851="",J2851=""),"",J2851&amp;"|"&amp;F2851&amp;"|"&amp;IF(H2851="W3","W3_"&amp;IF(I2851="","unknown",I2851),H2851))</f>
        <v/>
      </c>
      <c r="Q2851">
        <f>IF(P2851="","",IFERROR(IF(AND(H2851="W7",OR(F2851="causal",F2851="predictive")),IF(AND(OR(K2851=1,K2851="1"),OR(L2851=1,L2851="1"),OR(M2851=1,M2851="1")),"adequate","partial"),IF(AND(H2851="W4",F2851="predictive",OR(J2851="P2",J2851="P3",J2851="P4")),IF(OR(U2851=1,U2851="1"),"adequate","partial"),INDEX(Fit_Matrix!$B:$B,MATCH(P2851,Fit_Matrix!$A:$A,0)))),"CHECK KEY"))</f>
        <v/>
      </c>
      <c r="U2851" s="10" t="n"/>
      <c r="V2851" s="10" t="n"/>
      <c r="W2851" s="10" t="n"/>
      <c r="X2851" s="10" t="n"/>
      <c r="Y2851" s="10" t="n"/>
      <c r="Z2851" s="10" t="n"/>
      <c r="AA2851" s="11">
        <f>IF(A2851="","",IF(AND(J2851="P4",F2851="causal"),"P4-CAUSAL",""))</f>
        <v/>
      </c>
    </row>
    <row r="2852" ht="15" customHeight="1" s="1">
      <c r="P2852">
        <f>IF(OR(F2852="",H2852="",J2852=""),"",J2852&amp;"|"&amp;F2852&amp;"|"&amp;IF(H2852="W3","W3_"&amp;IF(I2852="","unknown",I2852),H2852))</f>
        <v/>
      </c>
      <c r="Q2852">
        <f>IF(P2852="","",IFERROR(IF(AND(H2852="W7",OR(F2852="causal",F2852="predictive")),IF(AND(OR(K2852=1,K2852="1"),OR(L2852=1,L2852="1"),OR(M2852=1,M2852="1")),"adequate","partial"),IF(AND(H2852="W4",F2852="predictive",OR(J2852="P2",J2852="P3",J2852="P4")),IF(OR(U2852=1,U2852="1"),"adequate","partial"),INDEX(Fit_Matrix!$B:$B,MATCH(P2852,Fit_Matrix!$A:$A,0)))),"CHECK KEY"))</f>
        <v/>
      </c>
      <c r="U2852" s="10" t="n"/>
      <c r="V2852" s="10" t="n"/>
      <c r="W2852" s="10" t="n"/>
      <c r="X2852" s="10" t="n"/>
      <c r="Y2852" s="10" t="n"/>
      <c r="Z2852" s="10" t="n"/>
      <c r="AA2852" s="11">
        <f>IF(A2852="","",IF(AND(J2852="P4",F2852="causal"),"P4-CAUSAL",""))</f>
        <v/>
      </c>
    </row>
    <row r="2853" ht="15" customHeight="1" s="1">
      <c r="P2853">
        <f>IF(OR(F2853="",H2853="",J2853=""),"",J2853&amp;"|"&amp;F2853&amp;"|"&amp;IF(H2853="W3","W3_"&amp;IF(I2853="","unknown",I2853),H2853))</f>
        <v/>
      </c>
      <c r="Q2853">
        <f>IF(P2853="","",IFERROR(IF(AND(H2853="W7",OR(F2853="causal",F2853="predictive")),IF(AND(OR(K2853=1,K2853="1"),OR(L2853=1,L2853="1"),OR(M2853=1,M2853="1")),"adequate","partial"),IF(AND(H2853="W4",F2853="predictive",OR(J2853="P2",J2853="P3",J2853="P4")),IF(OR(U2853=1,U2853="1"),"adequate","partial"),INDEX(Fit_Matrix!$B:$B,MATCH(P2853,Fit_Matrix!$A:$A,0)))),"CHECK KEY"))</f>
        <v/>
      </c>
      <c r="U2853" s="10" t="n"/>
      <c r="V2853" s="10" t="n"/>
      <c r="W2853" s="10" t="n"/>
      <c r="X2853" s="10" t="n"/>
      <c r="Y2853" s="10" t="n"/>
      <c r="Z2853" s="10" t="n"/>
      <c r="AA2853" s="11">
        <f>IF(A2853="","",IF(AND(J2853="P4",F2853="causal"),"P4-CAUSAL",""))</f>
        <v/>
      </c>
    </row>
    <row r="2854" ht="15" customHeight="1" s="1">
      <c r="P2854">
        <f>IF(OR(F2854="",H2854="",J2854=""),"",J2854&amp;"|"&amp;F2854&amp;"|"&amp;IF(H2854="W3","W3_"&amp;IF(I2854="","unknown",I2854),H2854))</f>
        <v/>
      </c>
      <c r="Q2854">
        <f>IF(P2854="","",IFERROR(IF(AND(H2854="W7",OR(F2854="causal",F2854="predictive")),IF(AND(OR(K2854=1,K2854="1"),OR(L2854=1,L2854="1"),OR(M2854=1,M2854="1")),"adequate","partial"),IF(AND(H2854="W4",F2854="predictive",OR(J2854="P2",J2854="P3",J2854="P4")),IF(OR(U2854=1,U2854="1"),"adequate","partial"),INDEX(Fit_Matrix!$B:$B,MATCH(P2854,Fit_Matrix!$A:$A,0)))),"CHECK KEY"))</f>
        <v/>
      </c>
      <c r="U2854" s="10" t="n"/>
      <c r="V2854" s="10" t="n"/>
      <c r="W2854" s="10" t="n"/>
      <c r="X2854" s="10" t="n"/>
      <c r="Y2854" s="10" t="n"/>
      <c r="Z2854" s="10" t="n"/>
      <c r="AA2854" s="11">
        <f>IF(A2854="","",IF(AND(J2854="P4",F2854="causal"),"P4-CAUSAL",""))</f>
        <v/>
      </c>
    </row>
    <row r="2855" ht="15" customHeight="1" s="1">
      <c r="P2855">
        <f>IF(OR(F2855="",H2855="",J2855=""),"",J2855&amp;"|"&amp;F2855&amp;"|"&amp;IF(H2855="W3","W3_"&amp;IF(I2855="","unknown",I2855),H2855))</f>
        <v/>
      </c>
      <c r="Q2855">
        <f>IF(P2855="","",IFERROR(IF(AND(H2855="W7",OR(F2855="causal",F2855="predictive")),IF(AND(OR(K2855=1,K2855="1"),OR(L2855=1,L2855="1"),OR(M2855=1,M2855="1")),"adequate","partial"),IF(AND(H2855="W4",F2855="predictive",OR(J2855="P2",J2855="P3",J2855="P4")),IF(OR(U2855=1,U2855="1"),"adequate","partial"),INDEX(Fit_Matrix!$B:$B,MATCH(P2855,Fit_Matrix!$A:$A,0)))),"CHECK KEY"))</f>
        <v/>
      </c>
      <c r="U2855" s="10" t="n"/>
      <c r="V2855" s="10" t="n"/>
      <c r="W2855" s="10" t="n"/>
      <c r="X2855" s="10" t="n"/>
      <c r="Y2855" s="10" t="n"/>
      <c r="Z2855" s="10" t="n"/>
      <c r="AA2855" s="11">
        <f>IF(A2855="","",IF(AND(J2855="P4",F2855="causal"),"P4-CAUSAL",""))</f>
        <v/>
      </c>
    </row>
    <row r="2856" ht="15" customHeight="1" s="1">
      <c r="P2856">
        <f>IF(OR(F2856="",H2856="",J2856=""),"",J2856&amp;"|"&amp;F2856&amp;"|"&amp;IF(H2856="W3","W3_"&amp;IF(I2856="","unknown",I2856),H2856))</f>
        <v/>
      </c>
      <c r="Q2856">
        <f>IF(P2856="","",IFERROR(IF(AND(H2856="W7",OR(F2856="causal",F2856="predictive")),IF(AND(OR(K2856=1,K2856="1"),OR(L2856=1,L2856="1"),OR(M2856=1,M2856="1")),"adequate","partial"),IF(AND(H2856="W4",F2856="predictive",OR(J2856="P2",J2856="P3",J2856="P4")),IF(OR(U2856=1,U2856="1"),"adequate","partial"),INDEX(Fit_Matrix!$B:$B,MATCH(P2856,Fit_Matrix!$A:$A,0)))),"CHECK KEY"))</f>
        <v/>
      </c>
      <c r="U2856" s="10" t="n"/>
      <c r="V2856" s="10" t="n"/>
      <c r="W2856" s="10" t="n"/>
      <c r="X2856" s="10" t="n"/>
      <c r="Y2856" s="10" t="n"/>
      <c r="Z2856" s="10" t="n"/>
      <c r="AA2856" s="11">
        <f>IF(A2856="","",IF(AND(J2856="P4",F2856="causal"),"P4-CAUSAL",""))</f>
        <v/>
      </c>
    </row>
    <row r="2857" ht="15" customHeight="1" s="1">
      <c r="P2857">
        <f>IF(OR(F2857="",H2857="",J2857=""),"",J2857&amp;"|"&amp;F2857&amp;"|"&amp;IF(H2857="W3","W3_"&amp;IF(I2857="","unknown",I2857),H2857))</f>
        <v/>
      </c>
      <c r="Q2857">
        <f>IF(P2857="","",IFERROR(IF(AND(H2857="W7",OR(F2857="causal",F2857="predictive")),IF(AND(OR(K2857=1,K2857="1"),OR(L2857=1,L2857="1"),OR(M2857=1,M2857="1")),"adequate","partial"),IF(AND(H2857="W4",F2857="predictive",OR(J2857="P2",J2857="P3",J2857="P4")),IF(OR(U2857=1,U2857="1"),"adequate","partial"),INDEX(Fit_Matrix!$B:$B,MATCH(P2857,Fit_Matrix!$A:$A,0)))),"CHECK KEY"))</f>
        <v/>
      </c>
      <c r="U2857" s="10" t="n"/>
      <c r="V2857" s="10" t="n"/>
      <c r="W2857" s="10" t="n"/>
      <c r="X2857" s="10" t="n"/>
      <c r="Y2857" s="10" t="n"/>
      <c r="Z2857" s="10" t="n"/>
      <c r="AA2857" s="11">
        <f>IF(A2857="","",IF(AND(J2857="P4",F2857="causal"),"P4-CAUSAL",""))</f>
        <v/>
      </c>
    </row>
    <row r="2858" ht="15" customHeight="1" s="1">
      <c r="P2858">
        <f>IF(OR(F2858="",H2858="",J2858=""),"",J2858&amp;"|"&amp;F2858&amp;"|"&amp;IF(H2858="W3","W3_"&amp;IF(I2858="","unknown",I2858),H2858))</f>
        <v/>
      </c>
      <c r="Q2858">
        <f>IF(P2858="","",IFERROR(IF(AND(H2858="W7",OR(F2858="causal",F2858="predictive")),IF(AND(OR(K2858=1,K2858="1"),OR(L2858=1,L2858="1"),OR(M2858=1,M2858="1")),"adequate","partial"),IF(AND(H2858="W4",F2858="predictive",OR(J2858="P2",J2858="P3",J2858="P4")),IF(OR(U2858=1,U2858="1"),"adequate","partial"),INDEX(Fit_Matrix!$B:$B,MATCH(P2858,Fit_Matrix!$A:$A,0)))),"CHECK KEY"))</f>
        <v/>
      </c>
      <c r="U2858" s="10" t="n"/>
      <c r="V2858" s="10" t="n"/>
      <c r="W2858" s="10" t="n"/>
      <c r="X2858" s="10" t="n"/>
      <c r="Y2858" s="10" t="n"/>
      <c r="Z2858" s="10" t="n"/>
      <c r="AA2858" s="11">
        <f>IF(A2858="","",IF(AND(J2858="P4",F2858="causal"),"P4-CAUSAL",""))</f>
        <v/>
      </c>
    </row>
    <row r="2859" ht="15" customHeight="1" s="1">
      <c r="P2859">
        <f>IF(OR(F2859="",H2859="",J2859=""),"",J2859&amp;"|"&amp;F2859&amp;"|"&amp;IF(H2859="W3","W3_"&amp;IF(I2859="","unknown",I2859),H2859))</f>
        <v/>
      </c>
      <c r="Q2859">
        <f>IF(P2859="","",IFERROR(IF(AND(H2859="W7",OR(F2859="causal",F2859="predictive")),IF(AND(OR(K2859=1,K2859="1"),OR(L2859=1,L2859="1"),OR(M2859=1,M2859="1")),"adequate","partial"),IF(AND(H2859="W4",F2859="predictive",OR(J2859="P2",J2859="P3",J2859="P4")),IF(OR(U2859=1,U2859="1"),"adequate","partial"),INDEX(Fit_Matrix!$B:$B,MATCH(P2859,Fit_Matrix!$A:$A,0)))),"CHECK KEY"))</f>
        <v/>
      </c>
      <c r="U2859" s="10" t="n"/>
      <c r="V2859" s="10" t="n"/>
      <c r="W2859" s="10" t="n"/>
      <c r="X2859" s="10" t="n"/>
      <c r="Y2859" s="10" t="n"/>
      <c r="Z2859" s="10" t="n"/>
      <c r="AA2859" s="11">
        <f>IF(A2859="","",IF(AND(J2859="P4",F2859="causal"),"P4-CAUSAL",""))</f>
        <v/>
      </c>
    </row>
    <row r="2860" ht="15" customHeight="1" s="1">
      <c r="P2860">
        <f>IF(OR(F2860="",H2860="",J2860=""),"",J2860&amp;"|"&amp;F2860&amp;"|"&amp;IF(H2860="W3","W3_"&amp;IF(I2860="","unknown",I2860),H2860))</f>
        <v/>
      </c>
      <c r="Q2860">
        <f>IF(P2860="","",IFERROR(IF(AND(H2860="W7",OR(F2860="causal",F2860="predictive")),IF(AND(OR(K2860=1,K2860="1"),OR(L2860=1,L2860="1"),OR(M2860=1,M2860="1")),"adequate","partial"),IF(AND(H2860="W4",F2860="predictive",OR(J2860="P2",J2860="P3",J2860="P4")),IF(OR(U2860=1,U2860="1"),"adequate","partial"),INDEX(Fit_Matrix!$B:$B,MATCH(P2860,Fit_Matrix!$A:$A,0)))),"CHECK KEY"))</f>
        <v/>
      </c>
      <c r="U2860" s="10" t="n"/>
      <c r="V2860" s="10" t="n"/>
      <c r="W2860" s="10" t="n"/>
      <c r="X2860" s="10" t="n"/>
      <c r="Y2860" s="10" t="n"/>
      <c r="Z2860" s="10" t="n"/>
      <c r="AA2860" s="11">
        <f>IF(A2860="","",IF(AND(J2860="P4",F2860="causal"),"P4-CAUSAL",""))</f>
        <v/>
      </c>
    </row>
    <row r="2861" ht="15" customHeight="1" s="1">
      <c r="P2861">
        <f>IF(OR(F2861="",H2861="",J2861=""),"",J2861&amp;"|"&amp;F2861&amp;"|"&amp;IF(H2861="W3","W3_"&amp;IF(I2861="","unknown",I2861),H2861))</f>
        <v/>
      </c>
      <c r="Q2861">
        <f>IF(P2861="","",IFERROR(IF(AND(H2861="W7",OR(F2861="causal",F2861="predictive")),IF(AND(OR(K2861=1,K2861="1"),OR(L2861=1,L2861="1"),OR(M2861=1,M2861="1")),"adequate","partial"),IF(AND(H2861="W4",F2861="predictive",OR(J2861="P2",J2861="P3",J2861="P4")),IF(OR(U2861=1,U2861="1"),"adequate","partial"),INDEX(Fit_Matrix!$B:$B,MATCH(P2861,Fit_Matrix!$A:$A,0)))),"CHECK KEY"))</f>
        <v/>
      </c>
      <c r="U2861" s="10" t="n"/>
      <c r="V2861" s="10" t="n"/>
      <c r="W2861" s="10" t="n"/>
      <c r="X2861" s="10" t="n"/>
      <c r="Y2861" s="10" t="n"/>
      <c r="Z2861" s="10" t="n"/>
      <c r="AA2861" s="11">
        <f>IF(A2861="","",IF(AND(J2861="P4",F2861="causal"),"P4-CAUSAL",""))</f>
        <v/>
      </c>
    </row>
    <row r="2862" ht="15" customHeight="1" s="1">
      <c r="P2862">
        <f>IF(OR(F2862="",H2862="",J2862=""),"",J2862&amp;"|"&amp;F2862&amp;"|"&amp;IF(H2862="W3","W3_"&amp;IF(I2862="","unknown",I2862),H2862))</f>
        <v/>
      </c>
      <c r="Q2862">
        <f>IF(P2862="","",IFERROR(IF(AND(H2862="W7",OR(F2862="causal",F2862="predictive")),IF(AND(OR(K2862=1,K2862="1"),OR(L2862=1,L2862="1"),OR(M2862=1,M2862="1")),"adequate","partial"),IF(AND(H2862="W4",F2862="predictive",OR(J2862="P2",J2862="P3",J2862="P4")),IF(OR(U2862=1,U2862="1"),"adequate","partial"),INDEX(Fit_Matrix!$B:$B,MATCH(P2862,Fit_Matrix!$A:$A,0)))),"CHECK KEY"))</f>
        <v/>
      </c>
      <c r="U2862" s="10" t="n"/>
      <c r="V2862" s="10" t="n"/>
      <c r="W2862" s="10" t="n"/>
      <c r="X2862" s="10" t="n"/>
      <c r="Y2862" s="10" t="n"/>
      <c r="Z2862" s="10" t="n"/>
      <c r="AA2862" s="11">
        <f>IF(A2862="","",IF(AND(J2862="P4",F2862="causal"),"P4-CAUSAL",""))</f>
        <v/>
      </c>
    </row>
    <row r="2863" ht="15" customHeight="1" s="1">
      <c r="P2863">
        <f>IF(OR(F2863="",H2863="",J2863=""),"",J2863&amp;"|"&amp;F2863&amp;"|"&amp;IF(H2863="W3","W3_"&amp;IF(I2863="","unknown",I2863),H2863))</f>
        <v/>
      </c>
      <c r="Q2863">
        <f>IF(P2863="","",IFERROR(IF(AND(H2863="W7",OR(F2863="causal",F2863="predictive")),IF(AND(OR(K2863=1,K2863="1"),OR(L2863=1,L2863="1"),OR(M2863=1,M2863="1")),"adequate","partial"),IF(AND(H2863="W4",F2863="predictive",OR(J2863="P2",J2863="P3",J2863="P4")),IF(OR(U2863=1,U2863="1"),"adequate","partial"),INDEX(Fit_Matrix!$B:$B,MATCH(P2863,Fit_Matrix!$A:$A,0)))),"CHECK KEY"))</f>
        <v/>
      </c>
      <c r="U2863" s="10" t="n"/>
      <c r="V2863" s="10" t="n"/>
      <c r="W2863" s="10" t="n"/>
      <c r="X2863" s="10" t="n"/>
      <c r="Y2863" s="10" t="n"/>
      <c r="Z2863" s="10" t="n"/>
      <c r="AA2863" s="11">
        <f>IF(A2863="","",IF(AND(J2863="P4",F2863="causal"),"P4-CAUSAL",""))</f>
        <v/>
      </c>
    </row>
    <row r="2864" ht="15" customHeight="1" s="1">
      <c r="P2864">
        <f>IF(OR(F2864="",H2864="",J2864=""),"",J2864&amp;"|"&amp;F2864&amp;"|"&amp;IF(H2864="W3","W3_"&amp;IF(I2864="","unknown",I2864),H2864))</f>
        <v/>
      </c>
      <c r="Q2864">
        <f>IF(P2864="","",IFERROR(IF(AND(H2864="W7",OR(F2864="causal",F2864="predictive")),IF(AND(OR(K2864=1,K2864="1"),OR(L2864=1,L2864="1"),OR(M2864=1,M2864="1")),"adequate","partial"),IF(AND(H2864="W4",F2864="predictive",OR(J2864="P2",J2864="P3",J2864="P4")),IF(OR(U2864=1,U2864="1"),"adequate","partial"),INDEX(Fit_Matrix!$B:$B,MATCH(P2864,Fit_Matrix!$A:$A,0)))),"CHECK KEY"))</f>
        <v/>
      </c>
      <c r="U2864" s="10" t="n"/>
      <c r="V2864" s="10" t="n"/>
      <c r="W2864" s="10" t="n"/>
      <c r="X2864" s="10" t="n"/>
      <c r="Y2864" s="10" t="n"/>
      <c r="Z2864" s="10" t="n"/>
      <c r="AA2864" s="11">
        <f>IF(A2864="","",IF(AND(J2864="P4",F2864="causal"),"P4-CAUSAL",""))</f>
        <v/>
      </c>
    </row>
    <row r="2865" ht="15" customHeight="1" s="1">
      <c r="P2865">
        <f>IF(OR(F2865="",H2865="",J2865=""),"",J2865&amp;"|"&amp;F2865&amp;"|"&amp;IF(H2865="W3","W3_"&amp;IF(I2865="","unknown",I2865),H2865))</f>
        <v/>
      </c>
      <c r="Q2865">
        <f>IF(P2865="","",IFERROR(IF(AND(H2865="W7",OR(F2865="causal",F2865="predictive")),IF(AND(OR(K2865=1,K2865="1"),OR(L2865=1,L2865="1"),OR(M2865=1,M2865="1")),"adequate","partial"),IF(AND(H2865="W4",F2865="predictive",OR(J2865="P2",J2865="P3",J2865="P4")),IF(OR(U2865=1,U2865="1"),"adequate","partial"),INDEX(Fit_Matrix!$B:$B,MATCH(P2865,Fit_Matrix!$A:$A,0)))),"CHECK KEY"))</f>
        <v/>
      </c>
      <c r="U2865" s="10" t="n"/>
      <c r="V2865" s="10" t="n"/>
      <c r="W2865" s="10" t="n"/>
      <c r="X2865" s="10" t="n"/>
      <c r="Y2865" s="10" t="n"/>
      <c r="Z2865" s="10" t="n"/>
      <c r="AA2865" s="11">
        <f>IF(A2865="","",IF(AND(J2865="P4",F2865="causal"),"P4-CAUSAL",""))</f>
        <v/>
      </c>
    </row>
    <row r="2866" ht="15" customHeight="1" s="1">
      <c r="P2866">
        <f>IF(OR(F2866="",H2866="",J2866=""),"",J2866&amp;"|"&amp;F2866&amp;"|"&amp;IF(H2866="W3","W3_"&amp;IF(I2866="","unknown",I2866),H2866))</f>
        <v/>
      </c>
      <c r="Q2866">
        <f>IF(P2866="","",IFERROR(IF(AND(H2866="W7",OR(F2866="causal",F2866="predictive")),IF(AND(OR(K2866=1,K2866="1"),OR(L2866=1,L2866="1"),OR(M2866=1,M2866="1")),"adequate","partial"),IF(AND(H2866="W4",F2866="predictive",OR(J2866="P2",J2866="P3",J2866="P4")),IF(OR(U2866=1,U2866="1"),"adequate","partial"),INDEX(Fit_Matrix!$B:$B,MATCH(P2866,Fit_Matrix!$A:$A,0)))),"CHECK KEY"))</f>
        <v/>
      </c>
      <c r="U2866" s="10" t="n"/>
      <c r="V2866" s="10" t="n"/>
      <c r="W2866" s="10" t="n"/>
      <c r="X2866" s="10" t="n"/>
      <c r="Y2866" s="10" t="n"/>
      <c r="Z2866" s="10" t="n"/>
      <c r="AA2866" s="11">
        <f>IF(A2866="","",IF(AND(J2866="P4",F2866="causal"),"P4-CAUSAL",""))</f>
        <v/>
      </c>
    </row>
    <row r="2867" ht="15" customHeight="1" s="1">
      <c r="P2867">
        <f>IF(OR(F2867="",H2867="",J2867=""),"",J2867&amp;"|"&amp;F2867&amp;"|"&amp;IF(H2867="W3","W3_"&amp;IF(I2867="","unknown",I2867),H2867))</f>
        <v/>
      </c>
      <c r="Q2867">
        <f>IF(P2867="","",IFERROR(IF(AND(H2867="W7",OR(F2867="causal",F2867="predictive")),IF(AND(OR(K2867=1,K2867="1"),OR(L2867=1,L2867="1"),OR(M2867=1,M2867="1")),"adequate","partial"),IF(AND(H2867="W4",F2867="predictive",OR(J2867="P2",J2867="P3",J2867="P4")),IF(OR(U2867=1,U2867="1"),"adequate","partial"),INDEX(Fit_Matrix!$B:$B,MATCH(P2867,Fit_Matrix!$A:$A,0)))),"CHECK KEY"))</f>
        <v/>
      </c>
      <c r="U2867" s="10" t="n"/>
      <c r="V2867" s="10" t="n"/>
      <c r="W2867" s="10" t="n"/>
      <c r="X2867" s="10" t="n"/>
      <c r="Y2867" s="10" t="n"/>
      <c r="Z2867" s="10" t="n"/>
      <c r="AA2867" s="11">
        <f>IF(A2867="","",IF(AND(J2867="P4",F2867="causal"),"P4-CAUSAL",""))</f>
        <v/>
      </c>
    </row>
    <row r="2868" ht="15" customHeight="1" s="1">
      <c r="P2868">
        <f>IF(OR(F2868="",H2868="",J2868=""),"",J2868&amp;"|"&amp;F2868&amp;"|"&amp;IF(H2868="W3","W3_"&amp;IF(I2868="","unknown",I2868),H2868))</f>
        <v/>
      </c>
      <c r="Q2868">
        <f>IF(P2868="","",IFERROR(IF(AND(H2868="W7",OR(F2868="causal",F2868="predictive")),IF(AND(OR(K2868=1,K2868="1"),OR(L2868=1,L2868="1"),OR(M2868=1,M2868="1")),"adequate","partial"),IF(AND(H2868="W4",F2868="predictive",OR(J2868="P2",J2868="P3",J2868="P4")),IF(OR(U2868=1,U2868="1"),"adequate","partial"),INDEX(Fit_Matrix!$B:$B,MATCH(P2868,Fit_Matrix!$A:$A,0)))),"CHECK KEY"))</f>
        <v/>
      </c>
      <c r="U2868" s="10" t="n"/>
      <c r="V2868" s="10" t="n"/>
      <c r="W2868" s="10" t="n"/>
      <c r="X2868" s="10" t="n"/>
      <c r="Y2868" s="10" t="n"/>
      <c r="Z2868" s="10" t="n"/>
      <c r="AA2868" s="11">
        <f>IF(A2868="","",IF(AND(J2868="P4",F2868="causal"),"P4-CAUSAL",""))</f>
        <v/>
      </c>
    </row>
    <row r="2869" ht="15" customHeight="1" s="1">
      <c r="P2869">
        <f>IF(OR(F2869="",H2869="",J2869=""),"",J2869&amp;"|"&amp;F2869&amp;"|"&amp;IF(H2869="W3","W3_"&amp;IF(I2869="","unknown",I2869),H2869))</f>
        <v/>
      </c>
      <c r="Q2869">
        <f>IF(P2869="","",IFERROR(IF(AND(H2869="W7",OR(F2869="causal",F2869="predictive")),IF(AND(OR(K2869=1,K2869="1"),OR(L2869=1,L2869="1"),OR(M2869=1,M2869="1")),"adequate","partial"),IF(AND(H2869="W4",F2869="predictive",OR(J2869="P2",J2869="P3",J2869="P4")),IF(OR(U2869=1,U2869="1"),"adequate","partial"),INDEX(Fit_Matrix!$B:$B,MATCH(P2869,Fit_Matrix!$A:$A,0)))),"CHECK KEY"))</f>
        <v/>
      </c>
      <c r="U2869" s="10" t="n"/>
      <c r="V2869" s="10" t="n"/>
      <c r="W2869" s="10" t="n"/>
      <c r="X2869" s="10" t="n"/>
      <c r="Y2869" s="10" t="n"/>
      <c r="Z2869" s="10" t="n"/>
      <c r="AA2869" s="11">
        <f>IF(A2869="","",IF(AND(J2869="P4",F2869="causal"),"P4-CAUSAL",""))</f>
        <v/>
      </c>
    </row>
    <row r="2870" ht="15" customHeight="1" s="1">
      <c r="P2870">
        <f>IF(OR(F2870="",H2870="",J2870=""),"",J2870&amp;"|"&amp;F2870&amp;"|"&amp;IF(H2870="W3","W3_"&amp;IF(I2870="","unknown",I2870),H2870))</f>
        <v/>
      </c>
      <c r="Q2870">
        <f>IF(P2870="","",IFERROR(IF(AND(H2870="W7",OR(F2870="causal",F2870="predictive")),IF(AND(OR(K2870=1,K2870="1"),OR(L2870=1,L2870="1"),OR(M2870=1,M2870="1")),"adequate","partial"),IF(AND(H2870="W4",F2870="predictive",OR(J2870="P2",J2870="P3",J2870="P4")),IF(OR(U2870=1,U2870="1"),"adequate","partial"),INDEX(Fit_Matrix!$B:$B,MATCH(P2870,Fit_Matrix!$A:$A,0)))),"CHECK KEY"))</f>
        <v/>
      </c>
      <c r="U2870" s="10" t="n"/>
      <c r="V2870" s="10" t="n"/>
      <c r="W2870" s="10" t="n"/>
      <c r="X2870" s="10" t="n"/>
      <c r="Y2870" s="10" t="n"/>
      <c r="Z2870" s="10" t="n"/>
      <c r="AA2870" s="11">
        <f>IF(A2870="","",IF(AND(J2870="P4",F2870="causal"),"P4-CAUSAL",""))</f>
        <v/>
      </c>
    </row>
    <row r="2871" ht="15" customHeight="1" s="1">
      <c r="P2871">
        <f>IF(OR(F2871="",H2871="",J2871=""),"",J2871&amp;"|"&amp;F2871&amp;"|"&amp;IF(H2871="W3","W3_"&amp;IF(I2871="","unknown",I2871),H2871))</f>
        <v/>
      </c>
      <c r="Q2871">
        <f>IF(P2871="","",IFERROR(IF(AND(H2871="W7",OR(F2871="causal",F2871="predictive")),IF(AND(OR(K2871=1,K2871="1"),OR(L2871=1,L2871="1"),OR(M2871=1,M2871="1")),"adequate","partial"),IF(AND(H2871="W4",F2871="predictive",OR(J2871="P2",J2871="P3",J2871="P4")),IF(OR(U2871=1,U2871="1"),"adequate","partial"),INDEX(Fit_Matrix!$B:$B,MATCH(P2871,Fit_Matrix!$A:$A,0)))),"CHECK KEY"))</f>
        <v/>
      </c>
      <c r="U2871" s="10" t="n"/>
      <c r="V2871" s="10" t="n"/>
      <c r="W2871" s="10" t="n"/>
      <c r="X2871" s="10" t="n"/>
      <c r="Y2871" s="10" t="n"/>
      <c r="Z2871" s="10" t="n"/>
      <c r="AA2871" s="11">
        <f>IF(A2871="","",IF(AND(J2871="P4",F2871="causal"),"P4-CAUSAL",""))</f>
        <v/>
      </c>
    </row>
    <row r="2872" ht="15" customHeight="1" s="1">
      <c r="P2872">
        <f>IF(OR(F2872="",H2872="",J2872=""),"",J2872&amp;"|"&amp;F2872&amp;"|"&amp;IF(H2872="W3","W3_"&amp;IF(I2872="","unknown",I2872),H2872))</f>
        <v/>
      </c>
      <c r="Q2872">
        <f>IF(P2872="","",IFERROR(IF(AND(H2872="W7",OR(F2872="causal",F2872="predictive")),IF(AND(OR(K2872=1,K2872="1"),OR(L2872=1,L2872="1"),OR(M2872=1,M2872="1")),"adequate","partial"),IF(AND(H2872="W4",F2872="predictive",OR(J2872="P2",J2872="P3",J2872="P4")),IF(OR(U2872=1,U2872="1"),"adequate","partial"),INDEX(Fit_Matrix!$B:$B,MATCH(P2872,Fit_Matrix!$A:$A,0)))),"CHECK KEY"))</f>
        <v/>
      </c>
      <c r="U2872" s="10" t="n"/>
      <c r="V2872" s="10" t="n"/>
      <c r="W2872" s="10" t="n"/>
      <c r="X2872" s="10" t="n"/>
      <c r="Y2872" s="10" t="n"/>
      <c r="Z2872" s="10" t="n"/>
      <c r="AA2872" s="11">
        <f>IF(A2872="","",IF(AND(J2872="P4",F2872="causal"),"P4-CAUSAL",""))</f>
        <v/>
      </c>
    </row>
    <row r="2873" ht="15" customHeight="1" s="1">
      <c r="P2873">
        <f>IF(OR(F2873="",H2873="",J2873=""),"",J2873&amp;"|"&amp;F2873&amp;"|"&amp;IF(H2873="W3","W3_"&amp;IF(I2873="","unknown",I2873),H2873))</f>
        <v/>
      </c>
      <c r="Q2873">
        <f>IF(P2873="","",IFERROR(IF(AND(H2873="W7",OR(F2873="causal",F2873="predictive")),IF(AND(OR(K2873=1,K2873="1"),OR(L2873=1,L2873="1"),OR(M2873=1,M2873="1")),"adequate","partial"),IF(AND(H2873="W4",F2873="predictive",OR(J2873="P2",J2873="P3",J2873="P4")),IF(OR(U2873=1,U2873="1"),"adequate","partial"),INDEX(Fit_Matrix!$B:$B,MATCH(P2873,Fit_Matrix!$A:$A,0)))),"CHECK KEY"))</f>
        <v/>
      </c>
      <c r="U2873" s="10" t="n"/>
      <c r="V2873" s="10" t="n"/>
      <c r="W2873" s="10" t="n"/>
      <c r="X2873" s="10" t="n"/>
      <c r="Y2873" s="10" t="n"/>
      <c r="Z2873" s="10" t="n"/>
      <c r="AA2873" s="11">
        <f>IF(A2873="","",IF(AND(J2873="P4",F2873="causal"),"P4-CAUSAL",""))</f>
        <v/>
      </c>
    </row>
    <row r="2874" ht="15" customHeight="1" s="1">
      <c r="P2874">
        <f>IF(OR(F2874="",H2874="",J2874=""),"",J2874&amp;"|"&amp;F2874&amp;"|"&amp;IF(H2874="W3","W3_"&amp;IF(I2874="","unknown",I2874),H2874))</f>
        <v/>
      </c>
      <c r="Q2874">
        <f>IF(P2874="","",IFERROR(IF(AND(H2874="W7",OR(F2874="causal",F2874="predictive")),IF(AND(OR(K2874=1,K2874="1"),OR(L2874=1,L2874="1"),OR(M2874=1,M2874="1")),"adequate","partial"),IF(AND(H2874="W4",F2874="predictive",OR(J2874="P2",J2874="P3",J2874="P4")),IF(OR(U2874=1,U2874="1"),"adequate","partial"),INDEX(Fit_Matrix!$B:$B,MATCH(P2874,Fit_Matrix!$A:$A,0)))),"CHECK KEY"))</f>
        <v/>
      </c>
      <c r="U2874" s="10" t="n"/>
      <c r="V2874" s="10" t="n"/>
      <c r="W2874" s="10" t="n"/>
      <c r="X2874" s="10" t="n"/>
      <c r="Y2874" s="10" t="n"/>
      <c r="Z2874" s="10" t="n"/>
      <c r="AA2874" s="11">
        <f>IF(A2874="","",IF(AND(J2874="P4",F2874="causal"),"P4-CAUSAL",""))</f>
        <v/>
      </c>
    </row>
    <row r="2875" ht="15" customHeight="1" s="1">
      <c r="P2875">
        <f>IF(OR(F2875="",H2875="",J2875=""),"",J2875&amp;"|"&amp;F2875&amp;"|"&amp;IF(H2875="W3","W3_"&amp;IF(I2875="","unknown",I2875),H2875))</f>
        <v/>
      </c>
      <c r="Q2875">
        <f>IF(P2875="","",IFERROR(IF(AND(H2875="W7",OR(F2875="causal",F2875="predictive")),IF(AND(OR(K2875=1,K2875="1"),OR(L2875=1,L2875="1"),OR(M2875=1,M2875="1")),"adequate","partial"),IF(AND(H2875="W4",F2875="predictive",OR(J2875="P2",J2875="P3",J2875="P4")),IF(OR(U2875=1,U2875="1"),"adequate","partial"),INDEX(Fit_Matrix!$B:$B,MATCH(P2875,Fit_Matrix!$A:$A,0)))),"CHECK KEY"))</f>
        <v/>
      </c>
      <c r="U2875" s="10" t="n"/>
      <c r="V2875" s="10" t="n"/>
      <c r="W2875" s="10" t="n"/>
      <c r="X2875" s="10" t="n"/>
      <c r="Y2875" s="10" t="n"/>
      <c r="Z2875" s="10" t="n"/>
      <c r="AA2875" s="11">
        <f>IF(A2875="","",IF(AND(J2875="P4",F2875="causal"),"P4-CAUSAL",""))</f>
        <v/>
      </c>
    </row>
    <row r="2876" ht="15" customHeight="1" s="1">
      <c r="P2876">
        <f>IF(OR(F2876="",H2876="",J2876=""),"",J2876&amp;"|"&amp;F2876&amp;"|"&amp;IF(H2876="W3","W3_"&amp;IF(I2876="","unknown",I2876),H2876))</f>
        <v/>
      </c>
      <c r="Q2876">
        <f>IF(P2876="","",IFERROR(IF(AND(H2876="W7",OR(F2876="causal",F2876="predictive")),IF(AND(OR(K2876=1,K2876="1"),OR(L2876=1,L2876="1"),OR(M2876=1,M2876="1")),"adequate","partial"),IF(AND(H2876="W4",F2876="predictive",OR(J2876="P2",J2876="P3",J2876="P4")),IF(OR(U2876=1,U2876="1"),"adequate","partial"),INDEX(Fit_Matrix!$B:$B,MATCH(P2876,Fit_Matrix!$A:$A,0)))),"CHECK KEY"))</f>
        <v/>
      </c>
      <c r="U2876" s="10" t="n"/>
      <c r="V2876" s="10" t="n"/>
      <c r="W2876" s="10" t="n"/>
      <c r="X2876" s="10" t="n"/>
      <c r="Y2876" s="10" t="n"/>
      <c r="Z2876" s="10" t="n"/>
      <c r="AA2876" s="11">
        <f>IF(A2876="","",IF(AND(J2876="P4",F2876="causal"),"P4-CAUSAL",""))</f>
        <v/>
      </c>
    </row>
    <row r="2877" ht="15" customHeight="1" s="1">
      <c r="P2877">
        <f>IF(OR(F2877="",H2877="",J2877=""),"",J2877&amp;"|"&amp;F2877&amp;"|"&amp;IF(H2877="W3","W3_"&amp;IF(I2877="","unknown",I2877),H2877))</f>
        <v/>
      </c>
      <c r="Q2877">
        <f>IF(P2877="","",IFERROR(IF(AND(H2877="W7",OR(F2877="causal",F2877="predictive")),IF(AND(OR(K2877=1,K2877="1"),OR(L2877=1,L2877="1"),OR(M2877=1,M2877="1")),"adequate","partial"),IF(AND(H2877="W4",F2877="predictive",OR(J2877="P2",J2877="P3",J2877="P4")),IF(OR(U2877=1,U2877="1"),"adequate","partial"),INDEX(Fit_Matrix!$B:$B,MATCH(P2877,Fit_Matrix!$A:$A,0)))),"CHECK KEY"))</f>
        <v/>
      </c>
      <c r="U2877" s="10" t="n"/>
      <c r="V2877" s="10" t="n"/>
      <c r="W2877" s="10" t="n"/>
      <c r="X2877" s="10" t="n"/>
      <c r="Y2877" s="10" t="n"/>
      <c r="Z2877" s="10" t="n"/>
      <c r="AA2877" s="11">
        <f>IF(A2877="","",IF(AND(J2877="P4",F2877="causal"),"P4-CAUSAL",""))</f>
        <v/>
      </c>
    </row>
    <row r="2878" ht="15" customHeight="1" s="1">
      <c r="P2878">
        <f>IF(OR(F2878="",H2878="",J2878=""),"",J2878&amp;"|"&amp;F2878&amp;"|"&amp;IF(H2878="W3","W3_"&amp;IF(I2878="","unknown",I2878),H2878))</f>
        <v/>
      </c>
      <c r="Q2878">
        <f>IF(P2878="","",IFERROR(IF(AND(H2878="W7",OR(F2878="causal",F2878="predictive")),IF(AND(OR(K2878=1,K2878="1"),OR(L2878=1,L2878="1"),OR(M2878=1,M2878="1")),"adequate","partial"),IF(AND(H2878="W4",F2878="predictive",OR(J2878="P2",J2878="P3",J2878="P4")),IF(OR(U2878=1,U2878="1"),"adequate","partial"),INDEX(Fit_Matrix!$B:$B,MATCH(P2878,Fit_Matrix!$A:$A,0)))),"CHECK KEY"))</f>
        <v/>
      </c>
      <c r="U2878" s="10" t="n"/>
      <c r="V2878" s="10" t="n"/>
      <c r="W2878" s="10" t="n"/>
      <c r="X2878" s="10" t="n"/>
      <c r="Y2878" s="10" t="n"/>
      <c r="Z2878" s="10" t="n"/>
      <c r="AA2878" s="11">
        <f>IF(A2878="","",IF(AND(J2878="P4",F2878="causal"),"P4-CAUSAL",""))</f>
        <v/>
      </c>
    </row>
    <row r="2879" ht="15" customHeight="1" s="1">
      <c r="P2879">
        <f>IF(OR(F2879="",H2879="",J2879=""),"",J2879&amp;"|"&amp;F2879&amp;"|"&amp;IF(H2879="W3","W3_"&amp;IF(I2879="","unknown",I2879),H2879))</f>
        <v/>
      </c>
      <c r="Q2879">
        <f>IF(P2879="","",IFERROR(IF(AND(H2879="W7",OR(F2879="causal",F2879="predictive")),IF(AND(OR(K2879=1,K2879="1"),OR(L2879=1,L2879="1"),OR(M2879=1,M2879="1")),"adequate","partial"),IF(AND(H2879="W4",F2879="predictive",OR(J2879="P2",J2879="P3",J2879="P4")),IF(OR(U2879=1,U2879="1"),"adequate","partial"),INDEX(Fit_Matrix!$B:$B,MATCH(P2879,Fit_Matrix!$A:$A,0)))),"CHECK KEY"))</f>
        <v/>
      </c>
      <c r="U2879" s="10" t="n"/>
      <c r="V2879" s="10" t="n"/>
      <c r="W2879" s="10" t="n"/>
      <c r="X2879" s="10" t="n"/>
      <c r="Y2879" s="10" t="n"/>
      <c r="Z2879" s="10" t="n"/>
      <c r="AA2879" s="11">
        <f>IF(A2879="","",IF(AND(J2879="P4",F2879="causal"),"P4-CAUSAL",""))</f>
        <v/>
      </c>
    </row>
    <row r="2880" ht="15" customHeight="1" s="1">
      <c r="P2880">
        <f>IF(OR(F2880="",H2880="",J2880=""),"",J2880&amp;"|"&amp;F2880&amp;"|"&amp;IF(H2880="W3","W3_"&amp;IF(I2880="","unknown",I2880),H2880))</f>
        <v/>
      </c>
      <c r="Q2880">
        <f>IF(P2880="","",IFERROR(IF(AND(H2880="W7",OR(F2880="causal",F2880="predictive")),IF(AND(OR(K2880=1,K2880="1"),OR(L2880=1,L2880="1"),OR(M2880=1,M2880="1")),"adequate","partial"),IF(AND(H2880="W4",F2880="predictive",OR(J2880="P2",J2880="P3",J2880="P4")),IF(OR(U2880=1,U2880="1"),"adequate","partial"),INDEX(Fit_Matrix!$B:$B,MATCH(P2880,Fit_Matrix!$A:$A,0)))),"CHECK KEY"))</f>
        <v/>
      </c>
      <c r="U2880" s="10" t="n"/>
      <c r="V2880" s="10" t="n"/>
      <c r="W2880" s="10" t="n"/>
      <c r="X2880" s="10" t="n"/>
      <c r="Y2880" s="10" t="n"/>
      <c r="Z2880" s="10" t="n"/>
      <c r="AA2880" s="11">
        <f>IF(A2880="","",IF(AND(J2880="P4",F2880="causal"),"P4-CAUSAL",""))</f>
        <v/>
      </c>
    </row>
    <row r="2881" ht="15" customHeight="1" s="1">
      <c r="P2881">
        <f>IF(OR(F2881="",H2881="",J2881=""),"",J2881&amp;"|"&amp;F2881&amp;"|"&amp;IF(H2881="W3","W3_"&amp;IF(I2881="","unknown",I2881),H2881))</f>
        <v/>
      </c>
      <c r="Q2881">
        <f>IF(P2881="","",IFERROR(IF(AND(H2881="W7",OR(F2881="causal",F2881="predictive")),IF(AND(OR(K2881=1,K2881="1"),OR(L2881=1,L2881="1"),OR(M2881=1,M2881="1")),"adequate","partial"),IF(AND(H2881="W4",F2881="predictive",OR(J2881="P2",J2881="P3",J2881="P4")),IF(OR(U2881=1,U2881="1"),"adequate","partial"),INDEX(Fit_Matrix!$B:$B,MATCH(P2881,Fit_Matrix!$A:$A,0)))),"CHECK KEY"))</f>
        <v/>
      </c>
      <c r="U2881" s="10" t="n"/>
      <c r="V2881" s="10" t="n"/>
      <c r="W2881" s="10" t="n"/>
      <c r="X2881" s="10" t="n"/>
      <c r="Y2881" s="10" t="n"/>
      <c r="Z2881" s="10" t="n"/>
      <c r="AA2881" s="11">
        <f>IF(A2881="","",IF(AND(J2881="P4",F2881="causal"),"P4-CAUSAL",""))</f>
        <v/>
      </c>
    </row>
    <row r="2882" ht="15" customHeight="1" s="1">
      <c r="P2882">
        <f>IF(OR(F2882="",H2882="",J2882=""),"",J2882&amp;"|"&amp;F2882&amp;"|"&amp;IF(H2882="W3","W3_"&amp;IF(I2882="","unknown",I2882),H2882))</f>
        <v/>
      </c>
      <c r="Q2882">
        <f>IF(P2882="","",IFERROR(IF(AND(H2882="W7",OR(F2882="causal",F2882="predictive")),IF(AND(OR(K2882=1,K2882="1"),OR(L2882=1,L2882="1"),OR(M2882=1,M2882="1")),"adequate","partial"),IF(AND(H2882="W4",F2882="predictive",OR(J2882="P2",J2882="P3",J2882="P4")),IF(OR(U2882=1,U2882="1"),"adequate","partial"),INDEX(Fit_Matrix!$B:$B,MATCH(P2882,Fit_Matrix!$A:$A,0)))),"CHECK KEY"))</f>
        <v/>
      </c>
      <c r="U2882" s="10" t="n"/>
      <c r="V2882" s="10" t="n"/>
      <c r="W2882" s="10" t="n"/>
      <c r="X2882" s="10" t="n"/>
      <c r="Y2882" s="10" t="n"/>
      <c r="Z2882" s="10" t="n"/>
      <c r="AA2882" s="11">
        <f>IF(A2882="","",IF(AND(J2882="P4",F2882="causal"),"P4-CAUSAL",""))</f>
        <v/>
      </c>
    </row>
    <row r="2883" ht="15" customHeight="1" s="1">
      <c r="P2883">
        <f>IF(OR(F2883="",H2883="",J2883=""),"",J2883&amp;"|"&amp;F2883&amp;"|"&amp;IF(H2883="W3","W3_"&amp;IF(I2883="","unknown",I2883),H2883))</f>
        <v/>
      </c>
      <c r="Q2883">
        <f>IF(P2883="","",IFERROR(IF(AND(H2883="W7",OR(F2883="causal",F2883="predictive")),IF(AND(OR(K2883=1,K2883="1"),OR(L2883=1,L2883="1"),OR(M2883=1,M2883="1")),"adequate","partial"),IF(AND(H2883="W4",F2883="predictive",OR(J2883="P2",J2883="P3",J2883="P4")),IF(OR(U2883=1,U2883="1"),"adequate","partial"),INDEX(Fit_Matrix!$B:$B,MATCH(P2883,Fit_Matrix!$A:$A,0)))),"CHECK KEY"))</f>
        <v/>
      </c>
      <c r="U2883" s="10" t="n"/>
      <c r="V2883" s="10" t="n"/>
      <c r="W2883" s="10" t="n"/>
      <c r="X2883" s="10" t="n"/>
      <c r="Y2883" s="10" t="n"/>
      <c r="Z2883" s="10" t="n"/>
      <c r="AA2883" s="11">
        <f>IF(A2883="","",IF(AND(J2883="P4",F2883="causal"),"P4-CAUSAL",""))</f>
        <v/>
      </c>
    </row>
    <row r="2884" ht="15" customHeight="1" s="1">
      <c r="P2884">
        <f>IF(OR(F2884="",H2884="",J2884=""),"",J2884&amp;"|"&amp;F2884&amp;"|"&amp;IF(H2884="W3","W3_"&amp;IF(I2884="","unknown",I2884),H2884))</f>
        <v/>
      </c>
      <c r="Q2884">
        <f>IF(P2884="","",IFERROR(IF(AND(H2884="W7",OR(F2884="causal",F2884="predictive")),IF(AND(OR(K2884=1,K2884="1"),OR(L2884=1,L2884="1"),OR(M2884=1,M2884="1")),"adequate","partial"),IF(AND(H2884="W4",F2884="predictive",OR(J2884="P2",J2884="P3",J2884="P4")),IF(OR(U2884=1,U2884="1"),"adequate","partial"),INDEX(Fit_Matrix!$B:$B,MATCH(P2884,Fit_Matrix!$A:$A,0)))),"CHECK KEY"))</f>
        <v/>
      </c>
      <c r="U2884" s="10" t="n"/>
      <c r="V2884" s="10" t="n"/>
      <c r="W2884" s="10" t="n"/>
      <c r="X2884" s="10" t="n"/>
      <c r="Y2884" s="10" t="n"/>
      <c r="Z2884" s="10" t="n"/>
      <c r="AA2884" s="11">
        <f>IF(A2884="","",IF(AND(J2884="P4",F2884="causal"),"P4-CAUSAL",""))</f>
        <v/>
      </c>
    </row>
    <row r="2885" ht="15" customHeight="1" s="1">
      <c r="P2885">
        <f>IF(OR(F2885="",H2885="",J2885=""),"",J2885&amp;"|"&amp;F2885&amp;"|"&amp;IF(H2885="W3","W3_"&amp;IF(I2885="","unknown",I2885),H2885))</f>
        <v/>
      </c>
      <c r="Q2885">
        <f>IF(P2885="","",IFERROR(IF(AND(H2885="W7",OR(F2885="causal",F2885="predictive")),IF(AND(OR(K2885=1,K2885="1"),OR(L2885=1,L2885="1"),OR(M2885=1,M2885="1")),"adequate","partial"),IF(AND(H2885="W4",F2885="predictive",OR(J2885="P2",J2885="P3",J2885="P4")),IF(OR(U2885=1,U2885="1"),"adequate","partial"),INDEX(Fit_Matrix!$B:$B,MATCH(P2885,Fit_Matrix!$A:$A,0)))),"CHECK KEY"))</f>
        <v/>
      </c>
      <c r="U2885" s="10" t="n"/>
      <c r="V2885" s="10" t="n"/>
      <c r="W2885" s="10" t="n"/>
      <c r="X2885" s="10" t="n"/>
      <c r="Y2885" s="10" t="n"/>
      <c r="Z2885" s="10" t="n"/>
      <c r="AA2885" s="11">
        <f>IF(A2885="","",IF(AND(J2885="P4",F2885="causal"),"P4-CAUSAL",""))</f>
        <v/>
      </c>
    </row>
    <row r="2886" ht="15" customHeight="1" s="1">
      <c r="P2886">
        <f>IF(OR(F2886="",H2886="",J2886=""),"",J2886&amp;"|"&amp;F2886&amp;"|"&amp;IF(H2886="W3","W3_"&amp;IF(I2886="","unknown",I2886),H2886))</f>
        <v/>
      </c>
      <c r="Q2886">
        <f>IF(P2886="","",IFERROR(IF(AND(H2886="W7",OR(F2886="causal",F2886="predictive")),IF(AND(OR(K2886=1,K2886="1"),OR(L2886=1,L2886="1"),OR(M2886=1,M2886="1")),"adequate","partial"),IF(AND(H2886="W4",F2886="predictive",OR(J2886="P2",J2886="P3",J2886="P4")),IF(OR(U2886=1,U2886="1"),"adequate","partial"),INDEX(Fit_Matrix!$B:$B,MATCH(P2886,Fit_Matrix!$A:$A,0)))),"CHECK KEY"))</f>
        <v/>
      </c>
      <c r="U2886" s="10" t="n"/>
      <c r="V2886" s="10" t="n"/>
      <c r="W2886" s="10" t="n"/>
      <c r="X2886" s="10" t="n"/>
      <c r="Y2886" s="10" t="n"/>
      <c r="Z2886" s="10" t="n"/>
      <c r="AA2886" s="11">
        <f>IF(A2886="","",IF(AND(J2886="P4",F2886="causal"),"P4-CAUSAL",""))</f>
        <v/>
      </c>
    </row>
    <row r="2887" ht="15" customHeight="1" s="1">
      <c r="P2887">
        <f>IF(OR(F2887="",H2887="",J2887=""),"",J2887&amp;"|"&amp;F2887&amp;"|"&amp;IF(H2887="W3","W3_"&amp;IF(I2887="","unknown",I2887),H2887))</f>
        <v/>
      </c>
      <c r="Q2887">
        <f>IF(P2887="","",IFERROR(IF(AND(H2887="W7",OR(F2887="causal",F2887="predictive")),IF(AND(OR(K2887=1,K2887="1"),OR(L2887=1,L2887="1"),OR(M2887=1,M2887="1")),"adequate","partial"),IF(AND(H2887="W4",F2887="predictive",OR(J2887="P2",J2887="P3",J2887="P4")),IF(OR(U2887=1,U2887="1"),"adequate","partial"),INDEX(Fit_Matrix!$B:$B,MATCH(P2887,Fit_Matrix!$A:$A,0)))),"CHECK KEY"))</f>
        <v/>
      </c>
      <c r="U2887" s="10" t="n"/>
      <c r="V2887" s="10" t="n"/>
      <c r="W2887" s="10" t="n"/>
      <c r="X2887" s="10" t="n"/>
      <c r="Y2887" s="10" t="n"/>
      <c r="Z2887" s="10" t="n"/>
      <c r="AA2887" s="11">
        <f>IF(A2887="","",IF(AND(J2887="P4",F2887="causal"),"P4-CAUSAL",""))</f>
        <v/>
      </c>
    </row>
    <row r="2888" ht="15" customHeight="1" s="1">
      <c r="P2888">
        <f>IF(OR(F2888="",H2888="",J2888=""),"",J2888&amp;"|"&amp;F2888&amp;"|"&amp;IF(H2888="W3","W3_"&amp;IF(I2888="","unknown",I2888),H2888))</f>
        <v/>
      </c>
      <c r="Q2888">
        <f>IF(P2888="","",IFERROR(IF(AND(H2888="W7",OR(F2888="causal",F2888="predictive")),IF(AND(OR(K2888=1,K2888="1"),OR(L2888=1,L2888="1"),OR(M2888=1,M2888="1")),"adequate","partial"),IF(AND(H2888="W4",F2888="predictive",OR(J2888="P2",J2888="P3",J2888="P4")),IF(OR(U2888=1,U2888="1"),"adequate","partial"),INDEX(Fit_Matrix!$B:$B,MATCH(P2888,Fit_Matrix!$A:$A,0)))),"CHECK KEY"))</f>
        <v/>
      </c>
      <c r="U2888" s="10" t="n"/>
      <c r="V2888" s="10" t="n"/>
      <c r="W2888" s="10" t="n"/>
      <c r="X2888" s="10" t="n"/>
      <c r="Y2888" s="10" t="n"/>
      <c r="Z2888" s="10" t="n"/>
      <c r="AA2888" s="11">
        <f>IF(A2888="","",IF(AND(J2888="P4",F2888="causal"),"P4-CAUSAL",""))</f>
        <v/>
      </c>
    </row>
    <row r="2889" ht="15" customHeight="1" s="1">
      <c r="P2889">
        <f>IF(OR(F2889="",H2889="",J2889=""),"",J2889&amp;"|"&amp;F2889&amp;"|"&amp;IF(H2889="W3","W3_"&amp;IF(I2889="","unknown",I2889),H2889))</f>
        <v/>
      </c>
      <c r="Q2889">
        <f>IF(P2889="","",IFERROR(IF(AND(H2889="W7",OR(F2889="causal",F2889="predictive")),IF(AND(OR(K2889=1,K2889="1"),OR(L2889=1,L2889="1"),OR(M2889=1,M2889="1")),"adequate","partial"),IF(AND(H2889="W4",F2889="predictive",OR(J2889="P2",J2889="P3",J2889="P4")),IF(OR(U2889=1,U2889="1"),"adequate","partial"),INDEX(Fit_Matrix!$B:$B,MATCH(P2889,Fit_Matrix!$A:$A,0)))),"CHECK KEY"))</f>
        <v/>
      </c>
      <c r="U2889" s="10" t="n"/>
      <c r="V2889" s="10" t="n"/>
      <c r="W2889" s="10" t="n"/>
      <c r="X2889" s="10" t="n"/>
      <c r="Y2889" s="10" t="n"/>
      <c r="Z2889" s="10" t="n"/>
      <c r="AA2889" s="11">
        <f>IF(A2889="","",IF(AND(J2889="P4",F2889="causal"),"P4-CAUSAL",""))</f>
        <v/>
      </c>
    </row>
    <row r="2890" ht="15" customHeight="1" s="1">
      <c r="P2890">
        <f>IF(OR(F2890="",H2890="",J2890=""),"",J2890&amp;"|"&amp;F2890&amp;"|"&amp;IF(H2890="W3","W3_"&amp;IF(I2890="","unknown",I2890),H2890))</f>
        <v/>
      </c>
      <c r="Q2890">
        <f>IF(P2890="","",IFERROR(IF(AND(H2890="W7",OR(F2890="causal",F2890="predictive")),IF(AND(OR(K2890=1,K2890="1"),OR(L2890=1,L2890="1"),OR(M2890=1,M2890="1")),"adequate","partial"),IF(AND(H2890="W4",F2890="predictive",OR(J2890="P2",J2890="P3",J2890="P4")),IF(OR(U2890=1,U2890="1"),"adequate","partial"),INDEX(Fit_Matrix!$B:$B,MATCH(P2890,Fit_Matrix!$A:$A,0)))),"CHECK KEY"))</f>
        <v/>
      </c>
      <c r="U2890" s="10" t="n"/>
      <c r="V2890" s="10" t="n"/>
      <c r="W2890" s="10" t="n"/>
      <c r="X2890" s="10" t="n"/>
      <c r="Y2890" s="10" t="n"/>
      <c r="Z2890" s="10" t="n"/>
      <c r="AA2890" s="11">
        <f>IF(A2890="","",IF(AND(J2890="P4",F2890="causal"),"P4-CAUSAL",""))</f>
        <v/>
      </c>
    </row>
    <row r="2891" ht="15" customHeight="1" s="1">
      <c r="P2891">
        <f>IF(OR(F2891="",H2891="",J2891=""),"",J2891&amp;"|"&amp;F2891&amp;"|"&amp;IF(H2891="W3","W3_"&amp;IF(I2891="","unknown",I2891),H2891))</f>
        <v/>
      </c>
      <c r="Q2891">
        <f>IF(P2891="","",IFERROR(IF(AND(H2891="W7",OR(F2891="causal",F2891="predictive")),IF(AND(OR(K2891=1,K2891="1"),OR(L2891=1,L2891="1"),OR(M2891=1,M2891="1")),"adequate","partial"),IF(AND(H2891="W4",F2891="predictive",OR(J2891="P2",J2891="P3",J2891="P4")),IF(OR(U2891=1,U2891="1"),"adequate","partial"),INDEX(Fit_Matrix!$B:$B,MATCH(P2891,Fit_Matrix!$A:$A,0)))),"CHECK KEY"))</f>
        <v/>
      </c>
      <c r="U2891" s="10" t="n"/>
      <c r="V2891" s="10" t="n"/>
      <c r="W2891" s="10" t="n"/>
      <c r="X2891" s="10" t="n"/>
      <c r="Y2891" s="10" t="n"/>
      <c r="Z2891" s="10" t="n"/>
      <c r="AA2891" s="11">
        <f>IF(A2891="","",IF(AND(J2891="P4",F2891="causal"),"P4-CAUSAL",""))</f>
        <v/>
      </c>
    </row>
    <row r="2892" ht="15" customHeight="1" s="1">
      <c r="P2892">
        <f>IF(OR(F2892="",H2892="",J2892=""),"",J2892&amp;"|"&amp;F2892&amp;"|"&amp;IF(H2892="W3","W3_"&amp;IF(I2892="","unknown",I2892),H2892))</f>
        <v/>
      </c>
      <c r="Q2892">
        <f>IF(P2892="","",IFERROR(IF(AND(H2892="W7",OR(F2892="causal",F2892="predictive")),IF(AND(OR(K2892=1,K2892="1"),OR(L2892=1,L2892="1"),OR(M2892=1,M2892="1")),"adequate","partial"),IF(AND(H2892="W4",F2892="predictive",OR(J2892="P2",J2892="P3",J2892="P4")),IF(OR(U2892=1,U2892="1"),"adequate","partial"),INDEX(Fit_Matrix!$B:$B,MATCH(P2892,Fit_Matrix!$A:$A,0)))),"CHECK KEY"))</f>
        <v/>
      </c>
      <c r="U2892" s="10" t="n"/>
      <c r="V2892" s="10" t="n"/>
      <c r="W2892" s="10" t="n"/>
      <c r="X2892" s="10" t="n"/>
      <c r="Y2892" s="10" t="n"/>
      <c r="Z2892" s="10" t="n"/>
      <c r="AA2892" s="11">
        <f>IF(A2892="","",IF(AND(J2892="P4",F2892="causal"),"P4-CAUSAL",""))</f>
        <v/>
      </c>
    </row>
    <row r="2893" ht="15" customHeight="1" s="1">
      <c r="P2893">
        <f>IF(OR(F2893="",H2893="",J2893=""),"",J2893&amp;"|"&amp;F2893&amp;"|"&amp;IF(H2893="W3","W3_"&amp;IF(I2893="","unknown",I2893),H2893))</f>
        <v/>
      </c>
      <c r="Q2893">
        <f>IF(P2893="","",IFERROR(IF(AND(H2893="W7",OR(F2893="causal",F2893="predictive")),IF(AND(OR(K2893=1,K2893="1"),OR(L2893=1,L2893="1"),OR(M2893=1,M2893="1")),"adequate","partial"),IF(AND(H2893="W4",F2893="predictive",OR(J2893="P2",J2893="P3",J2893="P4")),IF(OR(U2893=1,U2893="1"),"adequate","partial"),INDEX(Fit_Matrix!$B:$B,MATCH(P2893,Fit_Matrix!$A:$A,0)))),"CHECK KEY"))</f>
        <v/>
      </c>
      <c r="U2893" s="10" t="n"/>
      <c r="V2893" s="10" t="n"/>
      <c r="W2893" s="10" t="n"/>
      <c r="X2893" s="10" t="n"/>
      <c r="Y2893" s="10" t="n"/>
      <c r="Z2893" s="10" t="n"/>
      <c r="AA2893" s="11">
        <f>IF(A2893="","",IF(AND(J2893="P4",F2893="causal"),"P4-CAUSAL",""))</f>
        <v/>
      </c>
    </row>
    <row r="2894" ht="15" customHeight="1" s="1">
      <c r="P2894">
        <f>IF(OR(F2894="",H2894="",J2894=""),"",J2894&amp;"|"&amp;F2894&amp;"|"&amp;IF(H2894="W3","W3_"&amp;IF(I2894="","unknown",I2894),H2894))</f>
        <v/>
      </c>
      <c r="Q2894">
        <f>IF(P2894="","",IFERROR(IF(AND(H2894="W7",OR(F2894="causal",F2894="predictive")),IF(AND(OR(K2894=1,K2894="1"),OR(L2894=1,L2894="1"),OR(M2894=1,M2894="1")),"adequate","partial"),IF(AND(H2894="W4",F2894="predictive",OR(J2894="P2",J2894="P3",J2894="P4")),IF(OR(U2894=1,U2894="1"),"adequate","partial"),INDEX(Fit_Matrix!$B:$B,MATCH(P2894,Fit_Matrix!$A:$A,0)))),"CHECK KEY"))</f>
        <v/>
      </c>
      <c r="U2894" s="10" t="n"/>
      <c r="V2894" s="10" t="n"/>
      <c r="W2894" s="10" t="n"/>
      <c r="X2894" s="10" t="n"/>
      <c r="Y2894" s="10" t="n"/>
      <c r="Z2894" s="10" t="n"/>
      <c r="AA2894" s="11">
        <f>IF(A2894="","",IF(AND(J2894="P4",F2894="causal"),"P4-CAUSAL",""))</f>
        <v/>
      </c>
    </row>
    <row r="2895" ht="15" customHeight="1" s="1">
      <c r="P2895">
        <f>IF(OR(F2895="",H2895="",J2895=""),"",J2895&amp;"|"&amp;F2895&amp;"|"&amp;IF(H2895="W3","W3_"&amp;IF(I2895="","unknown",I2895),H2895))</f>
        <v/>
      </c>
      <c r="Q2895">
        <f>IF(P2895="","",IFERROR(IF(AND(H2895="W7",OR(F2895="causal",F2895="predictive")),IF(AND(OR(K2895=1,K2895="1"),OR(L2895=1,L2895="1"),OR(M2895=1,M2895="1")),"adequate","partial"),IF(AND(H2895="W4",F2895="predictive",OR(J2895="P2",J2895="P3",J2895="P4")),IF(OR(U2895=1,U2895="1"),"adequate","partial"),INDEX(Fit_Matrix!$B:$B,MATCH(P2895,Fit_Matrix!$A:$A,0)))),"CHECK KEY"))</f>
        <v/>
      </c>
      <c r="U2895" s="10" t="n"/>
      <c r="V2895" s="10" t="n"/>
      <c r="W2895" s="10" t="n"/>
      <c r="X2895" s="10" t="n"/>
      <c r="Y2895" s="10" t="n"/>
      <c r="Z2895" s="10" t="n"/>
      <c r="AA2895" s="11">
        <f>IF(A2895="","",IF(AND(J2895="P4",F2895="causal"),"P4-CAUSAL",""))</f>
        <v/>
      </c>
    </row>
    <row r="2896" ht="15" customHeight="1" s="1">
      <c r="P2896">
        <f>IF(OR(F2896="",H2896="",J2896=""),"",J2896&amp;"|"&amp;F2896&amp;"|"&amp;IF(H2896="W3","W3_"&amp;IF(I2896="","unknown",I2896),H2896))</f>
        <v/>
      </c>
      <c r="Q2896">
        <f>IF(P2896="","",IFERROR(IF(AND(H2896="W7",OR(F2896="causal",F2896="predictive")),IF(AND(OR(K2896=1,K2896="1"),OR(L2896=1,L2896="1"),OR(M2896=1,M2896="1")),"adequate","partial"),IF(AND(H2896="W4",F2896="predictive",OR(J2896="P2",J2896="P3",J2896="P4")),IF(OR(U2896=1,U2896="1"),"adequate","partial"),INDEX(Fit_Matrix!$B:$B,MATCH(P2896,Fit_Matrix!$A:$A,0)))),"CHECK KEY"))</f>
        <v/>
      </c>
      <c r="U2896" s="10" t="n"/>
      <c r="V2896" s="10" t="n"/>
      <c r="W2896" s="10" t="n"/>
      <c r="X2896" s="10" t="n"/>
      <c r="Y2896" s="10" t="n"/>
      <c r="Z2896" s="10" t="n"/>
      <c r="AA2896" s="11">
        <f>IF(A2896="","",IF(AND(J2896="P4",F2896="causal"),"P4-CAUSAL",""))</f>
        <v/>
      </c>
    </row>
    <row r="2897" ht="15" customHeight="1" s="1">
      <c r="P2897">
        <f>IF(OR(F2897="",H2897="",J2897=""),"",J2897&amp;"|"&amp;F2897&amp;"|"&amp;IF(H2897="W3","W3_"&amp;IF(I2897="","unknown",I2897),H2897))</f>
        <v/>
      </c>
      <c r="Q2897">
        <f>IF(P2897="","",IFERROR(IF(AND(H2897="W7",OR(F2897="causal",F2897="predictive")),IF(AND(OR(K2897=1,K2897="1"),OR(L2897=1,L2897="1"),OR(M2897=1,M2897="1")),"adequate","partial"),IF(AND(H2897="W4",F2897="predictive",OR(J2897="P2",J2897="P3",J2897="P4")),IF(OR(U2897=1,U2897="1"),"adequate","partial"),INDEX(Fit_Matrix!$B:$B,MATCH(P2897,Fit_Matrix!$A:$A,0)))),"CHECK KEY"))</f>
        <v/>
      </c>
      <c r="U2897" s="10" t="n"/>
      <c r="V2897" s="10" t="n"/>
      <c r="W2897" s="10" t="n"/>
      <c r="X2897" s="10" t="n"/>
      <c r="Y2897" s="10" t="n"/>
      <c r="Z2897" s="10" t="n"/>
      <c r="AA2897" s="11">
        <f>IF(A2897="","",IF(AND(J2897="P4",F2897="causal"),"P4-CAUSAL",""))</f>
        <v/>
      </c>
    </row>
    <row r="2898" ht="15" customHeight="1" s="1">
      <c r="P2898">
        <f>IF(OR(F2898="",H2898="",J2898=""),"",J2898&amp;"|"&amp;F2898&amp;"|"&amp;IF(H2898="W3","W3_"&amp;IF(I2898="","unknown",I2898),H2898))</f>
        <v/>
      </c>
      <c r="Q2898">
        <f>IF(P2898="","",IFERROR(IF(AND(H2898="W7",OR(F2898="causal",F2898="predictive")),IF(AND(OR(K2898=1,K2898="1"),OR(L2898=1,L2898="1"),OR(M2898=1,M2898="1")),"adequate","partial"),IF(AND(H2898="W4",F2898="predictive",OR(J2898="P2",J2898="P3",J2898="P4")),IF(OR(U2898=1,U2898="1"),"adequate","partial"),INDEX(Fit_Matrix!$B:$B,MATCH(P2898,Fit_Matrix!$A:$A,0)))),"CHECK KEY"))</f>
        <v/>
      </c>
      <c r="U2898" s="10" t="n"/>
      <c r="V2898" s="10" t="n"/>
      <c r="W2898" s="10" t="n"/>
      <c r="X2898" s="10" t="n"/>
      <c r="Y2898" s="10" t="n"/>
      <c r="Z2898" s="10" t="n"/>
      <c r="AA2898" s="11">
        <f>IF(A2898="","",IF(AND(J2898="P4",F2898="causal"),"P4-CAUSAL",""))</f>
        <v/>
      </c>
    </row>
    <row r="2899" ht="15" customHeight="1" s="1">
      <c r="P2899">
        <f>IF(OR(F2899="",H2899="",J2899=""),"",J2899&amp;"|"&amp;F2899&amp;"|"&amp;IF(H2899="W3","W3_"&amp;IF(I2899="","unknown",I2899),H2899))</f>
        <v/>
      </c>
      <c r="Q2899">
        <f>IF(P2899="","",IFERROR(IF(AND(H2899="W7",OR(F2899="causal",F2899="predictive")),IF(AND(OR(K2899=1,K2899="1"),OR(L2899=1,L2899="1"),OR(M2899=1,M2899="1")),"adequate","partial"),IF(AND(H2899="W4",F2899="predictive",OR(J2899="P2",J2899="P3",J2899="P4")),IF(OR(U2899=1,U2899="1"),"adequate","partial"),INDEX(Fit_Matrix!$B:$B,MATCH(P2899,Fit_Matrix!$A:$A,0)))),"CHECK KEY"))</f>
        <v/>
      </c>
      <c r="U2899" s="10" t="n"/>
      <c r="V2899" s="10" t="n"/>
      <c r="W2899" s="10" t="n"/>
      <c r="X2899" s="10" t="n"/>
      <c r="Y2899" s="10" t="n"/>
      <c r="Z2899" s="10" t="n"/>
      <c r="AA2899" s="11">
        <f>IF(A2899="","",IF(AND(J2899="P4",F2899="causal"),"P4-CAUSAL",""))</f>
        <v/>
      </c>
    </row>
    <row r="2900" ht="15" customHeight="1" s="1">
      <c r="P2900">
        <f>IF(OR(F2900="",H2900="",J2900=""),"",J2900&amp;"|"&amp;F2900&amp;"|"&amp;IF(H2900="W3","W3_"&amp;IF(I2900="","unknown",I2900),H2900))</f>
        <v/>
      </c>
      <c r="Q2900">
        <f>IF(P2900="","",IFERROR(IF(AND(H2900="W7",OR(F2900="causal",F2900="predictive")),IF(AND(OR(K2900=1,K2900="1"),OR(L2900=1,L2900="1"),OR(M2900=1,M2900="1")),"adequate","partial"),IF(AND(H2900="W4",F2900="predictive",OR(J2900="P2",J2900="P3",J2900="P4")),IF(OR(U2900=1,U2900="1"),"adequate","partial"),INDEX(Fit_Matrix!$B:$B,MATCH(P2900,Fit_Matrix!$A:$A,0)))),"CHECK KEY"))</f>
        <v/>
      </c>
      <c r="U2900" s="10" t="n"/>
      <c r="V2900" s="10" t="n"/>
      <c r="W2900" s="10" t="n"/>
      <c r="X2900" s="10" t="n"/>
      <c r="Y2900" s="10" t="n"/>
      <c r="Z2900" s="10" t="n"/>
      <c r="AA2900" s="11">
        <f>IF(A2900="","",IF(AND(J2900="P4",F2900="causal"),"P4-CAUSAL",""))</f>
        <v/>
      </c>
    </row>
    <row r="2901" ht="15" customHeight="1" s="1">
      <c r="P2901">
        <f>IF(OR(F2901="",H2901="",J2901=""),"",J2901&amp;"|"&amp;F2901&amp;"|"&amp;IF(H2901="W3","W3_"&amp;IF(I2901="","unknown",I2901),H2901))</f>
        <v/>
      </c>
      <c r="Q2901">
        <f>IF(P2901="","",IFERROR(IF(AND(H2901="W7",OR(F2901="causal",F2901="predictive")),IF(AND(OR(K2901=1,K2901="1"),OR(L2901=1,L2901="1"),OR(M2901=1,M2901="1")),"adequate","partial"),IF(AND(H2901="W4",F2901="predictive",OR(J2901="P2",J2901="P3",J2901="P4")),IF(OR(U2901=1,U2901="1"),"adequate","partial"),INDEX(Fit_Matrix!$B:$B,MATCH(P2901,Fit_Matrix!$A:$A,0)))),"CHECK KEY"))</f>
        <v/>
      </c>
      <c r="U2901" s="10" t="n"/>
      <c r="V2901" s="10" t="n"/>
      <c r="W2901" s="10" t="n"/>
      <c r="X2901" s="10" t="n"/>
      <c r="Y2901" s="10" t="n"/>
      <c r="Z2901" s="10" t="n"/>
      <c r="AA2901" s="11">
        <f>IF(A2901="","",IF(AND(J2901="P4",F2901="causal"),"P4-CAUSAL",""))</f>
        <v/>
      </c>
    </row>
    <row r="2902" ht="15" customHeight="1" s="1">
      <c r="P2902">
        <f>IF(OR(F2902="",H2902="",J2902=""),"",J2902&amp;"|"&amp;F2902&amp;"|"&amp;IF(H2902="W3","W3_"&amp;IF(I2902="","unknown",I2902),H2902))</f>
        <v/>
      </c>
      <c r="Q2902">
        <f>IF(P2902="","",IFERROR(IF(AND(H2902="W7",OR(F2902="causal",F2902="predictive")),IF(AND(OR(K2902=1,K2902="1"),OR(L2902=1,L2902="1"),OR(M2902=1,M2902="1")),"adequate","partial"),IF(AND(H2902="W4",F2902="predictive",OR(J2902="P2",J2902="P3",J2902="P4")),IF(OR(U2902=1,U2902="1"),"adequate","partial"),INDEX(Fit_Matrix!$B:$B,MATCH(P2902,Fit_Matrix!$A:$A,0)))),"CHECK KEY"))</f>
        <v/>
      </c>
      <c r="U2902" s="10" t="n"/>
      <c r="V2902" s="10" t="n"/>
      <c r="W2902" s="10" t="n"/>
      <c r="X2902" s="10" t="n"/>
      <c r="Y2902" s="10" t="n"/>
      <c r="Z2902" s="10" t="n"/>
      <c r="AA2902" s="11">
        <f>IF(A2902="","",IF(AND(J2902="P4",F2902="causal"),"P4-CAUSAL",""))</f>
        <v/>
      </c>
    </row>
    <row r="2903" ht="15" customHeight="1" s="1">
      <c r="P2903">
        <f>IF(OR(F2903="",H2903="",J2903=""),"",J2903&amp;"|"&amp;F2903&amp;"|"&amp;IF(H2903="W3","W3_"&amp;IF(I2903="","unknown",I2903),H2903))</f>
        <v/>
      </c>
      <c r="Q2903">
        <f>IF(P2903="","",IFERROR(IF(AND(H2903="W7",OR(F2903="causal",F2903="predictive")),IF(AND(OR(K2903=1,K2903="1"),OR(L2903=1,L2903="1"),OR(M2903=1,M2903="1")),"adequate","partial"),IF(AND(H2903="W4",F2903="predictive",OR(J2903="P2",J2903="P3",J2903="P4")),IF(OR(U2903=1,U2903="1"),"adequate","partial"),INDEX(Fit_Matrix!$B:$B,MATCH(P2903,Fit_Matrix!$A:$A,0)))),"CHECK KEY"))</f>
        <v/>
      </c>
      <c r="U2903" s="10" t="n"/>
      <c r="V2903" s="10" t="n"/>
      <c r="W2903" s="10" t="n"/>
      <c r="X2903" s="10" t="n"/>
      <c r="Y2903" s="10" t="n"/>
      <c r="Z2903" s="10" t="n"/>
      <c r="AA2903" s="11">
        <f>IF(A2903="","",IF(AND(J2903="P4",F2903="causal"),"P4-CAUSAL",""))</f>
        <v/>
      </c>
    </row>
    <row r="2904" ht="15" customHeight="1" s="1">
      <c r="P2904">
        <f>IF(OR(F2904="",H2904="",J2904=""),"",J2904&amp;"|"&amp;F2904&amp;"|"&amp;IF(H2904="W3","W3_"&amp;IF(I2904="","unknown",I2904),H2904))</f>
        <v/>
      </c>
      <c r="Q2904">
        <f>IF(P2904="","",IFERROR(IF(AND(H2904="W7",OR(F2904="causal",F2904="predictive")),IF(AND(OR(K2904=1,K2904="1"),OR(L2904=1,L2904="1"),OR(M2904=1,M2904="1")),"adequate","partial"),IF(AND(H2904="W4",F2904="predictive",OR(J2904="P2",J2904="P3",J2904="P4")),IF(OR(U2904=1,U2904="1"),"adequate","partial"),INDEX(Fit_Matrix!$B:$B,MATCH(P2904,Fit_Matrix!$A:$A,0)))),"CHECK KEY"))</f>
        <v/>
      </c>
      <c r="U2904" s="10" t="n"/>
      <c r="V2904" s="10" t="n"/>
      <c r="W2904" s="10" t="n"/>
      <c r="X2904" s="10" t="n"/>
      <c r="Y2904" s="10" t="n"/>
      <c r="Z2904" s="10" t="n"/>
      <c r="AA2904" s="11">
        <f>IF(A2904="","",IF(AND(J2904="P4",F2904="causal"),"P4-CAUSAL",""))</f>
        <v/>
      </c>
    </row>
    <row r="2905" ht="15" customHeight="1" s="1">
      <c r="P2905">
        <f>IF(OR(F2905="",H2905="",J2905=""),"",J2905&amp;"|"&amp;F2905&amp;"|"&amp;IF(H2905="W3","W3_"&amp;IF(I2905="","unknown",I2905),H2905))</f>
        <v/>
      </c>
      <c r="Q2905">
        <f>IF(P2905="","",IFERROR(IF(AND(H2905="W7",OR(F2905="causal",F2905="predictive")),IF(AND(OR(K2905=1,K2905="1"),OR(L2905=1,L2905="1"),OR(M2905=1,M2905="1")),"adequate","partial"),IF(AND(H2905="W4",F2905="predictive",OR(J2905="P2",J2905="P3",J2905="P4")),IF(OR(U2905=1,U2905="1"),"adequate","partial"),INDEX(Fit_Matrix!$B:$B,MATCH(P2905,Fit_Matrix!$A:$A,0)))),"CHECK KEY"))</f>
        <v/>
      </c>
      <c r="U2905" s="10" t="n"/>
      <c r="V2905" s="10" t="n"/>
      <c r="W2905" s="10" t="n"/>
      <c r="X2905" s="10" t="n"/>
      <c r="Y2905" s="10" t="n"/>
      <c r="Z2905" s="10" t="n"/>
      <c r="AA2905" s="11">
        <f>IF(A2905="","",IF(AND(J2905="P4",F2905="causal"),"P4-CAUSAL",""))</f>
        <v/>
      </c>
    </row>
    <row r="2906" ht="15" customHeight="1" s="1">
      <c r="P2906">
        <f>IF(OR(F2906="",H2906="",J2906=""),"",J2906&amp;"|"&amp;F2906&amp;"|"&amp;IF(H2906="W3","W3_"&amp;IF(I2906="","unknown",I2906),H2906))</f>
        <v/>
      </c>
      <c r="Q2906">
        <f>IF(P2906="","",IFERROR(IF(AND(H2906="W7",OR(F2906="causal",F2906="predictive")),IF(AND(OR(K2906=1,K2906="1"),OR(L2906=1,L2906="1"),OR(M2906=1,M2906="1")),"adequate","partial"),IF(AND(H2906="W4",F2906="predictive",OR(J2906="P2",J2906="P3",J2906="P4")),IF(OR(U2906=1,U2906="1"),"adequate","partial"),INDEX(Fit_Matrix!$B:$B,MATCH(P2906,Fit_Matrix!$A:$A,0)))),"CHECK KEY"))</f>
        <v/>
      </c>
      <c r="U2906" s="10" t="n"/>
      <c r="V2906" s="10" t="n"/>
      <c r="W2906" s="10" t="n"/>
      <c r="X2906" s="10" t="n"/>
      <c r="Y2906" s="10" t="n"/>
      <c r="Z2906" s="10" t="n"/>
      <c r="AA2906" s="11">
        <f>IF(A2906="","",IF(AND(J2906="P4",F2906="causal"),"P4-CAUSAL",""))</f>
        <v/>
      </c>
    </row>
    <row r="2907" ht="15" customHeight="1" s="1">
      <c r="P2907">
        <f>IF(OR(F2907="",H2907="",J2907=""),"",J2907&amp;"|"&amp;F2907&amp;"|"&amp;IF(H2907="W3","W3_"&amp;IF(I2907="","unknown",I2907),H2907))</f>
        <v/>
      </c>
      <c r="Q2907">
        <f>IF(P2907="","",IFERROR(IF(AND(H2907="W7",OR(F2907="causal",F2907="predictive")),IF(AND(OR(K2907=1,K2907="1"),OR(L2907=1,L2907="1"),OR(M2907=1,M2907="1")),"adequate","partial"),IF(AND(H2907="W4",F2907="predictive",OR(J2907="P2",J2907="P3",J2907="P4")),IF(OR(U2907=1,U2907="1"),"adequate","partial"),INDEX(Fit_Matrix!$B:$B,MATCH(P2907,Fit_Matrix!$A:$A,0)))),"CHECK KEY"))</f>
        <v/>
      </c>
      <c r="U2907" s="10" t="n"/>
      <c r="V2907" s="10" t="n"/>
      <c r="W2907" s="10" t="n"/>
      <c r="X2907" s="10" t="n"/>
      <c r="Y2907" s="10" t="n"/>
      <c r="Z2907" s="10" t="n"/>
      <c r="AA2907" s="11">
        <f>IF(A2907="","",IF(AND(J2907="P4",F2907="causal"),"P4-CAUSAL",""))</f>
        <v/>
      </c>
    </row>
    <row r="2908" ht="15" customHeight="1" s="1">
      <c r="P2908">
        <f>IF(OR(F2908="",H2908="",J2908=""),"",J2908&amp;"|"&amp;F2908&amp;"|"&amp;IF(H2908="W3","W3_"&amp;IF(I2908="","unknown",I2908),H2908))</f>
        <v/>
      </c>
      <c r="Q2908">
        <f>IF(P2908="","",IFERROR(IF(AND(H2908="W7",OR(F2908="causal",F2908="predictive")),IF(AND(OR(K2908=1,K2908="1"),OR(L2908=1,L2908="1"),OR(M2908=1,M2908="1")),"adequate","partial"),IF(AND(H2908="W4",F2908="predictive",OR(J2908="P2",J2908="P3",J2908="P4")),IF(OR(U2908=1,U2908="1"),"adequate","partial"),INDEX(Fit_Matrix!$B:$B,MATCH(P2908,Fit_Matrix!$A:$A,0)))),"CHECK KEY"))</f>
        <v/>
      </c>
      <c r="U2908" s="10" t="n"/>
      <c r="V2908" s="10" t="n"/>
      <c r="W2908" s="10" t="n"/>
      <c r="X2908" s="10" t="n"/>
      <c r="Y2908" s="10" t="n"/>
      <c r="Z2908" s="10" t="n"/>
      <c r="AA2908" s="11">
        <f>IF(A2908="","",IF(AND(J2908="P4",F2908="causal"),"P4-CAUSAL",""))</f>
        <v/>
      </c>
    </row>
    <row r="2909" ht="15" customHeight="1" s="1">
      <c r="P2909">
        <f>IF(OR(F2909="",H2909="",J2909=""),"",J2909&amp;"|"&amp;F2909&amp;"|"&amp;IF(H2909="W3","W3_"&amp;IF(I2909="","unknown",I2909),H2909))</f>
        <v/>
      </c>
      <c r="Q2909">
        <f>IF(P2909="","",IFERROR(IF(AND(H2909="W7",OR(F2909="causal",F2909="predictive")),IF(AND(OR(K2909=1,K2909="1"),OR(L2909=1,L2909="1"),OR(M2909=1,M2909="1")),"adequate","partial"),IF(AND(H2909="W4",F2909="predictive",OR(J2909="P2",J2909="P3",J2909="P4")),IF(OR(U2909=1,U2909="1"),"adequate","partial"),INDEX(Fit_Matrix!$B:$B,MATCH(P2909,Fit_Matrix!$A:$A,0)))),"CHECK KEY"))</f>
        <v/>
      </c>
      <c r="U2909" s="10" t="n"/>
      <c r="V2909" s="10" t="n"/>
      <c r="W2909" s="10" t="n"/>
      <c r="X2909" s="10" t="n"/>
      <c r="Y2909" s="10" t="n"/>
      <c r="Z2909" s="10" t="n"/>
      <c r="AA2909" s="11">
        <f>IF(A2909="","",IF(AND(J2909="P4",F2909="causal"),"P4-CAUSAL",""))</f>
        <v/>
      </c>
    </row>
    <row r="2910" ht="15" customHeight="1" s="1">
      <c r="P2910">
        <f>IF(OR(F2910="",H2910="",J2910=""),"",J2910&amp;"|"&amp;F2910&amp;"|"&amp;IF(H2910="W3","W3_"&amp;IF(I2910="","unknown",I2910),H2910))</f>
        <v/>
      </c>
      <c r="Q2910">
        <f>IF(P2910="","",IFERROR(IF(AND(H2910="W7",OR(F2910="causal",F2910="predictive")),IF(AND(OR(K2910=1,K2910="1"),OR(L2910=1,L2910="1"),OR(M2910=1,M2910="1")),"adequate","partial"),IF(AND(H2910="W4",F2910="predictive",OR(J2910="P2",J2910="P3",J2910="P4")),IF(OR(U2910=1,U2910="1"),"adequate","partial"),INDEX(Fit_Matrix!$B:$B,MATCH(P2910,Fit_Matrix!$A:$A,0)))),"CHECK KEY"))</f>
        <v/>
      </c>
      <c r="U2910" s="10" t="n"/>
      <c r="V2910" s="10" t="n"/>
      <c r="W2910" s="10" t="n"/>
      <c r="X2910" s="10" t="n"/>
      <c r="Y2910" s="10" t="n"/>
      <c r="Z2910" s="10" t="n"/>
      <c r="AA2910" s="11">
        <f>IF(A2910="","",IF(AND(J2910="P4",F2910="causal"),"P4-CAUSAL",""))</f>
        <v/>
      </c>
    </row>
    <row r="2911" ht="15" customHeight="1" s="1">
      <c r="P2911">
        <f>IF(OR(F2911="",H2911="",J2911=""),"",J2911&amp;"|"&amp;F2911&amp;"|"&amp;IF(H2911="W3","W3_"&amp;IF(I2911="","unknown",I2911),H2911))</f>
        <v/>
      </c>
      <c r="Q2911">
        <f>IF(P2911="","",IFERROR(IF(AND(H2911="W7",OR(F2911="causal",F2911="predictive")),IF(AND(OR(K2911=1,K2911="1"),OR(L2911=1,L2911="1"),OR(M2911=1,M2911="1")),"adequate","partial"),IF(AND(H2911="W4",F2911="predictive",OR(J2911="P2",J2911="P3",J2911="P4")),IF(OR(U2911=1,U2911="1"),"adequate","partial"),INDEX(Fit_Matrix!$B:$B,MATCH(P2911,Fit_Matrix!$A:$A,0)))),"CHECK KEY"))</f>
        <v/>
      </c>
      <c r="U2911" s="10" t="n"/>
      <c r="V2911" s="10" t="n"/>
      <c r="W2911" s="10" t="n"/>
      <c r="X2911" s="10" t="n"/>
      <c r="Y2911" s="10" t="n"/>
      <c r="Z2911" s="10" t="n"/>
      <c r="AA2911" s="11">
        <f>IF(A2911="","",IF(AND(J2911="P4",F2911="causal"),"P4-CAUSAL",""))</f>
        <v/>
      </c>
    </row>
    <row r="2912" ht="15" customHeight="1" s="1">
      <c r="P2912">
        <f>IF(OR(F2912="",H2912="",J2912=""),"",J2912&amp;"|"&amp;F2912&amp;"|"&amp;IF(H2912="W3","W3_"&amp;IF(I2912="","unknown",I2912),H2912))</f>
        <v/>
      </c>
      <c r="Q2912">
        <f>IF(P2912="","",IFERROR(IF(AND(H2912="W7",OR(F2912="causal",F2912="predictive")),IF(AND(OR(K2912=1,K2912="1"),OR(L2912=1,L2912="1"),OR(M2912=1,M2912="1")),"adequate","partial"),IF(AND(H2912="W4",F2912="predictive",OR(J2912="P2",J2912="P3",J2912="P4")),IF(OR(U2912=1,U2912="1"),"adequate","partial"),INDEX(Fit_Matrix!$B:$B,MATCH(P2912,Fit_Matrix!$A:$A,0)))),"CHECK KEY"))</f>
        <v/>
      </c>
      <c r="U2912" s="10" t="n"/>
      <c r="V2912" s="10" t="n"/>
      <c r="W2912" s="10" t="n"/>
      <c r="X2912" s="10" t="n"/>
      <c r="Y2912" s="10" t="n"/>
      <c r="Z2912" s="10" t="n"/>
      <c r="AA2912" s="11">
        <f>IF(A2912="","",IF(AND(J2912="P4",F2912="causal"),"P4-CAUSAL",""))</f>
        <v/>
      </c>
    </row>
    <row r="2913" ht="15" customHeight="1" s="1">
      <c r="P2913">
        <f>IF(OR(F2913="",H2913="",J2913=""),"",J2913&amp;"|"&amp;F2913&amp;"|"&amp;IF(H2913="W3","W3_"&amp;IF(I2913="","unknown",I2913),H2913))</f>
        <v/>
      </c>
      <c r="Q2913">
        <f>IF(P2913="","",IFERROR(IF(AND(H2913="W7",OR(F2913="causal",F2913="predictive")),IF(AND(OR(K2913=1,K2913="1"),OR(L2913=1,L2913="1"),OR(M2913=1,M2913="1")),"adequate","partial"),IF(AND(H2913="W4",F2913="predictive",OR(J2913="P2",J2913="P3",J2913="P4")),IF(OR(U2913=1,U2913="1"),"adequate","partial"),INDEX(Fit_Matrix!$B:$B,MATCH(P2913,Fit_Matrix!$A:$A,0)))),"CHECK KEY"))</f>
        <v/>
      </c>
      <c r="U2913" s="10" t="n"/>
      <c r="V2913" s="10" t="n"/>
      <c r="W2913" s="10" t="n"/>
      <c r="X2913" s="10" t="n"/>
      <c r="Y2913" s="10" t="n"/>
      <c r="Z2913" s="10" t="n"/>
      <c r="AA2913" s="11">
        <f>IF(A2913="","",IF(AND(J2913="P4",F2913="causal"),"P4-CAUSAL",""))</f>
        <v/>
      </c>
    </row>
    <row r="2914" ht="15" customHeight="1" s="1">
      <c r="P2914">
        <f>IF(OR(F2914="",H2914="",J2914=""),"",J2914&amp;"|"&amp;F2914&amp;"|"&amp;IF(H2914="W3","W3_"&amp;IF(I2914="","unknown",I2914),H2914))</f>
        <v/>
      </c>
      <c r="Q2914">
        <f>IF(P2914="","",IFERROR(IF(AND(H2914="W7",OR(F2914="causal",F2914="predictive")),IF(AND(OR(K2914=1,K2914="1"),OR(L2914=1,L2914="1"),OR(M2914=1,M2914="1")),"adequate","partial"),IF(AND(H2914="W4",F2914="predictive",OR(J2914="P2",J2914="P3",J2914="P4")),IF(OR(U2914=1,U2914="1"),"adequate","partial"),INDEX(Fit_Matrix!$B:$B,MATCH(P2914,Fit_Matrix!$A:$A,0)))),"CHECK KEY"))</f>
        <v/>
      </c>
      <c r="U2914" s="10" t="n"/>
      <c r="V2914" s="10" t="n"/>
      <c r="W2914" s="10" t="n"/>
      <c r="X2914" s="10" t="n"/>
      <c r="Y2914" s="10" t="n"/>
      <c r="Z2914" s="10" t="n"/>
      <c r="AA2914" s="11">
        <f>IF(A2914="","",IF(AND(J2914="P4",F2914="causal"),"P4-CAUSAL",""))</f>
        <v/>
      </c>
    </row>
    <row r="2915" ht="15" customHeight="1" s="1">
      <c r="P2915">
        <f>IF(OR(F2915="",H2915="",J2915=""),"",J2915&amp;"|"&amp;F2915&amp;"|"&amp;IF(H2915="W3","W3_"&amp;IF(I2915="","unknown",I2915),H2915))</f>
        <v/>
      </c>
      <c r="Q2915">
        <f>IF(P2915="","",IFERROR(IF(AND(H2915="W7",OR(F2915="causal",F2915="predictive")),IF(AND(OR(K2915=1,K2915="1"),OR(L2915=1,L2915="1"),OR(M2915=1,M2915="1")),"adequate","partial"),IF(AND(H2915="W4",F2915="predictive",OR(J2915="P2",J2915="P3",J2915="P4")),IF(OR(U2915=1,U2915="1"),"adequate","partial"),INDEX(Fit_Matrix!$B:$B,MATCH(P2915,Fit_Matrix!$A:$A,0)))),"CHECK KEY"))</f>
        <v/>
      </c>
      <c r="U2915" s="10" t="n"/>
      <c r="V2915" s="10" t="n"/>
      <c r="W2915" s="10" t="n"/>
      <c r="X2915" s="10" t="n"/>
      <c r="Y2915" s="10" t="n"/>
      <c r="Z2915" s="10" t="n"/>
      <c r="AA2915" s="11">
        <f>IF(A2915="","",IF(AND(J2915="P4",F2915="causal"),"P4-CAUSAL",""))</f>
        <v/>
      </c>
    </row>
    <row r="2916" ht="15" customHeight="1" s="1">
      <c r="P2916">
        <f>IF(OR(F2916="",H2916="",J2916=""),"",J2916&amp;"|"&amp;F2916&amp;"|"&amp;IF(H2916="W3","W3_"&amp;IF(I2916="","unknown",I2916),H2916))</f>
        <v/>
      </c>
      <c r="Q2916">
        <f>IF(P2916="","",IFERROR(IF(AND(H2916="W7",OR(F2916="causal",F2916="predictive")),IF(AND(OR(K2916=1,K2916="1"),OR(L2916=1,L2916="1"),OR(M2916=1,M2916="1")),"adequate","partial"),IF(AND(H2916="W4",F2916="predictive",OR(J2916="P2",J2916="P3",J2916="P4")),IF(OR(U2916=1,U2916="1"),"adequate","partial"),INDEX(Fit_Matrix!$B:$B,MATCH(P2916,Fit_Matrix!$A:$A,0)))),"CHECK KEY"))</f>
        <v/>
      </c>
      <c r="U2916" s="10" t="n"/>
      <c r="V2916" s="10" t="n"/>
      <c r="W2916" s="10" t="n"/>
      <c r="X2916" s="10" t="n"/>
      <c r="Y2916" s="10" t="n"/>
      <c r="Z2916" s="10" t="n"/>
      <c r="AA2916" s="11">
        <f>IF(A2916="","",IF(AND(J2916="P4",F2916="causal"),"P4-CAUSAL",""))</f>
        <v/>
      </c>
    </row>
    <row r="2917" ht="15" customHeight="1" s="1">
      <c r="P2917">
        <f>IF(OR(F2917="",H2917="",J2917=""),"",J2917&amp;"|"&amp;F2917&amp;"|"&amp;IF(H2917="W3","W3_"&amp;IF(I2917="","unknown",I2917),H2917))</f>
        <v/>
      </c>
      <c r="Q2917">
        <f>IF(P2917="","",IFERROR(IF(AND(H2917="W7",OR(F2917="causal",F2917="predictive")),IF(AND(OR(K2917=1,K2917="1"),OR(L2917=1,L2917="1"),OR(M2917=1,M2917="1")),"adequate","partial"),IF(AND(H2917="W4",F2917="predictive",OR(J2917="P2",J2917="P3",J2917="P4")),IF(OR(U2917=1,U2917="1"),"adequate","partial"),INDEX(Fit_Matrix!$B:$B,MATCH(P2917,Fit_Matrix!$A:$A,0)))),"CHECK KEY"))</f>
        <v/>
      </c>
      <c r="U2917" s="10" t="n"/>
      <c r="V2917" s="10" t="n"/>
      <c r="W2917" s="10" t="n"/>
      <c r="X2917" s="10" t="n"/>
      <c r="Y2917" s="10" t="n"/>
      <c r="Z2917" s="10" t="n"/>
      <c r="AA2917" s="11">
        <f>IF(A2917="","",IF(AND(J2917="P4",F2917="causal"),"P4-CAUSAL",""))</f>
        <v/>
      </c>
    </row>
    <row r="2918" ht="15" customHeight="1" s="1">
      <c r="P2918">
        <f>IF(OR(F2918="",H2918="",J2918=""),"",J2918&amp;"|"&amp;F2918&amp;"|"&amp;IF(H2918="W3","W3_"&amp;IF(I2918="","unknown",I2918),H2918))</f>
        <v/>
      </c>
      <c r="Q2918">
        <f>IF(P2918="","",IFERROR(IF(AND(H2918="W7",OR(F2918="causal",F2918="predictive")),IF(AND(OR(K2918=1,K2918="1"),OR(L2918=1,L2918="1"),OR(M2918=1,M2918="1")),"adequate","partial"),IF(AND(H2918="W4",F2918="predictive",OR(J2918="P2",J2918="P3",J2918="P4")),IF(OR(U2918=1,U2918="1"),"adequate","partial"),INDEX(Fit_Matrix!$B:$B,MATCH(P2918,Fit_Matrix!$A:$A,0)))),"CHECK KEY"))</f>
        <v/>
      </c>
      <c r="U2918" s="10" t="n"/>
      <c r="V2918" s="10" t="n"/>
      <c r="W2918" s="10" t="n"/>
      <c r="X2918" s="10" t="n"/>
      <c r="Y2918" s="10" t="n"/>
      <c r="Z2918" s="10" t="n"/>
      <c r="AA2918" s="11">
        <f>IF(A2918="","",IF(AND(J2918="P4",F2918="causal"),"P4-CAUSAL",""))</f>
        <v/>
      </c>
    </row>
    <row r="2919" ht="15" customHeight="1" s="1">
      <c r="P2919">
        <f>IF(OR(F2919="",H2919="",J2919=""),"",J2919&amp;"|"&amp;F2919&amp;"|"&amp;IF(H2919="W3","W3_"&amp;IF(I2919="","unknown",I2919),H2919))</f>
        <v/>
      </c>
      <c r="Q2919">
        <f>IF(P2919="","",IFERROR(IF(AND(H2919="W7",OR(F2919="causal",F2919="predictive")),IF(AND(OR(K2919=1,K2919="1"),OR(L2919=1,L2919="1"),OR(M2919=1,M2919="1")),"adequate","partial"),IF(AND(H2919="W4",F2919="predictive",OR(J2919="P2",J2919="P3",J2919="P4")),IF(OR(U2919=1,U2919="1"),"adequate","partial"),INDEX(Fit_Matrix!$B:$B,MATCH(P2919,Fit_Matrix!$A:$A,0)))),"CHECK KEY"))</f>
        <v/>
      </c>
      <c r="U2919" s="10" t="n"/>
      <c r="V2919" s="10" t="n"/>
      <c r="W2919" s="10" t="n"/>
      <c r="X2919" s="10" t="n"/>
      <c r="Y2919" s="10" t="n"/>
      <c r="Z2919" s="10" t="n"/>
      <c r="AA2919" s="11">
        <f>IF(A2919="","",IF(AND(J2919="P4",F2919="causal"),"P4-CAUSAL",""))</f>
        <v/>
      </c>
    </row>
    <row r="2920" ht="15" customHeight="1" s="1">
      <c r="P2920">
        <f>IF(OR(F2920="",H2920="",J2920=""),"",J2920&amp;"|"&amp;F2920&amp;"|"&amp;IF(H2920="W3","W3_"&amp;IF(I2920="","unknown",I2920),H2920))</f>
        <v/>
      </c>
      <c r="Q2920">
        <f>IF(P2920="","",IFERROR(IF(AND(H2920="W7",OR(F2920="causal",F2920="predictive")),IF(AND(OR(K2920=1,K2920="1"),OR(L2920=1,L2920="1"),OR(M2920=1,M2920="1")),"adequate","partial"),IF(AND(H2920="W4",F2920="predictive",OR(J2920="P2",J2920="P3",J2920="P4")),IF(OR(U2920=1,U2920="1"),"adequate","partial"),INDEX(Fit_Matrix!$B:$B,MATCH(P2920,Fit_Matrix!$A:$A,0)))),"CHECK KEY"))</f>
        <v/>
      </c>
      <c r="U2920" s="10" t="n"/>
      <c r="V2920" s="10" t="n"/>
      <c r="W2920" s="10" t="n"/>
      <c r="X2920" s="10" t="n"/>
      <c r="Y2920" s="10" t="n"/>
      <c r="Z2920" s="10" t="n"/>
      <c r="AA2920" s="11">
        <f>IF(A2920="","",IF(AND(J2920="P4",F2920="causal"),"P4-CAUSAL",""))</f>
        <v/>
      </c>
    </row>
    <row r="2921" ht="15" customHeight="1" s="1">
      <c r="P2921">
        <f>IF(OR(F2921="",H2921="",J2921=""),"",J2921&amp;"|"&amp;F2921&amp;"|"&amp;IF(H2921="W3","W3_"&amp;IF(I2921="","unknown",I2921),H2921))</f>
        <v/>
      </c>
      <c r="Q2921">
        <f>IF(P2921="","",IFERROR(IF(AND(H2921="W7",OR(F2921="causal",F2921="predictive")),IF(AND(OR(K2921=1,K2921="1"),OR(L2921=1,L2921="1"),OR(M2921=1,M2921="1")),"adequate","partial"),IF(AND(H2921="W4",F2921="predictive",OR(J2921="P2",J2921="P3",J2921="P4")),IF(OR(U2921=1,U2921="1"),"adequate","partial"),INDEX(Fit_Matrix!$B:$B,MATCH(P2921,Fit_Matrix!$A:$A,0)))),"CHECK KEY"))</f>
        <v/>
      </c>
      <c r="U2921" s="10" t="n"/>
      <c r="V2921" s="10" t="n"/>
      <c r="W2921" s="10" t="n"/>
      <c r="X2921" s="10" t="n"/>
      <c r="Y2921" s="10" t="n"/>
      <c r="Z2921" s="10" t="n"/>
      <c r="AA2921" s="11">
        <f>IF(A2921="","",IF(AND(J2921="P4",F2921="causal"),"P4-CAUSAL",""))</f>
        <v/>
      </c>
    </row>
    <row r="2922" ht="15" customHeight="1" s="1">
      <c r="P2922">
        <f>IF(OR(F2922="",H2922="",J2922=""),"",J2922&amp;"|"&amp;F2922&amp;"|"&amp;IF(H2922="W3","W3_"&amp;IF(I2922="","unknown",I2922),H2922))</f>
        <v/>
      </c>
      <c r="Q2922">
        <f>IF(P2922="","",IFERROR(IF(AND(H2922="W7",OR(F2922="causal",F2922="predictive")),IF(AND(OR(K2922=1,K2922="1"),OR(L2922=1,L2922="1"),OR(M2922=1,M2922="1")),"adequate","partial"),IF(AND(H2922="W4",F2922="predictive",OR(J2922="P2",J2922="P3",J2922="P4")),IF(OR(U2922=1,U2922="1"),"adequate","partial"),INDEX(Fit_Matrix!$B:$B,MATCH(P2922,Fit_Matrix!$A:$A,0)))),"CHECK KEY"))</f>
        <v/>
      </c>
      <c r="U2922" s="10" t="n"/>
      <c r="V2922" s="10" t="n"/>
      <c r="W2922" s="10" t="n"/>
      <c r="X2922" s="10" t="n"/>
      <c r="Y2922" s="10" t="n"/>
      <c r="Z2922" s="10" t="n"/>
      <c r="AA2922" s="11">
        <f>IF(A2922="","",IF(AND(J2922="P4",F2922="causal"),"P4-CAUSAL",""))</f>
        <v/>
      </c>
    </row>
    <row r="2923" ht="15" customHeight="1" s="1">
      <c r="P2923">
        <f>IF(OR(F2923="",H2923="",J2923=""),"",J2923&amp;"|"&amp;F2923&amp;"|"&amp;IF(H2923="W3","W3_"&amp;IF(I2923="","unknown",I2923),H2923))</f>
        <v/>
      </c>
      <c r="Q2923">
        <f>IF(P2923="","",IFERROR(IF(AND(H2923="W7",OR(F2923="causal",F2923="predictive")),IF(AND(OR(K2923=1,K2923="1"),OR(L2923=1,L2923="1"),OR(M2923=1,M2923="1")),"adequate","partial"),IF(AND(H2923="W4",F2923="predictive",OR(J2923="P2",J2923="P3",J2923="P4")),IF(OR(U2923=1,U2923="1"),"adequate","partial"),INDEX(Fit_Matrix!$B:$B,MATCH(P2923,Fit_Matrix!$A:$A,0)))),"CHECK KEY"))</f>
        <v/>
      </c>
      <c r="U2923" s="10" t="n"/>
      <c r="V2923" s="10" t="n"/>
      <c r="W2923" s="10" t="n"/>
      <c r="X2923" s="10" t="n"/>
      <c r="Y2923" s="10" t="n"/>
      <c r="Z2923" s="10" t="n"/>
      <c r="AA2923" s="11">
        <f>IF(A2923="","",IF(AND(J2923="P4",F2923="causal"),"P4-CAUSAL",""))</f>
        <v/>
      </c>
    </row>
    <row r="2924" ht="15" customHeight="1" s="1">
      <c r="P2924">
        <f>IF(OR(F2924="",H2924="",J2924=""),"",J2924&amp;"|"&amp;F2924&amp;"|"&amp;IF(H2924="W3","W3_"&amp;IF(I2924="","unknown",I2924),H2924))</f>
        <v/>
      </c>
      <c r="Q2924">
        <f>IF(P2924="","",IFERROR(IF(AND(H2924="W7",OR(F2924="causal",F2924="predictive")),IF(AND(OR(K2924=1,K2924="1"),OR(L2924=1,L2924="1"),OR(M2924=1,M2924="1")),"adequate","partial"),IF(AND(H2924="W4",F2924="predictive",OR(J2924="P2",J2924="P3",J2924="P4")),IF(OR(U2924=1,U2924="1"),"adequate","partial"),INDEX(Fit_Matrix!$B:$B,MATCH(P2924,Fit_Matrix!$A:$A,0)))),"CHECK KEY"))</f>
        <v/>
      </c>
      <c r="U2924" s="10" t="n"/>
      <c r="V2924" s="10" t="n"/>
      <c r="W2924" s="10" t="n"/>
      <c r="X2924" s="10" t="n"/>
      <c r="Y2924" s="10" t="n"/>
      <c r="Z2924" s="10" t="n"/>
      <c r="AA2924" s="11">
        <f>IF(A2924="","",IF(AND(J2924="P4",F2924="causal"),"P4-CAUSAL",""))</f>
        <v/>
      </c>
    </row>
    <row r="2925" ht="15" customHeight="1" s="1">
      <c r="P2925">
        <f>IF(OR(F2925="",H2925="",J2925=""),"",J2925&amp;"|"&amp;F2925&amp;"|"&amp;IF(H2925="W3","W3_"&amp;IF(I2925="","unknown",I2925),H2925))</f>
        <v/>
      </c>
      <c r="Q2925">
        <f>IF(P2925="","",IFERROR(IF(AND(H2925="W7",OR(F2925="causal",F2925="predictive")),IF(AND(OR(K2925=1,K2925="1"),OR(L2925=1,L2925="1"),OR(M2925=1,M2925="1")),"adequate","partial"),IF(AND(H2925="W4",F2925="predictive",OR(J2925="P2",J2925="P3",J2925="P4")),IF(OR(U2925=1,U2925="1"),"adequate","partial"),INDEX(Fit_Matrix!$B:$B,MATCH(P2925,Fit_Matrix!$A:$A,0)))),"CHECK KEY"))</f>
        <v/>
      </c>
      <c r="U2925" s="10" t="n"/>
      <c r="V2925" s="10" t="n"/>
      <c r="W2925" s="10" t="n"/>
      <c r="X2925" s="10" t="n"/>
      <c r="Y2925" s="10" t="n"/>
      <c r="Z2925" s="10" t="n"/>
      <c r="AA2925" s="11">
        <f>IF(A2925="","",IF(AND(J2925="P4",F2925="causal"),"P4-CAUSAL",""))</f>
        <v/>
      </c>
    </row>
    <row r="2926" ht="15" customHeight="1" s="1">
      <c r="P2926">
        <f>IF(OR(F2926="",H2926="",J2926=""),"",J2926&amp;"|"&amp;F2926&amp;"|"&amp;IF(H2926="W3","W3_"&amp;IF(I2926="","unknown",I2926),H2926))</f>
        <v/>
      </c>
      <c r="Q2926">
        <f>IF(P2926="","",IFERROR(IF(AND(H2926="W7",OR(F2926="causal",F2926="predictive")),IF(AND(OR(K2926=1,K2926="1"),OR(L2926=1,L2926="1"),OR(M2926=1,M2926="1")),"adequate","partial"),IF(AND(H2926="W4",F2926="predictive",OR(J2926="P2",J2926="P3",J2926="P4")),IF(OR(U2926=1,U2926="1"),"adequate","partial"),INDEX(Fit_Matrix!$B:$B,MATCH(P2926,Fit_Matrix!$A:$A,0)))),"CHECK KEY"))</f>
        <v/>
      </c>
      <c r="U2926" s="10" t="n"/>
      <c r="V2926" s="10" t="n"/>
      <c r="W2926" s="10" t="n"/>
      <c r="X2926" s="10" t="n"/>
      <c r="Y2926" s="10" t="n"/>
      <c r="Z2926" s="10" t="n"/>
      <c r="AA2926" s="11">
        <f>IF(A2926="","",IF(AND(J2926="P4",F2926="causal"),"P4-CAUSAL",""))</f>
        <v/>
      </c>
    </row>
    <row r="2927" ht="15" customHeight="1" s="1">
      <c r="P2927">
        <f>IF(OR(F2927="",H2927="",J2927=""),"",J2927&amp;"|"&amp;F2927&amp;"|"&amp;IF(H2927="W3","W3_"&amp;IF(I2927="","unknown",I2927),H2927))</f>
        <v/>
      </c>
      <c r="Q2927">
        <f>IF(P2927="","",IFERROR(IF(AND(H2927="W7",OR(F2927="causal",F2927="predictive")),IF(AND(OR(K2927=1,K2927="1"),OR(L2927=1,L2927="1"),OR(M2927=1,M2927="1")),"adequate","partial"),IF(AND(H2927="W4",F2927="predictive",OR(J2927="P2",J2927="P3",J2927="P4")),IF(OR(U2927=1,U2927="1"),"adequate","partial"),INDEX(Fit_Matrix!$B:$B,MATCH(P2927,Fit_Matrix!$A:$A,0)))),"CHECK KEY"))</f>
        <v/>
      </c>
      <c r="U2927" s="10" t="n"/>
      <c r="V2927" s="10" t="n"/>
      <c r="W2927" s="10" t="n"/>
      <c r="X2927" s="10" t="n"/>
      <c r="Y2927" s="10" t="n"/>
      <c r="Z2927" s="10" t="n"/>
      <c r="AA2927" s="11">
        <f>IF(A2927="","",IF(AND(J2927="P4",F2927="causal"),"P4-CAUSAL",""))</f>
        <v/>
      </c>
    </row>
    <row r="2928" ht="15" customHeight="1" s="1">
      <c r="P2928">
        <f>IF(OR(F2928="",H2928="",J2928=""),"",J2928&amp;"|"&amp;F2928&amp;"|"&amp;IF(H2928="W3","W3_"&amp;IF(I2928="","unknown",I2928),H2928))</f>
        <v/>
      </c>
      <c r="Q2928">
        <f>IF(P2928="","",IFERROR(IF(AND(H2928="W7",OR(F2928="causal",F2928="predictive")),IF(AND(OR(K2928=1,K2928="1"),OR(L2928=1,L2928="1"),OR(M2928=1,M2928="1")),"adequate","partial"),IF(AND(H2928="W4",F2928="predictive",OR(J2928="P2",J2928="P3",J2928="P4")),IF(OR(U2928=1,U2928="1"),"adequate","partial"),INDEX(Fit_Matrix!$B:$B,MATCH(P2928,Fit_Matrix!$A:$A,0)))),"CHECK KEY"))</f>
        <v/>
      </c>
      <c r="U2928" s="10" t="n"/>
      <c r="V2928" s="10" t="n"/>
      <c r="W2928" s="10" t="n"/>
      <c r="X2928" s="10" t="n"/>
      <c r="Y2928" s="10" t="n"/>
      <c r="Z2928" s="10" t="n"/>
      <c r="AA2928" s="11">
        <f>IF(A2928="","",IF(AND(J2928="P4",F2928="causal"),"P4-CAUSAL",""))</f>
        <v/>
      </c>
    </row>
    <row r="2929" ht="15" customHeight="1" s="1">
      <c r="P2929">
        <f>IF(OR(F2929="",H2929="",J2929=""),"",J2929&amp;"|"&amp;F2929&amp;"|"&amp;IF(H2929="W3","W3_"&amp;IF(I2929="","unknown",I2929),H2929))</f>
        <v/>
      </c>
      <c r="Q2929">
        <f>IF(P2929="","",IFERROR(IF(AND(H2929="W7",OR(F2929="causal",F2929="predictive")),IF(AND(OR(K2929=1,K2929="1"),OR(L2929=1,L2929="1"),OR(M2929=1,M2929="1")),"adequate","partial"),IF(AND(H2929="W4",F2929="predictive",OR(J2929="P2",J2929="P3",J2929="P4")),IF(OR(U2929=1,U2929="1"),"adequate","partial"),INDEX(Fit_Matrix!$B:$B,MATCH(P2929,Fit_Matrix!$A:$A,0)))),"CHECK KEY"))</f>
        <v/>
      </c>
      <c r="U2929" s="10" t="n"/>
      <c r="V2929" s="10" t="n"/>
      <c r="W2929" s="10" t="n"/>
      <c r="X2929" s="10" t="n"/>
      <c r="Y2929" s="10" t="n"/>
      <c r="Z2929" s="10" t="n"/>
      <c r="AA2929" s="11">
        <f>IF(A2929="","",IF(AND(J2929="P4",F2929="causal"),"P4-CAUSAL",""))</f>
        <v/>
      </c>
    </row>
    <row r="2930" ht="15" customHeight="1" s="1">
      <c r="P2930">
        <f>IF(OR(F2930="",H2930="",J2930=""),"",J2930&amp;"|"&amp;F2930&amp;"|"&amp;IF(H2930="W3","W3_"&amp;IF(I2930="","unknown",I2930),H2930))</f>
        <v/>
      </c>
      <c r="Q2930">
        <f>IF(P2930="","",IFERROR(IF(AND(H2930="W7",OR(F2930="causal",F2930="predictive")),IF(AND(OR(K2930=1,K2930="1"),OR(L2930=1,L2930="1"),OR(M2930=1,M2930="1")),"adequate","partial"),IF(AND(H2930="W4",F2930="predictive",OR(J2930="P2",J2930="P3",J2930="P4")),IF(OR(U2930=1,U2930="1"),"adequate","partial"),INDEX(Fit_Matrix!$B:$B,MATCH(P2930,Fit_Matrix!$A:$A,0)))),"CHECK KEY"))</f>
        <v/>
      </c>
      <c r="U2930" s="10" t="n"/>
      <c r="V2930" s="10" t="n"/>
      <c r="W2930" s="10" t="n"/>
      <c r="X2930" s="10" t="n"/>
      <c r="Y2930" s="10" t="n"/>
      <c r="Z2930" s="10" t="n"/>
      <c r="AA2930" s="11">
        <f>IF(A2930="","",IF(AND(J2930="P4",F2930="causal"),"P4-CAUSAL",""))</f>
        <v/>
      </c>
    </row>
    <row r="2931" ht="15" customHeight="1" s="1">
      <c r="P2931">
        <f>IF(OR(F2931="",H2931="",J2931=""),"",J2931&amp;"|"&amp;F2931&amp;"|"&amp;IF(H2931="W3","W3_"&amp;IF(I2931="","unknown",I2931),H2931))</f>
        <v/>
      </c>
      <c r="Q2931">
        <f>IF(P2931="","",IFERROR(IF(AND(H2931="W7",OR(F2931="causal",F2931="predictive")),IF(AND(OR(K2931=1,K2931="1"),OR(L2931=1,L2931="1"),OR(M2931=1,M2931="1")),"adequate","partial"),IF(AND(H2931="W4",F2931="predictive",OR(J2931="P2",J2931="P3",J2931="P4")),IF(OR(U2931=1,U2931="1"),"adequate","partial"),INDEX(Fit_Matrix!$B:$B,MATCH(P2931,Fit_Matrix!$A:$A,0)))),"CHECK KEY"))</f>
        <v/>
      </c>
      <c r="U2931" s="10" t="n"/>
      <c r="V2931" s="10" t="n"/>
      <c r="W2931" s="10" t="n"/>
      <c r="X2931" s="10" t="n"/>
      <c r="Y2931" s="10" t="n"/>
      <c r="Z2931" s="10" t="n"/>
      <c r="AA2931" s="11">
        <f>IF(A2931="","",IF(AND(J2931="P4",F2931="causal"),"P4-CAUSAL",""))</f>
        <v/>
      </c>
    </row>
    <row r="2932" ht="15" customHeight="1" s="1">
      <c r="P2932">
        <f>IF(OR(F2932="",H2932="",J2932=""),"",J2932&amp;"|"&amp;F2932&amp;"|"&amp;IF(H2932="W3","W3_"&amp;IF(I2932="","unknown",I2932),H2932))</f>
        <v/>
      </c>
      <c r="Q2932">
        <f>IF(P2932="","",IFERROR(IF(AND(H2932="W7",OR(F2932="causal",F2932="predictive")),IF(AND(OR(K2932=1,K2932="1"),OR(L2932=1,L2932="1"),OR(M2932=1,M2932="1")),"adequate","partial"),IF(AND(H2932="W4",F2932="predictive",OR(J2932="P2",J2932="P3",J2932="P4")),IF(OR(U2932=1,U2932="1"),"adequate","partial"),INDEX(Fit_Matrix!$B:$B,MATCH(P2932,Fit_Matrix!$A:$A,0)))),"CHECK KEY"))</f>
        <v/>
      </c>
      <c r="U2932" s="10" t="n"/>
      <c r="V2932" s="10" t="n"/>
      <c r="W2932" s="10" t="n"/>
      <c r="X2932" s="10" t="n"/>
      <c r="Y2932" s="10" t="n"/>
      <c r="Z2932" s="10" t="n"/>
      <c r="AA2932" s="11">
        <f>IF(A2932="","",IF(AND(J2932="P4",F2932="causal"),"P4-CAUSAL",""))</f>
        <v/>
      </c>
    </row>
    <row r="2933" ht="15" customHeight="1" s="1">
      <c r="P2933">
        <f>IF(OR(F2933="",H2933="",J2933=""),"",J2933&amp;"|"&amp;F2933&amp;"|"&amp;IF(H2933="W3","W3_"&amp;IF(I2933="","unknown",I2933),H2933))</f>
        <v/>
      </c>
      <c r="Q2933">
        <f>IF(P2933="","",IFERROR(IF(AND(H2933="W7",OR(F2933="causal",F2933="predictive")),IF(AND(OR(K2933=1,K2933="1"),OR(L2933=1,L2933="1"),OR(M2933=1,M2933="1")),"adequate","partial"),IF(AND(H2933="W4",F2933="predictive",OR(J2933="P2",J2933="P3",J2933="P4")),IF(OR(U2933=1,U2933="1"),"adequate","partial"),INDEX(Fit_Matrix!$B:$B,MATCH(P2933,Fit_Matrix!$A:$A,0)))),"CHECK KEY"))</f>
        <v/>
      </c>
      <c r="U2933" s="10" t="n"/>
      <c r="V2933" s="10" t="n"/>
      <c r="W2933" s="10" t="n"/>
      <c r="X2933" s="10" t="n"/>
      <c r="Y2933" s="10" t="n"/>
      <c r="Z2933" s="10" t="n"/>
      <c r="AA2933" s="11">
        <f>IF(A2933="","",IF(AND(J2933="P4",F2933="causal"),"P4-CAUSAL",""))</f>
        <v/>
      </c>
    </row>
    <row r="2934" ht="15" customHeight="1" s="1">
      <c r="P2934">
        <f>IF(OR(F2934="",H2934="",J2934=""),"",J2934&amp;"|"&amp;F2934&amp;"|"&amp;IF(H2934="W3","W3_"&amp;IF(I2934="","unknown",I2934),H2934))</f>
        <v/>
      </c>
      <c r="Q2934">
        <f>IF(P2934="","",IFERROR(IF(AND(H2934="W7",OR(F2934="causal",F2934="predictive")),IF(AND(OR(K2934=1,K2934="1"),OR(L2934=1,L2934="1"),OR(M2934=1,M2934="1")),"adequate","partial"),IF(AND(H2934="W4",F2934="predictive",OR(J2934="P2",J2934="P3",J2934="P4")),IF(OR(U2934=1,U2934="1"),"adequate","partial"),INDEX(Fit_Matrix!$B:$B,MATCH(P2934,Fit_Matrix!$A:$A,0)))),"CHECK KEY"))</f>
        <v/>
      </c>
      <c r="U2934" s="10" t="n"/>
      <c r="V2934" s="10" t="n"/>
      <c r="W2934" s="10" t="n"/>
      <c r="X2934" s="10" t="n"/>
      <c r="Y2934" s="10" t="n"/>
      <c r="Z2934" s="10" t="n"/>
      <c r="AA2934" s="11">
        <f>IF(A2934="","",IF(AND(J2934="P4",F2934="causal"),"P4-CAUSAL",""))</f>
        <v/>
      </c>
    </row>
    <row r="2935" ht="15" customHeight="1" s="1">
      <c r="P2935">
        <f>IF(OR(F2935="",H2935="",J2935=""),"",J2935&amp;"|"&amp;F2935&amp;"|"&amp;IF(H2935="W3","W3_"&amp;IF(I2935="","unknown",I2935),H2935))</f>
        <v/>
      </c>
      <c r="Q2935">
        <f>IF(P2935="","",IFERROR(IF(AND(H2935="W7",OR(F2935="causal",F2935="predictive")),IF(AND(OR(K2935=1,K2935="1"),OR(L2935=1,L2935="1"),OR(M2935=1,M2935="1")),"adequate","partial"),IF(AND(H2935="W4",F2935="predictive",OR(J2935="P2",J2935="P3",J2935="P4")),IF(OR(U2935=1,U2935="1"),"adequate","partial"),INDEX(Fit_Matrix!$B:$B,MATCH(P2935,Fit_Matrix!$A:$A,0)))),"CHECK KEY"))</f>
        <v/>
      </c>
      <c r="U2935" s="10" t="n"/>
      <c r="V2935" s="10" t="n"/>
      <c r="W2935" s="10" t="n"/>
      <c r="X2935" s="10" t="n"/>
      <c r="Y2935" s="10" t="n"/>
      <c r="Z2935" s="10" t="n"/>
      <c r="AA2935" s="11">
        <f>IF(A2935="","",IF(AND(J2935="P4",F2935="causal"),"P4-CAUSAL",""))</f>
        <v/>
      </c>
    </row>
    <row r="2936" ht="15" customHeight="1" s="1">
      <c r="P2936">
        <f>IF(OR(F2936="",H2936="",J2936=""),"",J2936&amp;"|"&amp;F2936&amp;"|"&amp;IF(H2936="W3","W3_"&amp;IF(I2936="","unknown",I2936),H2936))</f>
        <v/>
      </c>
      <c r="Q2936">
        <f>IF(P2936="","",IFERROR(IF(AND(H2936="W7",OR(F2936="causal",F2936="predictive")),IF(AND(OR(K2936=1,K2936="1"),OR(L2936=1,L2936="1"),OR(M2936=1,M2936="1")),"adequate","partial"),IF(AND(H2936="W4",F2936="predictive",OR(J2936="P2",J2936="P3",J2936="P4")),IF(OR(U2936=1,U2936="1"),"adequate","partial"),INDEX(Fit_Matrix!$B:$B,MATCH(P2936,Fit_Matrix!$A:$A,0)))),"CHECK KEY"))</f>
        <v/>
      </c>
      <c r="U2936" s="10" t="n"/>
      <c r="V2936" s="10" t="n"/>
      <c r="W2936" s="10" t="n"/>
      <c r="X2936" s="10" t="n"/>
      <c r="Y2936" s="10" t="n"/>
      <c r="Z2936" s="10" t="n"/>
      <c r="AA2936" s="11">
        <f>IF(A2936="","",IF(AND(J2936="P4",F2936="causal"),"P4-CAUSAL",""))</f>
        <v/>
      </c>
    </row>
    <row r="2937" ht="15" customHeight="1" s="1">
      <c r="P2937">
        <f>IF(OR(F2937="",H2937="",J2937=""),"",J2937&amp;"|"&amp;F2937&amp;"|"&amp;IF(H2937="W3","W3_"&amp;IF(I2937="","unknown",I2937),H2937))</f>
        <v/>
      </c>
      <c r="Q2937">
        <f>IF(P2937="","",IFERROR(IF(AND(H2937="W7",OR(F2937="causal",F2937="predictive")),IF(AND(OR(K2937=1,K2937="1"),OR(L2937=1,L2937="1"),OR(M2937=1,M2937="1")),"adequate","partial"),IF(AND(H2937="W4",F2937="predictive",OR(J2937="P2",J2937="P3",J2937="P4")),IF(OR(U2937=1,U2937="1"),"adequate","partial"),INDEX(Fit_Matrix!$B:$B,MATCH(P2937,Fit_Matrix!$A:$A,0)))),"CHECK KEY"))</f>
        <v/>
      </c>
      <c r="U2937" s="10" t="n"/>
      <c r="V2937" s="10" t="n"/>
      <c r="W2937" s="10" t="n"/>
      <c r="X2937" s="10" t="n"/>
      <c r="Y2937" s="10" t="n"/>
      <c r="Z2937" s="10" t="n"/>
      <c r="AA2937" s="11">
        <f>IF(A2937="","",IF(AND(J2937="P4",F2937="causal"),"P4-CAUSAL",""))</f>
        <v/>
      </c>
    </row>
    <row r="2938" ht="15" customHeight="1" s="1">
      <c r="P2938">
        <f>IF(OR(F2938="",H2938="",J2938=""),"",J2938&amp;"|"&amp;F2938&amp;"|"&amp;IF(H2938="W3","W3_"&amp;IF(I2938="","unknown",I2938),H2938))</f>
        <v/>
      </c>
      <c r="Q2938">
        <f>IF(P2938="","",IFERROR(IF(AND(H2938="W7",OR(F2938="causal",F2938="predictive")),IF(AND(OR(K2938=1,K2938="1"),OR(L2938=1,L2938="1"),OR(M2938=1,M2938="1")),"adequate","partial"),IF(AND(H2938="W4",F2938="predictive",OR(J2938="P2",J2938="P3",J2938="P4")),IF(OR(U2938=1,U2938="1"),"adequate","partial"),INDEX(Fit_Matrix!$B:$B,MATCH(P2938,Fit_Matrix!$A:$A,0)))),"CHECK KEY"))</f>
        <v/>
      </c>
      <c r="U2938" s="10" t="n"/>
      <c r="V2938" s="10" t="n"/>
      <c r="W2938" s="10" t="n"/>
      <c r="X2938" s="10" t="n"/>
      <c r="Y2938" s="10" t="n"/>
      <c r="Z2938" s="10" t="n"/>
      <c r="AA2938" s="11">
        <f>IF(A2938="","",IF(AND(J2938="P4",F2938="causal"),"P4-CAUSAL",""))</f>
        <v/>
      </c>
    </row>
    <row r="2939" ht="15" customHeight="1" s="1">
      <c r="P2939">
        <f>IF(OR(F2939="",H2939="",J2939=""),"",J2939&amp;"|"&amp;F2939&amp;"|"&amp;IF(H2939="W3","W3_"&amp;IF(I2939="","unknown",I2939),H2939))</f>
        <v/>
      </c>
      <c r="Q2939">
        <f>IF(P2939="","",IFERROR(IF(AND(H2939="W7",OR(F2939="causal",F2939="predictive")),IF(AND(OR(K2939=1,K2939="1"),OR(L2939=1,L2939="1"),OR(M2939=1,M2939="1")),"adequate","partial"),IF(AND(H2939="W4",F2939="predictive",OR(J2939="P2",J2939="P3",J2939="P4")),IF(OR(U2939=1,U2939="1"),"adequate","partial"),INDEX(Fit_Matrix!$B:$B,MATCH(P2939,Fit_Matrix!$A:$A,0)))),"CHECK KEY"))</f>
        <v/>
      </c>
      <c r="U2939" s="10" t="n"/>
      <c r="V2939" s="10" t="n"/>
      <c r="W2939" s="10" t="n"/>
      <c r="X2939" s="10" t="n"/>
      <c r="Y2939" s="10" t="n"/>
      <c r="Z2939" s="10" t="n"/>
      <c r="AA2939" s="11">
        <f>IF(A2939="","",IF(AND(J2939="P4",F2939="causal"),"P4-CAUSAL",""))</f>
        <v/>
      </c>
    </row>
    <row r="2940" ht="15" customHeight="1" s="1">
      <c r="P2940">
        <f>IF(OR(F2940="",H2940="",J2940=""),"",J2940&amp;"|"&amp;F2940&amp;"|"&amp;IF(H2940="W3","W3_"&amp;IF(I2940="","unknown",I2940),H2940))</f>
        <v/>
      </c>
      <c r="Q2940">
        <f>IF(P2940="","",IFERROR(IF(AND(H2940="W7",OR(F2940="causal",F2940="predictive")),IF(AND(OR(K2940=1,K2940="1"),OR(L2940=1,L2940="1"),OR(M2940=1,M2940="1")),"adequate","partial"),IF(AND(H2940="W4",F2940="predictive",OR(J2940="P2",J2940="P3",J2940="P4")),IF(OR(U2940=1,U2940="1"),"adequate","partial"),INDEX(Fit_Matrix!$B:$B,MATCH(P2940,Fit_Matrix!$A:$A,0)))),"CHECK KEY"))</f>
        <v/>
      </c>
      <c r="U2940" s="10" t="n"/>
      <c r="V2940" s="10" t="n"/>
      <c r="W2940" s="10" t="n"/>
      <c r="X2940" s="10" t="n"/>
      <c r="Y2940" s="10" t="n"/>
      <c r="Z2940" s="10" t="n"/>
      <c r="AA2940" s="11">
        <f>IF(A2940="","",IF(AND(J2940="P4",F2940="causal"),"P4-CAUSAL",""))</f>
        <v/>
      </c>
    </row>
    <row r="2941" ht="15" customHeight="1" s="1">
      <c r="P2941">
        <f>IF(OR(F2941="",H2941="",J2941=""),"",J2941&amp;"|"&amp;F2941&amp;"|"&amp;IF(H2941="W3","W3_"&amp;IF(I2941="","unknown",I2941),H2941))</f>
        <v/>
      </c>
      <c r="Q2941">
        <f>IF(P2941="","",IFERROR(IF(AND(H2941="W7",OR(F2941="causal",F2941="predictive")),IF(AND(OR(K2941=1,K2941="1"),OR(L2941=1,L2941="1"),OR(M2941=1,M2941="1")),"adequate","partial"),IF(AND(H2941="W4",F2941="predictive",OR(J2941="P2",J2941="P3",J2941="P4")),IF(OR(U2941=1,U2941="1"),"adequate","partial"),INDEX(Fit_Matrix!$B:$B,MATCH(P2941,Fit_Matrix!$A:$A,0)))),"CHECK KEY"))</f>
        <v/>
      </c>
      <c r="U2941" s="10" t="n"/>
      <c r="V2941" s="10" t="n"/>
      <c r="W2941" s="10" t="n"/>
      <c r="X2941" s="10" t="n"/>
      <c r="Y2941" s="10" t="n"/>
      <c r="Z2941" s="10" t="n"/>
      <c r="AA2941" s="11">
        <f>IF(A2941="","",IF(AND(J2941="P4",F2941="causal"),"P4-CAUSAL",""))</f>
        <v/>
      </c>
    </row>
    <row r="2942" ht="15" customHeight="1" s="1">
      <c r="P2942">
        <f>IF(OR(F2942="",H2942="",J2942=""),"",J2942&amp;"|"&amp;F2942&amp;"|"&amp;IF(H2942="W3","W3_"&amp;IF(I2942="","unknown",I2942),H2942))</f>
        <v/>
      </c>
      <c r="Q2942">
        <f>IF(P2942="","",IFERROR(IF(AND(H2942="W7",OR(F2942="causal",F2942="predictive")),IF(AND(OR(K2942=1,K2942="1"),OR(L2942=1,L2942="1"),OR(M2942=1,M2942="1")),"adequate","partial"),IF(AND(H2942="W4",F2942="predictive",OR(J2942="P2",J2942="P3",J2942="P4")),IF(OR(U2942=1,U2942="1"),"adequate","partial"),INDEX(Fit_Matrix!$B:$B,MATCH(P2942,Fit_Matrix!$A:$A,0)))),"CHECK KEY"))</f>
        <v/>
      </c>
      <c r="U2942" s="10" t="n"/>
      <c r="V2942" s="10" t="n"/>
      <c r="W2942" s="10" t="n"/>
      <c r="X2942" s="10" t="n"/>
      <c r="Y2942" s="10" t="n"/>
      <c r="Z2942" s="10" t="n"/>
      <c r="AA2942" s="11">
        <f>IF(A2942="","",IF(AND(J2942="P4",F2942="causal"),"P4-CAUSAL",""))</f>
        <v/>
      </c>
    </row>
    <row r="2943" ht="15" customHeight="1" s="1">
      <c r="P2943">
        <f>IF(OR(F2943="",H2943="",J2943=""),"",J2943&amp;"|"&amp;F2943&amp;"|"&amp;IF(H2943="W3","W3_"&amp;IF(I2943="","unknown",I2943),H2943))</f>
        <v/>
      </c>
      <c r="Q2943">
        <f>IF(P2943="","",IFERROR(IF(AND(H2943="W7",OR(F2943="causal",F2943="predictive")),IF(AND(OR(K2943=1,K2943="1"),OR(L2943=1,L2943="1"),OR(M2943=1,M2943="1")),"adequate","partial"),IF(AND(H2943="W4",F2943="predictive",OR(J2943="P2",J2943="P3",J2943="P4")),IF(OR(U2943=1,U2943="1"),"adequate","partial"),INDEX(Fit_Matrix!$B:$B,MATCH(P2943,Fit_Matrix!$A:$A,0)))),"CHECK KEY"))</f>
        <v/>
      </c>
      <c r="U2943" s="10" t="n"/>
      <c r="V2943" s="10" t="n"/>
      <c r="W2943" s="10" t="n"/>
      <c r="X2943" s="10" t="n"/>
      <c r="Y2943" s="10" t="n"/>
      <c r="Z2943" s="10" t="n"/>
      <c r="AA2943" s="11">
        <f>IF(A2943="","",IF(AND(J2943="P4",F2943="causal"),"P4-CAUSAL",""))</f>
        <v/>
      </c>
    </row>
    <row r="2944" ht="15" customHeight="1" s="1">
      <c r="P2944">
        <f>IF(OR(F2944="",H2944="",J2944=""),"",J2944&amp;"|"&amp;F2944&amp;"|"&amp;IF(H2944="W3","W3_"&amp;IF(I2944="","unknown",I2944),H2944))</f>
        <v/>
      </c>
      <c r="Q2944">
        <f>IF(P2944="","",IFERROR(IF(AND(H2944="W7",OR(F2944="causal",F2944="predictive")),IF(AND(OR(K2944=1,K2944="1"),OR(L2944=1,L2944="1"),OR(M2944=1,M2944="1")),"adequate","partial"),IF(AND(H2944="W4",F2944="predictive",OR(J2944="P2",J2944="P3",J2944="P4")),IF(OR(U2944=1,U2944="1"),"adequate","partial"),INDEX(Fit_Matrix!$B:$B,MATCH(P2944,Fit_Matrix!$A:$A,0)))),"CHECK KEY"))</f>
        <v/>
      </c>
      <c r="U2944" s="10" t="n"/>
      <c r="V2944" s="10" t="n"/>
      <c r="W2944" s="10" t="n"/>
      <c r="X2944" s="10" t="n"/>
      <c r="Y2944" s="10" t="n"/>
      <c r="Z2944" s="10" t="n"/>
      <c r="AA2944" s="11">
        <f>IF(A2944="","",IF(AND(J2944="P4",F2944="causal"),"P4-CAUSAL",""))</f>
        <v/>
      </c>
    </row>
    <row r="2945" ht="15" customHeight="1" s="1">
      <c r="P2945">
        <f>IF(OR(F2945="",H2945="",J2945=""),"",J2945&amp;"|"&amp;F2945&amp;"|"&amp;IF(H2945="W3","W3_"&amp;IF(I2945="","unknown",I2945),H2945))</f>
        <v/>
      </c>
      <c r="Q2945">
        <f>IF(P2945="","",IFERROR(IF(AND(H2945="W7",OR(F2945="causal",F2945="predictive")),IF(AND(OR(K2945=1,K2945="1"),OR(L2945=1,L2945="1"),OR(M2945=1,M2945="1")),"adequate","partial"),IF(AND(H2945="W4",F2945="predictive",OR(J2945="P2",J2945="P3",J2945="P4")),IF(OR(U2945=1,U2945="1"),"adequate","partial"),INDEX(Fit_Matrix!$B:$B,MATCH(P2945,Fit_Matrix!$A:$A,0)))),"CHECK KEY"))</f>
        <v/>
      </c>
      <c r="U2945" s="10" t="n"/>
      <c r="V2945" s="10" t="n"/>
      <c r="W2945" s="10" t="n"/>
      <c r="X2945" s="10" t="n"/>
      <c r="Y2945" s="10" t="n"/>
      <c r="Z2945" s="10" t="n"/>
      <c r="AA2945" s="11">
        <f>IF(A2945="","",IF(AND(J2945="P4",F2945="causal"),"P4-CAUSAL",""))</f>
        <v/>
      </c>
    </row>
    <row r="2946" ht="15" customHeight="1" s="1">
      <c r="P2946">
        <f>IF(OR(F2946="",H2946="",J2946=""),"",J2946&amp;"|"&amp;F2946&amp;"|"&amp;IF(H2946="W3","W3_"&amp;IF(I2946="","unknown",I2946),H2946))</f>
        <v/>
      </c>
      <c r="Q2946">
        <f>IF(P2946="","",IFERROR(IF(AND(H2946="W7",OR(F2946="causal",F2946="predictive")),IF(AND(OR(K2946=1,K2946="1"),OR(L2946=1,L2946="1"),OR(M2946=1,M2946="1")),"adequate","partial"),IF(AND(H2946="W4",F2946="predictive",OR(J2946="P2",J2946="P3",J2946="P4")),IF(OR(U2946=1,U2946="1"),"adequate","partial"),INDEX(Fit_Matrix!$B:$B,MATCH(P2946,Fit_Matrix!$A:$A,0)))),"CHECK KEY"))</f>
        <v/>
      </c>
      <c r="U2946" s="10" t="n"/>
      <c r="V2946" s="10" t="n"/>
      <c r="W2946" s="10" t="n"/>
      <c r="X2946" s="10" t="n"/>
      <c r="Y2946" s="10" t="n"/>
      <c r="Z2946" s="10" t="n"/>
      <c r="AA2946" s="11">
        <f>IF(A2946="","",IF(AND(J2946="P4",F2946="causal"),"P4-CAUSAL",""))</f>
        <v/>
      </c>
    </row>
    <row r="2947" ht="15" customHeight="1" s="1">
      <c r="P2947">
        <f>IF(OR(F2947="",H2947="",J2947=""),"",J2947&amp;"|"&amp;F2947&amp;"|"&amp;IF(H2947="W3","W3_"&amp;IF(I2947="","unknown",I2947),H2947))</f>
        <v/>
      </c>
      <c r="Q2947">
        <f>IF(P2947="","",IFERROR(IF(AND(H2947="W7",OR(F2947="causal",F2947="predictive")),IF(AND(OR(K2947=1,K2947="1"),OR(L2947=1,L2947="1"),OR(M2947=1,M2947="1")),"adequate","partial"),IF(AND(H2947="W4",F2947="predictive",OR(J2947="P2",J2947="P3",J2947="P4")),IF(OR(U2947=1,U2947="1"),"adequate","partial"),INDEX(Fit_Matrix!$B:$B,MATCH(P2947,Fit_Matrix!$A:$A,0)))),"CHECK KEY"))</f>
        <v/>
      </c>
      <c r="U2947" s="10" t="n"/>
      <c r="V2947" s="10" t="n"/>
      <c r="W2947" s="10" t="n"/>
      <c r="X2947" s="10" t="n"/>
      <c r="Y2947" s="10" t="n"/>
      <c r="Z2947" s="10" t="n"/>
      <c r="AA2947" s="11">
        <f>IF(A2947="","",IF(AND(J2947="P4",F2947="causal"),"P4-CAUSAL",""))</f>
        <v/>
      </c>
    </row>
    <row r="2948" ht="15" customHeight="1" s="1">
      <c r="P2948">
        <f>IF(OR(F2948="",H2948="",J2948=""),"",J2948&amp;"|"&amp;F2948&amp;"|"&amp;IF(H2948="W3","W3_"&amp;IF(I2948="","unknown",I2948),H2948))</f>
        <v/>
      </c>
      <c r="Q2948">
        <f>IF(P2948="","",IFERROR(IF(AND(H2948="W7",OR(F2948="causal",F2948="predictive")),IF(AND(OR(K2948=1,K2948="1"),OR(L2948=1,L2948="1"),OR(M2948=1,M2948="1")),"adequate","partial"),IF(AND(H2948="W4",F2948="predictive",OR(J2948="P2",J2948="P3",J2948="P4")),IF(OR(U2948=1,U2948="1"),"adequate","partial"),INDEX(Fit_Matrix!$B:$B,MATCH(P2948,Fit_Matrix!$A:$A,0)))),"CHECK KEY"))</f>
        <v/>
      </c>
      <c r="U2948" s="10" t="n"/>
      <c r="V2948" s="10" t="n"/>
      <c r="W2948" s="10" t="n"/>
      <c r="X2948" s="10" t="n"/>
      <c r="Y2948" s="10" t="n"/>
      <c r="Z2948" s="10" t="n"/>
      <c r="AA2948" s="11">
        <f>IF(A2948="","",IF(AND(J2948="P4",F2948="causal"),"P4-CAUSAL",""))</f>
        <v/>
      </c>
    </row>
    <row r="2949" ht="15" customHeight="1" s="1">
      <c r="P2949">
        <f>IF(OR(F2949="",H2949="",J2949=""),"",J2949&amp;"|"&amp;F2949&amp;"|"&amp;IF(H2949="W3","W3_"&amp;IF(I2949="","unknown",I2949),H2949))</f>
        <v/>
      </c>
      <c r="Q2949">
        <f>IF(P2949="","",IFERROR(IF(AND(H2949="W7",OR(F2949="causal",F2949="predictive")),IF(AND(OR(K2949=1,K2949="1"),OR(L2949=1,L2949="1"),OR(M2949=1,M2949="1")),"adequate","partial"),IF(AND(H2949="W4",F2949="predictive",OR(J2949="P2",J2949="P3",J2949="P4")),IF(OR(U2949=1,U2949="1"),"adequate","partial"),INDEX(Fit_Matrix!$B:$B,MATCH(P2949,Fit_Matrix!$A:$A,0)))),"CHECK KEY"))</f>
        <v/>
      </c>
      <c r="U2949" s="10" t="n"/>
      <c r="V2949" s="10" t="n"/>
      <c r="W2949" s="10" t="n"/>
      <c r="X2949" s="10" t="n"/>
      <c r="Y2949" s="10" t="n"/>
      <c r="Z2949" s="10" t="n"/>
      <c r="AA2949" s="11">
        <f>IF(A2949="","",IF(AND(J2949="P4",F2949="causal"),"P4-CAUSAL",""))</f>
        <v/>
      </c>
    </row>
    <row r="2950" ht="15" customHeight="1" s="1">
      <c r="P2950">
        <f>IF(OR(F2950="",H2950="",J2950=""),"",J2950&amp;"|"&amp;F2950&amp;"|"&amp;IF(H2950="W3","W3_"&amp;IF(I2950="","unknown",I2950),H2950))</f>
        <v/>
      </c>
      <c r="Q2950">
        <f>IF(P2950="","",IFERROR(IF(AND(H2950="W7",OR(F2950="causal",F2950="predictive")),IF(AND(OR(K2950=1,K2950="1"),OR(L2950=1,L2950="1"),OR(M2950=1,M2950="1")),"adequate","partial"),IF(AND(H2950="W4",F2950="predictive",OR(J2950="P2",J2950="P3",J2950="P4")),IF(OR(U2950=1,U2950="1"),"adequate","partial"),INDEX(Fit_Matrix!$B:$B,MATCH(P2950,Fit_Matrix!$A:$A,0)))),"CHECK KEY"))</f>
        <v/>
      </c>
      <c r="U2950" s="10" t="n"/>
      <c r="V2950" s="10" t="n"/>
      <c r="W2950" s="10" t="n"/>
      <c r="X2950" s="10" t="n"/>
      <c r="Y2950" s="10" t="n"/>
      <c r="Z2950" s="10" t="n"/>
      <c r="AA2950" s="11">
        <f>IF(A2950="","",IF(AND(J2950="P4",F2950="causal"),"P4-CAUSAL",""))</f>
        <v/>
      </c>
    </row>
    <row r="2951" ht="15" customHeight="1" s="1">
      <c r="P2951">
        <f>IF(OR(F2951="",H2951="",J2951=""),"",J2951&amp;"|"&amp;F2951&amp;"|"&amp;IF(H2951="W3","W3_"&amp;IF(I2951="","unknown",I2951),H2951))</f>
        <v/>
      </c>
      <c r="Q2951">
        <f>IF(P2951="","",IFERROR(IF(AND(H2951="W7",OR(F2951="causal",F2951="predictive")),IF(AND(OR(K2951=1,K2951="1"),OR(L2951=1,L2951="1"),OR(M2951=1,M2951="1")),"adequate","partial"),IF(AND(H2951="W4",F2951="predictive",OR(J2951="P2",J2951="P3",J2951="P4")),IF(OR(U2951=1,U2951="1"),"adequate","partial"),INDEX(Fit_Matrix!$B:$B,MATCH(P2951,Fit_Matrix!$A:$A,0)))),"CHECK KEY"))</f>
        <v/>
      </c>
      <c r="U2951" s="10" t="n"/>
      <c r="V2951" s="10" t="n"/>
      <c r="W2951" s="10" t="n"/>
      <c r="X2951" s="10" t="n"/>
      <c r="Y2951" s="10" t="n"/>
      <c r="Z2951" s="10" t="n"/>
      <c r="AA2951" s="11">
        <f>IF(A2951="","",IF(AND(J2951="P4",F2951="causal"),"P4-CAUSAL",""))</f>
        <v/>
      </c>
    </row>
    <row r="2952" ht="15" customHeight="1" s="1">
      <c r="P2952">
        <f>IF(OR(F2952="",H2952="",J2952=""),"",J2952&amp;"|"&amp;F2952&amp;"|"&amp;IF(H2952="W3","W3_"&amp;IF(I2952="","unknown",I2952),H2952))</f>
        <v/>
      </c>
      <c r="Q2952">
        <f>IF(P2952="","",IFERROR(IF(AND(H2952="W7",OR(F2952="causal",F2952="predictive")),IF(AND(OR(K2952=1,K2952="1"),OR(L2952=1,L2952="1"),OR(M2952=1,M2952="1")),"adequate","partial"),IF(AND(H2952="W4",F2952="predictive",OR(J2952="P2",J2952="P3",J2952="P4")),IF(OR(U2952=1,U2952="1"),"adequate","partial"),INDEX(Fit_Matrix!$B:$B,MATCH(P2952,Fit_Matrix!$A:$A,0)))),"CHECK KEY"))</f>
        <v/>
      </c>
      <c r="U2952" s="10" t="n"/>
      <c r="V2952" s="10" t="n"/>
      <c r="W2952" s="10" t="n"/>
      <c r="X2952" s="10" t="n"/>
      <c r="Y2952" s="10" t="n"/>
      <c r="Z2952" s="10" t="n"/>
      <c r="AA2952" s="11">
        <f>IF(A2952="","",IF(AND(J2952="P4",F2952="causal"),"P4-CAUSAL",""))</f>
        <v/>
      </c>
    </row>
    <row r="2953" ht="15" customHeight="1" s="1">
      <c r="P2953">
        <f>IF(OR(F2953="",H2953="",J2953=""),"",J2953&amp;"|"&amp;F2953&amp;"|"&amp;IF(H2953="W3","W3_"&amp;IF(I2953="","unknown",I2953),H2953))</f>
        <v/>
      </c>
      <c r="Q2953">
        <f>IF(P2953="","",IFERROR(IF(AND(H2953="W7",OR(F2953="causal",F2953="predictive")),IF(AND(OR(K2953=1,K2953="1"),OR(L2953=1,L2953="1"),OR(M2953=1,M2953="1")),"adequate","partial"),IF(AND(H2953="W4",F2953="predictive",OR(J2953="P2",J2953="P3",J2953="P4")),IF(OR(U2953=1,U2953="1"),"adequate","partial"),INDEX(Fit_Matrix!$B:$B,MATCH(P2953,Fit_Matrix!$A:$A,0)))),"CHECK KEY"))</f>
        <v/>
      </c>
      <c r="U2953" s="10" t="n"/>
      <c r="V2953" s="10" t="n"/>
      <c r="W2953" s="10" t="n"/>
      <c r="X2953" s="10" t="n"/>
      <c r="Y2953" s="10" t="n"/>
      <c r="Z2953" s="10" t="n"/>
      <c r="AA2953" s="11">
        <f>IF(A2953="","",IF(AND(J2953="P4",F2953="causal"),"P4-CAUSAL",""))</f>
        <v/>
      </c>
    </row>
    <row r="2954" ht="15" customHeight="1" s="1">
      <c r="P2954">
        <f>IF(OR(F2954="",H2954="",J2954=""),"",J2954&amp;"|"&amp;F2954&amp;"|"&amp;IF(H2954="W3","W3_"&amp;IF(I2954="","unknown",I2954),H2954))</f>
        <v/>
      </c>
      <c r="Q2954">
        <f>IF(P2954="","",IFERROR(IF(AND(H2954="W7",OR(F2954="causal",F2954="predictive")),IF(AND(OR(K2954=1,K2954="1"),OR(L2954=1,L2954="1"),OR(M2954=1,M2954="1")),"adequate","partial"),IF(AND(H2954="W4",F2954="predictive",OR(J2954="P2",J2954="P3",J2954="P4")),IF(OR(U2954=1,U2954="1"),"adequate","partial"),INDEX(Fit_Matrix!$B:$B,MATCH(P2954,Fit_Matrix!$A:$A,0)))),"CHECK KEY"))</f>
        <v/>
      </c>
      <c r="U2954" s="10" t="n"/>
      <c r="V2954" s="10" t="n"/>
      <c r="W2954" s="10" t="n"/>
      <c r="X2954" s="10" t="n"/>
      <c r="Y2954" s="10" t="n"/>
      <c r="Z2954" s="10" t="n"/>
      <c r="AA2954" s="11">
        <f>IF(A2954="","",IF(AND(J2954="P4",F2954="causal"),"P4-CAUSAL",""))</f>
        <v/>
      </c>
    </row>
    <row r="2955" ht="15" customHeight="1" s="1">
      <c r="P2955">
        <f>IF(OR(F2955="",H2955="",J2955=""),"",J2955&amp;"|"&amp;F2955&amp;"|"&amp;IF(H2955="W3","W3_"&amp;IF(I2955="","unknown",I2955),H2955))</f>
        <v/>
      </c>
      <c r="Q2955">
        <f>IF(P2955="","",IFERROR(IF(AND(H2955="W7",OR(F2955="causal",F2955="predictive")),IF(AND(OR(K2955=1,K2955="1"),OR(L2955=1,L2955="1"),OR(M2955=1,M2955="1")),"adequate","partial"),IF(AND(H2955="W4",F2955="predictive",OR(J2955="P2",J2955="P3",J2955="P4")),IF(OR(U2955=1,U2955="1"),"adequate","partial"),INDEX(Fit_Matrix!$B:$B,MATCH(P2955,Fit_Matrix!$A:$A,0)))),"CHECK KEY"))</f>
        <v/>
      </c>
      <c r="U2955" s="10" t="n"/>
      <c r="V2955" s="10" t="n"/>
      <c r="W2955" s="10" t="n"/>
      <c r="X2955" s="10" t="n"/>
      <c r="Y2955" s="10" t="n"/>
      <c r="Z2955" s="10" t="n"/>
      <c r="AA2955" s="11">
        <f>IF(A2955="","",IF(AND(J2955="P4",F2955="causal"),"P4-CAUSAL",""))</f>
        <v/>
      </c>
    </row>
    <row r="2956" ht="15" customHeight="1" s="1">
      <c r="P2956">
        <f>IF(OR(F2956="",H2956="",J2956=""),"",J2956&amp;"|"&amp;F2956&amp;"|"&amp;IF(H2956="W3","W3_"&amp;IF(I2956="","unknown",I2956),H2956))</f>
        <v/>
      </c>
      <c r="Q2956">
        <f>IF(P2956="","",IFERROR(IF(AND(H2956="W7",OR(F2956="causal",F2956="predictive")),IF(AND(OR(K2956=1,K2956="1"),OR(L2956=1,L2956="1"),OR(M2956=1,M2956="1")),"adequate","partial"),IF(AND(H2956="W4",F2956="predictive",OR(J2956="P2",J2956="P3",J2956="P4")),IF(OR(U2956=1,U2956="1"),"adequate","partial"),INDEX(Fit_Matrix!$B:$B,MATCH(P2956,Fit_Matrix!$A:$A,0)))),"CHECK KEY"))</f>
        <v/>
      </c>
      <c r="U2956" s="10" t="n"/>
      <c r="V2956" s="10" t="n"/>
      <c r="W2956" s="10" t="n"/>
      <c r="X2956" s="10" t="n"/>
      <c r="Y2956" s="10" t="n"/>
      <c r="Z2956" s="10" t="n"/>
      <c r="AA2956" s="11">
        <f>IF(A2956="","",IF(AND(J2956="P4",F2956="causal"),"P4-CAUSAL",""))</f>
        <v/>
      </c>
    </row>
    <row r="2957" ht="15" customHeight="1" s="1">
      <c r="P2957">
        <f>IF(OR(F2957="",H2957="",J2957=""),"",J2957&amp;"|"&amp;F2957&amp;"|"&amp;IF(H2957="W3","W3_"&amp;IF(I2957="","unknown",I2957),H2957))</f>
        <v/>
      </c>
      <c r="Q2957">
        <f>IF(P2957="","",IFERROR(IF(AND(H2957="W7",OR(F2957="causal",F2957="predictive")),IF(AND(OR(K2957=1,K2957="1"),OR(L2957=1,L2957="1"),OR(M2957=1,M2957="1")),"adequate","partial"),IF(AND(H2957="W4",F2957="predictive",OR(J2957="P2",J2957="P3",J2957="P4")),IF(OR(U2957=1,U2957="1"),"adequate","partial"),INDEX(Fit_Matrix!$B:$B,MATCH(P2957,Fit_Matrix!$A:$A,0)))),"CHECK KEY"))</f>
        <v/>
      </c>
      <c r="U2957" s="10" t="n"/>
      <c r="V2957" s="10" t="n"/>
      <c r="W2957" s="10" t="n"/>
      <c r="X2957" s="10" t="n"/>
      <c r="Y2957" s="10" t="n"/>
      <c r="Z2957" s="10" t="n"/>
      <c r="AA2957" s="11">
        <f>IF(A2957="","",IF(AND(J2957="P4",F2957="causal"),"P4-CAUSAL",""))</f>
        <v/>
      </c>
    </row>
    <row r="2958" ht="15" customHeight="1" s="1">
      <c r="P2958">
        <f>IF(OR(F2958="",H2958="",J2958=""),"",J2958&amp;"|"&amp;F2958&amp;"|"&amp;IF(H2958="W3","W3_"&amp;IF(I2958="","unknown",I2958),H2958))</f>
        <v/>
      </c>
      <c r="Q2958">
        <f>IF(P2958="","",IFERROR(IF(AND(H2958="W7",OR(F2958="causal",F2958="predictive")),IF(AND(OR(K2958=1,K2958="1"),OR(L2958=1,L2958="1"),OR(M2958=1,M2958="1")),"adequate","partial"),IF(AND(H2958="W4",F2958="predictive",OR(J2958="P2",J2958="P3",J2958="P4")),IF(OR(U2958=1,U2958="1"),"adequate","partial"),INDEX(Fit_Matrix!$B:$B,MATCH(P2958,Fit_Matrix!$A:$A,0)))),"CHECK KEY"))</f>
        <v/>
      </c>
      <c r="U2958" s="10" t="n"/>
      <c r="V2958" s="10" t="n"/>
      <c r="W2958" s="10" t="n"/>
      <c r="X2958" s="10" t="n"/>
      <c r="Y2958" s="10" t="n"/>
      <c r="Z2958" s="10" t="n"/>
      <c r="AA2958" s="11">
        <f>IF(A2958="","",IF(AND(J2958="P4",F2958="causal"),"P4-CAUSAL",""))</f>
        <v/>
      </c>
    </row>
    <row r="2959" ht="15" customHeight="1" s="1">
      <c r="P2959">
        <f>IF(OR(F2959="",H2959="",J2959=""),"",J2959&amp;"|"&amp;F2959&amp;"|"&amp;IF(H2959="W3","W3_"&amp;IF(I2959="","unknown",I2959),H2959))</f>
        <v/>
      </c>
      <c r="Q2959">
        <f>IF(P2959="","",IFERROR(IF(AND(H2959="W7",OR(F2959="causal",F2959="predictive")),IF(AND(OR(K2959=1,K2959="1"),OR(L2959=1,L2959="1"),OR(M2959=1,M2959="1")),"adequate","partial"),IF(AND(H2959="W4",F2959="predictive",OR(J2959="P2",J2959="P3",J2959="P4")),IF(OR(U2959=1,U2959="1"),"adequate","partial"),INDEX(Fit_Matrix!$B:$B,MATCH(P2959,Fit_Matrix!$A:$A,0)))),"CHECK KEY"))</f>
        <v/>
      </c>
      <c r="U2959" s="10" t="n"/>
      <c r="V2959" s="10" t="n"/>
      <c r="W2959" s="10" t="n"/>
      <c r="X2959" s="10" t="n"/>
      <c r="Y2959" s="10" t="n"/>
      <c r="Z2959" s="10" t="n"/>
      <c r="AA2959" s="11">
        <f>IF(A2959="","",IF(AND(J2959="P4",F2959="causal"),"P4-CAUSAL",""))</f>
        <v/>
      </c>
    </row>
    <row r="2960" ht="15" customHeight="1" s="1">
      <c r="P2960">
        <f>IF(OR(F2960="",H2960="",J2960=""),"",J2960&amp;"|"&amp;F2960&amp;"|"&amp;IF(H2960="W3","W3_"&amp;IF(I2960="","unknown",I2960),H2960))</f>
        <v/>
      </c>
      <c r="Q2960">
        <f>IF(P2960="","",IFERROR(IF(AND(H2960="W7",OR(F2960="causal",F2960="predictive")),IF(AND(OR(K2960=1,K2960="1"),OR(L2960=1,L2960="1"),OR(M2960=1,M2960="1")),"adequate","partial"),IF(AND(H2960="W4",F2960="predictive",OR(J2960="P2",J2960="P3",J2960="P4")),IF(OR(U2960=1,U2960="1"),"adequate","partial"),INDEX(Fit_Matrix!$B:$B,MATCH(P2960,Fit_Matrix!$A:$A,0)))),"CHECK KEY"))</f>
        <v/>
      </c>
      <c r="U2960" s="10" t="n"/>
      <c r="V2960" s="10" t="n"/>
      <c r="W2960" s="10" t="n"/>
      <c r="X2960" s="10" t="n"/>
      <c r="Y2960" s="10" t="n"/>
      <c r="Z2960" s="10" t="n"/>
      <c r="AA2960" s="11">
        <f>IF(A2960="","",IF(AND(J2960="P4",F2960="causal"),"P4-CAUSAL",""))</f>
        <v/>
      </c>
    </row>
    <row r="2961" ht="15" customHeight="1" s="1">
      <c r="P2961">
        <f>IF(OR(F2961="",H2961="",J2961=""),"",J2961&amp;"|"&amp;F2961&amp;"|"&amp;IF(H2961="W3","W3_"&amp;IF(I2961="","unknown",I2961),H2961))</f>
        <v/>
      </c>
      <c r="Q2961">
        <f>IF(P2961="","",IFERROR(IF(AND(H2961="W7",OR(F2961="causal",F2961="predictive")),IF(AND(OR(K2961=1,K2961="1"),OR(L2961=1,L2961="1"),OR(M2961=1,M2961="1")),"adequate","partial"),IF(AND(H2961="W4",F2961="predictive",OR(J2961="P2",J2961="P3",J2961="P4")),IF(OR(U2961=1,U2961="1"),"adequate","partial"),INDEX(Fit_Matrix!$B:$B,MATCH(P2961,Fit_Matrix!$A:$A,0)))),"CHECK KEY"))</f>
        <v/>
      </c>
      <c r="U2961" s="10" t="n"/>
      <c r="V2961" s="10" t="n"/>
      <c r="W2961" s="10" t="n"/>
      <c r="X2961" s="10" t="n"/>
      <c r="Y2961" s="10" t="n"/>
      <c r="Z2961" s="10" t="n"/>
      <c r="AA2961" s="11">
        <f>IF(A2961="","",IF(AND(J2961="P4",F2961="causal"),"P4-CAUSAL",""))</f>
        <v/>
      </c>
    </row>
    <row r="2962" ht="15" customHeight="1" s="1">
      <c r="P2962">
        <f>IF(OR(F2962="",H2962="",J2962=""),"",J2962&amp;"|"&amp;F2962&amp;"|"&amp;IF(H2962="W3","W3_"&amp;IF(I2962="","unknown",I2962),H2962))</f>
        <v/>
      </c>
      <c r="Q2962">
        <f>IF(P2962="","",IFERROR(IF(AND(H2962="W7",OR(F2962="causal",F2962="predictive")),IF(AND(OR(K2962=1,K2962="1"),OR(L2962=1,L2962="1"),OR(M2962=1,M2962="1")),"adequate","partial"),IF(AND(H2962="W4",F2962="predictive",OR(J2962="P2",J2962="P3",J2962="P4")),IF(OR(U2962=1,U2962="1"),"adequate","partial"),INDEX(Fit_Matrix!$B:$B,MATCH(P2962,Fit_Matrix!$A:$A,0)))),"CHECK KEY"))</f>
        <v/>
      </c>
      <c r="U2962" s="10" t="n"/>
      <c r="V2962" s="10" t="n"/>
      <c r="W2962" s="10" t="n"/>
      <c r="X2962" s="10" t="n"/>
      <c r="Y2962" s="10" t="n"/>
      <c r="Z2962" s="10" t="n"/>
      <c r="AA2962" s="11">
        <f>IF(A2962="","",IF(AND(J2962="P4",F2962="causal"),"P4-CAUSAL",""))</f>
        <v/>
      </c>
    </row>
    <row r="2963" ht="15" customHeight="1" s="1">
      <c r="P2963">
        <f>IF(OR(F2963="",H2963="",J2963=""),"",J2963&amp;"|"&amp;F2963&amp;"|"&amp;IF(H2963="W3","W3_"&amp;IF(I2963="","unknown",I2963),H2963))</f>
        <v/>
      </c>
      <c r="Q2963">
        <f>IF(P2963="","",IFERROR(IF(AND(H2963="W7",OR(F2963="causal",F2963="predictive")),IF(AND(OR(K2963=1,K2963="1"),OR(L2963=1,L2963="1"),OR(M2963=1,M2963="1")),"adequate","partial"),IF(AND(H2963="W4",F2963="predictive",OR(J2963="P2",J2963="P3",J2963="P4")),IF(OR(U2963=1,U2963="1"),"adequate","partial"),INDEX(Fit_Matrix!$B:$B,MATCH(P2963,Fit_Matrix!$A:$A,0)))),"CHECK KEY"))</f>
        <v/>
      </c>
      <c r="U2963" s="10" t="n"/>
      <c r="V2963" s="10" t="n"/>
      <c r="W2963" s="10" t="n"/>
      <c r="X2963" s="10" t="n"/>
      <c r="Y2963" s="10" t="n"/>
      <c r="Z2963" s="10" t="n"/>
      <c r="AA2963" s="11">
        <f>IF(A2963="","",IF(AND(J2963="P4",F2963="causal"),"P4-CAUSAL",""))</f>
        <v/>
      </c>
    </row>
    <row r="2964" ht="15" customHeight="1" s="1">
      <c r="P2964">
        <f>IF(OR(F2964="",H2964="",J2964=""),"",J2964&amp;"|"&amp;F2964&amp;"|"&amp;IF(H2964="W3","W3_"&amp;IF(I2964="","unknown",I2964),H2964))</f>
        <v/>
      </c>
      <c r="Q2964">
        <f>IF(P2964="","",IFERROR(IF(AND(H2964="W7",OR(F2964="causal",F2964="predictive")),IF(AND(OR(K2964=1,K2964="1"),OR(L2964=1,L2964="1"),OR(M2964=1,M2964="1")),"adequate","partial"),IF(AND(H2964="W4",F2964="predictive",OR(J2964="P2",J2964="P3",J2964="P4")),IF(OR(U2964=1,U2964="1"),"adequate","partial"),INDEX(Fit_Matrix!$B:$B,MATCH(P2964,Fit_Matrix!$A:$A,0)))),"CHECK KEY"))</f>
        <v/>
      </c>
      <c r="U2964" s="10" t="n"/>
      <c r="V2964" s="10" t="n"/>
      <c r="W2964" s="10" t="n"/>
      <c r="X2964" s="10" t="n"/>
      <c r="Y2964" s="10" t="n"/>
      <c r="Z2964" s="10" t="n"/>
      <c r="AA2964" s="11">
        <f>IF(A2964="","",IF(AND(J2964="P4",F2964="causal"),"P4-CAUSAL",""))</f>
        <v/>
      </c>
    </row>
    <row r="2965" ht="15" customHeight="1" s="1">
      <c r="P2965">
        <f>IF(OR(F2965="",H2965="",J2965=""),"",J2965&amp;"|"&amp;F2965&amp;"|"&amp;IF(H2965="W3","W3_"&amp;IF(I2965="","unknown",I2965),H2965))</f>
        <v/>
      </c>
      <c r="Q2965">
        <f>IF(P2965="","",IFERROR(IF(AND(H2965="W7",OR(F2965="causal",F2965="predictive")),IF(AND(OR(K2965=1,K2965="1"),OR(L2965=1,L2965="1"),OR(M2965=1,M2965="1")),"adequate","partial"),IF(AND(H2965="W4",F2965="predictive",OR(J2965="P2",J2965="P3",J2965="P4")),IF(OR(U2965=1,U2965="1"),"adequate","partial"),INDEX(Fit_Matrix!$B:$B,MATCH(P2965,Fit_Matrix!$A:$A,0)))),"CHECK KEY"))</f>
        <v/>
      </c>
      <c r="U2965" s="10" t="n"/>
      <c r="V2965" s="10" t="n"/>
      <c r="W2965" s="10" t="n"/>
      <c r="X2965" s="10" t="n"/>
      <c r="Y2965" s="10" t="n"/>
      <c r="Z2965" s="10" t="n"/>
      <c r="AA2965" s="11">
        <f>IF(A2965="","",IF(AND(J2965="P4",F2965="causal"),"P4-CAUSAL",""))</f>
        <v/>
      </c>
    </row>
    <row r="2966" ht="15" customHeight="1" s="1">
      <c r="P2966">
        <f>IF(OR(F2966="",H2966="",J2966=""),"",J2966&amp;"|"&amp;F2966&amp;"|"&amp;IF(H2966="W3","W3_"&amp;IF(I2966="","unknown",I2966),H2966))</f>
        <v/>
      </c>
      <c r="Q2966">
        <f>IF(P2966="","",IFERROR(IF(AND(H2966="W7",OR(F2966="causal",F2966="predictive")),IF(AND(OR(K2966=1,K2966="1"),OR(L2966=1,L2966="1"),OR(M2966=1,M2966="1")),"adequate","partial"),IF(AND(H2966="W4",F2966="predictive",OR(J2966="P2",J2966="P3",J2966="P4")),IF(OR(U2966=1,U2966="1"),"adequate","partial"),INDEX(Fit_Matrix!$B:$B,MATCH(P2966,Fit_Matrix!$A:$A,0)))),"CHECK KEY"))</f>
        <v/>
      </c>
      <c r="U2966" s="10" t="n"/>
      <c r="V2966" s="10" t="n"/>
      <c r="W2966" s="10" t="n"/>
      <c r="X2966" s="10" t="n"/>
      <c r="Y2966" s="10" t="n"/>
      <c r="Z2966" s="10" t="n"/>
      <c r="AA2966" s="11">
        <f>IF(A2966="","",IF(AND(J2966="P4",F2966="causal"),"P4-CAUSAL",""))</f>
        <v/>
      </c>
    </row>
    <row r="2967" ht="15" customHeight="1" s="1">
      <c r="P2967">
        <f>IF(OR(F2967="",H2967="",J2967=""),"",J2967&amp;"|"&amp;F2967&amp;"|"&amp;IF(H2967="W3","W3_"&amp;IF(I2967="","unknown",I2967),H2967))</f>
        <v/>
      </c>
      <c r="Q2967">
        <f>IF(P2967="","",IFERROR(IF(AND(H2967="W7",OR(F2967="causal",F2967="predictive")),IF(AND(OR(K2967=1,K2967="1"),OR(L2967=1,L2967="1"),OR(M2967=1,M2967="1")),"adequate","partial"),IF(AND(H2967="W4",F2967="predictive",OR(J2967="P2",J2967="P3",J2967="P4")),IF(OR(U2967=1,U2967="1"),"adequate","partial"),INDEX(Fit_Matrix!$B:$B,MATCH(P2967,Fit_Matrix!$A:$A,0)))),"CHECK KEY"))</f>
        <v/>
      </c>
      <c r="U2967" s="10" t="n"/>
      <c r="V2967" s="10" t="n"/>
      <c r="W2967" s="10" t="n"/>
      <c r="X2967" s="10" t="n"/>
      <c r="Y2967" s="10" t="n"/>
      <c r="Z2967" s="10" t="n"/>
      <c r="AA2967" s="11">
        <f>IF(A2967="","",IF(AND(J2967="P4",F2967="causal"),"P4-CAUSAL",""))</f>
        <v/>
      </c>
    </row>
    <row r="2968" ht="15" customHeight="1" s="1">
      <c r="P2968">
        <f>IF(OR(F2968="",H2968="",J2968=""),"",J2968&amp;"|"&amp;F2968&amp;"|"&amp;IF(H2968="W3","W3_"&amp;IF(I2968="","unknown",I2968),H2968))</f>
        <v/>
      </c>
      <c r="Q2968">
        <f>IF(P2968="","",IFERROR(IF(AND(H2968="W7",OR(F2968="causal",F2968="predictive")),IF(AND(OR(K2968=1,K2968="1"),OR(L2968=1,L2968="1"),OR(M2968=1,M2968="1")),"adequate","partial"),IF(AND(H2968="W4",F2968="predictive",OR(J2968="P2",J2968="P3",J2968="P4")),IF(OR(U2968=1,U2968="1"),"adequate","partial"),INDEX(Fit_Matrix!$B:$B,MATCH(P2968,Fit_Matrix!$A:$A,0)))),"CHECK KEY"))</f>
        <v/>
      </c>
      <c r="U2968" s="10" t="n"/>
      <c r="V2968" s="10" t="n"/>
      <c r="W2968" s="10" t="n"/>
      <c r="X2968" s="10" t="n"/>
      <c r="Y2968" s="10" t="n"/>
      <c r="Z2968" s="10" t="n"/>
      <c r="AA2968" s="11">
        <f>IF(A2968="","",IF(AND(J2968="P4",F2968="causal"),"P4-CAUSAL",""))</f>
        <v/>
      </c>
    </row>
    <row r="2969" ht="15" customHeight="1" s="1">
      <c r="P2969">
        <f>IF(OR(F2969="",H2969="",J2969=""),"",J2969&amp;"|"&amp;F2969&amp;"|"&amp;IF(H2969="W3","W3_"&amp;IF(I2969="","unknown",I2969),H2969))</f>
        <v/>
      </c>
      <c r="Q2969">
        <f>IF(P2969="","",IFERROR(IF(AND(H2969="W7",OR(F2969="causal",F2969="predictive")),IF(AND(OR(K2969=1,K2969="1"),OR(L2969=1,L2969="1"),OR(M2969=1,M2969="1")),"adequate","partial"),IF(AND(H2969="W4",F2969="predictive",OR(J2969="P2",J2969="P3",J2969="P4")),IF(OR(U2969=1,U2969="1"),"adequate","partial"),INDEX(Fit_Matrix!$B:$B,MATCH(P2969,Fit_Matrix!$A:$A,0)))),"CHECK KEY"))</f>
        <v/>
      </c>
      <c r="U2969" s="10" t="n"/>
      <c r="V2969" s="10" t="n"/>
      <c r="W2969" s="10" t="n"/>
      <c r="X2969" s="10" t="n"/>
      <c r="Y2969" s="10" t="n"/>
      <c r="Z2969" s="10" t="n"/>
      <c r="AA2969" s="11">
        <f>IF(A2969="","",IF(AND(J2969="P4",F2969="causal"),"P4-CAUSAL",""))</f>
        <v/>
      </c>
    </row>
    <row r="2970" ht="15" customHeight="1" s="1">
      <c r="P2970">
        <f>IF(OR(F2970="",H2970="",J2970=""),"",J2970&amp;"|"&amp;F2970&amp;"|"&amp;IF(H2970="W3","W3_"&amp;IF(I2970="","unknown",I2970),H2970))</f>
        <v/>
      </c>
      <c r="Q2970">
        <f>IF(P2970="","",IFERROR(IF(AND(H2970="W7",OR(F2970="causal",F2970="predictive")),IF(AND(OR(K2970=1,K2970="1"),OR(L2970=1,L2970="1"),OR(M2970=1,M2970="1")),"adequate","partial"),IF(AND(H2970="W4",F2970="predictive",OR(J2970="P2",J2970="P3",J2970="P4")),IF(OR(U2970=1,U2970="1"),"adequate","partial"),INDEX(Fit_Matrix!$B:$B,MATCH(P2970,Fit_Matrix!$A:$A,0)))),"CHECK KEY"))</f>
        <v/>
      </c>
      <c r="U2970" s="10" t="n"/>
      <c r="V2970" s="10" t="n"/>
      <c r="W2970" s="10" t="n"/>
      <c r="X2970" s="10" t="n"/>
      <c r="Y2970" s="10" t="n"/>
      <c r="Z2970" s="10" t="n"/>
      <c r="AA2970" s="11">
        <f>IF(A2970="","",IF(AND(J2970="P4",F2970="causal"),"P4-CAUSAL",""))</f>
        <v/>
      </c>
    </row>
    <row r="2971" ht="15" customHeight="1" s="1">
      <c r="P2971">
        <f>IF(OR(F2971="",H2971="",J2971=""),"",J2971&amp;"|"&amp;F2971&amp;"|"&amp;IF(H2971="W3","W3_"&amp;IF(I2971="","unknown",I2971),H2971))</f>
        <v/>
      </c>
      <c r="Q2971">
        <f>IF(P2971="","",IFERROR(IF(AND(H2971="W7",OR(F2971="causal",F2971="predictive")),IF(AND(OR(K2971=1,K2971="1"),OR(L2971=1,L2971="1"),OR(M2971=1,M2971="1")),"adequate","partial"),IF(AND(H2971="W4",F2971="predictive",OR(J2971="P2",J2971="P3",J2971="P4")),IF(OR(U2971=1,U2971="1"),"adequate","partial"),INDEX(Fit_Matrix!$B:$B,MATCH(P2971,Fit_Matrix!$A:$A,0)))),"CHECK KEY"))</f>
        <v/>
      </c>
      <c r="U2971" s="10" t="n"/>
      <c r="V2971" s="10" t="n"/>
      <c r="W2971" s="10" t="n"/>
      <c r="X2971" s="10" t="n"/>
      <c r="Y2971" s="10" t="n"/>
      <c r="Z2971" s="10" t="n"/>
      <c r="AA2971" s="11">
        <f>IF(A2971="","",IF(AND(J2971="P4",F2971="causal"),"P4-CAUSAL",""))</f>
        <v/>
      </c>
    </row>
    <row r="2972" ht="15" customHeight="1" s="1">
      <c r="P2972">
        <f>IF(OR(F2972="",H2972="",J2972=""),"",J2972&amp;"|"&amp;F2972&amp;"|"&amp;IF(H2972="W3","W3_"&amp;IF(I2972="","unknown",I2972),H2972))</f>
        <v/>
      </c>
      <c r="Q2972">
        <f>IF(P2972="","",IFERROR(IF(AND(H2972="W7",OR(F2972="causal",F2972="predictive")),IF(AND(OR(K2972=1,K2972="1"),OR(L2972=1,L2972="1"),OR(M2972=1,M2972="1")),"adequate","partial"),IF(AND(H2972="W4",F2972="predictive",OR(J2972="P2",J2972="P3",J2972="P4")),IF(OR(U2972=1,U2972="1"),"adequate","partial"),INDEX(Fit_Matrix!$B:$B,MATCH(P2972,Fit_Matrix!$A:$A,0)))),"CHECK KEY"))</f>
        <v/>
      </c>
      <c r="U2972" s="10" t="n"/>
      <c r="V2972" s="10" t="n"/>
      <c r="W2972" s="10" t="n"/>
      <c r="X2972" s="10" t="n"/>
      <c r="Y2972" s="10" t="n"/>
      <c r="Z2972" s="10" t="n"/>
      <c r="AA2972" s="11">
        <f>IF(A2972="","",IF(AND(J2972="P4",F2972="causal"),"P4-CAUSAL",""))</f>
        <v/>
      </c>
    </row>
    <row r="2973" ht="15" customHeight="1" s="1">
      <c r="P2973">
        <f>IF(OR(F2973="",H2973="",J2973=""),"",J2973&amp;"|"&amp;F2973&amp;"|"&amp;IF(H2973="W3","W3_"&amp;IF(I2973="","unknown",I2973),H2973))</f>
        <v/>
      </c>
      <c r="Q2973">
        <f>IF(P2973="","",IFERROR(IF(AND(H2973="W7",OR(F2973="causal",F2973="predictive")),IF(AND(OR(K2973=1,K2973="1"),OR(L2973=1,L2973="1"),OR(M2973=1,M2973="1")),"adequate","partial"),IF(AND(H2973="W4",F2973="predictive",OR(J2973="P2",J2973="P3",J2973="P4")),IF(OR(U2973=1,U2973="1"),"adequate","partial"),INDEX(Fit_Matrix!$B:$B,MATCH(P2973,Fit_Matrix!$A:$A,0)))),"CHECK KEY"))</f>
        <v/>
      </c>
      <c r="U2973" s="10" t="n"/>
      <c r="V2973" s="10" t="n"/>
      <c r="W2973" s="10" t="n"/>
      <c r="X2973" s="10" t="n"/>
      <c r="Y2973" s="10" t="n"/>
      <c r="Z2973" s="10" t="n"/>
      <c r="AA2973" s="11">
        <f>IF(A2973="","",IF(AND(J2973="P4",F2973="causal"),"P4-CAUSAL",""))</f>
        <v/>
      </c>
    </row>
    <row r="2974" ht="15" customHeight="1" s="1">
      <c r="P2974">
        <f>IF(OR(F2974="",H2974="",J2974=""),"",J2974&amp;"|"&amp;F2974&amp;"|"&amp;IF(H2974="W3","W3_"&amp;IF(I2974="","unknown",I2974),H2974))</f>
        <v/>
      </c>
      <c r="Q2974">
        <f>IF(P2974="","",IFERROR(IF(AND(H2974="W7",OR(F2974="causal",F2974="predictive")),IF(AND(OR(K2974=1,K2974="1"),OR(L2974=1,L2974="1"),OR(M2974=1,M2974="1")),"adequate","partial"),IF(AND(H2974="W4",F2974="predictive",OR(J2974="P2",J2974="P3",J2974="P4")),IF(OR(U2974=1,U2974="1"),"adequate","partial"),INDEX(Fit_Matrix!$B:$B,MATCH(P2974,Fit_Matrix!$A:$A,0)))),"CHECK KEY"))</f>
        <v/>
      </c>
      <c r="U2974" s="10" t="n"/>
      <c r="V2974" s="10" t="n"/>
      <c r="W2974" s="10" t="n"/>
      <c r="X2974" s="10" t="n"/>
      <c r="Y2974" s="10" t="n"/>
      <c r="Z2974" s="10" t="n"/>
      <c r="AA2974" s="11">
        <f>IF(A2974="","",IF(AND(J2974="P4",F2974="causal"),"P4-CAUSAL",""))</f>
        <v/>
      </c>
    </row>
    <row r="2975" ht="15" customHeight="1" s="1">
      <c r="P2975">
        <f>IF(OR(F2975="",H2975="",J2975=""),"",J2975&amp;"|"&amp;F2975&amp;"|"&amp;IF(H2975="W3","W3_"&amp;IF(I2975="","unknown",I2975),H2975))</f>
        <v/>
      </c>
      <c r="Q2975">
        <f>IF(P2975="","",IFERROR(IF(AND(H2975="W7",OR(F2975="causal",F2975="predictive")),IF(AND(OR(K2975=1,K2975="1"),OR(L2975=1,L2975="1"),OR(M2975=1,M2975="1")),"adequate","partial"),IF(AND(H2975="W4",F2975="predictive",OR(J2975="P2",J2975="P3",J2975="P4")),IF(OR(U2975=1,U2975="1"),"adequate","partial"),INDEX(Fit_Matrix!$B:$B,MATCH(P2975,Fit_Matrix!$A:$A,0)))),"CHECK KEY"))</f>
        <v/>
      </c>
      <c r="U2975" s="10" t="n"/>
      <c r="V2975" s="10" t="n"/>
      <c r="W2975" s="10" t="n"/>
      <c r="X2975" s="10" t="n"/>
      <c r="Y2975" s="10" t="n"/>
      <c r="Z2975" s="10" t="n"/>
      <c r="AA2975" s="11">
        <f>IF(A2975="","",IF(AND(J2975="P4",F2975="causal"),"P4-CAUSAL",""))</f>
        <v/>
      </c>
    </row>
    <row r="2976" ht="15" customHeight="1" s="1">
      <c r="P2976">
        <f>IF(OR(F2976="",H2976="",J2976=""),"",J2976&amp;"|"&amp;F2976&amp;"|"&amp;IF(H2976="W3","W3_"&amp;IF(I2976="","unknown",I2976),H2976))</f>
        <v/>
      </c>
      <c r="Q2976">
        <f>IF(P2976="","",IFERROR(IF(AND(H2976="W7",OR(F2976="causal",F2976="predictive")),IF(AND(OR(K2976=1,K2976="1"),OR(L2976=1,L2976="1"),OR(M2976=1,M2976="1")),"adequate","partial"),IF(AND(H2976="W4",F2976="predictive",OR(J2976="P2",J2976="P3",J2976="P4")),IF(OR(U2976=1,U2976="1"),"adequate","partial"),INDEX(Fit_Matrix!$B:$B,MATCH(P2976,Fit_Matrix!$A:$A,0)))),"CHECK KEY"))</f>
        <v/>
      </c>
      <c r="U2976" s="10" t="n"/>
      <c r="V2976" s="10" t="n"/>
      <c r="W2976" s="10" t="n"/>
      <c r="X2976" s="10" t="n"/>
      <c r="Y2976" s="10" t="n"/>
      <c r="Z2976" s="10" t="n"/>
      <c r="AA2976" s="11">
        <f>IF(A2976="","",IF(AND(J2976="P4",F2976="causal"),"P4-CAUSAL",""))</f>
        <v/>
      </c>
    </row>
    <row r="2977" ht="15" customHeight="1" s="1">
      <c r="P2977">
        <f>IF(OR(F2977="",H2977="",J2977=""),"",J2977&amp;"|"&amp;F2977&amp;"|"&amp;IF(H2977="W3","W3_"&amp;IF(I2977="","unknown",I2977),H2977))</f>
        <v/>
      </c>
      <c r="Q2977">
        <f>IF(P2977="","",IFERROR(IF(AND(H2977="W7",OR(F2977="causal",F2977="predictive")),IF(AND(OR(K2977=1,K2977="1"),OR(L2977=1,L2977="1"),OR(M2977=1,M2977="1")),"adequate","partial"),IF(AND(H2977="W4",F2977="predictive",OR(J2977="P2",J2977="P3",J2977="P4")),IF(OR(U2977=1,U2977="1"),"adequate","partial"),INDEX(Fit_Matrix!$B:$B,MATCH(P2977,Fit_Matrix!$A:$A,0)))),"CHECK KEY"))</f>
        <v/>
      </c>
      <c r="U2977" s="10" t="n"/>
      <c r="V2977" s="10" t="n"/>
      <c r="W2977" s="10" t="n"/>
      <c r="X2977" s="10" t="n"/>
      <c r="Y2977" s="10" t="n"/>
      <c r="Z2977" s="10" t="n"/>
      <c r="AA2977" s="11">
        <f>IF(A2977="","",IF(AND(J2977="P4",F2977="causal"),"P4-CAUSAL",""))</f>
        <v/>
      </c>
    </row>
    <row r="2978" ht="15" customHeight="1" s="1">
      <c r="P2978">
        <f>IF(OR(F2978="",H2978="",J2978=""),"",J2978&amp;"|"&amp;F2978&amp;"|"&amp;IF(H2978="W3","W3_"&amp;IF(I2978="","unknown",I2978),H2978))</f>
        <v/>
      </c>
      <c r="Q2978">
        <f>IF(P2978="","",IFERROR(IF(AND(H2978="W7",OR(F2978="causal",F2978="predictive")),IF(AND(OR(K2978=1,K2978="1"),OR(L2978=1,L2978="1"),OR(M2978=1,M2978="1")),"adequate","partial"),IF(AND(H2978="W4",F2978="predictive",OR(J2978="P2",J2978="P3",J2978="P4")),IF(OR(U2978=1,U2978="1"),"adequate","partial"),INDEX(Fit_Matrix!$B:$B,MATCH(P2978,Fit_Matrix!$A:$A,0)))),"CHECK KEY"))</f>
        <v/>
      </c>
      <c r="U2978" s="10" t="n"/>
      <c r="V2978" s="10" t="n"/>
      <c r="W2978" s="10" t="n"/>
      <c r="X2978" s="10" t="n"/>
      <c r="Y2978" s="10" t="n"/>
      <c r="Z2978" s="10" t="n"/>
      <c r="AA2978" s="11">
        <f>IF(A2978="","",IF(AND(J2978="P4",F2978="causal"),"P4-CAUSAL",""))</f>
        <v/>
      </c>
    </row>
    <row r="2979" ht="15" customHeight="1" s="1">
      <c r="P2979">
        <f>IF(OR(F2979="",H2979="",J2979=""),"",J2979&amp;"|"&amp;F2979&amp;"|"&amp;IF(H2979="W3","W3_"&amp;IF(I2979="","unknown",I2979),H2979))</f>
        <v/>
      </c>
      <c r="Q2979">
        <f>IF(P2979="","",IFERROR(IF(AND(H2979="W7",OR(F2979="causal",F2979="predictive")),IF(AND(OR(K2979=1,K2979="1"),OR(L2979=1,L2979="1"),OR(M2979=1,M2979="1")),"adequate","partial"),IF(AND(H2979="W4",F2979="predictive",OR(J2979="P2",J2979="P3",J2979="P4")),IF(OR(U2979=1,U2979="1"),"adequate","partial"),INDEX(Fit_Matrix!$B:$B,MATCH(P2979,Fit_Matrix!$A:$A,0)))),"CHECK KEY"))</f>
        <v/>
      </c>
      <c r="U2979" s="10" t="n"/>
      <c r="V2979" s="10" t="n"/>
      <c r="W2979" s="10" t="n"/>
      <c r="X2979" s="10" t="n"/>
      <c r="Y2979" s="10" t="n"/>
      <c r="Z2979" s="10" t="n"/>
      <c r="AA2979" s="11">
        <f>IF(A2979="","",IF(AND(J2979="P4",F2979="causal"),"P4-CAUSAL",""))</f>
        <v/>
      </c>
    </row>
    <row r="2980" ht="15" customHeight="1" s="1">
      <c r="P2980">
        <f>IF(OR(F2980="",H2980="",J2980=""),"",J2980&amp;"|"&amp;F2980&amp;"|"&amp;IF(H2980="W3","W3_"&amp;IF(I2980="","unknown",I2980),H2980))</f>
        <v/>
      </c>
      <c r="Q2980">
        <f>IF(P2980="","",IFERROR(IF(AND(H2980="W7",OR(F2980="causal",F2980="predictive")),IF(AND(OR(K2980=1,K2980="1"),OR(L2980=1,L2980="1"),OR(M2980=1,M2980="1")),"adequate","partial"),IF(AND(H2980="W4",F2980="predictive",OR(J2980="P2",J2980="P3",J2980="P4")),IF(OR(U2980=1,U2980="1"),"adequate","partial"),INDEX(Fit_Matrix!$B:$B,MATCH(P2980,Fit_Matrix!$A:$A,0)))),"CHECK KEY"))</f>
        <v/>
      </c>
      <c r="U2980" s="10" t="n"/>
      <c r="V2980" s="10" t="n"/>
      <c r="W2980" s="10" t="n"/>
      <c r="X2980" s="10" t="n"/>
      <c r="Y2980" s="10" t="n"/>
      <c r="Z2980" s="10" t="n"/>
      <c r="AA2980" s="11">
        <f>IF(A2980="","",IF(AND(J2980="P4",F2980="causal"),"P4-CAUSAL",""))</f>
        <v/>
      </c>
    </row>
    <row r="2981" ht="15" customHeight="1" s="1">
      <c r="P2981">
        <f>IF(OR(F2981="",H2981="",J2981=""),"",J2981&amp;"|"&amp;F2981&amp;"|"&amp;IF(H2981="W3","W3_"&amp;IF(I2981="","unknown",I2981),H2981))</f>
        <v/>
      </c>
      <c r="Q2981">
        <f>IF(P2981="","",IFERROR(IF(AND(H2981="W7",OR(F2981="causal",F2981="predictive")),IF(AND(OR(K2981=1,K2981="1"),OR(L2981=1,L2981="1"),OR(M2981=1,M2981="1")),"adequate","partial"),IF(AND(H2981="W4",F2981="predictive",OR(J2981="P2",J2981="P3",J2981="P4")),IF(OR(U2981=1,U2981="1"),"adequate","partial"),INDEX(Fit_Matrix!$B:$B,MATCH(P2981,Fit_Matrix!$A:$A,0)))),"CHECK KEY"))</f>
        <v/>
      </c>
      <c r="U2981" s="10" t="n"/>
      <c r="V2981" s="10" t="n"/>
      <c r="W2981" s="10" t="n"/>
      <c r="X2981" s="10" t="n"/>
      <c r="Y2981" s="10" t="n"/>
      <c r="Z2981" s="10" t="n"/>
      <c r="AA2981" s="11">
        <f>IF(A2981="","",IF(AND(J2981="P4",F2981="causal"),"P4-CAUSAL",""))</f>
        <v/>
      </c>
    </row>
    <row r="2982" ht="15" customHeight="1" s="1">
      <c r="P2982">
        <f>IF(OR(F2982="",H2982="",J2982=""),"",J2982&amp;"|"&amp;F2982&amp;"|"&amp;IF(H2982="W3","W3_"&amp;IF(I2982="","unknown",I2982),H2982))</f>
        <v/>
      </c>
      <c r="Q2982">
        <f>IF(P2982="","",IFERROR(IF(AND(H2982="W7",OR(F2982="causal",F2982="predictive")),IF(AND(OR(K2982=1,K2982="1"),OR(L2982=1,L2982="1"),OR(M2982=1,M2982="1")),"adequate","partial"),IF(AND(H2982="W4",F2982="predictive",OR(J2982="P2",J2982="P3",J2982="P4")),IF(OR(U2982=1,U2982="1"),"adequate","partial"),INDEX(Fit_Matrix!$B:$B,MATCH(P2982,Fit_Matrix!$A:$A,0)))),"CHECK KEY"))</f>
        <v/>
      </c>
      <c r="U2982" s="10" t="n"/>
      <c r="V2982" s="10" t="n"/>
      <c r="W2982" s="10" t="n"/>
      <c r="X2982" s="10" t="n"/>
      <c r="Y2982" s="10" t="n"/>
      <c r="Z2982" s="10" t="n"/>
      <c r="AA2982" s="11">
        <f>IF(A2982="","",IF(AND(J2982="P4",F2982="causal"),"P4-CAUSAL",""))</f>
        <v/>
      </c>
    </row>
    <row r="2983" ht="15" customHeight="1" s="1">
      <c r="P2983">
        <f>IF(OR(F2983="",H2983="",J2983=""),"",J2983&amp;"|"&amp;F2983&amp;"|"&amp;IF(H2983="W3","W3_"&amp;IF(I2983="","unknown",I2983),H2983))</f>
        <v/>
      </c>
      <c r="Q2983">
        <f>IF(P2983="","",IFERROR(IF(AND(H2983="W7",OR(F2983="causal",F2983="predictive")),IF(AND(OR(K2983=1,K2983="1"),OR(L2983=1,L2983="1"),OR(M2983=1,M2983="1")),"adequate","partial"),IF(AND(H2983="W4",F2983="predictive",OR(J2983="P2",J2983="P3",J2983="P4")),IF(OR(U2983=1,U2983="1"),"adequate","partial"),INDEX(Fit_Matrix!$B:$B,MATCH(P2983,Fit_Matrix!$A:$A,0)))),"CHECK KEY"))</f>
        <v/>
      </c>
      <c r="U2983" s="10" t="n"/>
      <c r="V2983" s="10" t="n"/>
      <c r="W2983" s="10" t="n"/>
      <c r="X2983" s="10" t="n"/>
      <c r="Y2983" s="10" t="n"/>
      <c r="Z2983" s="10" t="n"/>
      <c r="AA2983" s="11">
        <f>IF(A2983="","",IF(AND(J2983="P4",F2983="causal"),"P4-CAUSAL",""))</f>
        <v/>
      </c>
    </row>
    <row r="2984" ht="15" customHeight="1" s="1">
      <c r="P2984">
        <f>IF(OR(F2984="",H2984="",J2984=""),"",J2984&amp;"|"&amp;F2984&amp;"|"&amp;IF(H2984="W3","W3_"&amp;IF(I2984="","unknown",I2984),H2984))</f>
        <v/>
      </c>
      <c r="Q2984">
        <f>IF(P2984="","",IFERROR(IF(AND(H2984="W7",OR(F2984="causal",F2984="predictive")),IF(AND(OR(K2984=1,K2984="1"),OR(L2984=1,L2984="1"),OR(M2984=1,M2984="1")),"adequate","partial"),IF(AND(H2984="W4",F2984="predictive",OR(J2984="P2",J2984="P3",J2984="P4")),IF(OR(U2984=1,U2984="1"),"adequate","partial"),INDEX(Fit_Matrix!$B:$B,MATCH(P2984,Fit_Matrix!$A:$A,0)))),"CHECK KEY"))</f>
        <v/>
      </c>
      <c r="U2984" s="10" t="n"/>
      <c r="V2984" s="10" t="n"/>
      <c r="W2984" s="10" t="n"/>
      <c r="X2984" s="10" t="n"/>
      <c r="Y2984" s="10" t="n"/>
      <c r="Z2984" s="10" t="n"/>
      <c r="AA2984" s="11">
        <f>IF(A2984="","",IF(AND(J2984="P4",F2984="causal"),"P4-CAUSAL",""))</f>
        <v/>
      </c>
    </row>
    <row r="2985" ht="15" customHeight="1" s="1">
      <c r="P2985">
        <f>IF(OR(F2985="",H2985="",J2985=""),"",J2985&amp;"|"&amp;F2985&amp;"|"&amp;IF(H2985="W3","W3_"&amp;IF(I2985="","unknown",I2985),H2985))</f>
        <v/>
      </c>
      <c r="Q2985">
        <f>IF(P2985="","",IFERROR(IF(AND(H2985="W7",OR(F2985="causal",F2985="predictive")),IF(AND(OR(K2985=1,K2985="1"),OR(L2985=1,L2985="1"),OR(M2985=1,M2985="1")),"adequate","partial"),IF(AND(H2985="W4",F2985="predictive",OR(J2985="P2",J2985="P3",J2985="P4")),IF(OR(U2985=1,U2985="1"),"adequate","partial"),INDEX(Fit_Matrix!$B:$B,MATCH(P2985,Fit_Matrix!$A:$A,0)))),"CHECK KEY"))</f>
        <v/>
      </c>
      <c r="U2985" s="10" t="n"/>
      <c r="V2985" s="10" t="n"/>
      <c r="W2985" s="10" t="n"/>
      <c r="X2985" s="10" t="n"/>
      <c r="Y2985" s="10" t="n"/>
      <c r="Z2985" s="10" t="n"/>
      <c r="AA2985" s="11">
        <f>IF(A2985="","",IF(AND(J2985="P4",F2985="causal"),"P4-CAUSAL",""))</f>
        <v/>
      </c>
    </row>
    <row r="2986" ht="15" customHeight="1" s="1">
      <c r="P2986">
        <f>IF(OR(F2986="",H2986="",J2986=""),"",J2986&amp;"|"&amp;F2986&amp;"|"&amp;IF(H2986="W3","W3_"&amp;IF(I2986="","unknown",I2986),H2986))</f>
        <v/>
      </c>
      <c r="Q2986">
        <f>IF(P2986="","",IFERROR(IF(AND(H2986="W7",OR(F2986="causal",F2986="predictive")),IF(AND(OR(K2986=1,K2986="1"),OR(L2986=1,L2986="1"),OR(M2986=1,M2986="1")),"adequate","partial"),IF(AND(H2986="W4",F2986="predictive",OR(J2986="P2",J2986="P3",J2986="P4")),IF(OR(U2986=1,U2986="1"),"adequate","partial"),INDEX(Fit_Matrix!$B:$B,MATCH(P2986,Fit_Matrix!$A:$A,0)))),"CHECK KEY"))</f>
        <v/>
      </c>
      <c r="U2986" s="10" t="n"/>
      <c r="V2986" s="10" t="n"/>
      <c r="W2986" s="10" t="n"/>
      <c r="X2986" s="10" t="n"/>
      <c r="Y2986" s="10" t="n"/>
      <c r="Z2986" s="10" t="n"/>
      <c r="AA2986" s="11">
        <f>IF(A2986="","",IF(AND(J2986="P4",F2986="causal"),"P4-CAUSAL",""))</f>
        <v/>
      </c>
    </row>
    <row r="2987" ht="15" customHeight="1" s="1">
      <c r="P2987">
        <f>IF(OR(F2987="",H2987="",J2987=""),"",J2987&amp;"|"&amp;F2987&amp;"|"&amp;IF(H2987="W3","W3_"&amp;IF(I2987="","unknown",I2987),H2987))</f>
        <v/>
      </c>
      <c r="Q2987">
        <f>IF(P2987="","",IFERROR(IF(AND(H2987="W7",OR(F2987="causal",F2987="predictive")),IF(AND(OR(K2987=1,K2987="1"),OR(L2987=1,L2987="1"),OR(M2987=1,M2987="1")),"adequate","partial"),IF(AND(H2987="W4",F2987="predictive",OR(J2987="P2",J2987="P3",J2987="P4")),IF(OR(U2987=1,U2987="1"),"adequate","partial"),INDEX(Fit_Matrix!$B:$B,MATCH(P2987,Fit_Matrix!$A:$A,0)))),"CHECK KEY"))</f>
        <v/>
      </c>
      <c r="U2987" s="10" t="n"/>
      <c r="V2987" s="10" t="n"/>
      <c r="W2987" s="10" t="n"/>
      <c r="X2987" s="10" t="n"/>
      <c r="Y2987" s="10" t="n"/>
      <c r="Z2987" s="10" t="n"/>
      <c r="AA2987" s="11">
        <f>IF(A2987="","",IF(AND(J2987="P4",F2987="causal"),"P4-CAUSAL",""))</f>
        <v/>
      </c>
    </row>
    <row r="2988" ht="15" customHeight="1" s="1">
      <c r="P2988">
        <f>IF(OR(F2988="",H2988="",J2988=""),"",J2988&amp;"|"&amp;F2988&amp;"|"&amp;IF(H2988="W3","W3_"&amp;IF(I2988="","unknown",I2988),H2988))</f>
        <v/>
      </c>
      <c r="Q2988">
        <f>IF(P2988="","",IFERROR(IF(AND(H2988="W7",OR(F2988="causal",F2988="predictive")),IF(AND(OR(K2988=1,K2988="1"),OR(L2988=1,L2988="1"),OR(M2988=1,M2988="1")),"adequate","partial"),IF(AND(H2988="W4",F2988="predictive",OR(J2988="P2",J2988="P3",J2988="P4")),IF(OR(U2988=1,U2988="1"),"adequate","partial"),INDEX(Fit_Matrix!$B:$B,MATCH(P2988,Fit_Matrix!$A:$A,0)))),"CHECK KEY"))</f>
        <v/>
      </c>
      <c r="U2988" s="10" t="n"/>
      <c r="V2988" s="10" t="n"/>
      <c r="W2988" s="10" t="n"/>
      <c r="X2988" s="10" t="n"/>
      <c r="Y2988" s="10" t="n"/>
      <c r="Z2988" s="10" t="n"/>
      <c r="AA2988" s="11">
        <f>IF(A2988="","",IF(AND(J2988="P4",F2988="causal"),"P4-CAUSAL",""))</f>
        <v/>
      </c>
    </row>
    <row r="2989" ht="15" customHeight="1" s="1">
      <c r="P2989">
        <f>IF(OR(F2989="",H2989="",J2989=""),"",J2989&amp;"|"&amp;F2989&amp;"|"&amp;IF(H2989="W3","W3_"&amp;IF(I2989="","unknown",I2989),H2989))</f>
        <v/>
      </c>
      <c r="Q2989">
        <f>IF(P2989="","",IFERROR(IF(AND(H2989="W7",OR(F2989="causal",F2989="predictive")),IF(AND(OR(K2989=1,K2989="1"),OR(L2989=1,L2989="1"),OR(M2989=1,M2989="1")),"adequate","partial"),IF(AND(H2989="W4",F2989="predictive",OR(J2989="P2",J2989="P3",J2989="P4")),IF(OR(U2989=1,U2989="1"),"adequate","partial"),INDEX(Fit_Matrix!$B:$B,MATCH(P2989,Fit_Matrix!$A:$A,0)))),"CHECK KEY"))</f>
        <v/>
      </c>
      <c r="U2989" s="10" t="n"/>
      <c r="V2989" s="10" t="n"/>
      <c r="W2989" s="10" t="n"/>
      <c r="X2989" s="10" t="n"/>
      <c r="Y2989" s="10" t="n"/>
      <c r="Z2989" s="10" t="n"/>
      <c r="AA2989" s="11">
        <f>IF(A2989="","",IF(AND(J2989="P4",F2989="causal"),"P4-CAUSAL",""))</f>
        <v/>
      </c>
    </row>
    <row r="2990" ht="15" customHeight="1" s="1">
      <c r="P2990">
        <f>IF(OR(F2990="",H2990="",J2990=""),"",J2990&amp;"|"&amp;F2990&amp;"|"&amp;IF(H2990="W3","W3_"&amp;IF(I2990="","unknown",I2990),H2990))</f>
        <v/>
      </c>
      <c r="Q2990">
        <f>IF(P2990="","",IFERROR(IF(AND(H2990="W7",OR(F2990="causal",F2990="predictive")),IF(AND(OR(K2990=1,K2990="1"),OR(L2990=1,L2990="1"),OR(M2990=1,M2990="1")),"adequate","partial"),IF(AND(H2990="W4",F2990="predictive",OR(J2990="P2",J2990="P3",J2990="P4")),IF(OR(U2990=1,U2990="1"),"adequate","partial"),INDEX(Fit_Matrix!$B:$B,MATCH(P2990,Fit_Matrix!$A:$A,0)))),"CHECK KEY"))</f>
        <v/>
      </c>
      <c r="U2990" s="10" t="n"/>
      <c r="V2990" s="10" t="n"/>
      <c r="W2990" s="10" t="n"/>
      <c r="X2990" s="10" t="n"/>
      <c r="Y2990" s="10" t="n"/>
      <c r="Z2990" s="10" t="n"/>
      <c r="AA2990" s="11">
        <f>IF(A2990="","",IF(AND(J2990="P4",F2990="causal"),"P4-CAUSAL",""))</f>
        <v/>
      </c>
    </row>
    <row r="2991" ht="15" customHeight="1" s="1">
      <c r="P2991">
        <f>IF(OR(F2991="",H2991="",J2991=""),"",J2991&amp;"|"&amp;F2991&amp;"|"&amp;IF(H2991="W3","W3_"&amp;IF(I2991="","unknown",I2991),H2991))</f>
        <v/>
      </c>
      <c r="Q2991">
        <f>IF(P2991="","",IFERROR(IF(AND(H2991="W7",OR(F2991="causal",F2991="predictive")),IF(AND(OR(K2991=1,K2991="1"),OR(L2991=1,L2991="1"),OR(M2991=1,M2991="1")),"adequate","partial"),IF(AND(H2991="W4",F2991="predictive",OR(J2991="P2",J2991="P3",J2991="P4")),IF(OR(U2991=1,U2991="1"),"adequate","partial"),INDEX(Fit_Matrix!$B:$B,MATCH(P2991,Fit_Matrix!$A:$A,0)))),"CHECK KEY"))</f>
        <v/>
      </c>
      <c r="U2991" s="10" t="n"/>
      <c r="V2991" s="10" t="n"/>
      <c r="W2991" s="10" t="n"/>
      <c r="X2991" s="10" t="n"/>
      <c r="Y2991" s="10" t="n"/>
      <c r="Z2991" s="10" t="n"/>
      <c r="AA2991" s="11">
        <f>IF(A2991="","",IF(AND(J2991="P4",F2991="causal"),"P4-CAUSAL",""))</f>
        <v/>
      </c>
    </row>
    <row r="2992" ht="15" customHeight="1" s="1">
      <c r="P2992">
        <f>IF(OR(F2992="",H2992="",J2992=""),"",J2992&amp;"|"&amp;F2992&amp;"|"&amp;IF(H2992="W3","W3_"&amp;IF(I2992="","unknown",I2992),H2992))</f>
        <v/>
      </c>
      <c r="Q2992">
        <f>IF(P2992="","",IFERROR(IF(AND(H2992="W7",OR(F2992="causal",F2992="predictive")),IF(AND(OR(K2992=1,K2992="1"),OR(L2992=1,L2992="1"),OR(M2992=1,M2992="1")),"adequate","partial"),IF(AND(H2992="W4",F2992="predictive",OR(J2992="P2",J2992="P3",J2992="P4")),IF(OR(U2992=1,U2992="1"),"adequate","partial"),INDEX(Fit_Matrix!$B:$B,MATCH(P2992,Fit_Matrix!$A:$A,0)))),"CHECK KEY"))</f>
        <v/>
      </c>
      <c r="U2992" s="10" t="n"/>
      <c r="V2992" s="10" t="n"/>
      <c r="W2992" s="10" t="n"/>
      <c r="X2992" s="10" t="n"/>
      <c r="Y2992" s="10" t="n"/>
      <c r="Z2992" s="10" t="n"/>
      <c r="AA2992" s="11">
        <f>IF(A2992="","",IF(AND(J2992="P4",F2992="causal"),"P4-CAUSAL",""))</f>
        <v/>
      </c>
    </row>
    <row r="2993" ht="15" customHeight="1" s="1">
      <c r="P2993">
        <f>IF(OR(F2993="",H2993="",J2993=""),"",J2993&amp;"|"&amp;F2993&amp;"|"&amp;IF(H2993="W3","W3_"&amp;IF(I2993="","unknown",I2993),H2993))</f>
        <v/>
      </c>
      <c r="Q2993">
        <f>IF(P2993="","",IFERROR(IF(AND(H2993="W7",OR(F2993="causal",F2993="predictive")),IF(AND(OR(K2993=1,K2993="1"),OR(L2993=1,L2993="1"),OR(M2993=1,M2993="1")),"adequate","partial"),IF(AND(H2993="W4",F2993="predictive",OR(J2993="P2",J2993="P3",J2993="P4")),IF(OR(U2993=1,U2993="1"),"adequate","partial"),INDEX(Fit_Matrix!$B:$B,MATCH(P2993,Fit_Matrix!$A:$A,0)))),"CHECK KEY"))</f>
        <v/>
      </c>
      <c r="U2993" s="10" t="n"/>
      <c r="V2993" s="10" t="n"/>
      <c r="W2993" s="10" t="n"/>
      <c r="X2993" s="10" t="n"/>
      <c r="Y2993" s="10" t="n"/>
      <c r="Z2993" s="10" t="n"/>
      <c r="AA2993" s="11">
        <f>IF(A2993="","",IF(AND(J2993="P4",F2993="causal"),"P4-CAUSAL",""))</f>
        <v/>
      </c>
    </row>
    <row r="2994" ht="15" customHeight="1" s="1">
      <c r="P2994">
        <f>IF(OR(F2994="",H2994="",J2994=""),"",J2994&amp;"|"&amp;F2994&amp;"|"&amp;IF(H2994="W3","W3_"&amp;IF(I2994="","unknown",I2994),H2994))</f>
        <v/>
      </c>
      <c r="Q2994">
        <f>IF(P2994="","",IFERROR(IF(AND(H2994="W7",OR(F2994="causal",F2994="predictive")),IF(AND(OR(K2994=1,K2994="1"),OR(L2994=1,L2994="1"),OR(M2994=1,M2994="1")),"adequate","partial"),IF(AND(H2994="W4",F2994="predictive",OR(J2994="P2",J2994="P3",J2994="P4")),IF(OR(U2994=1,U2994="1"),"adequate","partial"),INDEX(Fit_Matrix!$B:$B,MATCH(P2994,Fit_Matrix!$A:$A,0)))),"CHECK KEY"))</f>
        <v/>
      </c>
      <c r="U2994" s="10" t="n"/>
      <c r="V2994" s="10" t="n"/>
      <c r="W2994" s="10" t="n"/>
      <c r="X2994" s="10" t="n"/>
      <c r="Y2994" s="10" t="n"/>
      <c r="Z2994" s="10" t="n"/>
      <c r="AA2994" s="11">
        <f>IF(A2994="","",IF(AND(J2994="P4",F2994="causal"),"P4-CAUSAL",""))</f>
        <v/>
      </c>
    </row>
    <row r="2995" ht="15" customHeight="1" s="1">
      <c r="P2995">
        <f>IF(OR(F2995="",H2995="",J2995=""),"",J2995&amp;"|"&amp;F2995&amp;"|"&amp;IF(H2995="W3","W3_"&amp;IF(I2995="","unknown",I2995),H2995))</f>
        <v/>
      </c>
      <c r="Q2995">
        <f>IF(P2995="","",IFERROR(IF(AND(H2995="W7",OR(F2995="causal",F2995="predictive")),IF(AND(OR(K2995=1,K2995="1"),OR(L2995=1,L2995="1"),OR(M2995=1,M2995="1")),"adequate","partial"),IF(AND(H2995="W4",F2995="predictive",OR(J2995="P2",J2995="P3",J2995="P4")),IF(OR(U2995=1,U2995="1"),"adequate","partial"),INDEX(Fit_Matrix!$B:$B,MATCH(P2995,Fit_Matrix!$A:$A,0)))),"CHECK KEY"))</f>
        <v/>
      </c>
      <c r="U2995" s="10" t="n"/>
      <c r="V2995" s="10" t="n"/>
      <c r="W2995" s="10" t="n"/>
      <c r="X2995" s="10" t="n"/>
      <c r="Y2995" s="10" t="n"/>
      <c r="Z2995" s="10" t="n"/>
      <c r="AA2995" s="11">
        <f>IF(A2995="","",IF(AND(J2995="P4",F2995="causal"),"P4-CAUSAL",""))</f>
        <v/>
      </c>
    </row>
    <row r="2996" ht="15" customHeight="1" s="1">
      <c r="P2996">
        <f>IF(OR(F2996="",H2996="",J2996=""),"",J2996&amp;"|"&amp;F2996&amp;"|"&amp;IF(H2996="W3","W3_"&amp;IF(I2996="","unknown",I2996),H2996))</f>
        <v/>
      </c>
      <c r="Q2996">
        <f>IF(P2996="","",IFERROR(IF(AND(H2996="W7",OR(F2996="causal",F2996="predictive")),IF(AND(OR(K2996=1,K2996="1"),OR(L2996=1,L2996="1"),OR(M2996=1,M2996="1")),"adequate","partial"),IF(AND(H2996="W4",F2996="predictive",OR(J2996="P2",J2996="P3",J2996="P4")),IF(OR(U2996=1,U2996="1"),"adequate","partial"),INDEX(Fit_Matrix!$B:$B,MATCH(P2996,Fit_Matrix!$A:$A,0)))),"CHECK KEY"))</f>
        <v/>
      </c>
      <c r="U2996" s="10" t="n"/>
      <c r="V2996" s="10" t="n"/>
      <c r="W2996" s="10" t="n"/>
      <c r="X2996" s="10" t="n"/>
      <c r="Y2996" s="10" t="n"/>
      <c r="Z2996" s="10" t="n"/>
      <c r="AA2996" s="11">
        <f>IF(A2996="","",IF(AND(J2996="P4",F2996="causal"),"P4-CAUSAL",""))</f>
        <v/>
      </c>
    </row>
    <row r="2997" ht="15" customHeight="1" s="1">
      <c r="P2997">
        <f>IF(OR(F2997="",H2997="",J2997=""),"",J2997&amp;"|"&amp;F2997&amp;"|"&amp;IF(H2997="W3","W3_"&amp;IF(I2997="","unknown",I2997),H2997))</f>
        <v/>
      </c>
      <c r="Q2997">
        <f>IF(P2997="","",IFERROR(IF(AND(H2997="W7",OR(F2997="causal",F2997="predictive")),IF(AND(OR(K2997=1,K2997="1"),OR(L2997=1,L2997="1"),OR(M2997=1,M2997="1")),"adequate","partial"),IF(AND(H2997="W4",F2997="predictive",OR(J2997="P2",J2997="P3",J2997="P4")),IF(OR(U2997=1,U2997="1"),"adequate","partial"),INDEX(Fit_Matrix!$B:$B,MATCH(P2997,Fit_Matrix!$A:$A,0)))),"CHECK KEY"))</f>
        <v/>
      </c>
      <c r="U2997" s="10" t="n"/>
      <c r="V2997" s="10" t="n"/>
      <c r="W2997" s="10" t="n"/>
      <c r="X2997" s="10" t="n"/>
      <c r="Y2997" s="10" t="n"/>
      <c r="Z2997" s="10" t="n"/>
      <c r="AA2997" s="11">
        <f>IF(A2997="","",IF(AND(J2997="P4",F2997="causal"),"P4-CAUSAL",""))</f>
        <v/>
      </c>
    </row>
    <row r="2998" ht="15" customHeight="1" s="1">
      <c r="P2998">
        <f>IF(OR(F2998="",H2998="",J2998=""),"",J2998&amp;"|"&amp;F2998&amp;"|"&amp;IF(H2998="W3","W3_"&amp;IF(I2998="","unknown",I2998),H2998))</f>
        <v/>
      </c>
      <c r="Q2998">
        <f>IF(P2998="","",IFERROR(IF(AND(H2998="W7",OR(F2998="causal",F2998="predictive")),IF(AND(OR(K2998=1,K2998="1"),OR(L2998=1,L2998="1"),OR(M2998=1,M2998="1")),"adequate","partial"),IF(AND(H2998="W4",F2998="predictive",OR(J2998="P2",J2998="P3",J2998="P4")),IF(OR(U2998=1,U2998="1"),"adequate","partial"),INDEX(Fit_Matrix!$B:$B,MATCH(P2998,Fit_Matrix!$A:$A,0)))),"CHECK KEY"))</f>
        <v/>
      </c>
      <c r="U2998" s="10" t="n"/>
      <c r="V2998" s="10" t="n"/>
      <c r="W2998" s="10" t="n"/>
      <c r="X2998" s="10" t="n"/>
      <c r="Y2998" s="10" t="n"/>
      <c r="Z2998" s="10" t="n"/>
      <c r="AA2998" s="11">
        <f>IF(A2998="","",IF(AND(J2998="P4",F2998="causal"),"P4-CAUSAL",""))</f>
        <v/>
      </c>
    </row>
    <row r="2999" ht="15" customHeight="1" s="1">
      <c r="P2999">
        <f>IF(OR(F2999="",H2999="",J2999=""),"",J2999&amp;"|"&amp;F2999&amp;"|"&amp;IF(H2999="W3","W3_"&amp;IF(I2999="","unknown",I2999),H2999))</f>
        <v/>
      </c>
      <c r="Q2999">
        <f>IF(P2999="","",IFERROR(IF(AND(H2999="W7",OR(F2999="causal",F2999="predictive")),IF(AND(OR(K2999=1,K2999="1"),OR(L2999=1,L2999="1"),OR(M2999=1,M2999="1")),"adequate","partial"),IF(AND(H2999="W4",F2999="predictive",OR(J2999="P2",J2999="P3",J2999="P4")),IF(OR(U2999=1,U2999="1"),"adequate","partial"),INDEX(Fit_Matrix!$B:$B,MATCH(P2999,Fit_Matrix!$A:$A,0)))),"CHECK KEY"))</f>
        <v/>
      </c>
      <c r="U2999" s="10" t="n"/>
      <c r="V2999" s="10" t="n"/>
      <c r="W2999" s="10" t="n"/>
      <c r="X2999" s="10" t="n"/>
      <c r="Y2999" s="10" t="n"/>
      <c r="Z2999" s="10" t="n"/>
      <c r="AA2999" s="11">
        <f>IF(A2999="","",IF(AND(J2999="P4",F2999="causal"),"P4-CAUSAL",""))</f>
        <v/>
      </c>
    </row>
    <row r="3000" ht="15" customHeight="1" s="1">
      <c r="P3000">
        <f>IF(OR(F3000="",H3000="",J3000=""),"",J3000&amp;"|"&amp;F3000&amp;"|"&amp;IF(H3000="W3","W3_"&amp;IF(I3000="","unknown",I3000),H3000))</f>
        <v/>
      </c>
      <c r="Q3000">
        <f>IF(P3000="","",IFERROR(IF(AND(H3000="W7",OR(F3000="causal",F3000="predictive")),IF(AND(OR(K3000=1,K3000="1"),OR(L3000=1,L3000="1"),OR(M3000=1,M3000="1")),"adequate","partial"),IF(AND(H3000="W4",F3000="predictive",OR(J3000="P2",J3000="P3",J3000="P4")),IF(OR(U3000=1,U3000="1"),"adequate","partial"),INDEX(Fit_Matrix!$B:$B,MATCH(P3000,Fit_Matrix!$A:$A,0)))),"CHECK KEY"))</f>
        <v/>
      </c>
      <c r="U3000" s="10" t="n"/>
      <c r="V3000" s="10" t="n"/>
      <c r="W3000" s="10" t="n"/>
      <c r="X3000" s="10" t="n"/>
      <c r="Y3000" s="10" t="n"/>
      <c r="Z3000" s="10" t="n"/>
      <c r="AA3000" s="11">
        <f>IF(A3000="","",IF(AND(J3000="P4",F3000="causal"),"P4-CAUSAL",""))</f>
        <v/>
      </c>
    </row>
    <row r="3001" ht="15" customHeight="1" s="1">
      <c r="P3001">
        <f>IF(OR(F3001="",H3001="",J3001=""),"",J3001&amp;"|"&amp;F3001&amp;"|"&amp;IF(H3001="W3","W3_"&amp;IF(I3001="","unknown",I3001),H3001))</f>
        <v/>
      </c>
      <c r="Q3001">
        <f>IF(P3001="","",IFERROR(IF(AND(H3001="W7",OR(F3001="causal",F3001="predictive")),IF(AND(OR(K3001=1,K3001="1"),OR(L3001=1,L3001="1"),OR(M3001=1,M3001="1")),"adequate","partial"),IF(AND(H3001="W4",F3001="predictive",OR(J3001="P2",J3001="P3",J3001="P4")),IF(OR(U3001=1,U3001="1"),"adequate","partial"),INDEX(Fit_Matrix!$B:$B,MATCH(P3001,Fit_Matrix!$A:$A,0)))),"CHECK KEY"))</f>
        <v/>
      </c>
      <c r="U3001" s="10" t="n"/>
      <c r="V3001" s="10" t="n"/>
      <c r="W3001" s="10" t="n"/>
      <c r="X3001" s="10" t="n"/>
      <c r="Y3001" s="10" t="n"/>
      <c r="Z3001" s="10" t="n"/>
      <c r="AA3001" s="11">
        <f>IF(A3001="","",IF(AND(J3001="P4",F3001="causal"),"P4-CAUSAL",""))</f>
        <v/>
      </c>
    </row>
    <row r="3002" ht="15" customHeight="1" s="1">
      <c r="P3002">
        <f>IF(OR(F3002="",H3002="",J3002=""),"",J3002&amp;"|"&amp;F3002&amp;"|"&amp;IF(H3002="W3","W3_"&amp;IF(I3002="","unknown",I3002),H3002))</f>
        <v/>
      </c>
      <c r="Q3002">
        <f>IF(P3002="","",IFERROR(IF(AND(H3002="W7",OR(F3002="causal",F3002="predictive")),IF(AND(OR(K3002=1,K3002="1"),OR(L3002=1,L3002="1"),OR(M3002=1,M3002="1")),"adequate","partial"),IF(AND(H3002="W4",F3002="predictive",OR(J3002="P2",J3002="P3",J3002="P4")),IF(OR(U3002=1,U3002="1"),"adequate","partial"),INDEX(Fit_Matrix!$B:$B,MATCH(P3002,Fit_Matrix!$A:$A,0)))),"CHECK KEY"))</f>
        <v/>
      </c>
      <c r="U3002" s="10" t="n"/>
      <c r="V3002" s="10" t="n"/>
      <c r="W3002" s="10" t="n"/>
      <c r="X3002" s="10" t="n"/>
      <c r="Y3002" s="10" t="n"/>
      <c r="Z3002" s="10" t="n"/>
      <c r="AA3002" s="11">
        <f>IF(A3002="","",IF(AND(J3002="P4",F3002="causal"),"P4-CAUSAL",""))</f>
        <v/>
      </c>
    </row>
    <row r="3003" ht="15" customHeight="1" s="1">
      <c r="P3003">
        <f>IF(OR(F3003="",H3003="",J3003=""),"",J3003&amp;"|"&amp;F3003&amp;"|"&amp;IF(H3003="W3","W3_"&amp;IF(I3003="","unknown",I3003),H3003))</f>
        <v/>
      </c>
      <c r="Q3003">
        <f>IF(P3003="","",IFERROR(IF(AND(H3003="W7",OR(F3003="causal",F3003="predictive")),IF(AND(OR(K3003=1,K3003="1"),OR(L3003=1,L3003="1"),OR(M3003=1,M3003="1")),"adequate","partial"),IF(AND(H3003="W4",F3003="predictive",OR(J3003="P2",J3003="P3",J3003="P4")),IF(OR(U3003=1,U3003="1"),"adequate","partial"),INDEX(Fit_Matrix!$B:$B,MATCH(P3003,Fit_Matrix!$A:$A,0)))),"CHECK KEY"))</f>
        <v/>
      </c>
      <c r="U3003" s="10" t="n"/>
      <c r="V3003" s="10" t="n"/>
      <c r="W3003" s="10" t="n"/>
      <c r="X3003" s="10" t="n"/>
      <c r="Y3003" s="10" t="n"/>
      <c r="Z3003" s="10" t="n"/>
      <c r="AA3003" s="11">
        <f>IF(A3003="","",IF(AND(J3003="P4",F3003="causal"),"P4-CAUSAL",""))</f>
        <v/>
      </c>
    </row>
    <row r="3004" ht="15" customHeight="1" s="1">
      <c r="P3004">
        <f>IF(OR(F3004="",H3004="",J3004=""),"",J3004&amp;"|"&amp;F3004&amp;"|"&amp;IF(H3004="W3","W3_"&amp;IF(I3004="","unknown",I3004),H3004))</f>
        <v/>
      </c>
      <c r="Q3004">
        <f>IF(P3004="","",IFERROR(IF(AND(H3004="W7",OR(F3004="causal",F3004="predictive")),IF(AND(OR(K3004=1,K3004="1"),OR(L3004=1,L3004="1"),OR(M3004=1,M3004="1")),"adequate","partial"),IF(AND(H3004="W4",F3004="predictive",OR(J3004="P2",J3004="P3",J3004="P4")),IF(OR(U3004=1,U3004="1"),"adequate","partial"),INDEX(Fit_Matrix!$B:$B,MATCH(P3004,Fit_Matrix!$A:$A,0)))),"CHECK KEY"))</f>
        <v/>
      </c>
      <c r="U3004" s="10" t="n"/>
      <c r="V3004" s="10" t="n"/>
      <c r="W3004" s="10" t="n"/>
      <c r="X3004" s="10" t="n"/>
      <c r="Y3004" s="10" t="n"/>
      <c r="Z3004" s="10" t="n"/>
      <c r="AA3004" s="11">
        <f>IF(A3004="","",IF(AND(J3004="P4",F3004="causal"),"P4-CAUSAL",""))</f>
        <v/>
      </c>
    </row>
    <row r="3005" ht="15" customHeight="1" s="1">
      <c r="P3005">
        <f>IF(OR(F3005="",H3005="",J3005=""),"",J3005&amp;"|"&amp;F3005&amp;"|"&amp;IF(H3005="W3","W3_"&amp;IF(I3005="","unknown",I3005),H3005))</f>
        <v/>
      </c>
      <c r="Q3005">
        <f>IF(P3005="","",IFERROR(IF(AND(H3005="W7",OR(F3005="causal",F3005="predictive")),IF(AND(OR(K3005=1,K3005="1"),OR(L3005=1,L3005="1"),OR(M3005=1,M3005="1")),"adequate","partial"),IF(AND(H3005="W4",F3005="predictive",OR(J3005="P2",J3005="P3",J3005="P4")),IF(OR(U3005=1,U3005="1"),"adequate","partial"),INDEX(Fit_Matrix!$B:$B,MATCH(P3005,Fit_Matrix!$A:$A,0)))),"CHECK KEY"))</f>
        <v/>
      </c>
      <c r="U3005" s="10" t="n"/>
      <c r="V3005" s="10" t="n"/>
      <c r="W3005" s="10" t="n"/>
      <c r="X3005" s="10" t="n"/>
      <c r="Y3005" s="10" t="n"/>
      <c r="Z3005" s="10" t="n"/>
      <c r="AA3005" s="11">
        <f>IF(A3005="","",IF(AND(J3005="P4",F3005="causal"),"P4-CAUSAL",""))</f>
        <v/>
      </c>
    </row>
    <row r="3006" ht="15" customHeight="1" s="1">
      <c r="P3006">
        <f>IF(OR(F3006="",H3006="",J3006=""),"",J3006&amp;"|"&amp;F3006&amp;"|"&amp;IF(H3006="W3","W3_"&amp;IF(I3006="","unknown",I3006),H3006))</f>
        <v/>
      </c>
      <c r="Q3006">
        <f>IF(P3006="","",IFERROR(IF(AND(H3006="W7",OR(F3006="causal",F3006="predictive")),IF(AND(OR(K3006=1,K3006="1"),OR(L3006=1,L3006="1"),OR(M3006=1,M3006="1")),"adequate","partial"),IF(AND(H3006="W4",F3006="predictive",OR(J3006="P2",J3006="P3",J3006="P4")),IF(OR(U3006=1,U3006="1"),"adequate","partial"),INDEX(Fit_Matrix!$B:$B,MATCH(P3006,Fit_Matrix!$A:$A,0)))),"CHECK KEY"))</f>
        <v/>
      </c>
      <c r="U3006" s="10" t="n"/>
      <c r="V3006" s="10" t="n"/>
      <c r="W3006" s="10" t="n"/>
      <c r="X3006" s="10" t="n"/>
      <c r="Y3006" s="10" t="n"/>
      <c r="Z3006" s="10" t="n"/>
      <c r="AA3006" s="11">
        <f>IF(A3006="","",IF(AND(J3006="P4",F3006="causal"),"P4-CAUSAL",""))</f>
        <v/>
      </c>
    </row>
    <row r="3007" ht="15" customHeight="1" s="1">
      <c r="P3007">
        <f>IF(OR(F3007="",H3007="",J3007=""),"",J3007&amp;"|"&amp;F3007&amp;"|"&amp;IF(H3007="W3","W3_"&amp;IF(I3007="","unknown",I3007),H3007))</f>
        <v/>
      </c>
      <c r="Q3007">
        <f>IF(P3007="","",IFERROR(IF(AND(H3007="W7",OR(F3007="causal",F3007="predictive")),IF(AND(OR(K3007=1,K3007="1"),OR(L3007=1,L3007="1"),OR(M3007=1,M3007="1")),"adequate","partial"),IF(AND(H3007="W4",F3007="predictive",OR(J3007="P2",J3007="P3",J3007="P4")),IF(OR(U3007=1,U3007="1"),"adequate","partial"),INDEX(Fit_Matrix!$B:$B,MATCH(P3007,Fit_Matrix!$A:$A,0)))),"CHECK KEY"))</f>
        <v/>
      </c>
      <c r="U3007" s="10" t="n"/>
      <c r="V3007" s="10" t="n"/>
      <c r="W3007" s="10" t="n"/>
      <c r="X3007" s="10" t="n"/>
      <c r="Y3007" s="10" t="n"/>
      <c r="Z3007" s="10" t="n"/>
      <c r="AA3007" s="11">
        <f>IF(A3007="","",IF(AND(J3007="P4",F3007="causal"),"P4-CAUSAL",""))</f>
        <v/>
      </c>
    </row>
    <row r="3008" ht="15" customHeight="1" s="1">
      <c r="P3008">
        <f>IF(OR(F3008="",H3008="",J3008=""),"",J3008&amp;"|"&amp;F3008&amp;"|"&amp;IF(H3008="W3","W3_"&amp;IF(I3008="","unknown",I3008),H3008))</f>
        <v/>
      </c>
      <c r="Q3008">
        <f>IF(P3008="","",IFERROR(IF(AND(H3008="W7",OR(F3008="causal",F3008="predictive")),IF(AND(OR(K3008=1,K3008="1"),OR(L3008=1,L3008="1"),OR(M3008=1,M3008="1")),"adequate","partial"),IF(AND(H3008="W4",F3008="predictive",OR(J3008="P2",J3008="P3",J3008="P4")),IF(OR(U3008=1,U3008="1"),"adequate","partial"),INDEX(Fit_Matrix!$B:$B,MATCH(P3008,Fit_Matrix!$A:$A,0)))),"CHECK KEY"))</f>
        <v/>
      </c>
      <c r="U3008" s="10" t="n"/>
      <c r="V3008" s="10" t="n"/>
      <c r="W3008" s="10" t="n"/>
      <c r="X3008" s="10" t="n"/>
      <c r="Y3008" s="10" t="n"/>
      <c r="Z3008" s="10" t="n"/>
      <c r="AA3008" s="11">
        <f>IF(A3008="","",IF(AND(J3008="P4",F3008="causal"),"P4-CAUSAL",""))</f>
        <v/>
      </c>
    </row>
    <row r="3009" ht="15" customHeight="1" s="1">
      <c r="P3009">
        <f>IF(OR(F3009="",H3009="",J3009=""),"",J3009&amp;"|"&amp;F3009&amp;"|"&amp;IF(H3009="W3","W3_"&amp;IF(I3009="","unknown",I3009),H3009))</f>
        <v/>
      </c>
      <c r="Q3009">
        <f>IF(P3009="","",IFERROR(IF(AND(H3009="W7",OR(F3009="causal",F3009="predictive")),IF(AND(OR(K3009=1,K3009="1"),OR(L3009=1,L3009="1"),OR(M3009=1,M3009="1")),"adequate","partial"),IF(AND(H3009="W4",F3009="predictive",OR(J3009="P2",J3009="P3",J3009="P4")),IF(OR(U3009=1,U3009="1"),"adequate","partial"),INDEX(Fit_Matrix!$B:$B,MATCH(P3009,Fit_Matrix!$A:$A,0)))),"CHECK KEY"))</f>
        <v/>
      </c>
      <c r="U3009" s="10" t="n"/>
      <c r="V3009" s="10" t="n"/>
      <c r="W3009" s="10" t="n"/>
      <c r="X3009" s="10" t="n"/>
      <c r="Y3009" s="10" t="n"/>
      <c r="Z3009" s="10" t="n"/>
      <c r="AA3009" s="11">
        <f>IF(A3009="","",IF(AND(J3009="P4",F3009="causal"),"P4-CAUSAL",""))</f>
        <v/>
      </c>
    </row>
    <row r="3010" ht="15" customHeight="1" s="1">
      <c r="P3010">
        <f>IF(OR(F3010="",H3010="",J3010=""),"",J3010&amp;"|"&amp;F3010&amp;"|"&amp;IF(H3010="W3","W3_"&amp;IF(I3010="","unknown",I3010),H3010))</f>
        <v/>
      </c>
      <c r="Q3010">
        <f>IF(P3010="","",IFERROR(IF(AND(H3010="W7",OR(F3010="causal",F3010="predictive")),IF(AND(OR(K3010=1,K3010="1"),OR(L3010=1,L3010="1"),OR(M3010=1,M3010="1")),"adequate","partial"),IF(AND(H3010="W4",F3010="predictive",OR(J3010="P2",J3010="P3",J3010="P4")),IF(OR(U3010=1,U3010="1"),"adequate","partial"),INDEX(Fit_Matrix!$B:$B,MATCH(P3010,Fit_Matrix!$A:$A,0)))),"CHECK KEY"))</f>
        <v/>
      </c>
      <c r="U3010" s="10" t="n"/>
      <c r="V3010" s="10" t="n"/>
      <c r="W3010" s="10" t="n"/>
      <c r="X3010" s="10" t="n"/>
      <c r="Y3010" s="10" t="n"/>
      <c r="Z3010" s="10" t="n"/>
      <c r="AA3010" s="11">
        <f>IF(A3010="","",IF(AND(J3010="P4",F3010="causal"),"P4-CAUSAL",""))</f>
        <v/>
      </c>
    </row>
    <row r="3011" ht="15" customHeight="1" s="1">
      <c r="P3011">
        <f>IF(OR(F3011="",H3011="",J3011=""),"",J3011&amp;"|"&amp;F3011&amp;"|"&amp;IF(H3011="W3","W3_"&amp;IF(I3011="","unknown",I3011),H3011))</f>
        <v/>
      </c>
      <c r="Q3011">
        <f>IF(P3011="","",IFERROR(IF(AND(H3011="W7",OR(F3011="causal",F3011="predictive")),IF(AND(OR(K3011=1,K3011="1"),OR(L3011=1,L3011="1"),OR(M3011=1,M3011="1")),"adequate","partial"),IF(AND(H3011="W4",F3011="predictive",OR(J3011="P2",J3011="P3",J3011="P4")),IF(OR(U3011=1,U3011="1"),"adequate","partial"),INDEX(Fit_Matrix!$B:$B,MATCH(P3011,Fit_Matrix!$A:$A,0)))),"CHECK KEY"))</f>
        <v/>
      </c>
      <c r="U3011" s="10" t="n"/>
      <c r="V3011" s="10" t="n"/>
      <c r="W3011" s="10" t="n"/>
      <c r="X3011" s="10" t="n"/>
      <c r="Y3011" s="10" t="n"/>
      <c r="Z3011" s="10" t="n"/>
      <c r="AA3011" s="11">
        <f>IF(A3011="","",IF(AND(J3011="P4",F3011="causal"),"P4-CAUSAL",""))</f>
        <v/>
      </c>
    </row>
    <row r="3012" ht="15" customHeight="1" s="1">
      <c r="P3012">
        <f>IF(OR(F3012="",H3012="",J3012=""),"",J3012&amp;"|"&amp;F3012&amp;"|"&amp;IF(H3012="W3","W3_"&amp;IF(I3012="","unknown",I3012),H3012))</f>
        <v/>
      </c>
      <c r="Q3012">
        <f>IF(P3012="","",IFERROR(IF(AND(H3012="W7",OR(F3012="causal",F3012="predictive")),IF(AND(OR(K3012=1,K3012="1"),OR(L3012=1,L3012="1"),OR(M3012=1,M3012="1")),"adequate","partial"),IF(AND(H3012="W4",F3012="predictive",OR(J3012="P2",J3012="P3",J3012="P4")),IF(OR(U3012=1,U3012="1"),"adequate","partial"),INDEX(Fit_Matrix!$B:$B,MATCH(P3012,Fit_Matrix!$A:$A,0)))),"CHECK KEY"))</f>
        <v/>
      </c>
      <c r="U3012" s="10" t="n"/>
      <c r="V3012" s="10" t="n"/>
      <c r="W3012" s="10" t="n"/>
      <c r="X3012" s="10" t="n"/>
      <c r="Y3012" s="10" t="n"/>
      <c r="Z3012" s="10" t="n"/>
      <c r="AA3012" s="11">
        <f>IF(A3012="","",IF(AND(J3012="P4",F3012="causal"),"P4-CAUSAL",""))</f>
        <v/>
      </c>
    </row>
    <row r="3013" ht="15" customHeight="1" s="1">
      <c r="P3013">
        <f>IF(OR(F3013="",H3013="",J3013=""),"",J3013&amp;"|"&amp;F3013&amp;"|"&amp;IF(H3013="W3","W3_"&amp;IF(I3013="","unknown",I3013),H3013))</f>
        <v/>
      </c>
      <c r="Q3013">
        <f>IF(P3013="","",IFERROR(IF(AND(H3013="W7",OR(F3013="causal",F3013="predictive")),IF(AND(OR(K3013=1,K3013="1"),OR(L3013=1,L3013="1"),OR(M3013=1,M3013="1")),"adequate","partial"),IF(AND(H3013="W4",F3013="predictive",OR(J3013="P2",J3013="P3",J3013="P4")),IF(OR(U3013=1,U3013="1"),"adequate","partial"),INDEX(Fit_Matrix!$B:$B,MATCH(P3013,Fit_Matrix!$A:$A,0)))),"CHECK KEY"))</f>
        <v/>
      </c>
      <c r="U3013" s="10" t="n"/>
      <c r="V3013" s="10" t="n"/>
      <c r="W3013" s="10" t="n"/>
      <c r="X3013" s="10" t="n"/>
      <c r="Y3013" s="10" t="n"/>
      <c r="Z3013" s="10" t="n"/>
      <c r="AA3013" s="11">
        <f>IF(A3013="","",IF(AND(J3013="P4",F3013="causal"),"P4-CAUSAL",""))</f>
        <v/>
      </c>
    </row>
    <row r="3014" ht="15" customHeight="1" s="1">
      <c r="P3014">
        <f>IF(OR(F3014="",H3014="",J3014=""),"",J3014&amp;"|"&amp;F3014&amp;"|"&amp;IF(H3014="W3","W3_"&amp;IF(I3014="","unknown",I3014),H3014))</f>
        <v/>
      </c>
      <c r="Q3014">
        <f>IF(P3014="","",IFERROR(IF(AND(H3014="W7",OR(F3014="causal",F3014="predictive")),IF(AND(OR(K3014=1,K3014="1"),OR(L3014=1,L3014="1"),OR(M3014=1,M3014="1")),"adequate","partial"),IF(AND(H3014="W4",F3014="predictive",OR(J3014="P2",J3014="P3",J3014="P4")),IF(OR(U3014=1,U3014="1"),"adequate","partial"),INDEX(Fit_Matrix!$B:$B,MATCH(P3014,Fit_Matrix!$A:$A,0)))),"CHECK KEY"))</f>
        <v/>
      </c>
      <c r="U3014" s="10" t="n"/>
      <c r="V3014" s="10" t="n"/>
      <c r="W3014" s="10" t="n"/>
      <c r="X3014" s="10" t="n"/>
      <c r="Y3014" s="10" t="n"/>
      <c r="Z3014" s="10" t="n"/>
      <c r="AA3014" s="11">
        <f>IF(A3014="","",IF(AND(J3014="P4",F3014="causal"),"P4-CAUSAL",""))</f>
        <v/>
      </c>
    </row>
    <row r="3015" ht="15" customHeight="1" s="1">
      <c r="P3015">
        <f>IF(OR(F3015="",H3015="",J3015=""),"",J3015&amp;"|"&amp;F3015&amp;"|"&amp;IF(H3015="W3","W3_"&amp;IF(I3015="","unknown",I3015),H3015))</f>
        <v/>
      </c>
      <c r="Q3015">
        <f>IF(P3015="","",IFERROR(IF(AND(H3015="W7",OR(F3015="causal",F3015="predictive")),IF(AND(OR(K3015=1,K3015="1"),OR(L3015=1,L3015="1"),OR(M3015=1,M3015="1")),"adequate","partial"),IF(AND(H3015="W4",F3015="predictive",OR(J3015="P2",J3015="P3",J3015="P4")),IF(OR(U3015=1,U3015="1"),"adequate","partial"),INDEX(Fit_Matrix!$B:$B,MATCH(P3015,Fit_Matrix!$A:$A,0)))),"CHECK KEY"))</f>
        <v/>
      </c>
      <c r="U3015" s="10" t="n"/>
      <c r="V3015" s="10" t="n"/>
      <c r="W3015" s="10" t="n"/>
      <c r="X3015" s="10" t="n"/>
      <c r="Y3015" s="10" t="n"/>
      <c r="Z3015" s="10" t="n"/>
      <c r="AA3015" s="11">
        <f>IF(A3015="","",IF(AND(J3015="P4",F3015="causal"),"P4-CAUSAL",""))</f>
        <v/>
      </c>
    </row>
    <row r="3016" ht="15" customHeight="1" s="1">
      <c r="P3016">
        <f>IF(OR(F3016="",H3016="",J3016=""),"",J3016&amp;"|"&amp;F3016&amp;"|"&amp;IF(H3016="W3","W3_"&amp;IF(I3016="","unknown",I3016),H3016))</f>
        <v/>
      </c>
      <c r="Q3016">
        <f>IF(P3016="","",IFERROR(IF(AND(H3016="W7",OR(F3016="causal",F3016="predictive")),IF(AND(OR(K3016=1,K3016="1"),OR(L3016=1,L3016="1"),OR(M3016=1,M3016="1")),"adequate","partial"),IF(AND(H3016="W4",F3016="predictive",OR(J3016="P2",J3016="P3",J3016="P4")),IF(OR(U3016=1,U3016="1"),"adequate","partial"),INDEX(Fit_Matrix!$B:$B,MATCH(P3016,Fit_Matrix!$A:$A,0)))),"CHECK KEY"))</f>
        <v/>
      </c>
      <c r="U3016" s="10" t="n"/>
      <c r="V3016" s="10" t="n"/>
      <c r="W3016" s="10" t="n"/>
      <c r="X3016" s="10" t="n"/>
      <c r="Y3016" s="10" t="n"/>
      <c r="Z3016" s="10" t="n"/>
      <c r="AA3016" s="11">
        <f>IF(A3016="","",IF(AND(J3016="P4",F3016="causal"),"P4-CAUSAL",""))</f>
        <v/>
      </c>
    </row>
    <row r="3017" ht="15" customHeight="1" s="1">
      <c r="P3017">
        <f>IF(OR(F3017="",H3017="",J3017=""),"",J3017&amp;"|"&amp;F3017&amp;"|"&amp;IF(H3017="W3","W3_"&amp;IF(I3017="","unknown",I3017),H3017))</f>
        <v/>
      </c>
      <c r="Q3017">
        <f>IF(P3017="","",IFERROR(IF(AND(H3017="W7",OR(F3017="causal",F3017="predictive")),IF(AND(OR(K3017=1,K3017="1"),OR(L3017=1,L3017="1"),OR(M3017=1,M3017="1")),"adequate","partial"),IF(AND(H3017="W4",F3017="predictive",OR(J3017="P2",J3017="P3",J3017="P4")),IF(OR(U3017=1,U3017="1"),"adequate","partial"),INDEX(Fit_Matrix!$B:$B,MATCH(P3017,Fit_Matrix!$A:$A,0)))),"CHECK KEY"))</f>
        <v/>
      </c>
      <c r="U3017" s="10" t="n"/>
      <c r="V3017" s="10" t="n"/>
      <c r="W3017" s="10" t="n"/>
      <c r="X3017" s="10" t="n"/>
      <c r="Y3017" s="10" t="n"/>
      <c r="Z3017" s="10" t="n"/>
      <c r="AA3017" s="11">
        <f>IF(A3017="","",IF(AND(J3017="P4",F3017="causal"),"P4-CAUSAL",""))</f>
        <v/>
      </c>
    </row>
    <row r="3018" ht="15" customHeight="1" s="1">
      <c r="P3018">
        <f>IF(OR(F3018="",H3018="",J3018=""),"",J3018&amp;"|"&amp;F3018&amp;"|"&amp;IF(H3018="W3","W3_"&amp;IF(I3018="","unknown",I3018),H3018))</f>
        <v/>
      </c>
      <c r="Q3018">
        <f>IF(P3018="","",IFERROR(IF(AND(H3018="W7",OR(F3018="causal",F3018="predictive")),IF(AND(OR(K3018=1,K3018="1"),OR(L3018=1,L3018="1"),OR(M3018=1,M3018="1")),"adequate","partial"),IF(AND(H3018="W4",F3018="predictive",OR(J3018="P2",J3018="P3",J3018="P4")),IF(OR(U3018=1,U3018="1"),"adequate","partial"),INDEX(Fit_Matrix!$B:$B,MATCH(P3018,Fit_Matrix!$A:$A,0)))),"CHECK KEY"))</f>
        <v/>
      </c>
      <c r="U3018" s="10" t="n"/>
      <c r="V3018" s="10" t="n"/>
      <c r="W3018" s="10" t="n"/>
      <c r="X3018" s="10" t="n"/>
      <c r="Y3018" s="10" t="n"/>
      <c r="Z3018" s="10" t="n"/>
      <c r="AA3018" s="11">
        <f>IF(A3018="","",IF(AND(J3018="P4",F3018="causal"),"P4-CAUSAL",""))</f>
        <v/>
      </c>
    </row>
    <row r="3019" ht="15" customHeight="1" s="1">
      <c r="P3019">
        <f>IF(OR(F3019="",H3019="",J3019=""),"",J3019&amp;"|"&amp;F3019&amp;"|"&amp;IF(H3019="W3","W3_"&amp;IF(I3019="","unknown",I3019),H3019))</f>
        <v/>
      </c>
      <c r="Q3019">
        <f>IF(P3019="","",IFERROR(IF(AND(H3019="W7",OR(F3019="causal",F3019="predictive")),IF(AND(OR(K3019=1,K3019="1"),OR(L3019=1,L3019="1"),OR(M3019=1,M3019="1")),"adequate","partial"),IF(AND(H3019="W4",F3019="predictive",OR(J3019="P2",J3019="P3",J3019="P4")),IF(OR(U3019=1,U3019="1"),"adequate","partial"),INDEX(Fit_Matrix!$B:$B,MATCH(P3019,Fit_Matrix!$A:$A,0)))),"CHECK KEY"))</f>
        <v/>
      </c>
      <c r="U3019" s="10" t="n"/>
      <c r="V3019" s="10" t="n"/>
      <c r="W3019" s="10" t="n"/>
      <c r="X3019" s="10" t="n"/>
      <c r="Y3019" s="10" t="n"/>
      <c r="Z3019" s="10" t="n"/>
      <c r="AA3019" s="11">
        <f>IF(A3019="","",IF(AND(J3019="P4",F3019="causal"),"P4-CAUSAL",""))</f>
        <v/>
      </c>
    </row>
    <row r="3020" ht="15" customHeight="1" s="1">
      <c r="P3020">
        <f>IF(OR(F3020="",H3020="",J3020=""),"",J3020&amp;"|"&amp;F3020&amp;"|"&amp;IF(H3020="W3","W3_"&amp;IF(I3020="","unknown",I3020),H3020))</f>
        <v/>
      </c>
      <c r="Q3020">
        <f>IF(P3020="","",IFERROR(IF(AND(H3020="W7",OR(F3020="causal",F3020="predictive")),IF(AND(OR(K3020=1,K3020="1"),OR(L3020=1,L3020="1"),OR(M3020=1,M3020="1")),"adequate","partial"),IF(AND(H3020="W4",F3020="predictive",OR(J3020="P2",J3020="P3",J3020="P4")),IF(OR(U3020=1,U3020="1"),"adequate","partial"),INDEX(Fit_Matrix!$B:$B,MATCH(P3020,Fit_Matrix!$A:$A,0)))),"CHECK KEY"))</f>
        <v/>
      </c>
      <c r="U3020" s="10" t="n"/>
      <c r="V3020" s="10" t="n"/>
      <c r="W3020" s="10" t="n"/>
      <c r="X3020" s="10" t="n"/>
      <c r="Y3020" s="10" t="n"/>
      <c r="Z3020" s="10" t="n"/>
      <c r="AA3020" s="11">
        <f>IF(A3020="","",IF(AND(J3020="P4",F3020="causal"),"P4-CAUSAL",""))</f>
        <v/>
      </c>
    </row>
    <row r="3021" ht="15" customHeight="1" s="1">
      <c r="P3021">
        <f>IF(OR(F3021="",H3021="",J3021=""),"",J3021&amp;"|"&amp;F3021&amp;"|"&amp;IF(H3021="W3","W3_"&amp;IF(I3021="","unknown",I3021),H3021))</f>
        <v/>
      </c>
      <c r="Q3021">
        <f>IF(P3021="","",IFERROR(IF(AND(H3021="W7",OR(F3021="causal",F3021="predictive")),IF(AND(OR(K3021=1,K3021="1"),OR(L3021=1,L3021="1"),OR(M3021=1,M3021="1")),"adequate","partial"),IF(AND(H3021="W4",F3021="predictive",OR(J3021="P2",J3021="P3",J3021="P4")),IF(OR(U3021=1,U3021="1"),"adequate","partial"),INDEX(Fit_Matrix!$B:$B,MATCH(P3021,Fit_Matrix!$A:$A,0)))),"CHECK KEY"))</f>
        <v/>
      </c>
      <c r="U3021" s="10" t="n"/>
      <c r="V3021" s="10" t="n"/>
      <c r="W3021" s="10" t="n"/>
      <c r="X3021" s="10" t="n"/>
      <c r="Y3021" s="10" t="n"/>
      <c r="Z3021" s="10" t="n"/>
      <c r="AA3021" s="11">
        <f>IF(A3021="","",IF(AND(J3021="P4",F3021="causal"),"P4-CAUSAL",""))</f>
        <v/>
      </c>
    </row>
    <row r="3022" ht="15" customHeight="1" s="1">
      <c r="P3022">
        <f>IF(OR(F3022="",H3022="",J3022=""),"",J3022&amp;"|"&amp;F3022&amp;"|"&amp;IF(H3022="W3","W3_"&amp;IF(I3022="","unknown",I3022),H3022))</f>
        <v/>
      </c>
      <c r="Q3022">
        <f>IF(P3022="","",IFERROR(IF(AND(H3022="W7",OR(F3022="causal",F3022="predictive")),IF(AND(OR(K3022=1,K3022="1"),OR(L3022=1,L3022="1"),OR(M3022=1,M3022="1")),"adequate","partial"),IF(AND(H3022="W4",F3022="predictive",OR(J3022="P2",J3022="P3",J3022="P4")),IF(OR(U3022=1,U3022="1"),"adequate","partial"),INDEX(Fit_Matrix!$B:$B,MATCH(P3022,Fit_Matrix!$A:$A,0)))),"CHECK KEY"))</f>
        <v/>
      </c>
      <c r="U3022" s="10" t="n"/>
      <c r="V3022" s="10" t="n"/>
      <c r="W3022" s="10" t="n"/>
      <c r="X3022" s="10" t="n"/>
      <c r="Y3022" s="10" t="n"/>
      <c r="Z3022" s="10" t="n"/>
      <c r="AA3022" s="11">
        <f>IF(A3022="","",IF(AND(J3022="P4",F3022="causal"),"P4-CAUSAL",""))</f>
        <v/>
      </c>
    </row>
    <row r="3023" ht="15" customHeight="1" s="1">
      <c r="P3023">
        <f>IF(OR(F3023="",H3023="",J3023=""),"",J3023&amp;"|"&amp;F3023&amp;"|"&amp;IF(H3023="W3","W3_"&amp;IF(I3023="","unknown",I3023),H3023))</f>
        <v/>
      </c>
      <c r="Q3023">
        <f>IF(P3023="","",IFERROR(IF(AND(H3023="W7",OR(F3023="causal",F3023="predictive")),IF(AND(OR(K3023=1,K3023="1"),OR(L3023=1,L3023="1"),OR(M3023=1,M3023="1")),"adequate","partial"),IF(AND(H3023="W4",F3023="predictive",OR(J3023="P2",J3023="P3",J3023="P4")),IF(OR(U3023=1,U3023="1"),"adequate","partial"),INDEX(Fit_Matrix!$B:$B,MATCH(P3023,Fit_Matrix!$A:$A,0)))),"CHECK KEY"))</f>
        <v/>
      </c>
      <c r="U3023" s="10" t="n"/>
      <c r="V3023" s="10" t="n"/>
      <c r="W3023" s="10" t="n"/>
      <c r="X3023" s="10" t="n"/>
      <c r="Y3023" s="10" t="n"/>
      <c r="Z3023" s="10" t="n"/>
      <c r="AA3023" s="11">
        <f>IF(A3023="","",IF(AND(J3023="P4",F3023="causal"),"P4-CAUSAL",""))</f>
        <v/>
      </c>
    </row>
    <row r="3024" ht="15" customHeight="1" s="1">
      <c r="P3024">
        <f>IF(OR(F3024="",H3024="",J3024=""),"",J3024&amp;"|"&amp;F3024&amp;"|"&amp;IF(H3024="W3","W3_"&amp;IF(I3024="","unknown",I3024),H3024))</f>
        <v/>
      </c>
      <c r="Q3024">
        <f>IF(P3024="","",IFERROR(IF(AND(H3024="W7",OR(F3024="causal",F3024="predictive")),IF(AND(OR(K3024=1,K3024="1"),OR(L3024=1,L3024="1"),OR(M3024=1,M3024="1")),"adequate","partial"),IF(AND(H3024="W4",F3024="predictive",OR(J3024="P2",J3024="P3",J3024="P4")),IF(OR(U3024=1,U3024="1"),"adequate","partial"),INDEX(Fit_Matrix!$B:$B,MATCH(P3024,Fit_Matrix!$A:$A,0)))),"CHECK KEY"))</f>
        <v/>
      </c>
      <c r="U3024" s="10" t="n"/>
      <c r="V3024" s="10" t="n"/>
      <c r="W3024" s="10" t="n"/>
      <c r="X3024" s="10" t="n"/>
      <c r="Y3024" s="10" t="n"/>
      <c r="Z3024" s="10" t="n"/>
      <c r="AA3024" s="11">
        <f>IF(A3024="","",IF(AND(J3024="P4",F3024="causal"),"P4-CAUSAL",""))</f>
        <v/>
      </c>
    </row>
    <row r="3025" ht="15" customHeight="1" s="1">
      <c r="P3025">
        <f>IF(OR(F3025="",H3025="",J3025=""),"",J3025&amp;"|"&amp;F3025&amp;"|"&amp;IF(H3025="W3","W3_"&amp;IF(I3025="","unknown",I3025),H3025))</f>
        <v/>
      </c>
      <c r="Q3025">
        <f>IF(P3025="","",IFERROR(IF(AND(H3025="W7",OR(F3025="causal",F3025="predictive")),IF(AND(OR(K3025=1,K3025="1"),OR(L3025=1,L3025="1"),OR(M3025=1,M3025="1")),"adequate","partial"),IF(AND(H3025="W4",F3025="predictive",OR(J3025="P2",J3025="P3",J3025="P4")),IF(OR(U3025=1,U3025="1"),"adequate","partial"),INDEX(Fit_Matrix!$B:$B,MATCH(P3025,Fit_Matrix!$A:$A,0)))),"CHECK KEY"))</f>
        <v/>
      </c>
      <c r="U3025" s="10" t="n"/>
      <c r="V3025" s="10" t="n"/>
      <c r="W3025" s="10" t="n"/>
      <c r="X3025" s="10" t="n"/>
      <c r="Y3025" s="10" t="n"/>
      <c r="Z3025" s="10" t="n"/>
      <c r="AA3025" s="11">
        <f>IF(A3025="","",IF(AND(J3025="P4",F3025="causal"),"P4-CAUSAL",""))</f>
        <v/>
      </c>
    </row>
    <row r="3026" ht="15" customHeight="1" s="1">
      <c r="P3026">
        <f>IF(OR(F3026="",H3026="",J3026=""),"",J3026&amp;"|"&amp;F3026&amp;"|"&amp;IF(H3026="W3","W3_"&amp;IF(I3026="","unknown",I3026),H3026))</f>
        <v/>
      </c>
      <c r="Q3026">
        <f>IF(P3026="","",IFERROR(IF(AND(H3026="W7",OR(F3026="causal",F3026="predictive")),IF(AND(OR(K3026=1,K3026="1"),OR(L3026=1,L3026="1"),OR(M3026=1,M3026="1")),"adequate","partial"),IF(AND(H3026="W4",F3026="predictive",OR(J3026="P2",J3026="P3",J3026="P4")),IF(OR(U3026=1,U3026="1"),"adequate","partial"),INDEX(Fit_Matrix!$B:$B,MATCH(P3026,Fit_Matrix!$A:$A,0)))),"CHECK KEY"))</f>
        <v/>
      </c>
      <c r="U3026" s="10" t="n"/>
      <c r="V3026" s="10" t="n"/>
      <c r="W3026" s="10" t="n"/>
      <c r="X3026" s="10" t="n"/>
      <c r="Y3026" s="10" t="n"/>
      <c r="Z3026" s="10" t="n"/>
      <c r="AA3026" s="11">
        <f>IF(A3026="","",IF(AND(J3026="P4",F3026="causal"),"P4-CAUSAL",""))</f>
        <v/>
      </c>
    </row>
    <row r="3027" ht="15" customHeight="1" s="1">
      <c r="P3027">
        <f>IF(OR(F3027="",H3027="",J3027=""),"",J3027&amp;"|"&amp;F3027&amp;"|"&amp;IF(H3027="W3","W3_"&amp;IF(I3027="","unknown",I3027),H3027))</f>
        <v/>
      </c>
      <c r="Q3027">
        <f>IF(P3027="","",IFERROR(IF(AND(H3027="W7",OR(F3027="causal",F3027="predictive")),IF(AND(OR(K3027=1,K3027="1"),OR(L3027=1,L3027="1"),OR(M3027=1,M3027="1")),"adequate","partial"),IF(AND(H3027="W4",F3027="predictive",OR(J3027="P2",J3027="P3",J3027="P4")),IF(OR(U3027=1,U3027="1"),"adequate","partial"),INDEX(Fit_Matrix!$B:$B,MATCH(P3027,Fit_Matrix!$A:$A,0)))),"CHECK KEY"))</f>
        <v/>
      </c>
      <c r="U3027" s="10" t="n"/>
      <c r="V3027" s="10" t="n"/>
      <c r="W3027" s="10" t="n"/>
      <c r="X3027" s="10" t="n"/>
      <c r="Y3027" s="10" t="n"/>
      <c r="Z3027" s="10" t="n"/>
      <c r="AA3027" s="11">
        <f>IF(A3027="","",IF(AND(J3027="P4",F3027="causal"),"P4-CAUSAL",""))</f>
        <v/>
      </c>
    </row>
    <row r="3028" ht="15" customHeight="1" s="1">
      <c r="P3028">
        <f>IF(OR(F3028="",H3028="",J3028=""),"",J3028&amp;"|"&amp;F3028&amp;"|"&amp;IF(H3028="W3","W3_"&amp;IF(I3028="","unknown",I3028),H3028))</f>
        <v/>
      </c>
      <c r="Q3028">
        <f>IF(P3028="","",IFERROR(IF(AND(H3028="W7",OR(F3028="causal",F3028="predictive")),IF(AND(OR(K3028=1,K3028="1"),OR(L3028=1,L3028="1"),OR(M3028=1,M3028="1")),"adequate","partial"),IF(AND(H3028="W4",F3028="predictive",OR(J3028="P2",J3028="P3",J3028="P4")),IF(OR(U3028=1,U3028="1"),"adequate","partial"),INDEX(Fit_Matrix!$B:$B,MATCH(P3028,Fit_Matrix!$A:$A,0)))),"CHECK KEY"))</f>
        <v/>
      </c>
      <c r="U3028" s="10" t="n"/>
      <c r="V3028" s="10" t="n"/>
      <c r="W3028" s="10" t="n"/>
      <c r="X3028" s="10" t="n"/>
      <c r="Y3028" s="10" t="n"/>
      <c r="Z3028" s="10" t="n"/>
      <c r="AA3028" s="11">
        <f>IF(A3028="","",IF(AND(J3028="P4",F3028="causal"),"P4-CAUSAL",""))</f>
        <v/>
      </c>
    </row>
    <row r="3029" ht="15" customHeight="1" s="1">
      <c r="P3029">
        <f>IF(OR(F3029="",H3029="",J3029=""),"",J3029&amp;"|"&amp;F3029&amp;"|"&amp;IF(H3029="W3","W3_"&amp;IF(I3029="","unknown",I3029),H3029))</f>
        <v/>
      </c>
      <c r="Q3029">
        <f>IF(P3029="","",IFERROR(IF(AND(H3029="W7",OR(F3029="causal",F3029="predictive")),IF(AND(OR(K3029=1,K3029="1"),OR(L3029=1,L3029="1"),OR(M3029=1,M3029="1")),"adequate","partial"),IF(AND(H3029="W4",F3029="predictive",OR(J3029="P2",J3029="P3",J3029="P4")),IF(OR(U3029=1,U3029="1"),"adequate","partial"),INDEX(Fit_Matrix!$B:$B,MATCH(P3029,Fit_Matrix!$A:$A,0)))),"CHECK KEY"))</f>
        <v/>
      </c>
      <c r="U3029" s="10" t="n"/>
      <c r="V3029" s="10" t="n"/>
      <c r="W3029" s="10" t="n"/>
      <c r="X3029" s="10" t="n"/>
      <c r="Y3029" s="10" t="n"/>
      <c r="Z3029" s="10" t="n"/>
      <c r="AA3029" s="11">
        <f>IF(A3029="","",IF(AND(J3029="P4",F3029="causal"),"P4-CAUSAL",""))</f>
        <v/>
      </c>
    </row>
    <row r="3030" ht="15" customHeight="1" s="1">
      <c r="P3030">
        <f>IF(OR(F3030="",H3030="",J3030=""),"",J3030&amp;"|"&amp;F3030&amp;"|"&amp;IF(H3030="W3","W3_"&amp;IF(I3030="","unknown",I3030),H3030))</f>
        <v/>
      </c>
      <c r="Q3030">
        <f>IF(P3030="","",IFERROR(IF(AND(H3030="W7",OR(F3030="causal",F3030="predictive")),IF(AND(OR(K3030=1,K3030="1"),OR(L3030=1,L3030="1"),OR(M3030=1,M3030="1")),"adequate","partial"),IF(AND(H3030="W4",F3030="predictive",OR(J3030="P2",J3030="P3",J3030="P4")),IF(OR(U3030=1,U3030="1"),"adequate","partial"),INDEX(Fit_Matrix!$B:$B,MATCH(P3030,Fit_Matrix!$A:$A,0)))),"CHECK KEY"))</f>
        <v/>
      </c>
      <c r="U3030" s="10" t="n"/>
      <c r="V3030" s="10" t="n"/>
      <c r="W3030" s="10" t="n"/>
      <c r="X3030" s="10" t="n"/>
      <c r="Y3030" s="10" t="n"/>
      <c r="Z3030" s="10" t="n"/>
      <c r="AA3030" s="11">
        <f>IF(A3030="","",IF(AND(J3030="P4",F3030="causal"),"P4-CAUSAL",""))</f>
        <v/>
      </c>
    </row>
    <row r="3031" ht="15" customHeight="1" s="1">
      <c r="P3031">
        <f>IF(OR(F3031="",H3031="",J3031=""),"",J3031&amp;"|"&amp;F3031&amp;"|"&amp;IF(H3031="W3","W3_"&amp;IF(I3031="","unknown",I3031),H3031))</f>
        <v/>
      </c>
      <c r="Q3031">
        <f>IF(P3031="","",IFERROR(IF(AND(H3031="W7",OR(F3031="causal",F3031="predictive")),IF(AND(OR(K3031=1,K3031="1"),OR(L3031=1,L3031="1"),OR(M3031=1,M3031="1")),"adequate","partial"),IF(AND(H3031="W4",F3031="predictive",OR(J3031="P2",J3031="P3",J3031="P4")),IF(OR(U3031=1,U3031="1"),"adequate","partial"),INDEX(Fit_Matrix!$B:$B,MATCH(P3031,Fit_Matrix!$A:$A,0)))),"CHECK KEY"))</f>
        <v/>
      </c>
      <c r="U3031" s="10" t="n"/>
      <c r="V3031" s="10" t="n"/>
      <c r="W3031" s="10" t="n"/>
      <c r="X3031" s="10" t="n"/>
      <c r="Y3031" s="10" t="n"/>
      <c r="Z3031" s="10" t="n"/>
      <c r="AA3031" s="11">
        <f>IF(A3031="","",IF(AND(J3031="P4",F3031="causal"),"P4-CAUSAL",""))</f>
        <v/>
      </c>
    </row>
    <row r="3032" ht="15" customHeight="1" s="1">
      <c r="P3032">
        <f>IF(OR(F3032="",H3032="",J3032=""),"",J3032&amp;"|"&amp;F3032&amp;"|"&amp;IF(H3032="W3","W3_"&amp;IF(I3032="","unknown",I3032),H3032))</f>
        <v/>
      </c>
      <c r="Q3032">
        <f>IF(P3032="","",IFERROR(IF(AND(H3032="W7",OR(F3032="causal",F3032="predictive")),IF(AND(OR(K3032=1,K3032="1"),OR(L3032=1,L3032="1"),OR(M3032=1,M3032="1")),"adequate","partial"),IF(AND(H3032="W4",F3032="predictive",OR(J3032="P2",J3032="P3",J3032="P4")),IF(OR(U3032=1,U3032="1"),"adequate","partial"),INDEX(Fit_Matrix!$B:$B,MATCH(P3032,Fit_Matrix!$A:$A,0)))),"CHECK KEY"))</f>
        <v/>
      </c>
      <c r="U3032" s="10" t="n"/>
      <c r="V3032" s="10" t="n"/>
      <c r="W3032" s="10" t="n"/>
      <c r="X3032" s="10" t="n"/>
      <c r="Y3032" s="10" t="n"/>
      <c r="Z3032" s="10" t="n"/>
      <c r="AA3032" s="11">
        <f>IF(A3032="","",IF(AND(J3032="P4",F3032="causal"),"P4-CAUSAL",""))</f>
        <v/>
      </c>
    </row>
    <row r="3033" ht="15" customHeight="1" s="1">
      <c r="P3033">
        <f>IF(OR(F3033="",H3033="",J3033=""),"",J3033&amp;"|"&amp;F3033&amp;"|"&amp;IF(H3033="W3","W3_"&amp;IF(I3033="","unknown",I3033),H3033))</f>
        <v/>
      </c>
      <c r="Q3033">
        <f>IF(P3033="","",IFERROR(IF(AND(H3033="W7",OR(F3033="causal",F3033="predictive")),IF(AND(OR(K3033=1,K3033="1"),OR(L3033=1,L3033="1"),OR(M3033=1,M3033="1")),"adequate","partial"),IF(AND(H3033="W4",F3033="predictive",OR(J3033="P2",J3033="P3",J3033="P4")),IF(OR(U3033=1,U3033="1"),"adequate","partial"),INDEX(Fit_Matrix!$B:$B,MATCH(P3033,Fit_Matrix!$A:$A,0)))),"CHECK KEY"))</f>
        <v/>
      </c>
      <c r="U3033" s="10" t="n"/>
      <c r="V3033" s="10" t="n"/>
      <c r="W3033" s="10" t="n"/>
      <c r="X3033" s="10" t="n"/>
      <c r="Y3033" s="10" t="n"/>
      <c r="Z3033" s="10" t="n"/>
      <c r="AA3033" s="11">
        <f>IF(A3033="","",IF(AND(J3033="P4",F3033="causal"),"P4-CAUSAL",""))</f>
        <v/>
      </c>
    </row>
    <row r="3034" ht="15" customHeight="1" s="1">
      <c r="P3034">
        <f>IF(OR(F3034="",H3034="",J3034=""),"",J3034&amp;"|"&amp;F3034&amp;"|"&amp;IF(H3034="W3","W3_"&amp;IF(I3034="","unknown",I3034),H3034))</f>
        <v/>
      </c>
      <c r="Q3034">
        <f>IF(P3034="","",IFERROR(IF(AND(H3034="W7",OR(F3034="causal",F3034="predictive")),IF(AND(OR(K3034=1,K3034="1"),OR(L3034=1,L3034="1"),OR(M3034=1,M3034="1")),"adequate","partial"),IF(AND(H3034="W4",F3034="predictive",OR(J3034="P2",J3034="P3",J3034="P4")),IF(OR(U3034=1,U3034="1"),"adequate","partial"),INDEX(Fit_Matrix!$B:$B,MATCH(P3034,Fit_Matrix!$A:$A,0)))),"CHECK KEY"))</f>
        <v/>
      </c>
      <c r="U3034" s="10" t="n"/>
      <c r="V3034" s="10" t="n"/>
      <c r="W3034" s="10" t="n"/>
      <c r="X3034" s="10" t="n"/>
      <c r="Y3034" s="10" t="n"/>
      <c r="Z3034" s="10" t="n"/>
      <c r="AA3034" s="11">
        <f>IF(A3034="","",IF(AND(J3034="P4",F3034="causal"),"P4-CAUSAL",""))</f>
        <v/>
      </c>
    </row>
    <row r="3035" ht="15" customHeight="1" s="1">
      <c r="P3035">
        <f>IF(OR(F3035="",H3035="",J3035=""),"",J3035&amp;"|"&amp;F3035&amp;"|"&amp;IF(H3035="W3","W3_"&amp;IF(I3035="","unknown",I3035),H3035))</f>
        <v/>
      </c>
      <c r="Q3035">
        <f>IF(P3035="","",IFERROR(IF(AND(H3035="W7",OR(F3035="causal",F3035="predictive")),IF(AND(OR(K3035=1,K3035="1"),OR(L3035=1,L3035="1"),OR(M3035=1,M3035="1")),"adequate","partial"),IF(AND(H3035="W4",F3035="predictive",OR(J3035="P2",J3035="P3",J3035="P4")),IF(OR(U3035=1,U3035="1"),"adequate","partial"),INDEX(Fit_Matrix!$B:$B,MATCH(P3035,Fit_Matrix!$A:$A,0)))),"CHECK KEY"))</f>
        <v/>
      </c>
      <c r="U3035" s="10" t="n"/>
      <c r="V3035" s="10" t="n"/>
      <c r="W3035" s="10" t="n"/>
      <c r="X3035" s="10" t="n"/>
      <c r="Y3035" s="10" t="n"/>
      <c r="Z3035" s="10" t="n"/>
      <c r="AA3035" s="11">
        <f>IF(A3035="","",IF(AND(J3035="P4",F3035="causal"),"P4-CAUSAL",""))</f>
        <v/>
      </c>
    </row>
    <row r="3036" ht="15" customHeight="1" s="1">
      <c r="P3036">
        <f>IF(OR(F3036="",H3036="",J3036=""),"",J3036&amp;"|"&amp;F3036&amp;"|"&amp;IF(H3036="W3","W3_"&amp;IF(I3036="","unknown",I3036),H3036))</f>
        <v/>
      </c>
      <c r="Q3036">
        <f>IF(P3036="","",IFERROR(IF(AND(H3036="W7",OR(F3036="causal",F3036="predictive")),IF(AND(OR(K3036=1,K3036="1"),OR(L3036=1,L3036="1"),OR(M3036=1,M3036="1")),"adequate","partial"),IF(AND(H3036="W4",F3036="predictive",OR(J3036="P2",J3036="P3",J3036="P4")),IF(OR(U3036=1,U3036="1"),"adequate","partial"),INDEX(Fit_Matrix!$B:$B,MATCH(P3036,Fit_Matrix!$A:$A,0)))),"CHECK KEY"))</f>
        <v/>
      </c>
      <c r="U3036" s="10" t="n"/>
      <c r="V3036" s="10" t="n"/>
      <c r="W3036" s="10" t="n"/>
      <c r="X3036" s="10" t="n"/>
      <c r="Y3036" s="10" t="n"/>
      <c r="Z3036" s="10" t="n"/>
      <c r="AA3036" s="11">
        <f>IF(A3036="","",IF(AND(J3036="P4",F3036="causal"),"P4-CAUSAL",""))</f>
        <v/>
      </c>
    </row>
    <row r="3037" ht="15" customHeight="1" s="1">
      <c r="P3037">
        <f>IF(OR(F3037="",H3037="",J3037=""),"",J3037&amp;"|"&amp;F3037&amp;"|"&amp;IF(H3037="W3","W3_"&amp;IF(I3037="","unknown",I3037),H3037))</f>
        <v/>
      </c>
      <c r="Q3037">
        <f>IF(P3037="","",IFERROR(IF(AND(H3037="W7",OR(F3037="causal",F3037="predictive")),IF(AND(OR(K3037=1,K3037="1"),OR(L3037=1,L3037="1"),OR(M3037=1,M3037="1")),"adequate","partial"),IF(AND(H3037="W4",F3037="predictive",OR(J3037="P2",J3037="P3",J3037="P4")),IF(OR(U3037=1,U3037="1"),"adequate","partial"),INDEX(Fit_Matrix!$B:$B,MATCH(P3037,Fit_Matrix!$A:$A,0)))),"CHECK KEY"))</f>
        <v/>
      </c>
      <c r="U3037" s="10" t="n"/>
      <c r="V3037" s="10" t="n"/>
      <c r="W3037" s="10" t="n"/>
      <c r="X3037" s="10" t="n"/>
      <c r="Y3037" s="10" t="n"/>
      <c r="Z3037" s="10" t="n"/>
      <c r="AA3037" s="11">
        <f>IF(A3037="","",IF(AND(J3037="P4",F3037="causal"),"P4-CAUSAL",""))</f>
        <v/>
      </c>
    </row>
    <row r="3038" ht="15" customHeight="1" s="1">
      <c r="P3038">
        <f>IF(OR(F3038="",H3038="",J3038=""),"",J3038&amp;"|"&amp;F3038&amp;"|"&amp;IF(H3038="W3","W3_"&amp;IF(I3038="","unknown",I3038),H3038))</f>
        <v/>
      </c>
      <c r="Q3038">
        <f>IF(P3038="","",IFERROR(IF(AND(H3038="W7",OR(F3038="causal",F3038="predictive")),IF(AND(OR(K3038=1,K3038="1"),OR(L3038=1,L3038="1"),OR(M3038=1,M3038="1")),"adequate","partial"),IF(AND(H3038="W4",F3038="predictive",OR(J3038="P2",J3038="P3",J3038="P4")),IF(OR(U3038=1,U3038="1"),"adequate","partial"),INDEX(Fit_Matrix!$B:$B,MATCH(P3038,Fit_Matrix!$A:$A,0)))),"CHECK KEY"))</f>
        <v/>
      </c>
      <c r="U3038" s="10" t="n"/>
      <c r="V3038" s="10" t="n"/>
      <c r="W3038" s="10" t="n"/>
      <c r="X3038" s="10" t="n"/>
      <c r="Y3038" s="10" t="n"/>
      <c r="Z3038" s="10" t="n"/>
      <c r="AA3038" s="11">
        <f>IF(A3038="","",IF(AND(J3038="P4",F3038="causal"),"P4-CAUSAL",""))</f>
        <v/>
      </c>
    </row>
    <row r="3039" ht="15" customHeight="1" s="1">
      <c r="P3039">
        <f>IF(OR(F3039="",H3039="",J3039=""),"",J3039&amp;"|"&amp;F3039&amp;"|"&amp;IF(H3039="W3","W3_"&amp;IF(I3039="","unknown",I3039),H3039))</f>
        <v/>
      </c>
      <c r="Q3039">
        <f>IF(P3039="","",IFERROR(IF(AND(H3039="W7",OR(F3039="causal",F3039="predictive")),IF(AND(OR(K3039=1,K3039="1"),OR(L3039=1,L3039="1"),OR(M3039=1,M3039="1")),"adequate","partial"),IF(AND(H3039="W4",F3039="predictive",OR(J3039="P2",J3039="P3",J3039="P4")),IF(OR(U3039=1,U3039="1"),"adequate","partial"),INDEX(Fit_Matrix!$B:$B,MATCH(P3039,Fit_Matrix!$A:$A,0)))),"CHECK KEY"))</f>
        <v/>
      </c>
      <c r="U3039" s="10" t="n"/>
      <c r="V3039" s="10" t="n"/>
      <c r="W3039" s="10" t="n"/>
      <c r="X3039" s="10" t="n"/>
      <c r="Y3039" s="10" t="n"/>
      <c r="Z3039" s="10" t="n"/>
      <c r="AA3039" s="11">
        <f>IF(A3039="","",IF(AND(J3039="P4",F3039="causal"),"P4-CAUSAL",""))</f>
        <v/>
      </c>
    </row>
    <row r="3040" ht="15" customHeight="1" s="1">
      <c r="P3040">
        <f>IF(OR(F3040="",H3040="",J3040=""),"",J3040&amp;"|"&amp;F3040&amp;"|"&amp;IF(H3040="W3","W3_"&amp;IF(I3040="","unknown",I3040),H3040))</f>
        <v/>
      </c>
      <c r="Q3040">
        <f>IF(P3040="","",IFERROR(IF(AND(H3040="W7",OR(F3040="causal",F3040="predictive")),IF(AND(OR(K3040=1,K3040="1"),OR(L3040=1,L3040="1"),OR(M3040=1,M3040="1")),"adequate","partial"),IF(AND(H3040="W4",F3040="predictive",OR(J3040="P2",J3040="P3",J3040="P4")),IF(OR(U3040=1,U3040="1"),"adequate","partial"),INDEX(Fit_Matrix!$B:$B,MATCH(P3040,Fit_Matrix!$A:$A,0)))),"CHECK KEY"))</f>
        <v/>
      </c>
      <c r="U3040" s="10" t="n"/>
      <c r="V3040" s="10" t="n"/>
      <c r="W3040" s="10" t="n"/>
      <c r="X3040" s="10" t="n"/>
      <c r="Y3040" s="10" t="n"/>
      <c r="Z3040" s="10" t="n"/>
      <c r="AA3040" s="11">
        <f>IF(A3040="","",IF(AND(J3040="P4",F3040="causal"),"P4-CAUSAL",""))</f>
        <v/>
      </c>
    </row>
    <row r="3041" ht="15" customHeight="1" s="1">
      <c r="P3041">
        <f>IF(OR(F3041="",H3041="",J3041=""),"",J3041&amp;"|"&amp;F3041&amp;"|"&amp;IF(H3041="W3","W3_"&amp;IF(I3041="","unknown",I3041),H3041))</f>
        <v/>
      </c>
      <c r="Q3041">
        <f>IF(P3041="","",IFERROR(IF(AND(H3041="W7",OR(F3041="causal",F3041="predictive")),IF(AND(OR(K3041=1,K3041="1"),OR(L3041=1,L3041="1"),OR(M3041=1,M3041="1")),"adequate","partial"),IF(AND(H3041="W4",F3041="predictive",OR(J3041="P2",J3041="P3",J3041="P4")),IF(OR(U3041=1,U3041="1"),"adequate","partial"),INDEX(Fit_Matrix!$B:$B,MATCH(P3041,Fit_Matrix!$A:$A,0)))),"CHECK KEY"))</f>
        <v/>
      </c>
      <c r="U3041" s="10" t="n"/>
      <c r="V3041" s="10" t="n"/>
      <c r="W3041" s="10" t="n"/>
      <c r="X3041" s="10" t="n"/>
      <c r="Y3041" s="10" t="n"/>
      <c r="Z3041" s="10" t="n"/>
      <c r="AA3041" s="11">
        <f>IF(A3041="","",IF(AND(J3041="P4",F3041="causal"),"P4-CAUSAL",""))</f>
        <v/>
      </c>
    </row>
    <row r="3042" ht="15" customHeight="1" s="1">
      <c r="P3042">
        <f>IF(OR(F3042="",H3042="",J3042=""),"",J3042&amp;"|"&amp;F3042&amp;"|"&amp;IF(H3042="W3","W3_"&amp;IF(I3042="","unknown",I3042),H3042))</f>
        <v/>
      </c>
      <c r="Q3042">
        <f>IF(P3042="","",IFERROR(IF(AND(H3042="W7",OR(F3042="causal",F3042="predictive")),IF(AND(OR(K3042=1,K3042="1"),OR(L3042=1,L3042="1"),OR(M3042=1,M3042="1")),"adequate","partial"),IF(AND(H3042="W4",F3042="predictive",OR(J3042="P2",J3042="P3",J3042="P4")),IF(OR(U3042=1,U3042="1"),"adequate","partial"),INDEX(Fit_Matrix!$B:$B,MATCH(P3042,Fit_Matrix!$A:$A,0)))),"CHECK KEY"))</f>
        <v/>
      </c>
      <c r="U3042" s="10" t="n"/>
      <c r="V3042" s="10" t="n"/>
      <c r="W3042" s="10" t="n"/>
      <c r="X3042" s="10" t="n"/>
      <c r="Y3042" s="10" t="n"/>
      <c r="Z3042" s="10" t="n"/>
      <c r="AA3042" s="11">
        <f>IF(A3042="","",IF(AND(J3042="P4",F3042="causal"),"P4-CAUSAL",""))</f>
        <v/>
      </c>
    </row>
    <row r="3043" ht="15" customHeight="1" s="1">
      <c r="P3043">
        <f>IF(OR(F3043="",H3043="",J3043=""),"",J3043&amp;"|"&amp;F3043&amp;"|"&amp;IF(H3043="W3","W3_"&amp;IF(I3043="","unknown",I3043),H3043))</f>
        <v/>
      </c>
      <c r="Q3043">
        <f>IF(P3043="","",IFERROR(IF(AND(H3043="W7",OR(F3043="causal",F3043="predictive")),IF(AND(OR(K3043=1,K3043="1"),OR(L3043=1,L3043="1"),OR(M3043=1,M3043="1")),"adequate","partial"),IF(AND(H3043="W4",F3043="predictive",OR(J3043="P2",J3043="P3",J3043="P4")),IF(OR(U3043=1,U3043="1"),"adequate","partial"),INDEX(Fit_Matrix!$B:$B,MATCH(P3043,Fit_Matrix!$A:$A,0)))),"CHECK KEY"))</f>
        <v/>
      </c>
      <c r="U3043" s="10" t="n"/>
      <c r="V3043" s="10" t="n"/>
      <c r="W3043" s="10" t="n"/>
      <c r="X3043" s="10" t="n"/>
      <c r="Y3043" s="10" t="n"/>
      <c r="Z3043" s="10" t="n"/>
      <c r="AA3043" s="11">
        <f>IF(A3043="","",IF(AND(J3043="P4",F3043="causal"),"P4-CAUSAL",""))</f>
        <v/>
      </c>
    </row>
    <row r="3044" ht="15" customHeight="1" s="1">
      <c r="P3044">
        <f>IF(OR(F3044="",H3044="",J3044=""),"",J3044&amp;"|"&amp;F3044&amp;"|"&amp;IF(H3044="W3","W3_"&amp;IF(I3044="","unknown",I3044),H3044))</f>
        <v/>
      </c>
      <c r="Q3044">
        <f>IF(P3044="","",IFERROR(IF(AND(H3044="W7",OR(F3044="causal",F3044="predictive")),IF(AND(OR(K3044=1,K3044="1"),OR(L3044=1,L3044="1"),OR(M3044=1,M3044="1")),"adequate","partial"),IF(AND(H3044="W4",F3044="predictive",OR(J3044="P2",J3044="P3",J3044="P4")),IF(OR(U3044=1,U3044="1"),"adequate","partial"),INDEX(Fit_Matrix!$B:$B,MATCH(P3044,Fit_Matrix!$A:$A,0)))),"CHECK KEY"))</f>
        <v/>
      </c>
      <c r="U3044" s="10" t="n"/>
      <c r="V3044" s="10" t="n"/>
      <c r="W3044" s="10" t="n"/>
      <c r="X3044" s="10" t="n"/>
      <c r="Y3044" s="10" t="n"/>
      <c r="Z3044" s="10" t="n"/>
      <c r="AA3044" s="11">
        <f>IF(A3044="","",IF(AND(J3044="P4",F3044="causal"),"P4-CAUSAL",""))</f>
        <v/>
      </c>
    </row>
    <row r="3045" ht="15" customHeight="1" s="1">
      <c r="P3045">
        <f>IF(OR(F3045="",H3045="",J3045=""),"",J3045&amp;"|"&amp;F3045&amp;"|"&amp;IF(H3045="W3","W3_"&amp;IF(I3045="","unknown",I3045),H3045))</f>
        <v/>
      </c>
      <c r="Q3045">
        <f>IF(P3045="","",IFERROR(IF(AND(H3045="W7",OR(F3045="causal",F3045="predictive")),IF(AND(OR(K3045=1,K3045="1"),OR(L3045=1,L3045="1"),OR(M3045=1,M3045="1")),"adequate","partial"),IF(AND(H3045="W4",F3045="predictive",OR(J3045="P2",J3045="P3",J3045="P4")),IF(OR(U3045=1,U3045="1"),"adequate","partial"),INDEX(Fit_Matrix!$B:$B,MATCH(P3045,Fit_Matrix!$A:$A,0)))),"CHECK KEY"))</f>
        <v/>
      </c>
      <c r="U3045" s="10" t="n"/>
      <c r="V3045" s="10" t="n"/>
      <c r="W3045" s="10" t="n"/>
      <c r="X3045" s="10" t="n"/>
      <c r="Y3045" s="10" t="n"/>
      <c r="Z3045" s="10" t="n"/>
      <c r="AA3045" s="11">
        <f>IF(A3045="","",IF(AND(J3045="P4",F3045="causal"),"P4-CAUSAL",""))</f>
        <v/>
      </c>
    </row>
    <row r="3046" ht="15" customHeight="1" s="1">
      <c r="P3046">
        <f>IF(OR(F3046="",H3046="",J3046=""),"",J3046&amp;"|"&amp;F3046&amp;"|"&amp;IF(H3046="W3","W3_"&amp;IF(I3046="","unknown",I3046),H3046))</f>
        <v/>
      </c>
      <c r="Q3046">
        <f>IF(P3046="","",IFERROR(IF(AND(H3046="W7",OR(F3046="causal",F3046="predictive")),IF(AND(OR(K3046=1,K3046="1"),OR(L3046=1,L3046="1"),OR(M3046=1,M3046="1")),"adequate","partial"),IF(AND(H3046="W4",F3046="predictive",OR(J3046="P2",J3046="P3",J3046="P4")),IF(OR(U3046=1,U3046="1"),"adequate","partial"),INDEX(Fit_Matrix!$B:$B,MATCH(P3046,Fit_Matrix!$A:$A,0)))),"CHECK KEY"))</f>
        <v/>
      </c>
      <c r="U3046" s="10" t="n"/>
      <c r="V3046" s="10" t="n"/>
      <c r="W3046" s="10" t="n"/>
      <c r="X3046" s="10" t="n"/>
      <c r="Y3046" s="10" t="n"/>
      <c r="Z3046" s="10" t="n"/>
      <c r="AA3046" s="11">
        <f>IF(A3046="","",IF(AND(J3046="P4",F3046="causal"),"P4-CAUSAL",""))</f>
        <v/>
      </c>
    </row>
    <row r="3047" ht="15" customHeight="1" s="1">
      <c r="P3047">
        <f>IF(OR(F3047="",H3047="",J3047=""),"",J3047&amp;"|"&amp;F3047&amp;"|"&amp;IF(H3047="W3","W3_"&amp;IF(I3047="","unknown",I3047),H3047))</f>
        <v/>
      </c>
      <c r="Q3047">
        <f>IF(P3047="","",IFERROR(IF(AND(H3047="W7",OR(F3047="causal",F3047="predictive")),IF(AND(OR(K3047=1,K3047="1"),OR(L3047=1,L3047="1"),OR(M3047=1,M3047="1")),"adequate","partial"),IF(AND(H3047="W4",F3047="predictive",OR(J3047="P2",J3047="P3",J3047="P4")),IF(OR(U3047=1,U3047="1"),"adequate","partial"),INDEX(Fit_Matrix!$B:$B,MATCH(P3047,Fit_Matrix!$A:$A,0)))),"CHECK KEY"))</f>
        <v/>
      </c>
      <c r="U3047" s="10" t="n"/>
      <c r="V3047" s="10" t="n"/>
      <c r="W3047" s="10" t="n"/>
      <c r="X3047" s="10" t="n"/>
      <c r="Y3047" s="10" t="n"/>
      <c r="Z3047" s="10" t="n"/>
      <c r="AA3047" s="11">
        <f>IF(A3047="","",IF(AND(J3047="P4",F3047="causal"),"P4-CAUSAL",""))</f>
        <v/>
      </c>
    </row>
    <row r="3048" ht="15" customHeight="1" s="1">
      <c r="P3048">
        <f>IF(OR(F3048="",H3048="",J3048=""),"",J3048&amp;"|"&amp;F3048&amp;"|"&amp;IF(H3048="W3","W3_"&amp;IF(I3048="","unknown",I3048),H3048))</f>
        <v/>
      </c>
      <c r="Q3048">
        <f>IF(P3048="","",IFERROR(IF(AND(H3048="W7",OR(F3048="causal",F3048="predictive")),IF(AND(OR(K3048=1,K3048="1"),OR(L3048=1,L3048="1"),OR(M3048=1,M3048="1")),"adequate","partial"),IF(AND(H3048="W4",F3048="predictive",OR(J3048="P2",J3048="P3",J3048="P4")),IF(OR(U3048=1,U3048="1"),"adequate","partial"),INDEX(Fit_Matrix!$B:$B,MATCH(P3048,Fit_Matrix!$A:$A,0)))),"CHECK KEY"))</f>
        <v/>
      </c>
      <c r="U3048" s="10" t="n"/>
      <c r="V3048" s="10" t="n"/>
      <c r="W3048" s="10" t="n"/>
      <c r="X3048" s="10" t="n"/>
      <c r="Y3048" s="10" t="n"/>
      <c r="Z3048" s="10" t="n"/>
      <c r="AA3048" s="11">
        <f>IF(A3048="","",IF(AND(J3048="P4",F3048="causal"),"P4-CAUSAL",""))</f>
        <v/>
      </c>
    </row>
    <row r="3049" ht="15" customHeight="1" s="1">
      <c r="P3049">
        <f>IF(OR(F3049="",H3049="",J3049=""),"",J3049&amp;"|"&amp;F3049&amp;"|"&amp;IF(H3049="W3","W3_"&amp;IF(I3049="","unknown",I3049),H3049))</f>
        <v/>
      </c>
      <c r="Q3049">
        <f>IF(P3049="","",IFERROR(IF(AND(H3049="W7",OR(F3049="causal",F3049="predictive")),IF(AND(OR(K3049=1,K3049="1"),OR(L3049=1,L3049="1"),OR(M3049=1,M3049="1")),"adequate","partial"),IF(AND(H3049="W4",F3049="predictive",OR(J3049="P2",J3049="P3",J3049="P4")),IF(OR(U3049=1,U3049="1"),"adequate","partial"),INDEX(Fit_Matrix!$B:$B,MATCH(P3049,Fit_Matrix!$A:$A,0)))),"CHECK KEY"))</f>
        <v/>
      </c>
      <c r="U3049" s="10" t="n"/>
      <c r="V3049" s="10" t="n"/>
      <c r="W3049" s="10" t="n"/>
      <c r="X3049" s="10" t="n"/>
      <c r="Y3049" s="10" t="n"/>
      <c r="Z3049" s="10" t="n"/>
      <c r="AA3049" s="11">
        <f>IF(A3049="","",IF(AND(J3049="P4",F3049="causal"),"P4-CAUSAL",""))</f>
        <v/>
      </c>
    </row>
    <row r="3050" ht="15" customHeight="1" s="1">
      <c r="P3050">
        <f>IF(OR(F3050="",H3050="",J3050=""),"",J3050&amp;"|"&amp;F3050&amp;"|"&amp;IF(H3050="W3","W3_"&amp;IF(I3050="","unknown",I3050),H3050))</f>
        <v/>
      </c>
      <c r="Q3050">
        <f>IF(P3050="","",IFERROR(IF(AND(H3050="W7",OR(F3050="causal",F3050="predictive")),IF(AND(OR(K3050=1,K3050="1"),OR(L3050=1,L3050="1"),OR(M3050=1,M3050="1")),"adequate","partial"),IF(AND(H3050="W4",F3050="predictive",OR(J3050="P2",J3050="P3",J3050="P4")),IF(OR(U3050=1,U3050="1"),"adequate","partial"),INDEX(Fit_Matrix!$B:$B,MATCH(P3050,Fit_Matrix!$A:$A,0)))),"CHECK KEY"))</f>
        <v/>
      </c>
      <c r="U3050" s="10" t="n"/>
      <c r="V3050" s="10" t="n"/>
      <c r="W3050" s="10" t="n"/>
      <c r="X3050" s="10" t="n"/>
      <c r="Y3050" s="10" t="n"/>
      <c r="Z3050" s="10" t="n"/>
      <c r="AA3050" s="11">
        <f>IF(A3050="","",IF(AND(J3050="P4",F3050="causal"),"P4-CAUSAL",""))</f>
        <v/>
      </c>
    </row>
    <row r="3051" ht="15" customHeight="1" s="1">
      <c r="P3051">
        <f>IF(OR(F3051="",H3051="",J3051=""),"",J3051&amp;"|"&amp;F3051&amp;"|"&amp;IF(H3051="W3","W3_"&amp;IF(I3051="","unknown",I3051),H3051))</f>
        <v/>
      </c>
      <c r="Q3051">
        <f>IF(P3051="","",IFERROR(IF(AND(H3051="W7",OR(F3051="causal",F3051="predictive")),IF(AND(OR(K3051=1,K3051="1"),OR(L3051=1,L3051="1"),OR(M3051=1,M3051="1")),"adequate","partial"),IF(AND(H3051="W4",F3051="predictive",OR(J3051="P2",J3051="P3",J3051="P4")),IF(OR(U3051=1,U3051="1"),"adequate","partial"),INDEX(Fit_Matrix!$B:$B,MATCH(P3051,Fit_Matrix!$A:$A,0)))),"CHECK KEY"))</f>
        <v/>
      </c>
      <c r="U3051" s="10" t="n"/>
      <c r="V3051" s="10" t="n"/>
      <c r="W3051" s="10" t="n"/>
      <c r="X3051" s="10" t="n"/>
      <c r="Y3051" s="10" t="n"/>
      <c r="Z3051" s="10" t="n"/>
      <c r="AA3051" s="11">
        <f>IF(A3051="","",IF(AND(J3051="P4",F3051="causal"),"P4-CAUSAL",""))</f>
        <v/>
      </c>
    </row>
    <row r="3052" ht="15" customHeight="1" s="1">
      <c r="P3052">
        <f>IF(OR(F3052="",H3052="",J3052=""),"",J3052&amp;"|"&amp;F3052&amp;"|"&amp;IF(H3052="W3","W3_"&amp;IF(I3052="","unknown",I3052),H3052))</f>
        <v/>
      </c>
      <c r="Q3052">
        <f>IF(P3052="","",IFERROR(IF(AND(H3052="W7",OR(F3052="causal",F3052="predictive")),IF(AND(OR(K3052=1,K3052="1"),OR(L3052=1,L3052="1"),OR(M3052=1,M3052="1")),"adequate","partial"),IF(AND(H3052="W4",F3052="predictive",OR(J3052="P2",J3052="P3",J3052="P4")),IF(OR(U3052=1,U3052="1"),"adequate","partial"),INDEX(Fit_Matrix!$B:$B,MATCH(P3052,Fit_Matrix!$A:$A,0)))),"CHECK KEY"))</f>
        <v/>
      </c>
      <c r="U3052" s="10" t="n"/>
      <c r="V3052" s="10" t="n"/>
      <c r="W3052" s="10" t="n"/>
      <c r="X3052" s="10" t="n"/>
      <c r="Y3052" s="10" t="n"/>
      <c r="Z3052" s="10" t="n"/>
      <c r="AA3052" s="11">
        <f>IF(A3052="","",IF(AND(J3052="P4",F3052="causal"),"P4-CAUSAL",""))</f>
        <v/>
      </c>
    </row>
    <row r="3053" ht="15" customHeight="1" s="1">
      <c r="P3053">
        <f>IF(OR(F3053="",H3053="",J3053=""),"",J3053&amp;"|"&amp;F3053&amp;"|"&amp;IF(H3053="W3","W3_"&amp;IF(I3053="","unknown",I3053),H3053))</f>
        <v/>
      </c>
      <c r="Q3053">
        <f>IF(P3053="","",IFERROR(IF(AND(H3053="W7",OR(F3053="causal",F3053="predictive")),IF(AND(OR(K3053=1,K3053="1"),OR(L3053=1,L3053="1"),OR(M3053=1,M3053="1")),"adequate","partial"),IF(AND(H3053="W4",F3053="predictive",OR(J3053="P2",J3053="P3",J3053="P4")),IF(OR(U3053=1,U3053="1"),"adequate","partial"),INDEX(Fit_Matrix!$B:$B,MATCH(P3053,Fit_Matrix!$A:$A,0)))),"CHECK KEY"))</f>
        <v/>
      </c>
      <c r="U3053" s="10" t="n"/>
      <c r="V3053" s="10" t="n"/>
      <c r="W3053" s="10" t="n"/>
      <c r="X3053" s="10" t="n"/>
      <c r="Y3053" s="10" t="n"/>
      <c r="Z3053" s="10" t="n"/>
      <c r="AA3053" s="11">
        <f>IF(A3053="","",IF(AND(J3053="P4",F3053="causal"),"P4-CAUSAL",""))</f>
        <v/>
      </c>
    </row>
    <row r="3054" ht="15" customHeight="1" s="1">
      <c r="P3054">
        <f>IF(OR(F3054="",H3054="",J3054=""),"",J3054&amp;"|"&amp;F3054&amp;"|"&amp;IF(H3054="W3","W3_"&amp;IF(I3054="","unknown",I3054),H3054))</f>
        <v/>
      </c>
      <c r="Q3054">
        <f>IF(P3054="","",IFERROR(IF(AND(H3054="W7",OR(F3054="causal",F3054="predictive")),IF(AND(OR(K3054=1,K3054="1"),OR(L3054=1,L3054="1"),OR(M3054=1,M3054="1")),"adequate","partial"),IF(AND(H3054="W4",F3054="predictive",OR(J3054="P2",J3054="P3",J3054="P4")),IF(OR(U3054=1,U3054="1"),"adequate","partial"),INDEX(Fit_Matrix!$B:$B,MATCH(P3054,Fit_Matrix!$A:$A,0)))),"CHECK KEY"))</f>
        <v/>
      </c>
      <c r="U3054" s="10" t="n"/>
      <c r="V3054" s="10" t="n"/>
      <c r="W3054" s="10" t="n"/>
      <c r="X3054" s="10" t="n"/>
      <c r="Y3054" s="10" t="n"/>
      <c r="Z3054" s="10" t="n"/>
      <c r="AA3054" s="11">
        <f>IF(A3054="","",IF(AND(J3054="P4",F3054="causal"),"P4-CAUSAL",""))</f>
        <v/>
      </c>
    </row>
    <row r="3055" ht="15" customHeight="1" s="1">
      <c r="P3055">
        <f>IF(OR(F3055="",H3055="",J3055=""),"",J3055&amp;"|"&amp;F3055&amp;"|"&amp;IF(H3055="W3","W3_"&amp;IF(I3055="","unknown",I3055),H3055))</f>
        <v/>
      </c>
      <c r="Q3055">
        <f>IF(P3055="","",IFERROR(IF(AND(H3055="W7",OR(F3055="causal",F3055="predictive")),IF(AND(OR(K3055=1,K3055="1"),OR(L3055=1,L3055="1"),OR(M3055=1,M3055="1")),"adequate","partial"),IF(AND(H3055="W4",F3055="predictive",OR(J3055="P2",J3055="P3",J3055="P4")),IF(OR(U3055=1,U3055="1"),"adequate","partial"),INDEX(Fit_Matrix!$B:$B,MATCH(P3055,Fit_Matrix!$A:$A,0)))),"CHECK KEY"))</f>
        <v/>
      </c>
      <c r="U3055" s="10" t="n"/>
      <c r="V3055" s="10" t="n"/>
      <c r="W3055" s="10" t="n"/>
      <c r="X3055" s="10" t="n"/>
      <c r="Y3055" s="10" t="n"/>
      <c r="Z3055" s="10" t="n"/>
      <c r="AA3055" s="11">
        <f>IF(A3055="","",IF(AND(J3055="P4",F3055="causal"),"P4-CAUSAL",""))</f>
        <v/>
      </c>
    </row>
    <row r="3056" ht="15" customHeight="1" s="1">
      <c r="P3056">
        <f>IF(OR(F3056="",H3056="",J3056=""),"",J3056&amp;"|"&amp;F3056&amp;"|"&amp;IF(H3056="W3","W3_"&amp;IF(I3056="","unknown",I3056),H3056))</f>
        <v/>
      </c>
      <c r="Q3056">
        <f>IF(P3056="","",IFERROR(IF(AND(H3056="W7",OR(F3056="causal",F3056="predictive")),IF(AND(OR(K3056=1,K3056="1"),OR(L3056=1,L3056="1"),OR(M3056=1,M3056="1")),"adequate","partial"),IF(AND(H3056="W4",F3056="predictive",OR(J3056="P2",J3056="P3",J3056="P4")),IF(OR(U3056=1,U3056="1"),"adequate","partial"),INDEX(Fit_Matrix!$B:$B,MATCH(P3056,Fit_Matrix!$A:$A,0)))),"CHECK KEY"))</f>
        <v/>
      </c>
      <c r="U3056" s="10" t="n"/>
      <c r="V3056" s="10" t="n"/>
      <c r="W3056" s="10" t="n"/>
      <c r="X3056" s="10" t="n"/>
      <c r="Y3056" s="10" t="n"/>
      <c r="Z3056" s="10" t="n"/>
      <c r="AA3056" s="11">
        <f>IF(A3056="","",IF(AND(J3056="P4",F3056="causal"),"P4-CAUSAL",""))</f>
        <v/>
      </c>
    </row>
    <row r="3057" ht="15" customHeight="1" s="1">
      <c r="P3057">
        <f>IF(OR(F3057="",H3057="",J3057=""),"",J3057&amp;"|"&amp;F3057&amp;"|"&amp;IF(H3057="W3","W3_"&amp;IF(I3057="","unknown",I3057),H3057))</f>
        <v/>
      </c>
      <c r="Q3057">
        <f>IF(P3057="","",IFERROR(IF(AND(H3057="W7",OR(F3057="causal",F3057="predictive")),IF(AND(OR(K3057=1,K3057="1"),OR(L3057=1,L3057="1"),OR(M3057=1,M3057="1")),"adequate","partial"),IF(AND(H3057="W4",F3057="predictive",OR(J3057="P2",J3057="P3",J3057="P4")),IF(OR(U3057=1,U3057="1"),"adequate","partial"),INDEX(Fit_Matrix!$B:$B,MATCH(P3057,Fit_Matrix!$A:$A,0)))),"CHECK KEY"))</f>
        <v/>
      </c>
      <c r="U3057" s="10" t="n"/>
      <c r="V3057" s="10" t="n"/>
      <c r="W3057" s="10" t="n"/>
      <c r="X3057" s="10" t="n"/>
      <c r="Y3057" s="10" t="n"/>
      <c r="Z3057" s="10" t="n"/>
      <c r="AA3057" s="11">
        <f>IF(A3057="","",IF(AND(J3057="P4",F3057="causal"),"P4-CAUSAL",""))</f>
        <v/>
      </c>
    </row>
    <row r="3058" ht="15" customHeight="1" s="1">
      <c r="P3058">
        <f>IF(OR(F3058="",H3058="",J3058=""),"",J3058&amp;"|"&amp;F3058&amp;"|"&amp;IF(H3058="W3","W3_"&amp;IF(I3058="","unknown",I3058),H3058))</f>
        <v/>
      </c>
      <c r="Q3058">
        <f>IF(P3058="","",IFERROR(IF(AND(H3058="W7",OR(F3058="causal",F3058="predictive")),IF(AND(OR(K3058=1,K3058="1"),OR(L3058=1,L3058="1"),OR(M3058=1,M3058="1")),"adequate","partial"),IF(AND(H3058="W4",F3058="predictive",OR(J3058="P2",J3058="P3",J3058="P4")),IF(OR(U3058=1,U3058="1"),"adequate","partial"),INDEX(Fit_Matrix!$B:$B,MATCH(P3058,Fit_Matrix!$A:$A,0)))),"CHECK KEY"))</f>
        <v/>
      </c>
      <c r="U3058" s="10" t="n"/>
      <c r="V3058" s="10" t="n"/>
      <c r="W3058" s="10" t="n"/>
      <c r="X3058" s="10" t="n"/>
      <c r="Y3058" s="10" t="n"/>
      <c r="Z3058" s="10" t="n"/>
      <c r="AA3058" s="11">
        <f>IF(A3058="","",IF(AND(J3058="P4",F3058="causal"),"P4-CAUSAL",""))</f>
        <v/>
      </c>
    </row>
    <row r="3059" ht="15" customHeight="1" s="1">
      <c r="P3059">
        <f>IF(OR(F3059="",H3059="",J3059=""),"",J3059&amp;"|"&amp;F3059&amp;"|"&amp;IF(H3059="W3","W3_"&amp;IF(I3059="","unknown",I3059),H3059))</f>
        <v/>
      </c>
      <c r="Q3059">
        <f>IF(P3059="","",IFERROR(IF(AND(H3059="W7",OR(F3059="causal",F3059="predictive")),IF(AND(OR(K3059=1,K3059="1"),OR(L3059=1,L3059="1"),OR(M3059=1,M3059="1")),"adequate","partial"),IF(AND(H3059="W4",F3059="predictive",OR(J3059="P2",J3059="P3",J3059="P4")),IF(OR(U3059=1,U3059="1"),"adequate","partial"),INDEX(Fit_Matrix!$B:$B,MATCH(P3059,Fit_Matrix!$A:$A,0)))),"CHECK KEY"))</f>
        <v/>
      </c>
      <c r="U3059" s="10" t="n"/>
      <c r="V3059" s="10" t="n"/>
      <c r="W3059" s="10" t="n"/>
      <c r="X3059" s="10" t="n"/>
      <c r="Y3059" s="10" t="n"/>
      <c r="Z3059" s="10" t="n"/>
      <c r="AA3059" s="11">
        <f>IF(A3059="","",IF(AND(J3059="P4",F3059="causal"),"P4-CAUSAL",""))</f>
        <v/>
      </c>
    </row>
    <row r="3060" ht="15" customHeight="1" s="1">
      <c r="P3060">
        <f>IF(OR(F3060="",H3060="",J3060=""),"",J3060&amp;"|"&amp;F3060&amp;"|"&amp;IF(H3060="W3","W3_"&amp;IF(I3060="","unknown",I3060),H3060))</f>
        <v/>
      </c>
      <c r="Q3060">
        <f>IF(P3060="","",IFERROR(IF(AND(H3060="W7",OR(F3060="causal",F3060="predictive")),IF(AND(OR(K3060=1,K3060="1"),OR(L3060=1,L3060="1"),OR(M3060=1,M3060="1")),"adequate","partial"),IF(AND(H3060="W4",F3060="predictive",OR(J3060="P2",J3060="P3",J3060="P4")),IF(OR(U3060=1,U3060="1"),"adequate","partial"),INDEX(Fit_Matrix!$B:$B,MATCH(P3060,Fit_Matrix!$A:$A,0)))),"CHECK KEY"))</f>
        <v/>
      </c>
      <c r="U3060" s="10" t="n"/>
      <c r="V3060" s="10" t="n"/>
      <c r="W3060" s="10" t="n"/>
      <c r="X3060" s="10" t="n"/>
      <c r="Y3060" s="10" t="n"/>
      <c r="Z3060" s="10" t="n"/>
      <c r="AA3060" s="11">
        <f>IF(A3060="","",IF(AND(J3060="P4",F3060="causal"),"P4-CAUSAL",""))</f>
        <v/>
      </c>
    </row>
    <row r="3061" ht="15" customHeight="1" s="1">
      <c r="P3061">
        <f>IF(OR(F3061="",H3061="",J3061=""),"",J3061&amp;"|"&amp;F3061&amp;"|"&amp;IF(H3061="W3","W3_"&amp;IF(I3061="","unknown",I3061),H3061))</f>
        <v/>
      </c>
      <c r="Q3061">
        <f>IF(P3061="","",IFERROR(IF(AND(H3061="W7",OR(F3061="causal",F3061="predictive")),IF(AND(OR(K3061=1,K3061="1"),OR(L3061=1,L3061="1"),OR(M3061=1,M3061="1")),"adequate","partial"),IF(AND(H3061="W4",F3061="predictive",OR(J3061="P2",J3061="P3",J3061="P4")),IF(OR(U3061=1,U3061="1"),"adequate","partial"),INDEX(Fit_Matrix!$B:$B,MATCH(P3061,Fit_Matrix!$A:$A,0)))),"CHECK KEY"))</f>
        <v/>
      </c>
      <c r="U3061" s="10" t="n"/>
      <c r="V3061" s="10" t="n"/>
      <c r="W3061" s="10" t="n"/>
      <c r="X3061" s="10" t="n"/>
      <c r="Y3061" s="10" t="n"/>
      <c r="Z3061" s="10" t="n"/>
      <c r="AA3061" s="11">
        <f>IF(A3061="","",IF(AND(J3061="P4",F3061="causal"),"P4-CAUSAL",""))</f>
        <v/>
      </c>
    </row>
    <row r="3062" ht="15" customHeight="1" s="1">
      <c r="P3062">
        <f>IF(OR(F3062="",H3062="",J3062=""),"",J3062&amp;"|"&amp;F3062&amp;"|"&amp;IF(H3062="W3","W3_"&amp;IF(I3062="","unknown",I3062),H3062))</f>
        <v/>
      </c>
      <c r="Q3062">
        <f>IF(P3062="","",IFERROR(IF(AND(H3062="W7",OR(F3062="causal",F3062="predictive")),IF(AND(OR(K3062=1,K3062="1"),OR(L3062=1,L3062="1"),OR(M3062=1,M3062="1")),"adequate","partial"),IF(AND(H3062="W4",F3062="predictive",OR(J3062="P2",J3062="P3",J3062="P4")),IF(OR(U3062=1,U3062="1"),"adequate","partial"),INDEX(Fit_Matrix!$B:$B,MATCH(P3062,Fit_Matrix!$A:$A,0)))),"CHECK KEY"))</f>
        <v/>
      </c>
      <c r="U3062" s="10" t="n"/>
      <c r="V3062" s="10" t="n"/>
      <c r="W3062" s="10" t="n"/>
      <c r="X3062" s="10" t="n"/>
      <c r="Y3062" s="10" t="n"/>
      <c r="Z3062" s="10" t="n"/>
      <c r="AA3062" s="11">
        <f>IF(A3062="","",IF(AND(J3062="P4",F3062="causal"),"P4-CAUSAL",""))</f>
        <v/>
      </c>
    </row>
    <row r="3063" ht="15" customHeight="1" s="1">
      <c r="P3063">
        <f>IF(OR(F3063="",H3063="",J3063=""),"",J3063&amp;"|"&amp;F3063&amp;"|"&amp;IF(H3063="W3","W3_"&amp;IF(I3063="","unknown",I3063),H3063))</f>
        <v/>
      </c>
      <c r="Q3063">
        <f>IF(P3063="","",IFERROR(IF(AND(H3063="W7",OR(F3063="causal",F3063="predictive")),IF(AND(OR(K3063=1,K3063="1"),OR(L3063=1,L3063="1"),OR(M3063=1,M3063="1")),"adequate","partial"),IF(AND(H3063="W4",F3063="predictive",OR(J3063="P2",J3063="P3",J3063="P4")),IF(OR(U3063=1,U3063="1"),"adequate","partial"),INDEX(Fit_Matrix!$B:$B,MATCH(P3063,Fit_Matrix!$A:$A,0)))),"CHECK KEY"))</f>
        <v/>
      </c>
      <c r="U3063" s="10" t="n"/>
      <c r="V3063" s="10" t="n"/>
      <c r="W3063" s="10" t="n"/>
      <c r="X3063" s="10" t="n"/>
      <c r="Y3063" s="10" t="n"/>
      <c r="Z3063" s="10" t="n"/>
      <c r="AA3063" s="11">
        <f>IF(A3063="","",IF(AND(J3063="P4",F3063="causal"),"P4-CAUSAL",""))</f>
        <v/>
      </c>
    </row>
    <row r="3064" ht="15" customHeight="1" s="1">
      <c r="P3064">
        <f>IF(OR(F3064="",H3064="",J3064=""),"",J3064&amp;"|"&amp;F3064&amp;"|"&amp;IF(H3064="W3","W3_"&amp;IF(I3064="","unknown",I3064),H3064))</f>
        <v/>
      </c>
      <c r="Q3064">
        <f>IF(P3064="","",IFERROR(IF(AND(H3064="W7",OR(F3064="causal",F3064="predictive")),IF(AND(OR(K3064=1,K3064="1"),OR(L3064=1,L3064="1"),OR(M3064=1,M3064="1")),"adequate","partial"),IF(AND(H3064="W4",F3064="predictive",OR(J3064="P2",J3064="P3",J3064="P4")),IF(OR(U3064=1,U3064="1"),"adequate","partial"),INDEX(Fit_Matrix!$B:$B,MATCH(P3064,Fit_Matrix!$A:$A,0)))),"CHECK KEY"))</f>
        <v/>
      </c>
      <c r="U3064" s="10" t="n"/>
      <c r="V3064" s="10" t="n"/>
      <c r="W3064" s="10" t="n"/>
      <c r="X3064" s="10" t="n"/>
      <c r="Y3064" s="10" t="n"/>
      <c r="Z3064" s="10" t="n"/>
      <c r="AA3064" s="11">
        <f>IF(A3064="","",IF(AND(J3064="P4",F3064="causal"),"P4-CAUSAL",""))</f>
        <v/>
      </c>
    </row>
    <row r="3065" ht="15" customHeight="1" s="1">
      <c r="P3065">
        <f>IF(OR(F3065="",H3065="",J3065=""),"",J3065&amp;"|"&amp;F3065&amp;"|"&amp;IF(H3065="W3","W3_"&amp;IF(I3065="","unknown",I3065),H3065))</f>
        <v/>
      </c>
      <c r="Q3065">
        <f>IF(P3065="","",IFERROR(IF(AND(H3065="W7",OR(F3065="causal",F3065="predictive")),IF(AND(OR(K3065=1,K3065="1"),OR(L3065=1,L3065="1"),OR(M3065=1,M3065="1")),"adequate","partial"),IF(AND(H3065="W4",F3065="predictive",OR(J3065="P2",J3065="P3",J3065="P4")),IF(OR(U3065=1,U3065="1"),"adequate","partial"),INDEX(Fit_Matrix!$B:$B,MATCH(P3065,Fit_Matrix!$A:$A,0)))),"CHECK KEY"))</f>
        <v/>
      </c>
      <c r="U3065" s="10" t="n"/>
      <c r="V3065" s="10" t="n"/>
      <c r="W3065" s="10" t="n"/>
      <c r="X3065" s="10" t="n"/>
      <c r="Y3065" s="10" t="n"/>
      <c r="Z3065" s="10" t="n"/>
      <c r="AA3065" s="11">
        <f>IF(A3065="","",IF(AND(J3065="P4",F3065="causal"),"P4-CAUSAL",""))</f>
        <v/>
      </c>
    </row>
    <row r="3066" ht="15" customHeight="1" s="1">
      <c r="P3066">
        <f>IF(OR(F3066="",H3066="",J3066=""),"",J3066&amp;"|"&amp;F3066&amp;"|"&amp;IF(H3066="W3","W3_"&amp;IF(I3066="","unknown",I3066),H3066))</f>
        <v/>
      </c>
      <c r="Q3066">
        <f>IF(P3066="","",IFERROR(IF(AND(H3066="W7",OR(F3066="causal",F3066="predictive")),IF(AND(OR(K3066=1,K3066="1"),OR(L3066=1,L3066="1"),OR(M3066=1,M3066="1")),"adequate","partial"),IF(AND(H3066="W4",F3066="predictive",OR(J3066="P2",J3066="P3",J3066="P4")),IF(OR(U3066=1,U3066="1"),"adequate","partial"),INDEX(Fit_Matrix!$B:$B,MATCH(P3066,Fit_Matrix!$A:$A,0)))),"CHECK KEY"))</f>
        <v/>
      </c>
      <c r="U3066" s="10" t="n"/>
      <c r="V3066" s="10" t="n"/>
      <c r="W3066" s="10" t="n"/>
      <c r="X3066" s="10" t="n"/>
      <c r="Y3066" s="10" t="n"/>
      <c r="Z3066" s="10" t="n"/>
      <c r="AA3066" s="11">
        <f>IF(A3066="","",IF(AND(J3066="P4",F3066="causal"),"P4-CAUSAL",""))</f>
        <v/>
      </c>
    </row>
    <row r="3067" ht="15" customHeight="1" s="1">
      <c r="P3067">
        <f>IF(OR(F3067="",H3067="",J3067=""),"",J3067&amp;"|"&amp;F3067&amp;"|"&amp;IF(H3067="W3","W3_"&amp;IF(I3067="","unknown",I3067),H3067))</f>
        <v/>
      </c>
      <c r="Q3067">
        <f>IF(P3067="","",IFERROR(IF(AND(H3067="W7",OR(F3067="causal",F3067="predictive")),IF(AND(OR(K3067=1,K3067="1"),OR(L3067=1,L3067="1"),OR(M3067=1,M3067="1")),"adequate","partial"),IF(AND(H3067="W4",F3067="predictive",OR(J3067="P2",J3067="P3",J3067="P4")),IF(OR(U3067=1,U3067="1"),"adequate","partial"),INDEX(Fit_Matrix!$B:$B,MATCH(P3067,Fit_Matrix!$A:$A,0)))),"CHECK KEY"))</f>
        <v/>
      </c>
      <c r="U3067" s="10" t="n"/>
      <c r="V3067" s="10" t="n"/>
      <c r="W3067" s="10" t="n"/>
      <c r="X3067" s="10" t="n"/>
      <c r="Y3067" s="10" t="n"/>
      <c r="Z3067" s="10" t="n"/>
      <c r="AA3067" s="11">
        <f>IF(A3067="","",IF(AND(J3067="P4",F3067="causal"),"P4-CAUSAL",""))</f>
        <v/>
      </c>
    </row>
    <row r="3068" ht="15" customHeight="1" s="1">
      <c r="P3068">
        <f>IF(OR(F3068="",H3068="",J3068=""),"",J3068&amp;"|"&amp;F3068&amp;"|"&amp;IF(H3068="W3","W3_"&amp;IF(I3068="","unknown",I3068),H3068))</f>
        <v/>
      </c>
      <c r="Q3068">
        <f>IF(P3068="","",IFERROR(IF(AND(H3068="W7",OR(F3068="causal",F3068="predictive")),IF(AND(OR(K3068=1,K3068="1"),OR(L3068=1,L3068="1"),OR(M3068=1,M3068="1")),"adequate","partial"),IF(AND(H3068="W4",F3068="predictive",OR(J3068="P2",J3068="P3",J3068="P4")),IF(OR(U3068=1,U3068="1"),"adequate","partial"),INDEX(Fit_Matrix!$B:$B,MATCH(P3068,Fit_Matrix!$A:$A,0)))),"CHECK KEY"))</f>
        <v/>
      </c>
      <c r="U3068" s="10" t="n"/>
      <c r="V3068" s="10" t="n"/>
      <c r="W3068" s="10" t="n"/>
      <c r="X3068" s="10" t="n"/>
      <c r="Y3068" s="10" t="n"/>
      <c r="Z3068" s="10" t="n"/>
      <c r="AA3068" s="11">
        <f>IF(A3068="","",IF(AND(J3068="P4",F3068="causal"),"P4-CAUSAL",""))</f>
        <v/>
      </c>
    </row>
    <row r="3069" ht="15" customHeight="1" s="1">
      <c r="P3069">
        <f>IF(OR(F3069="",H3069="",J3069=""),"",J3069&amp;"|"&amp;F3069&amp;"|"&amp;IF(H3069="W3","W3_"&amp;IF(I3069="","unknown",I3069),H3069))</f>
        <v/>
      </c>
      <c r="Q3069">
        <f>IF(P3069="","",IFERROR(IF(AND(H3069="W7",OR(F3069="causal",F3069="predictive")),IF(AND(OR(K3069=1,K3069="1"),OR(L3069=1,L3069="1"),OR(M3069=1,M3069="1")),"adequate","partial"),IF(AND(H3069="W4",F3069="predictive",OR(J3069="P2",J3069="P3",J3069="P4")),IF(OR(U3069=1,U3069="1"),"adequate","partial"),INDEX(Fit_Matrix!$B:$B,MATCH(P3069,Fit_Matrix!$A:$A,0)))),"CHECK KEY"))</f>
        <v/>
      </c>
      <c r="U3069" s="10" t="n"/>
      <c r="V3069" s="10" t="n"/>
      <c r="W3069" s="10" t="n"/>
      <c r="X3069" s="10" t="n"/>
      <c r="Y3069" s="10" t="n"/>
      <c r="Z3069" s="10" t="n"/>
      <c r="AA3069" s="11">
        <f>IF(A3069="","",IF(AND(J3069="P4",F3069="causal"),"P4-CAUSAL",""))</f>
        <v/>
      </c>
    </row>
    <row r="3070" ht="15" customHeight="1" s="1">
      <c r="P3070">
        <f>IF(OR(F3070="",H3070="",J3070=""),"",J3070&amp;"|"&amp;F3070&amp;"|"&amp;IF(H3070="W3","W3_"&amp;IF(I3070="","unknown",I3070),H3070))</f>
        <v/>
      </c>
      <c r="Q3070">
        <f>IF(P3070="","",IFERROR(IF(AND(H3070="W7",OR(F3070="causal",F3070="predictive")),IF(AND(OR(K3070=1,K3070="1"),OR(L3070=1,L3070="1"),OR(M3070=1,M3070="1")),"adequate","partial"),IF(AND(H3070="W4",F3070="predictive",OR(J3070="P2",J3070="P3",J3070="P4")),IF(OR(U3070=1,U3070="1"),"adequate","partial"),INDEX(Fit_Matrix!$B:$B,MATCH(P3070,Fit_Matrix!$A:$A,0)))),"CHECK KEY"))</f>
        <v/>
      </c>
      <c r="U3070" s="10" t="n"/>
      <c r="V3070" s="10" t="n"/>
      <c r="W3070" s="10" t="n"/>
      <c r="X3070" s="10" t="n"/>
      <c r="Y3070" s="10" t="n"/>
      <c r="Z3070" s="10" t="n"/>
      <c r="AA3070" s="11">
        <f>IF(A3070="","",IF(AND(J3070="P4",F3070="causal"),"P4-CAUSAL",""))</f>
        <v/>
      </c>
    </row>
    <row r="3071" ht="15" customHeight="1" s="1">
      <c r="P3071">
        <f>IF(OR(F3071="",H3071="",J3071=""),"",J3071&amp;"|"&amp;F3071&amp;"|"&amp;IF(H3071="W3","W3_"&amp;IF(I3071="","unknown",I3071),H3071))</f>
        <v/>
      </c>
      <c r="Q3071">
        <f>IF(P3071="","",IFERROR(IF(AND(H3071="W7",OR(F3071="causal",F3071="predictive")),IF(AND(OR(K3071=1,K3071="1"),OR(L3071=1,L3071="1"),OR(M3071=1,M3071="1")),"adequate","partial"),IF(AND(H3071="W4",F3071="predictive",OR(J3071="P2",J3071="P3",J3071="P4")),IF(OR(U3071=1,U3071="1"),"adequate","partial"),INDEX(Fit_Matrix!$B:$B,MATCH(P3071,Fit_Matrix!$A:$A,0)))),"CHECK KEY"))</f>
        <v/>
      </c>
      <c r="U3071" s="10" t="n"/>
      <c r="V3071" s="10" t="n"/>
      <c r="W3071" s="10" t="n"/>
      <c r="X3071" s="10" t="n"/>
      <c r="Y3071" s="10" t="n"/>
      <c r="Z3071" s="10" t="n"/>
      <c r="AA3071" s="11">
        <f>IF(A3071="","",IF(AND(J3071="P4",F3071="causal"),"P4-CAUSAL",""))</f>
        <v/>
      </c>
    </row>
    <row r="3072" ht="15" customHeight="1" s="1">
      <c r="P3072">
        <f>IF(OR(F3072="",H3072="",J3072=""),"",J3072&amp;"|"&amp;F3072&amp;"|"&amp;IF(H3072="W3","W3_"&amp;IF(I3072="","unknown",I3072),H3072))</f>
        <v/>
      </c>
      <c r="Q3072">
        <f>IF(P3072="","",IFERROR(IF(AND(H3072="W7",OR(F3072="causal",F3072="predictive")),IF(AND(OR(K3072=1,K3072="1"),OR(L3072=1,L3072="1"),OR(M3072=1,M3072="1")),"adequate","partial"),IF(AND(H3072="W4",F3072="predictive",OR(J3072="P2",J3072="P3",J3072="P4")),IF(OR(U3072=1,U3072="1"),"adequate","partial"),INDEX(Fit_Matrix!$B:$B,MATCH(P3072,Fit_Matrix!$A:$A,0)))),"CHECK KEY"))</f>
        <v/>
      </c>
      <c r="U3072" s="10" t="n"/>
      <c r="V3072" s="10" t="n"/>
      <c r="W3072" s="10" t="n"/>
      <c r="X3072" s="10" t="n"/>
      <c r="Y3072" s="10" t="n"/>
      <c r="Z3072" s="10" t="n"/>
      <c r="AA3072" s="11">
        <f>IF(A3072="","",IF(AND(J3072="P4",F3072="causal"),"P4-CAUSAL",""))</f>
        <v/>
      </c>
    </row>
    <row r="3073" ht="15" customHeight="1" s="1">
      <c r="P3073">
        <f>IF(OR(F3073="",H3073="",J3073=""),"",J3073&amp;"|"&amp;F3073&amp;"|"&amp;IF(H3073="W3","W3_"&amp;IF(I3073="","unknown",I3073),H3073))</f>
        <v/>
      </c>
      <c r="Q3073">
        <f>IF(P3073="","",IFERROR(IF(AND(H3073="W7",OR(F3073="causal",F3073="predictive")),IF(AND(OR(K3073=1,K3073="1"),OR(L3073=1,L3073="1"),OR(M3073=1,M3073="1")),"adequate","partial"),IF(AND(H3073="W4",F3073="predictive",OR(J3073="P2",J3073="P3",J3073="P4")),IF(OR(U3073=1,U3073="1"),"adequate","partial"),INDEX(Fit_Matrix!$B:$B,MATCH(P3073,Fit_Matrix!$A:$A,0)))),"CHECK KEY"))</f>
        <v/>
      </c>
      <c r="U3073" s="10" t="n"/>
      <c r="V3073" s="10" t="n"/>
      <c r="W3073" s="10" t="n"/>
      <c r="X3073" s="10" t="n"/>
      <c r="Y3073" s="10" t="n"/>
      <c r="Z3073" s="10" t="n"/>
      <c r="AA3073" s="11">
        <f>IF(A3073="","",IF(AND(J3073="P4",F3073="causal"),"P4-CAUSAL",""))</f>
        <v/>
      </c>
    </row>
    <row r="3074" ht="15" customHeight="1" s="1">
      <c r="P3074">
        <f>IF(OR(F3074="",H3074="",J3074=""),"",J3074&amp;"|"&amp;F3074&amp;"|"&amp;IF(H3074="W3","W3_"&amp;IF(I3074="","unknown",I3074),H3074))</f>
        <v/>
      </c>
      <c r="Q3074">
        <f>IF(P3074="","",IFERROR(IF(AND(H3074="W7",OR(F3074="causal",F3074="predictive")),IF(AND(OR(K3074=1,K3074="1"),OR(L3074=1,L3074="1"),OR(M3074=1,M3074="1")),"adequate","partial"),IF(AND(H3074="W4",F3074="predictive",OR(J3074="P2",J3074="P3",J3074="P4")),IF(OR(U3074=1,U3074="1"),"adequate","partial"),INDEX(Fit_Matrix!$B:$B,MATCH(P3074,Fit_Matrix!$A:$A,0)))),"CHECK KEY"))</f>
        <v/>
      </c>
      <c r="U3074" s="10" t="n"/>
      <c r="V3074" s="10" t="n"/>
      <c r="W3074" s="10" t="n"/>
      <c r="X3074" s="10" t="n"/>
      <c r="Y3074" s="10" t="n"/>
      <c r="Z3074" s="10" t="n"/>
      <c r="AA3074" s="11">
        <f>IF(A3074="","",IF(AND(J3074="P4",F3074="causal"),"P4-CAUSAL",""))</f>
        <v/>
      </c>
    </row>
    <row r="3075" ht="15" customHeight="1" s="1">
      <c r="P3075">
        <f>IF(OR(F3075="",H3075="",J3075=""),"",J3075&amp;"|"&amp;F3075&amp;"|"&amp;IF(H3075="W3","W3_"&amp;IF(I3075="","unknown",I3075),H3075))</f>
        <v/>
      </c>
      <c r="Q3075">
        <f>IF(P3075="","",IFERROR(IF(AND(H3075="W7",OR(F3075="causal",F3075="predictive")),IF(AND(OR(K3075=1,K3075="1"),OR(L3075=1,L3075="1"),OR(M3075=1,M3075="1")),"adequate","partial"),IF(AND(H3075="W4",F3075="predictive",OR(J3075="P2",J3075="P3",J3075="P4")),IF(OR(U3075=1,U3075="1"),"adequate","partial"),INDEX(Fit_Matrix!$B:$B,MATCH(P3075,Fit_Matrix!$A:$A,0)))),"CHECK KEY"))</f>
        <v/>
      </c>
      <c r="U3075" s="10" t="n"/>
      <c r="V3075" s="10" t="n"/>
      <c r="W3075" s="10" t="n"/>
      <c r="X3075" s="10" t="n"/>
      <c r="Y3075" s="10" t="n"/>
      <c r="Z3075" s="10" t="n"/>
      <c r="AA3075" s="11">
        <f>IF(A3075="","",IF(AND(J3075="P4",F3075="causal"),"P4-CAUSAL",""))</f>
        <v/>
      </c>
    </row>
    <row r="3076" ht="15" customHeight="1" s="1">
      <c r="P3076">
        <f>IF(OR(F3076="",H3076="",J3076=""),"",J3076&amp;"|"&amp;F3076&amp;"|"&amp;IF(H3076="W3","W3_"&amp;IF(I3076="","unknown",I3076),H3076))</f>
        <v/>
      </c>
      <c r="Q3076">
        <f>IF(P3076="","",IFERROR(IF(AND(H3076="W7",OR(F3076="causal",F3076="predictive")),IF(AND(OR(K3076=1,K3076="1"),OR(L3076=1,L3076="1"),OR(M3076=1,M3076="1")),"adequate","partial"),IF(AND(H3076="W4",F3076="predictive",OR(J3076="P2",J3076="P3",J3076="P4")),IF(OR(U3076=1,U3076="1"),"adequate","partial"),INDEX(Fit_Matrix!$B:$B,MATCH(P3076,Fit_Matrix!$A:$A,0)))),"CHECK KEY"))</f>
        <v/>
      </c>
      <c r="U3076" s="10" t="n"/>
      <c r="V3076" s="10" t="n"/>
      <c r="W3076" s="10" t="n"/>
      <c r="X3076" s="10" t="n"/>
      <c r="Y3076" s="10" t="n"/>
      <c r="Z3076" s="10" t="n"/>
      <c r="AA3076" s="11">
        <f>IF(A3076="","",IF(AND(J3076="P4",F3076="causal"),"P4-CAUSAL",""))</f>
        <v/>
      </c>
    </row>
    <row r="3077" ht="15" customHeight="1" s="1">
      <c r="P3077">
        <f>IF(OR(F3077="",H3077="",J3077=""),"",J3077&amp;"|"&amp;F3077&amp;"|"&amp;IF(H3077="W3","W3_"&amp;IF(I3077="","unknown",I3077),H3077))</f>
        <v/>
      </c>
      <c r="Q3077">
        <f>IF(P3077="","",IFERROR(IF(AND(H3077="W7",OR(F3077="causal",F3077="predictive")),IF(AND(OR(K3077=1,K3077="1"),OR(L3077=1,L3077="1"),OR(M3077=1,M3077="1")),"adequate","partial"),IF(AND(H3077="W4",F3077="predictive",OR(J3077="P2",J3077="P3",J3077="P4")),IF(OR(U3077=1,U3077="1"),"adequate","partial"),INDEX(Fit_Matrix!$B:$B,MATCH(P3077,Fit_Matrix!$A:$A,0)))),"CHECK KEY"))</f>
        <v/>
      </c>
      <c r="U3077" s="10" t="n"/>
      <c r="V3077" s="10" t="n"/>
      <c r="W3077" s="10" t="n"/>
      <c r="X3077" s="10" t="n"/>
      <c r="Y3077" s="10" t="n"/>
      <c r="Z3077" s="10" t="n"/>
      <c r="AA3077" s="11">
        <f>IF(A3077="","",IF(AND(J3077="P4",F3077="causal"),"P4-CAUSAL",""))</f>
        <v/>
      </c>
    </row>
    <row r="3078" ht="15" customHeight="1" s="1">
      <c r="P3078">
        <f>IF(OR(F3078="",H3078="",J3078=""),"",J3078&amp;"|"&amp;F3078&amp;"|"&amp;IF(H3078="W3","W3_"&amp;IF(I3078="","unknown",I3078),H3078))</f>
        <v/>
      </c>
      <c r="Q3078">
        <f>IF(P3078="","",IFERROR(IF(AND(H3078="W7",OR(F3078="causal",F3078="predictive")),IF(AND(OR(K3078=1,K3078="1"),OR(L3078=1,L3078="1"),OR(M3078=1,M3078="1")),"adequate","partial"),IF(AND(H3078="W4",F3078="predictive",OR(J3078="P2",J3078="P3",J3078="P4")),IF(OR(U3078=1,U3078="1"),"adequate","partial"),INDEX(Fit_Matrix!$B:$B,MATCH(P3078,Fit_Matrix!$A:$A,0)))),"CHECK KEY"))</f>
        <v/>
      </c>
      <c r="U3078" s="10" t="n"/>
      <c r="V3078" s="10" t="n"/>
      <c r="W3078" s="10" t="n"/>
      <c r="X3078" s="10" t="n"/>
      <c r="Y3078" s="10" t="n"/>
      <c r="Z3078" s="10" t="n"/>
      <c r="AA3078" s="11">
        <f>IF(A3078="","",IF(AND(J3078="P4",F3078="causal"),"P4-CAUSAL",""))</f>
        <v/>
      </c>
    </row>
    <row r="3079" ht="15" customHeight="1" s="1">
      <c r="P3079">
        <f>IF(OR(F3079="",H3079="",J3079=""),"",J3079&amp;"|"&amp;F3079&amp;"|"&amp;IF(H3079="W3","W3_"&amp;IF(I3079="","unknown",I3079),H3079))</f>
        <v/>
      </c>
      <c r="Q3079">
        <f>IF(P3079="","",IFERROR(IF(AND(H3079="W7",OR(F3079="causal",F3079="predictive")),IF(AND(OR(K3079=1,K3079="1"),OR(L3079=1,L3079="1"),OR(M3079=1,M3079="1")),"adequate","partial"),IF(AND(H3079="W4",F3079="predictive",OR(J3079="P2",J3079="P3",J3079="P4")),IF(OR(U3079=1,U3079="1"),"adequate","partial"),INDEX(Fit_Matrix!$B:$B,MATCH(P3079,Fit_Matrix!$A:$A,0)))),"CHECK KEY"))</f>
        <v/>
      </c>
      <c r="U3079" s="10" t="n"/>
      <c r="V3079" s="10" t="n"/>
      <c r="W3079" s="10" t="n"/>
      <c r="X3079" s="10" t="n"/>
      <c r="Y3079" s="10" t="n"/>
      <c r="Z3079" s="10" t="n"/>
      <c r="AA3079" s="11">
        <f>IF(A3079="","",IF(AND(J3079="P4",F3079="causal"),"P4-CAUSAL",""))</f>
        <v/>
      </c>
    </row>
    <row r="3080" ht="15" customHeight="1" s="1">
      <c r="P3080">
        <f>IF(OR(F3080="",H3080="",J3080=""),"",J3080&amp;"|"&amp;F3080&amp;"|"&amp;IF(H3080="W3","W3_"&amp;IF(I3080="","unknown",I3080),H3080))</f>
        <v/>
      </c>
      <c r="Q3080">
        <f>IF(P3080="","",IFERROR(IF(AND(H3080="W7",OR(F3080="causal",F3080="predictive")),IF(AND(OR(K3080=1,K3080="1"),OR(L3080=1,L3080="1"),OR(M3080=1,M3080="1")),"adequate","partial"),IF(AND(H3080="W4",F3080="predictive",OR(J3080="P2",J3080="P3",J3080="P4")),IF(OR(U3080=1,U3080="1"),"adequate","partial"),INDEX(Fit_Matrix!$B:$B,MATCH(P3080,Fit_Matrix!$A:$A,0)))),"CHECK KEY"))</f>
        <v/>
      </c>
      <c r="U3080" s="10" t="n"/>
      <c r="V3080" s="10" t="n"/>
      <c r="W3080" s="10" t="n"/>
      <c r="X3080" s="10" t="n"/>
      <c r="Y3080" s="10" t="n"/>
      <c r="Z3080" s="10" t="n"/>
      <c r="AA3080" s="11">
        <f>IF(A3080="","",IF(AND(J3080="P4",F3080="causal"),"P4-CAUSAL",""))</f>
        <v/>
      </c>
    </row>
    <row r="3081" ht="15" customHeight="1" s="1">
      <c r="P3081">
        <f>IF(OR(F3081="",H3081="",J3081=""),"",J3081&amp;"|"&amp;F3081&amp;"|"&amp;IF(H3081="W3","W3_"&amp;IF(I3081="","unknown",I3081),H3081))</f>
        <v/>
      </c>
      <c r="Q3081">
        <f>IF(P3081="","",IFERROR(IF(AND(H3081="W7",OR(F3081="causal",F3081="predictive")),IF(AND(OR(K3081=1,K3081="1"),OR(L3081=1,L3081="1"),OR(M3081=1,M3081="1")),"adequate","partial"),IF(AND(H3081="W4",F3081="predictive",OR(J3081="P2",J3081="P3",J3081="P4")),IF(OR(U3081=1,U3081="1"),"adequate","partial"),INDEX(Fit_Matrix!$B:$B,MATCH(P3081,Fit_Matrix!$A:$A,0)))),"CHECK KEY"))</f>
        <v/>
      </c>
      <c r="U3081" s="10" t="n"/>
      <c r="V3081" s="10" t="n"/>
      <c r="W3081" s="10" t="n"/>
      <c r="X3081" s="10" t="n"/>
      <c r="Y3081" s="10" t="n"/>
      <c r="Z3081" s="10" t="n"/>
      <c r="AA3081" s="11">
        <f>IF(A3081="","",IF(AND(J3081="P4",F3081="causal"),"P4-CAUSAL",""))</f>
        <v/>
      </c>
    </row>
    <row r="3082" ht="15" customHeight="1" s="1">
      <c r="P3082">
        <f>IF(OR(F3082="",H3082="",J3082=""),"",J3082&amp;"|"&amp;F3082&amp;"|"&amp;IF(H3082="W3","W3_"&amp;IF(I3082="","unknown",I3082),H3082))</f>
        <v/>
      </c>
      <c r="Q3082">
        <f>IF(P3082="","",IFERROR(IF(AND(H3082="W7",OR(F3082="causal",F3082="predictive")),IF(AND(OR(K3082=1,K3082="1"),OR(L3082=1,L3082="1"),OR(M3082=1,M3082="1")),"adequate","partial"),IF(AND(H3082="W4",F3082="predictive",OR(J3082="P2",J3082="P3",J3082="P4")),IF(OR(U3082=1,U3082="1"),"adequate","partial"),INDEX(Fit_Matrix!$B:$B,MATCH(P3082,Fit_Matrix!$A:$A,0)))),"CHECK KEY"))</f>
        <v/>
      </c>
      <c r="U3082" s="10" t="n"/>
      <c r="V3082" s="10" t="n"/>
      <c r="W3082" s="10" t="n"/>
      <c r="X3082" s="10" t="n"/>
      <c r="Y3082" s="10" t="n"/>
      <c r="Z3082" s="10" t="n"/>
      <c r="AA3082" s="11">
        <f>IF(A3082="","",IF(AND(J3082="P4",F3082="causal"),"P4-CAUSAL",""))</f>
        <v/>
      </c>
    </row>
    <row r="3083" ht="15" customHeight="1" s="1">
      <c r="P3083">
        <f>IF(OR(F3083="",H3083="",J3083=""),"",J3083&amp;"|"&amp;F3083&amp;"|"&amp;IF(H3083="W3","W3_"&amp;IF(I3083="","unknown",I3083),H3083))</f>
        <v/>
      </c>
      <c r="Q3083">
        <f>IF(P3083="","",IFERROR(IF(AND(H3083="W7",OR(F3083="causal",F3083="predictive")),IF(AND(OR(K3083=1,K3083="1"),OR(L3083=1,L3083="1"),OR(M3083=1,M3083="1")),"adequate","partial"),IF(AND(H3083="W4",F3083="predictive",OR(J3083="P2",J3083="P3",J3083="P4")),IF(OR(U3083=1,U3083="1"),"adequate","partial"),INDEX(Fit_Matrix!$B:$B,MATCH(P3083,Fit_Matrix!$A:$A,0)))),"CHECK KEY"))</f>
        <v/>
      </c>
      <c r="U3083" s="10" t="n"/>
      <c r="V3083" s="10" t="n"/>
      <c r="W3083" s="10" t="n"/>
      <c r="X3083" s="10" t="n"/>
      <c r="Y3083" s="10" t="n"/>
      <c r="Z3083" s="10" t="n"/>
      <c r="AA3083" s="11">
        <f>IF(A3083="","",IF(AND(J3083="P4",F3083="causal"),"P4-CAUSAL",""))</f>
        <v/>
      </c>
    </row>
    <row r="3084" ht="15" customHeight="1" s="1">
      <c r="P3084">
        <f>IF(OR(F3084="",H3084="",J3084=""),"",J3084&amp;"|"&amp;F3084&amp;"|"&amp;IF(H3084="W3","W3_"&amp;IF(I3084="","unknown",I3084),H3084))</f>
        <v/>
      </c>
      <c r="Q3084">
        <f>IF(P3084="","",IFERROR(IF(AND(H3084="W7",OR(F3084="causal",F3084="predictive")),IF(AND(OR(K3084=1,K3084="1"),OR(L3084=1,L3084="1"),OR(M3084=1,M3084="1")),"adequate","partial"),IF(AND(H3084="W4",F3084="predictive",OR(J3084="P2",J3084="P3",J3084="P4")),IF(OR(U3084=1,U3084="1"),"adequate","partial"),INDEX(Fit_Matrix!$B:$B,MATCH(P3084,Fit_Matrix!$A:$A,0)))),"CHECK KEY"))</f>
        <v/>
      </c>
      <c r="U3084" s="10" t="n"/>
      <c r="V3084" s="10" t="n"/>
      <c r="W3084" s="10" t="n"/>
      <c r="X3084" s="10" t="n"/>
      <c r="Y3084" s="10" t="n"/>
      <c r="Z3084" s="10" t="n"/>
      <c r="AA3084" s="11">
        <f>IF(A3084="","",IF(AND(J3084="P4",F3084="causal"),"P4-CAUSAL",""))</f>
        <v/>
      </c>
    </row>
    <row r="3085" ht="15" customHeight="1" s="1">
      <c r="P3085">
        <f>IF(OR(F3085="",H3085="",J3085=""),"",J3085&amp;"|"&amp;F3085&amp;"|"&amp;IF(H3085="W3","W3_"&amp;IF(I3085="","unknown",I3085),H3085))</f>
        <v/>
      </c>
      <c r="Q3085">
        <f>IF(P3085="","",IFERROR(IF(AND(H3085="W7",OR(F3085="causal",F3085="predictive")),IF(AND(OR(K3085=1,K3085="1"),OR(L3085=1,L3085="1"),OR(M3085=1,M3085="1")),"adequate","partial"),IF(AND(H3085="W4",F3085="predictive",OR(J3085="P2",J3085="P3",J3085="P4")),IF(OR(U3085=1,U3085="1"),"adequate","partial"),INDEX(Fit_Matrix!$B:$B,MATCH(P3085,Fit_Matrix!$A:$A,0)))),"CHECK KEY"))</f>
        <v/>
      </c>
      <c r="U3085" s="10" t="n"/>
      <c r="V3085" s="10" t="n"/>
      <c r="W3085" s="10" t="n"/>
      <c r="X3085" s="10" t="n"/>
      <c r="Y3085" s="10" t="n"/>
      <c r="Z3085" s="10" t="n"/>
      <c r="AA3085" s="11">
        <f>IF(A3085="","",IF(AND(J3085="P4",F3085="causal"),"P4-CAUSAL",""))</f>
        <v/>
      </c>
    </row>
    <row r="3086" ht="15" customHeight="1" s="1">
      <c r="P3086">
        <f>IF(OR(F3086="",H3086="",J3086=""),"",J3086&amp;"|"&amp;F3086&amp;"|"&amp;IF(H3086="W3","W3_"&amp;IF(I3086="","unknown",I3086),H3086))</f>
        <v/>
      </c>
      <c r="Q3086">
        <f>IF(P3086="","",IFERROR(IF(AND(H3086="W7",OR(F3086="causal",F3086="predictive")),IF(AND(OR(K3086=1,K3086="1"),OR(L3086=1,L3086="1"),OR(M3086=1,M3086="1")),"adequate","partial"),IF(AND(H3086="W4",F3086="predictive",OR(J3086="P2",J3086="P3",J3086="P4")),IF(OR(U3086=1,U3086="1"),"adequate","partial"),INDEX(Fit_Matrix!$B:$B,MATCH(P3086,Fit_Matrix!$A:$A,0)))),"CHECK KEY"))</f>
        <v/>
      </c>
      <c r="U3086" s="10" t="n"/>
      <c r="V3086" s="10" t="n"/>
      <c r="W3086" s="10" t="n"/>
      <c r="X3086" s="10" t="n"/>
      <c r="Y3086" s="10" t="n"/>
      <c r="Z3086" s="10" t="n"/>
      <c r="AA3086" s="11">
        <f>IF(A3086="","",IF(AND(J3086="P4",F3086="causal"),"P4-CAUSAL",""))</f>
        <v/>
      </c>
    </row>
    <row r="3087" ht="15" customHeight="1" s="1">
      <c r="P3087">
        <f>IF(OR(F3087="",H3087="",J3087=""),"",J3087&amp;"|"&amp;F3087&amp;"|"&amp;IF(H3087="W3","W3_"&amp;IF(I3087="","unknown",I3087),H3087))</f>
        <v/>
      </c>
      <c r="Q3087">
        <f>IF(P3087="","",IFERROR(IF(AND(H3087="W7",OR(F3087="causal",F3087="predictive")),IF(AND(OR(K3087=1,K3087="1"),OR(L3087=1,L3087="1"),OR(M3087=1,M3087="1")),"adequate","partial"),IF(AND(H3087="W4",F3087="predictive",OR(J3087="P2",J3087="P3",J3087="P4")),IF(OR(U3087=1,U3087="1"),"adequate","partial"),INDEX(Fit_Matrix!$B:$B,MATCH(P3087,Fit_Matrix!$A:$A,0)))),"CHECK KEY"))</f>
        <v/>
      </c>
      <c r="U3087" s="10" t="n"/>
      <c r="V3087" s="10" t="n"/>
      <c r="W3087" s="10" t="n"/>
      <c r="X3087" s="10" t="n"/>
      <c r="Y3087" s="10" t="n"/>
      <c r="Z3087" s="10" t="n"/>
      <c r="AA3087" s="11">
        <f>IF(A3087="","",IF(AND(J3087="P4",F3087="causal"),"P4-CAUSAL",""))</f>
        <v/>
      </c>
    </row>
    <row r="3088" ht="15" customHeight="1" s="1">
      <c r="P3088">
        <f>IF(OR(F3088="",H3088="",J3088=""),"",J3088&amp;"|"&amp;F3088&amp;"|"&amp;IF(H3088="W3","W3_"&amp;IF(I3088="","unknown",I3088),H3088))</f>
        <v/>
      </c>
      <c r="Q3088">
        <f>IF(P3088="","",IFERROR(IF(AND(H3088="W7",OR(F3088="causal",F3088="predictive")),IF(AND(OR(K3088=1,K3088="1"),OR(L3088=1,L3088="1"),OR(M3088=1,M3088="1")),"adequate","partial"),IF(AND(H3088="W4",F3088="predictive",OR(J3088="P2",J3088="P3",J3088="P4")),IF(OR(U3088=1,U3088="1"),"adequate","partial"),INDEX(Fit_Matrix!$B:$B,MATCH(P3088,Fit_Matrix!$A:$A,0)))),"CHECK KEY"))</f>
        <v/>
      </c>
      <c r="U3088" s="10" t="n"/>
      <c r="V3088" s="10" t="n"/>
      <c r="W3088" s="10" t="n"/>
      <c r="X3088" s="10" t="n"/>
      <c r="Y3088" s="10" t="n"/>
      <c r="Z3088" s="10" t="n"/>
      <c r="AA3088" s="11">
        <f>IF(A3088="","",IF(AND(J3088="P4",F3088="causal"),"P4-CAUSAL",""))</f>
        <v/>
      </c>
    </row>
    <row r="3089" ht="15" customHeight="1" s="1">
      <c r="P3089">
        <f>IF(OR(F3089="",H3089="",J3089=""),"",J3089&amp;"|"&amp;F3089&amp;"|"&amp;IF(H3089="W3","W3_"&amp;IF(I3089="","unknown",I3089),H3089))</f>
        <v/>
      </c>
      <c r="Q3089">
        <f>IF(P3089="","",IFERROR(IF(AND(H3089="W7",OR(F3089="causal",F3089="predictive")),IF(AND(OR(K3089=1,K3089="1"),OR(L3089=1,L3089="1"),OR(M3089=1,M3089="1")),"adequate","partial"),IF(AND(H3089="W4",F3089="predictive",OR(J3089="P2",J3089="P3",J3089="P4")),IF(OR(U3089=1,U3089="1"),"adequate","partial"),INDEX(Fit_Matrix!$B:$B,MATCH(P3089,Fit_Matrix!$A:$A,0)))),"CHECK KEY"))</f>
        <v/>
      </c>
      <c r="U3089" s="10" t="n"/>
      <c r="V3089" s="10" t="n"/>
      <c r="W3089" s="10" t="n"/>
      <c r="X3089" s="10" t="n"/>
      <c r="Y3089" s="10" t="n"/>
      <c r="Z3089" s="10" t="n"/>
      <c r="AA3089" s="11">
        <f>IF(A3089="","",IF(AND(J3089="P4",F3089="causal"),"P4-CAUSAL",""))</f>
        <v/>
      </c>
    </row>
    <row r="3090" ht="15" customHeight="1" s="1">
      <c r="P3090">
        <f>IF(OR(F3090="",H3090="",J3090=""),"",J3090&amp;"|"&amp;F3090&amp;"|"&amp;IF(H3090="W3","W3_"&amp;IF(I3090="","unknown",I3090),H3090))</f>
        <v/>
      </c>
      <c r="Q3090">
        <f>IF(P3090="","",IFERROR(IF(AND(H3090="W7",OR(F3090="causal",F3090="predictive")),IF(AND(OR(K3090=1,K3090="1"),OR(L3090=1,L3090="1"),OR(M3090=1,M3090="1")),"adequate","partial"),IF(AND(H3090="W4",F3090="predictive",OR(J3090="P2",J3090="P3",J3090="P4")),IF(OR(U3090=1,U3090="1"),"adequate","partial"),INDEX(Fit_Matrix!$B:$B,MATCH(P3090,Fit_Matrix!$A:$A,0)))),"CHECK KEY"))</f>
        <v/>
      </c>
      <c r="U3090" s="10" t="n"/>
      <c r="V3090" s="10" t="n"/>
      <c r="W3090" s="10" t="n"/>
      <c r="X3090" s="10" t="n"/>
      <c r="Y3090" s="10" t="n"/>
      <c r="Z3090" s="10" t="n"/>
      <c r="AA3090" s="11">
        <f>IF(A3090="","",IF(AND(J3090="P4",F3090="causal"),"P4-CAUSAL",""))</f>
        <v/>
      </c>
    </row>
    <row r="3091" ht="15" customHeight="1" s="1">
      <c r="P3091">
        <f>IF(OR(F3091="",H3091="",J3091=""),"",J3091&amp;"|"&amp;F3091&amp;"|"&amp;IF(H3091="W3","W3_"&amp;IF(I3091="","unknown",I3091),H3091))</f>
        <v/>
      </c>
      <c r="Q3091">
        <f>IF(P3091="","",IFERROR(IF(AND(H3091="W7",OR(F3091="causal",F3091="predictive")),IF(AND(OR(K3091=1,K3091="1"),OR(L3091=1,L3091="1"),OR(M3091=1,M3091="1")),"adequate","partial"),IF(AND(H3091="W4",F3091="predictive",OR(J3091="P2",J3091="P3",J3091="P4")),IF(OR(U3091=1,U3091="1"),"adequate","partial"),INDEX(Fit_Matrix!$B:$B,MATCH(P3091,Fit_Matrix!$A:$A,0)))),"CHECK KEY"))</f>
        <v/>
      </c>
      <c r="U3091" s="10" t="n"/>
      <c r="V3091" s="10" t="n"/>
      <c r="W3091" s="10" t="n"/>
      <c r="X3091" s="10" t="n"/>
      <c r="Y3091" s="10" t="n"/>
      <c r="Z3091" s="10" t="n"/>
      <c r="AA3091" s="11">
        <f>IF(A3091="","",IF(AND(J3091="P4",F3091="causal"),"P4-CAUSAL",""))</f>
        <v/>
      </c>
    </row>
    <row r="3092" ht="15" customHeight="1" s="1">
      <c r="P3092">
        <f>IF(OR(F3092="",H3092="",J3092=""),"",J3092&amp;"|"&amp;F3092&amp;"|"&amp;IF(H3092="W3","W3_"&amp;IF(I3092="","unknown",I3092),H3092))</f>
        <v/>
      </c>
      <c r="Q3092">
        <f>IF(P3092="","",IFERROR(IF(AND(H3092="W7",OR(F3092="causal",F3092="predictive")),IF(AND(OR(K3092=1,K3092="1"),OR(L3092=1,L3092="1"),OR(M3092=1,M3092="1")),"adequate","partial"),IF(AND(H3092="W4",F3092="predictive",OR(J3092="P2",J3092="P3",J3092="P4")),IF(OR(U3092=1,U3092="1"),"adequate","partial"),INDEX(Fit_Matrix!$B:$B,MATCH(P3092,Fit_Matrix!$A:$A,0)))),"CHECK KEY"))</f>
        <v/>
      </c>
      <c r="U3092" s="10" t="n"/>
      <c r="V3092" s="10" t="n"/>
      <c r="W3092" s="10" t="n"/>
      <c r="X3092" s="10" t="n"/>
      <c r="Y3092" s="10" t="n"/>
      <c r="Z3092" s="10" t="n"/>
      <c r="AA3092" s="11">
        <f>IF(A3092="","",IF(AND(J3092="P4",F3092="causal"),"P4-CAUSAL",""))</f>
        <v/>
      </c>
    </row>
    <row r="3093" ht="15" customHeight="1" s="1">
      <c r="P3093">
        <f>IF(OR(F3093="",H3093="",J3093=""),"",J3093&amp;"|"&amp;F3093&amp;"|"&amp;IF(H3093="W3","W3_"&amp;IF(I3093="","unknown",I3093),H3093))</f>
        <v/>
      </c>
      <c r="Q3093">
        <f>IF(P3093="","",IFERROR(IF(AND(H3093="W7",OR(F3093="causal",F3093="predictive")),IF(AND(OR(K3093=1,K3093="1"),OR(L3093=1,L3093="1"),OR(M3093=1,M3093="1")),"adequate","partial"),IF(AND(H3093="W4",F3093="predictive",OR(J3093="P2",J3093="P3",J3093="P4")),IF(OR(U3093=1,U3093="1"),"adequate","partial"),INDEX(Fit_Matrix!$B:$B,MATCH(P3093,Fit_Matrix!$A:$A,0)))),"CHECK KEY"))</f>
        <v/>
      </c>
      <c r="U3093" s="10" t="n"/>
      <c r="V3093" s="10" t="n"/>
      <c r="W3093" s="10" t="n"/>
      <c r="X3093" s="10" t="n"/>
      <c r="Y3093" s="10" t="n"/>
      <c r="Z3093" s="10" t="n"/>
      <c r="AA3093" s="11">
        <f>IF(A3093="","",IF(AND(J3093="P4",F3093="causal"),"P4-CAUSAL",""))</f>
        <v/>
      </c>
    </row>
    <row r="3094" ht="15" customHeight="1" s="1">
      <c r="P3094">
        <f>IF(OR(F3094="",H3094="",J3094=""),"",J3094&amp;"|"&amp;F3094&amp;"|"&amp;IF(H3094="W3","W3_"&amp;IF(I3094="","unknown",I3094),H3094))</f>
        <v/>
      </c>
      <c r="Q3094">
        <f>IF(P3094="","",IFERROR(IF(AND(H3094="W7",OR(F3094="causal",F3094="predictive")),IF(AND(OR(K3094=1,K3094="1"),OR(L3094=1,L3094="1"),OR(M3094=1,M3094="1")),"adequate","partial"),IF(AND(H3094="W4",F3094="predictive",OR(J3094="P2",J3094="P3",J3094="P4")),IF(OR(U3094=1,U3094="1"),"adequate","partial"),INDEX(Fit_Matrix!$B:$B,MATCH(P3094,Fit_Matrix!$A:$A,0)))),"CHECK KEY"))</f>
        <v/>
      </c>
      <c r="U3094" s="10" t="n"/>
      <c r="V3094" s="10" t="n"/>
      <c r="W3094" s="10" t="n"/>
      <c r="X3094" s="10" t="n"/>
      <c r="Y3094" s="10" t="n"/>
      <c r="Z3094" s="10" t="n"/>
      <c r="AA3094" s="11">
        <f>IF(A3094="","",IF(AND(J3094="P4",F3094="causal"),"P4-CAUSAL",""))</f>
        <v/>
      </c>
    </row>
    <row r="3095" ht="15" customHeight="1" s="1">
      <c r="P3095">
        <f>IF(OR(F3095="",H3095="",J3095=""),"",J3095&amp;"|"&amp;F3095&amp;"|"&amp;IF(H3095="W3","W3_"&amp;IF(I3095="","unknown",I3095),H3095))</f>
        <v/>
      </c>
      <c r="Q3095">
        <f>IF(P3095="","",IFERROR(IF(AND(H3095="W7",OR(F3095="causal",F3095="predictive")),IF(AND(OR(K3095=1,K3095="1"),OR(L3095=1,L3095="1"),OR(M3095=1,M3095="1")),"adequate","partial"),IF(AND(H3095="W4",F3095="predictive",OR(J3095="P2",J3095="P3",J3095="P4")),IF(OR(U3095=1,U3095="1"),"adequate","partial"),INDEX(Fit_Matrix!$B:$B,MATCH(P3095,Fit_Matrix!$A:$A,0)))),"CHECK KEY"))</f>
        <v/>
      </c>
      <c r="U3095" s="10" t="n"/>
      <c r="V3095" s="10" t="n"/>
      <c r="W3095" s="10" t="n"/>
      <c r="X3095" s="10" t="n"/>
      <c r="Y3095" s="10" t="n"/>
      <c r="Z3095" s="10" t="n"/>
      <c r="AA3095" s="11">
        <f>IF(A3095="","",IF(AND(J3095="P4",F3095="causal"),"P4-CAUSAL",""))</f>
        <v/>
      </c>
    </row>
    <row r="3096" ht="15" customHeight="1" s="1">
      <c r="P3096">
        <f>IF(OR(F3096="",H3096="",J3096=""),"",J3096&amp;"|"&amp;F3096&amp;"|"&amp;IF(H3096="W3","W3_"&amp;IF(I3096="","unknown",I3096),H3096))</f>
        <v/>
      </c>
      <c r="Q3096">
        <f>IF(P3096="","",IFERROR(IF(AND(H3096="W7",OR(F3096="causal",F3096="predictive")),IF(AND(OR(K3096=1,K3096="1"),OR(L3096=1,L3096="1"),OR(M3096=1,M3096="1")),"adequate","partial"),IF(AND(H3096="W4",F3096="predictive",OR(J3096="P2",J3096="P3",J3096="P4")),IF(OR(U3096=1,U3096="1"),"adequate","partial"),INDEX(Fit_Matrix!$B:$B,MATCH(P3096,Fit_Matrix!$A:$A,0)))),"CHECK KEY"))</f>
        <v/>
      </c>
      <c r="U3096" s="10" t="n"/>
      <c r="V3096" s="10" t="n"/>
      <c r="W3096" s="10" t="n"/>
      <c r="X3096" s="10" t="n"/>
      <c r="Y3096" s="10" t="n"/>
      <c r="Z3096" s="10" t="n"/>
      <c r="AA3096" s="11">
        <f>IF(A3096="","",IF(AND(J3096="P4",F3096="causal"),"P4-CAUSAL",""))</f>
        <v/>
      </c>
    </row>
    <row r="3097" ht="15" customHeight="1" s="1">
      <c r="P3097">
        <f>IF(OR(F3097="",H3097="",J3097=""),"",J3097&amp;"|"&amp;F3097&amp;"|"&amp;IF(H3097="W3","W3_"&amp;IF(I3097="","unknown",I3097),H3097))</f>
        <v/>
      </c>
      <c r="Q3097">
        <f>IF(P3097="","",IFERROR(IF(AND(H3097="W7",OR(F3097="causal",F3097="predictive")),IF(AND(OR(K3097=1,K3097="1"),OR(L3097=1,L3097="1"),OR(M3097=1,M3097="1")),"adequate","partial"),IF(AND(H3097="W4",F3097="predictive",OR(J3097="P2",J3097="P3",J3097="P4")),IF(OR(U3097=1,U3097="1"),"adequate","partial"),INDEX(Fit_Matrix!$B:$B,MATCH(P3097,Fit_Matrix!$A:$A,0)))),"CHECK KEY"))</f>
        <v/>
      </c>
      <c r="U3097" s="10" t="n"/>
      <c r="V3097" s="10" t="n"/>
      <c r="W3097" s="10" t="n"/>
      <c r="X3097" s="10" t="n"/>
      <c r="Y3097" s="10" t="n"/>
      <c r="Z3097" s="10" t="n"/>
      <c r="AA3097" s="11">
        <f>IF(A3097="","",IF(AND(J3097="P4",F3097="causal"),"P4-CAUSAL",""))</f>
        <v/>
      </c>
    </row>
    <row r="3098" ht="15" customHeight="1" s="1">
      <c r="P3098">
        <f>IF(OR(F3098="",H3098="",J3098=""),"",J3098&amp;"|"&amp;F3098&amp;"|"&amp;IF(H3098="W3","W3_"&amp;IF(I3098="","unknown",I3098),H3098))</f>
        <v/>
      </c>
      <c r="Q3098">
        <f>IF(P3098="","",IFERROR(IF(AND(H3098="W7",OR(F3098="causal",F3098="predictive")),IF(AND(OR(K3098=1,K3098="1"),OR(L3098=1,L3098="1"),OR(M3098=1,M3098="1")),"adequate","partial"),IF(AND(H3098="W4",F3098="predictive",OR(J3098="P2",J3098="P3",J3098="P4")),IF(OR(U3098=1,U3098="1"),"adequate","partial"),INDEX(Fit_Matrix!$B:$B,MATCH(P3098,Fit_Matrix!$A:$A,0)))),"CHECK KEY"))</f>
        <v/>
      </c>
      <c r="U3098" s="10" t="n"/>
      <c r="V3098" s="10" t="n"/>
      <c r="W3098" s="10" t="n"/>
      <c r="X3098" s="10" t="n"/>
      <c r="Y3098" s="10" t="n"/>
      <c r="Z3098" s="10" t="n"/>
      <c r="AA3098" s="11">
        <f>IF(A3098="","",IF(AND(J3098="P4",F3098="causal"),"P4-CAUSAL",""))</f>
        <v/>
      </c>
    </row>
    <row r="3099" ht="15" customHeight="1" s="1">
      <c r="P3099">
        <f>IF(OR(F3099="",H3099="",J3099=""),"",J3099&amp;"|"&amp;F3099&amp;"|"&amp;IF(H3099="W3","W3_"&amp;IF(I3099="","unknown",I3099),H3099))</f>
        <v/>
      </c>
      <c r="Q3099">
        <f>IF(P3099="","",IFERROR(IF(AND(H3099="W7",OR(F3099="causal",F3099="predictive")),IF(AND(OR(K3099=1,K3099="1"),OR(L3099=1,L3099="1"),OR(M3099=1,M3099="1")),"adequate","partial"),IF(AND(H3099="W4",F3099="predictive",OR(J3099="P2",J3099="P3",J3099="P4")),IF(OR(U3099=1,U3099="1"),"adequate","partial"),INDEX(Fit_Matrix!$B:$B,MATCH(P3099,Fit_Matrix!$A:$A,0)))),"CHECK KEY"))</f>
        <v/>
      </c>
      <c r="U3099" s="10" t="n"/>
      <c r="V3099" s="10" t="n"/>
      <c r="W3099" s="10" t="n"/>
      <c r="X3099" s="10" t="n"/>
      <c r="Y3099" s="10" t="n"/>
      <c r="Z3099" s="10" t="n"/>
      <c r="AA3099" s="11">
        <f>IF(A3099="","",IF(AND(J3099="P4",F3099="causal"),"P4-CAUSAL",""))</f>
        <v/>
      </c>
    </row>
    <row r="3100" ht="15" customHeight="1" s="1">
      <c r="P3100">
        <f>IF(OR(F3100="",H3100="",J3100=""),"",J3100&amp;"|"&amp;F3100&amp;"|"&amp;IF(H3100="W3","W3_"&amp;IF(I3100="","unknown",I3100),H3100))</f>
        <v/>
      </c>
      <c r="Q3100">
        <f>IF(P3100="","",IFERROR(IF(AND(H3100="W7",OR(F3100="causal",F3100="predictive")),IF(AND(OR(K3100=1,K3100="1"),OR(L3100=1,L3100="1"),OR(M3100=1,M3100="1")),"adequate","partial"),IF(AND(H3100="W4",F3100="predictive",OR(J3100="P2",J3100="P3",J3100="P4")),IF(OR(U3100=1,U3100="1"),"adequate","partial"),INDEX(Fit_Matrix!$B:$B,MATCH(P3100,Fit_Matrix!$A:$A,0)))),"CHECK KEY"))</f>
        <v/>
      </c>
      <c r="U3100" s="10" t="n"/>
      <c r="V3100" s="10" t="n"/>
      <c r="W3100" s="10" t="n"/>
      <c r="X3100" s="10" t="n"/>
      <c r="Y3100" s="10" t="n"/>
      <c r="Z3100" s="10" t="n"/>
      <c r="AA3100" s="11">
        <f>IF(A3100="","",IF(AND(J3100="P4",F3100="causal"),"P4-CAUSAL",""))</f>
        <v/>
      </c>
    </row>
    <row r="3101" ht="15" customHeight="1" s="1">
      <c r="P3101">
        <f>IF(OR(F3101="",H3101="",J3101=""),"",J3101&amp;"|"&amp;F3101&amp;"|"&amp;IF(H3101="W3","W3_"&amp;IF(I3101="","unknown",I3101),H3101))</f>
        <v/>
      </c>
      <c r="Q3101">
        <f>IF(P3101="","",IFERROR(IF(AND(H3101="W7",OR(F3101="causal",F3101="predictive")),IF(AND(OR(K3101=1,K3101="1"),OR(L3101=1,L3101="1"),OR(M3101=1,M3101="1")),"adequate","partial"),IF(AND(H3101="W4",F3101="predictive",OR(J3101="P2",J3101="P3",J3101="P4")),IF(OR(U3101=1,U3101="1"),"adequate","partial"),INDEX(Fit_Matrix!$B:$B,MATCH(P3101,Fit_Matrix!$A:$A,0)))),"CHECK KEY"))</f>
        <v/>
      </c>
      <c r="U3101" s="10" t="n"/>
      <c r="V3101" s="10" t="n"/>
      <c r="W3101" s="10" t="n"/>
      <c r="X3101" s="10" t="n"/>
      <c r="Y3101" s="10" t="n"/>
      <c r="Z3101" s="10" t="n"/>
      <c r="AA3101" s="11">
        <f>IF(A3101="","",IF(AND(J3101="P4",F3101="causal"),"P4-CAUSAL",""))</f>
        <v/>
      </c>
    </row>
    <row r="3102" ht="15" customHeight="1" s="1">
      <c r="P3102">
        <f>IF(OR(F3102="",H3102="",J3102=""),"",J3102&amp;"|"&amp;F3102&amp;"|"&amp;IF(H3102="W3","W3_"&amp;IF(I3102="","unknown",I3102),H3102))</f>
        <v/>
      </c>
      <c r="Q3102">
        <f>IF(P3102="","",IFERROR(IF(AND(H3102="W7",OR(F3102="causal",F3102="predictive")),IF(AND(OR(K3102=1,K3102="1"),OR(L3102=1,L3102="1"),OR(M3102=1,M3102="1")),"adequate","partial"),IF(AND(H3102="W4",F3102="predictive",OR(J3102="P2",J3102="P3",J3102="P4")),IF(OR(U3102=1,U3102="1"),"adequate","partial"),INDEX(Fit_Matrix!$B:$B,MATCH(P3102,Fit_Matrix!$A:$A,0)))),"CHECK KEY"))</f>
        <v/>
      </c>
      <c r="U3102" s="10" t="n"/>
      <c r="V3102" s="10" t="n"/>
      <c r="W3102" s="10" t="n"/>
      <c r="X3102" s="10" t="n"/>
      <c r="Y3102" s="10" t="n"/>
      <c r="Z3102" s="10" t="n"/>
      <c r="AA3102" s="11">
        <f>IF(A3102="","",IF(AND(J3102="P4",F3102="causal"),"P4-CAUSAL",""))</f>
        <v/>
      </c>
    </row>
    <row r="3103" ht="15" customHeight="1" s="1">
      <c r="P3103">
        <f>IF(OR(F3103="",H3103="",J3103=""),"",J3103&amp;"|"&amp;F3103&amp;"|"&amp;IF(H3103="W3","W3_"&amp;IF(I3103="","unknown",I3103),H3103))</f>
        <v/>
      </c>
      <c r="Q3103">
        <f>IF(P3103="","",IFERROR(IF(AND(H3103="W7",OR(F3103="causal",F3103="predictive")),IF(AND(OR(K3103=1,K3103="1"),OR(L3103=1,L3103="1"),OR(M3103=1,M3103="1")),"adequate","partial"),IF(AND(H3103="W4",F3103="predictive",OR(J3103="P2",J3103="P3",J3103="P4")),IF(OR(U3103=1,U3103="1"),"adequate","partial"),INDEX(Fit_Matrix!$B:$B,MATCH(P3103,Fit_Matrix!$A:$A,0)))),"CHECK KEY"))</f>
        <v/>
      </c>
      <c r="U3103" s="10" t="n"/>
      <c r="V3103" s="10" t="n"/>
      <c r="W3103" s="10" t="n"/>
      <c r="X3103" s="10" t="n"/>
      <c r="Y3103" s="10" t="n"/>
      <c r="Z3103" s="10" t="n"/>
      <c r="AA3103" s="11">
        <f>IF(A3103="","",IF(AND(J3103="P4",F3103="causal"),"P4-CAUSAL",""))</f>
        <v/>
      </c>
    </row>
    <row r="3104" ht="15" customHeight="1" s="1">
      <c r="P3104">
        <f>IF(OR(F3104="",H3104="",J3104=""),"",J3104&amp;"|"&amp;F3104&amp;"|"&amp;IF(H3104="W3","W3_"&amp;IF(I3104="","unknown",I3104),H3104))</f>
        <v/>
      </c>
      <c r="Q3104">
        <f>IF(P3104="","",IFERROR(IF(AND(H3104="W7",OR(F3104="causal",F3104="predictive")),IF(AND(OR(K3104=1,K3104="1"),OR(L3104=1,L3104="1"),OR(M3104=1,M3104="1")),"adequate","partial"),IF(AND(H3104="W4",F3104="predictive",OR(J3104="P2",J3104="P3",J3104="P4")),IF(OR(U3104=1,U3104="1"),"adequate","partial"),INDEX(Fit_Matrix!$B:$B,MATCH(P3104,Fit_Matrix!$A:$A,0)))),"CHECK KEY"))</f>
        <v/>
      </c>
      <c r="U3104" s="10" t="n"/>
      <c r="V3104" s="10" t="n"/>
      <c r="W3104" s="10" t="n"/>
      <c r="X3104" s="10" t="n"/>
      <c r="Y3104" s="10" t="n"/>
      <c r="Z3104" s="10" t="n"/>
      <c r="AA3104" s="11">
        <f>IF(A3104="","",IF(AND(J3104="P4",F3104="causal"),"P4-CAUSAL",""))</f>
        <v/>
      </c>
    </row>
    <row r="3105" ht="15" customHeight="1" s="1">
      <c r="P3105">
        <f>IF(OR(F3105="",H3105="",J3105=""),"",J3105&amp;"|"&amp;F3105&amp;"|"&amp;IF(H3105="W3","W3_"&amp;IF(I3105="","unknown",I3105),H3105))</f>
        <v/>
      </c>
      <c r="Q3105">
        <f>IF(P3105="","",IFERROR(IF(AND(H3105="W7",OR(F3105="causal",F3105="predictive")),IF(AND(OR(K3105=1,K3105="1"),OR(L3105=1,L3105="1"),OR(M3105=1,M3105="1")),"adequate","partial"),IF(AND(H3105="W4",F3105="predictive",OR(J3105="P2",J3105="P3",J3105="P4")),IF(OR(U3105=1,U3105="1"),"adequate","partial"),INDEX(Fit_Matrix!$B:$B,MATCH(P3105,Fit_Matrix!$A:$A,0)))),"CHECK KEY"))</f>
        <v/>
      </c>
      <c r="U3105" s="10" t="n"/>
      <c r="V3105" s="10" t="n"/>
      <c r="W3105" s="10" t="n"/>
      <c r="X3105" s="10" t="n"/>
      <c r="Y3105" s="10" t="n"/>
      <c r="Z3105" s="10" t="n"/>
      <c r="AA3105" s="11">
        <f>IF(A3105="","",IF(AND(J3105="P4",F3105="causal"),"P4-CAUSAL",""))</f>
        <v/>
      </c>
    </row>
    <row r="3106" ht="15" customHeight="1" s="1">
      <c r="P3106">
        <f>IF(OR(F3106="",H3106="",J3106=""),"",J3106&amp;"|"&amp;F3106&amp;"|"&amp;IF(H3106="W3","W3_"&amp;IF(I3106="","unknown",I3106),H3106))</f>
        <v/>
      </c>
      <c r="Q3106">
        <f>IF(P3106="","",IFERROR(IF(AND(H3106="W7",OR(F3106="causal",F3106="predictive")),IF(AND(OR(K3106=1,K3106="1"),OR(L3106=1,L3106="1"),OR(M3106=1,M3106="1")),"adequate","partial"),IF(AND(H3106="W4",F3106="predictive",OR(J3106="P2",J3106="P3",J3106="P4")),IF(OR(U3106=1,U3106="1"),"adequate","partial"),INDEX(Fit_Matrix!$B:$B,MATCH(P3106,Fit_Matrix!$A:$A,0)))),"CHECK KEY"))</f>
        <v/>
      </c>
      <c r="U3106" s="10" t="n"/>
      <c r="V3106" s="10" t="n"/>
      <c r="W3106" s="10" t="n"/>
      <c r="X3106" s="10" t="n"/>
      <c r="Y3106" s="10" t="n"/>
      <c r="Z3106" s="10" t="n"/>
      <c r="AA3106" s="11">
        <f>IF(A3106="","",IF(AND(J3106="P4",F3106="causal"),"P4-CAUSAL",""))</f>
        <v/>
      </c>
    </row>
    <row r="3107" ht="15" customHeight="1" s="1">
      <c r="P3107">
        <f>IF(OR(F3107="",H3107="",J3107=""),"",J3107&amp;"|"&amp;F3107&amp;"|"&amp;IF(H3107="W3","W3_"&amp;IF(I3107="","unknown",I3107),H3107))</f>
        <v/>
      </c>
      <c r="Q3107">
        <f>IF(P3107="","",IFERROR(IF(AND(H3107="W7",OR(F3107="causal",F3107="predictive")),IF(AND(OR(K3107=1,K3107="1"),OR(L3107=1,L3107="1"),OR(M3107=1,M3107="1")),"adequate","partial"),IF(AND(H3107="W4",F3107="predictive",OR(J3107="P2",J3107="P3",J3107="P4")),IF(OR(U3107=1,U3107="1"),"adequate","partial"),INDEX(Fit_Matrix!$B:$B,MATCH(P3107,Fit_Matrix!$A:$A,0)))),"CHECK KEY"))</f>
        <v/>
      </c>
      <c r="U3107" s="10" t="n"/>
      <c r="V3107" s="10" t="n"/>
      <c r="W3107" s="10" t="n"/>
      <c r="X3107" s="10" t="n"/>
      <c r="Y3107" s="10" t="n"/>
      <c r="Z3107" s="10" t="n"/>
      <c r="AA3107" s="11">
        <f>IF(A3107="","",IF(AND(J3107="P4",F3107="causal"),"P4-CAUSAL",""))</f>
        <v/>
      </c>
    </row>
    <row r="3108" ht="15" customHeight="1" s="1">
      <c r="P3108">
        <f>IF(OR(F3108="",H3108="",J3108=""),"",J3108&amp;"|"&amp;F3108&amp;"|"&amp;IF(H3108="W3","W3_"&amp;IF(I3108="","unknown",I3108),H3108))</f>
        <v/>
      </c>
      <c r="Q3108">
        <f>IF(P3108="","",IFERROR(IF(AND(H3108="W7",OR(F3108="causal",F3108="predictive")),IF(AND(OR(K3108=1,K3108="1"),OR(L3108=1,L3108="1"),OR(M3108=1,M3108="1")),"adequate","partial"),IF(AND(H3108="W4",F3108="predictive",OR(J3108="P2",J3108="P3",J3108="P4")),IF(OR(U3108=1,U3108="1"),"adequate","partial"),INDEX(Fit_Matrix!$B:$B,MATCH(P3108,Fit_Matrix!$A:$A,0)))),"CHECK KEY"))</f>
        <v/>
      </c>
      <c r="U3108" s="10" t="n"/>
      <c r="V3108" s="10" t="n"/>
      <c r="W3108" s="10" t="n"/>
      <c r="X3108" s="10" t="n"/>
      <c r="Y3108" s="10" t="n"/>
      <c r="Z3108" s="10" t="n"/>
      <c r="AA3108" s="11">
        <f>IF(A3108="","",IF(AND(J3108="P4",F3108="causal"),"P4-CAUSAL",""))</f>
        <v/>
      </c>
    </row>
    <row r="3109" ht="15" customHeight="1" s="1">
      <c r="P3109">
        <f>IF(OR(F3109="",H3109="",J3109=""),"",J3109&amp;"|"&amp;F3109&amp;"|"&amp;IF(H3109="W3","W3_"&amp;IF(I3109="","unknown",I3109),H3109))</f>
        <v/>
      </c>
      <c r="Q3109">
        <f>IF(P3109="","",IFERROR(IF(AND(H3109="W7",OR(F3109="causal",F3109="predictive")),IF(AND(OR(K3109=1,K3109="1"),OR(L3109=1,L3109="1"),OR(M3109=1,M3109="1")),"adequate","partial"),IF(AND(H3109="W4",F3109="predictive",OR(J3109="P2",J3109="P3",J3109="P4")),IF(OR(U3109=1,U3109="1"),"adequate","partial"),INDEX(Fit_Matrix!$B:$B,MATCH(P3109,Fit_Matrix!$A:$A,0)))),"CHECK KEY"))</f>
        <v/>
      </c>
      <c r="U3109" s="10" t="n"/>
      <c r="V3109" s="10" t="n"/>
      <c r="W3109" s="10" t="n"/>
      <c r="X3109" s="10" t="n"/>
      <c r="Y3109" s="10" t="n"/>
      <c r="Z3109" s="10" t="n"/>
      <c r="AA3109" s="11">
        <f>IF(A3109="","",IF(AND(J3109="P4",F3109="causal"),"P4-CAUSAL",""))</f>
        <v/>
      </c>
    </row>
    <row r="3110" ht="15" customHeight="1" s="1">
      <c r="P3110">
        <f>IF(OR(F3110="",H3110="",J3110=""),"",J3110&amp;"|"&amp;F3110&amp;"|"&amp;IF(H3110="W3","W3_"&amp;IF(I3110="","unknown",I3110),H3110))</f>
        <v/>
      </c>
      <c r="Q3110">
        <f>IF(P3110="","",IFERROR(IF(AND(H3110="W7",OR(F3110="causal",F3110="predictive")),IF(AND(OR(K3110=1,K3110="1"),OR(L3110=1,L3110="1"),OR(M3110=1,M3110="1")),"adequate","partial"),IF(AND(H3110="W4",F3110="predictive",OR(J3110="P2",J3110="P3",J3110="P4")),IF(OR(U3110=1,U3110="1"),"adequate","partial"),INDEX(Fit_Matrix!$B:$B,MATCH(P3110,Fit_Matrix!$A:$A,0)))),"CHECK KEY"))</f>
        <v/>
      </c>
      <c r="U3110" s="10" t="n"/>
      <c r="V3110" s="10" t="n"/>
      <c r="W3110" s="10" t="n"/>
      <c r="X3110" s="10" t="n"/>
      <c r="Y3110" s="10" t="n"/>
      <c r="Z3110" s="10" t="n"/>
      <c r="AA3110" s="11">
        <f>IF(A3110="","",IF(AND(J3110="P4",F3110="causal"),"P4-CAUSAL",""))</f>
        <v/>
      </c>
    </row>
    <row r="3111" ht="15" customHeight="1" s="1">
      <c r="P3111">
        <f>IF(OR(F3111="",H3111="",J3111=""),"",J3111&amp;"|"&amp;F3111&amp;"|"&amp;IF(H3111="W3","W3_"&amp;IF(I3111="","unknown",I3111),H3111))</f>
        <v/>
      </c>
      <c r="Q3111">
        <f>IF(P3111="","",IFERROR(IF(AND(H3111="W7",OR(F3111="causal",F3111="predictive")),IF(AND(OR(K3111=1,K3111="1"),OR(L3111=1,L3111="1"),OR(M3111=1,M3111="1")),"adequate","partial"),IF(AND(H3111="W4",F3111="predictive",OR(J3111="P2",J3111="P3",J3111="P4")),IF(OR(U3111=1,U3111="1"),"adequate","partial"),INDEX(Fit_Matrix!$B:$B,MATCH(P3111,Fit_Matrix!$A:$A,0)))),"CHECK KEY"))</f>
        <v/>
      </c>
      <c r="U3111" s="10" t="n"/>
      <c r="V3111" s="10" t="n"/>
      <c r="W3111" s="10" t="n"/>
      <c r="X3111" s="10" t="n"/>
      <c r="Y3111" s="10" t="n"/>
      <c r="Z3111" s="10" t="n"/>
      <c r="AA3111" s="11">
        <f>IF(A3111="","",IF(AND(J3111="P4",F3111="causal"),"P4-CAUSAL",""))</f>
        <v/>
      </c>
    </row>
    <row r="3112" ht="15" customHeight="1" s="1">
      <c r="P3112">
        <f>IF(OR(F3112="",H3112="",J3112=""),"",J3112&amp;"|"&amp;F3112&amp;"|"&amp;IF(H3112="W3","W3_"&amp;IF(I3112="","unknown",I3112),H3112))</f>
        <v/>
      </c>
      <c r="Q3112">
        <f>IF(P3112="","",IFERROR(IF(AND(H3112="W7",OR(F3112="causal",F3112="predictive")),IF(AND(OR(K3112=1,K3112="1"),OR(L3112=1,L3112="1"),OR(M3112=1,M3112="1")),"adequate","partial"),IF(AND(H3112="W4",F3112="predictive",OR(J3112="P2",J3112="P3",J3112="P4")),IF(OR(U3112=1,U3112="1"),"adequate","partial"),INDEX(Fit_Matrix!$B:$B,MATCH(P3112,Fit_Matrix!$A:$A,0)))),"CHECK KEY"))</f>
        <v/>
      </c>
      <c r="U3112" s="10" t="n"/>
      <c r="V3112" s="10" t="n"/>
      <c r="W3112" s="10" t="n"/>
      <c r="X3112" s="10" t="n"/>
      <c r="Y3112" s="10" t="n"/>
      <c r="Z3112" s="10" t="n"/>
      <c r="AA3112" s="11">
        <f>IF(A3112="","",IF(AND(J3112="P4",F3112="causal"),"P4-CAUSAL",""))</f>
        <v/>
      </c>
    </row>
    <row r="3113" ht="15" customHeight="1" s="1">
      <c r="P3113">
        <f>IF(OR(F3113="",H3113="",J3113=""),"",J3113&amp;"|"&amp;F3113&amp;"|"&amp;IF(H3113="W3","W3_"&amp;IF(I3113="","unknown",I3113),H3113))</f>
        <v/>
      </c>
      <c r="Q3113">
        <f>IF(P3113="","",IFERROR(IF(AND(H3113="W7",OR(F3113="causal",F3113="predictive")),IF(AND(OR(K3113=1,K3113="1"),OR(L3113=1,L3113="1"),OR(M3113=1,M3113="1")),"adequate","partial"),IF(AND(H3113="W4",F3113="predictive",OR(J3113="P2",J3113="P3",J3113="P4")),IF(OR(U3113=1,U3113="1"),"adequate","partial"),INDEX(Fit_Matrix!$B:$B,MATCH(P3113,Fit_Matrix!$A:$A,0)))),"CHECK KEY"))</f>
        <v/>
      </c>
      <c r="U3113" s="10" t="n"/>
      <c r="V3113" s="10" t="n"/>
      <c r="W3113" s="10" t="n"/>
      <c r="X3113" s="10" t="n"/>
      <c r="Y3113" s="10" t="n"/>
      <c r="Z3113" s="10" t="n"/>
      <c r="AA3113" s="11">
        <f>IF(A3113="","",IF(AND(J3113="P4",F3113="causal"),"P4-CAUSAL",""))</f>
        <v/>
      </c>
    </row>
    <row r="3114" ht="15" customHeight="1" s="1">
      <c r="P3114">
        <f>IF(OR(F3114="",H3114="",J3114=""),"",J3114&amp;"|"&amp;F3114&amp;"|"&amp;IF(H3114="W3","W3_"&amp;IF(I3114="","unknown",I3114),H3114))</f>
        <v/>
      </c>
      <c r="Q3114">
        <f>IF(P3114="","",IFERROR(IF(AND(H3114="W7",OR(F3114="causal",F3114="predictive")),IF(AND(OR(K3114=1,K3114="1"),OR(L3114=1,L3114="1"),OR(M3114=1,M3114="1")),"adequate","partial"),IF(AND(H3114="W4",F3114="predictive",OR(J3114="P2",J3114="P3",J3114="P4")),IF(OR(U3114=1,U3114="1"),"adequate","partial"),INDEX(Fit_Matrix!$B:$B,MATCH(P3114,Fit_Matrix!$A:$A,0)))),"CHECK KEY"))</f>
        <v/>
      </c>
      <c r="U3114" s="10" t="n"/>
      <c r="V3114" s="10" t="n"/>
      <c r="W3114" s="10" t="n"/>
      <c r="X3114" s="10" t="n"/>
      <c r="Y3114" s="10" t="n"/>
      <c r="Z3114" s="10" t="n"/>
      <c r="AA3114" s="11">
        <f>IF(A3114="","",IF(AND(J3114="P4",F3114="causal"),"P4-CAUSAL",""))</f>
        <v/>
      </c>
    </row>
    <row r="3115" ht="15" customHeight="1" s="1">
      <c r="P3115">
        <f>IF(OR(F3115="",H3115="",J3115=""),"",J3115&amp;"|"&amp;F3115&amp;"|"&amp;IF(H3115="W3","W3_"&amp;IF(I3115="","unknown",I3115),H3115))</f>
        <v/>
      </c>
      <c r="Q3115">
        <f>IF(P3115="","",IFERROR(IF(AND(H3115="W7",OR(F3115="causal",F3115="predictive")),IF(AND(OR(K3115=1,K3115="1"),OR(L3115=1,L3115="1"),OR(M3115=1,M3115="1")),"adequate","partial"),IF(AND(H3115="W4",F3115="predictive",OR(J3115="P2",J3115="P3",J3115="P4")),IF(OR(U3115=1,U3115="1"),"adequate","partial"),INDEX(Fit_Matrix!$B:$B,MATCH(P3115,Fit_Matrix!$A:$A,0)))),"CHECK KEY"))</f>
        <v/>
      </c>
      <c r="U3115" s="10" t="n"/>
      <c r="V3115" s="10" t="n"/>
      <c r="W3115" s="10" t="n"/>
      <c r="X3115" s="10" t="n"/>
      <c r="Y3115" s="10" t="n"/>
      <c r="Z3115" s="10" t="n"/>
      <c r="AA3115" s="11">
        <f>IF(A3115="","",IF(AND(J3115="P4",F3115="causal"),"P4-CAUSAL",""))</f>
        <v/>
      </c>
    </row>
    <row r="3116" ht="15" customHeight="1" s="1">
      <c r="P3116">
        <f>IF(OR(F3116="",H3116="",J3116=""),"",J3116&amp;"|"&amp;F3116&amp;"|"&amp;IF(H3116="W3","W3_"&amp;IF(I3116="","unknown",I3116),H3116))</f>
        <v/>
      </c>
      <c r="Q3116">
        <f>IF(P3116="","",IFERROR(IF(AND(H3116="W7",OR(F3116="causal",F3116="predictive")),IF(AND(OR(K3116=1,K3116="1"),OR(L3116=1,L3116="1"),OR(M3116=1,M3116="1")),"adequate","partial"),IF(AND(H3116="W4",F3116="predictive",OR(J3116="P2",J3116="P3",J3116="P4")),IF(OR(U3116=1,U3116="1"),"adequate","partial"),INDEX(Fit_Matrix!$B:$B,MATCH(P3116,Fit_Matrix!$A:$A,0)))),"CHECK KEY"))</f>
        <v/>
      </c>
      <c r="U3116" s="10" t="n"/>
      <c r="V3116" s="10" t="n"/>
      <c r="W3116" s="10" t="n"/>
      <c r="X3116" s="10" t="n"/>
      <c r="Y3116" s="10" t="n"/>
      <c r="Z3116" s="10" t="n"/>
      <c r="AA3116" s="11">
        <f>IF(A3116="","",IF(AND(J3116="P4",F3116="causal"),"P4-CAUSAL",""))</f>
        <v/>
      </c>
    </row>
    <row r="3117" ht="15" customHeight="1" s="1">
      <c r="P3117">
        <f>IF(OR(F3117="",H3117="",J3117=""),"",J3117&amp;"|"&amp;F3117&amp;"|"&amp;IF(H3117="W3","W3_"&amp;IF(I3117="","unknown",I3117),H3117))</f>
        <v/>
      </c>
      <c r="Q3117">
        <f>IF(P3117="","",IFERROR(IF(AND(H3117="W7",OR(F3117="causal",F3117="predictive")),IF(AND(OR(K3117=1,K3117="1"),OR(L3117=1,L3117="1"),OR(M3117=1,M3117="1")),"adequate","partial"),IF(AND(H3117="W4",F3117="predictive",OR(J3117="P2",J3117="P3",J3117="P4")),IF(OR(U3117=1,U3117="1"),"adequate","partial"),INDEX(Fit_Matrix!$B:$B,MATCH(P3117,Fit_Matrix!$A:$A,0)))),"CHECK KEY"))</f>
        <v/>
      </c>
      <c r="U3117" s="10" t="n"/>
      <c r="V3117" s="10" t="n"/>
      <c r="W3117" s="10" t="n"/>
      <c r="X3117" s="10" t="n"/>
      <c r="Y3117" s="10" t="n"/>
      <c r="Z3117" s="10" t="n"/>
      <c r="AA3117" s="11">
        <f>IF(A3117="","",IF(AND(J3117="P4",F3117="causal"),"P4-CAUSAL",""))</f>
        <v/>
      </c>
    </row>
    <row r="3118" ht="15" customHeight="1" s="1">
      <c r="P3118">
        <f>IF(OR(F3118="",H3118="",J3118=""),"",J3118&amp;"|"&amp;F3118&amp;"|"&amp;IF(H3118="W3","W3_"&amp;IF(I3118="","unknown",I3118),H3118))</f>
        <v/>
      </c>
      <c r="Q3118">
        <f>IF(P3118="","",IFERROR(IF(AND(H3118="W7",OR(F3118="causal",F3118="predictive")),IF(AND(OR(K3118=1,K3118="1"),OR(L3118=1,L3118="1"),OR(M3118=1,M3118="1")),"adequate","partial"),IF(AND(H3118="W4",F3118="predictive",OR(J3118="P2",J3118="P3",J3118="P4")),IF(OR(U3118=1,U3118="1"),"adequate","partial"),INDEX(Fit_Matrix!$B:$B,MATCH(P3118,Fit_Matrix!$A:$A,0)))),"CHECK KEY"))</f>
        <v/>
      </c>
      <c r="U3118" s="10" t="n"/>
      <c r="V3118" s="10" t="n"/>
      <c r="W3118" s="10" t="n"/>
      <c r="X3118" s="10" t="n"/>
      <c r="Y3118" s="10" t="n"/>
      <c r="Z3118" s="10" t="n"/>
      <c r="AA3118" s="11">
        <f>IF(A3118="","",IF(AND(J3118="P4",F3118="causal"),"P4-CAUSAL",""))</f>
        <v/>
      </c>
    </row>
    <row r="3119" ht="15" customHeight="1" s="1">
      <c r="P3119">
        <f>IF(OR(F3119="",H3119="",J3119=""),"",J3119&amp;"|"&amp;F3119&amp;"|"&amp;IF(H3119="W3","W3_"&amp;IF(I3119="","unknown",I3119),H3119))</f>
        <v/>
      </c>
      <c r="Q3119">
        <f>IF(P3119="","",IFERROR(IF(AND(H3119="W7",OR(F3119="causal",F3119="predictive")),IF(AND(OR(K3119=1,K3119="1"),OR(L3119=1,L3119="1"),OR(M3119=1,M3119="1")),"adequate","partial"),IF(AND(H3119="W4",F3119="predictive",OR(J3119="P2",J3119="P3",J3119="P4")),IF(OR(U3119=1,U3119="1"),"adequate","partial"),INDEX(Fit_Matrix!$B:$B,MATCH(P3119,Fit_Matrix!$A:$A,0)))),"CHECK KEY"))</f>
        <v/>
      </c>
      <c r="U3119" s="10" t="n"/>
      <c r="V3119" s="10" t="n"/>
      <c r="W3119" s="10" t="n"/>
      <c r="X3119" s="10" t="n"/>
      <c r="Y3119" s="10" t="n"/>
      <c r="Z3119" s="10" t="n"/>
      <c r="AA3119" s="11">
        <f>IF(A3119="","",IF(AND(J3119="P4",F3119="causal"),"P4-CAUSAL",""))</f>
        <v/>
      </c>
    </row>
    <row r="3120" ht="15" customHeight="1" s="1">
      <c r="P3120">
        <f>IF(OR(F3120="",H3120="",J3120=""),"",J3120&amp;"|"&amp;F3120&amp;"|"&amp;IF(H3120="W3","W3_"&amp;IF(I3120="","unknown",I3120),H3120))</f>
        <v/>
      </c>
      <c r="Q3120">
        <f>IF(P3120="","",IFERROR(IF(AND(H3120="W7",OR(F3120="causal",F3120="predictive")),IF(AND(OR(K3120=1,K3120="1"),OR(L3120=1,L3120="1"),OR(M3120=1,M3120="1")),"adequate","partial"),IF(AND(H3120="W4",F3120="predictive",OR(J3120="P2",J3120="P3",J3120="P4")),IF(OR(U3120=1,U3120="1"),"adequate","partial"),INDEX(Fit_Matrix!$B:$B,MATCH(P3120,Fit_Matrix!$A:$A,0)))),"CHECK KEY"))</f>
        <v/>
      </c>
      <c r="U3120" s="10" t="n"/>
      <c r="V3120" s="10" t="n"/>
      <c r="W3120" s="10" t="n"/>
      <c r="X3120" s="10" t="n"/>
      <c r="Y3120" s="10" t="n"/>
      <c r="Z3120" s="10" t="n"/>
      <c r="AA3120" s="11">
        <f>IF(A3120="","",IF(AND(J3120="P4",F3120="causal"),"P4-CAUSAL",""))</f>
        <v/>
      </c>
    </row>
    <row r="3121" ht="15" customHeight="1" s="1">
      <c r="P3121">
        <f>IF(OR(F3121="",H3121="",J3121=""),"",J3121&amp;"|"&amp;F3121&amp;"|"&amp;IF(H3121="W3","W3_"&amp;IF(I3121="","unknown",I3121),H3121))</f>
        <v/>
      </c>
      <c r="Q3121">
        <f>IF(P3121="","",IFERROR(IF(AND(H3121="W7",OR(F3121="causal",F3121="predictive")),IF(AND(OR(K3121=1,K3121="1"),OR(L3121=1,L3121="1"),OR(M3121=1,M3121="1")),"adequate","partial"),IF(AND(H3121="W4",F3121="predictive",OR(J3121="P2",J3121="P3",J3121="P4")),IF(OR(U3121=1,U3121="1"),"adequate","partial"),INDEX(Fit_Matrix!$B:$B,MATCH(P3121,Fit_Matrix!$A:$A,0)))),"CHECK KEY"))</f>
        <v/>
      </c>
      <c r="U3121" s="10" t="n"/>
      <c r="V3121" s="10" t="n"/>
      <c r="W3121" s="10" t="n"/>
      <c r="X3121" s="10" t="n"/>
      <c r="Y3121" s="10" t="n"/>
      <c r="Z3121" s="10" t="n"/>
      <c r="AA3121" s="11">
        <f>IF(A3121="","",IF(AND(J3121="P4",F3121="causal"),"P4-CAUSAL",""))</f>
        <v/>
      </c>
    </row>
    <row r="3122" ht="15" customHeight="1" s="1">
      <c r="P3122">
        <f>IF(OR(F3122="",H3122="",J3122=""),"",J3122&amp;"|"&amp;F3122&amp;"|"&amp;IF(H3122="W3","W3_"&amp;IF(I3122="","unknown",I3122),H3122))</f>
        <v/>
      </c>
      <c r="Q3122">
        <f>IF(P3122="","",IFERROR(IF(AND(H3122="W7",OR(F3122="causal",F3122="predictive")),IF(AND(OR(K3122=1,K3122="1"),OR(L3122=1,L3122="1"),OR(M3122=1,M3122="1")),"adequate","partial"),IF(AND(H3122="W4",F3122="predictive",OR(J3122="P2",J3122="P3",J3122="P4")),IF(OR(U3122=1,U3122="1"),"adequate","partial"),INDEX(Fit_Matrix!$B:$B,MATCH(P3122,Fit_Matrix!$A:$A,0)))),"CHECK KEY"))</f>
        <v/>
      </c>
      <c r="U3122" s="10" t="n"/>
      <c r="V3122" s="10" t="n"/>
      <c r="W3122" s="10" t="n"/>
      <c r="X3122" s="10" t="n"/>
      <c r="Y3122" s="10" t="n"/>
      <c r="Z3122" s="10" t="n"/>
      <c r="AA3122" s="11">
        <f>IF(A3122="","",IF(AND(J3122="P4",F3122="causal"),"P4-CAUSAL",""))</f>
        <v/>
      </c>
    </row>
    <row r="3123" ht="15" customHeight="1" s="1">
      <c r="P3123">
        <f>IF(OR(F3123="",H3123="",J3123=""),"",J3123&amp;"|"&amp;F3123&amp;"|"&amp;IF(H3123="W3","W3_"&amp;IF(I3123="","unknown",I3123),H3123))</f>
        <v/>
      </c>
      <c r="Q3123">
        <f>IF(P3123="","",IFERROR(IF(AND(H3123="W7",OR(F3123="causal",F3123="predictive")),IF(AND(OR(K3123=1,K3123="1"),OR(L3123=1,L3123="1"),OR(M3123=1,M3123="1")),"adequate","partial"),IF(AND(H3123="W4",F3123="predictive",OR(J3123="P2",J3123="P3",J3123="P4")),IF(OR(U3123=1,U3123="1"),"adequate","partial"),INDEX(Fit_Matrix!$B:$B,MATCH(P3123,Fit_Matrix!$A:$A,0)))),"CHECK KEY"))</f>
        <v/>
      </c>
      <c r="U3123" s="10" t="n"/>
      <c r="V3123" s="10" t="n"/>
      <c r="W3123" s="10" t="n"/>
      <c r="X3123" s="10" t="n"/>
      <c r="Y3123" s="10" t="n"/>
      <c r="Z3123" s="10" t="n"/>
      <c r="AA3123" s="11">
        <f>IF(A3123="","",IF(AND(J3123="P4",F3123="causal"),"P4-CAUSAL",""))</f>
        <v/>
      </c>
    </row>
    <row r="3124" ht="15" customHeight="1" s="1">
      <c r="P3124">
        <f>IF(OR(F3124="",H3124="",J3124=""),"",J3124&amp;"|"&amp;F3124&amp;"|"&amp;IF(H3124="W3","W3_"&amp;IF(I3124="","unknown",I3124),H3124))</f>
        <v/>
      </c>
      <c r="Q3124">
        <f>IF(P3124="","",IFERROR(IF(AND(H3124="W7",OR(F3124="causal",F3124="predictive")),IF(AND(OR(K3124=1,K3124="1"),OR(L3124=1,L3124="1"),OR(M3124=1,M3124="1")),"adequate","partial"),IF(AND(H3124="W4",F3124="predictive",OR(J3124="P2",J3124="P3",J3124="P4")),IF(OR(U3124=1,U3124="1"),"adequate","partial"),INDEX(Fit_Matrix!$B:$B,MATCH(P3124,Fit_Matrix!$A:$A,0)))),"CHECK KEY"))</f>
        <v/>
      </c>
      <c r="U3124" s="10" t="n"/>
      <c r="V3124" s="10" t="n"/>
      <c r="W3124" s="10" t="n"/>
      <c r="X3124" s="10" t="n"/>
      <c r="Y3124" s="10" t="n"/>
      <c r="Z3124" s="10" t="n"/>
      <c r="AA3124" s="11">
        <f>IF(A3124="","",IF(AND(J3124="P4",F3124="causal"),"P4-CAUSAL",""))</f>
        <v/>
      </c>
    </row>
    <row r="3125" ht="15" customHeight="1" s="1">
      <c r="P3125">
        <f>IF(OR(F3125="",H3125="",J3125=""),"",J3125&amp;"|"&amp;F3125&amp;"|"&amp;IF(H3125="W3","W3_"&amp;IF(I3125="","unknown",I3125),H3125))</f>
        <v/>
      </c>
      <c r="Q3125">
        <f>IF(P3125="","",IFERROR(IF(AND(H3125="W7",OR(F3125="causal",F3125="predictive")),IF(AND(OR(K3125=1,K3125="1"),OR(L3125=1,L3125="1"),OR(M3125=1,M3125="1")),"adequate","partial"),IF(AND(H3125="W4",F3125="predictive",OR(J3125="P2",J3125="P3",J3125="P4")),IF(OR(U3125=1,U3125="1"),"adequate","partial"),INDEX(Fit_Matrix!$B:$B,MATCH(P3125,Fit_Matrix!$A:$A,0)))),"CHECK KEY"))</f>
        <v/>
      </c>
      <c r="U3125" s="10" t="n"/>
      <c r="V3125" s="10" t="n"/>
      <c r="W3125" s="10" t="n"/>
      <c r="X3125" s="10" t="n"/>
      <c r="Y3125" s="10" t="n"/>
      <c r="Z3125" s="10" t="n"/>
      <c r="AA3125" s="11">
        <f>IF(A3125="","",IF(AND(J3125="P4",F3125="causal"),"P4-CAUSAL",""))</f>
        <v/>
      </c>
    </row>
    <row r="3126" ht="15" customHeight="1" s="1">
      <c r="P3126">
        <f>IF(OR(F3126="",H3126="",J3126=""),"",J3126&amp;"|"&amp;F3126&amp;"|"&amp;IF(H3126="W3","W3_"&amp;IF(I3126="","unknown",I3126),H3126))</f>
        <v/>
      </c>
      <c r="Q3126">
        <f>IF(P3126="","",IFERROR(IF(AND(H3126="W7",OR(F3126="causal",F3126="predictive")),IF(AND(OR(K3126=1,K3126="1"),OR(L3126=1,L3126="1"),OR(M3126=1,M3126="1")),"adequate","partial"),IF(AND(H3126="W4",F3126="predictive",OR(J3126="P2",J3126="P3",J3126="P4")),IF(OR(U3126=1,U3126="1"),"adequate","partial"),INDEX(Fit_Matrix!$B:$B,MATCH(P3126,Fit_Matrix!$A:$A,0)))),"CHECK KEY"))</f>
        <v/>
      </c>
      <c r="U3126" s="10" t="n"/>
      <c r="V3126" s="10" t="n"/>
      <c r="W3126" s="10" t="n"/>
      <c r="X3126" s="10" t="n"/>
      <c r="Y3126" s="10" t="n"/>
      <c r="Z3126" s="10" t="n"/>
      <c r="AA3126" s="11">
        <f>IF(A3126="","",IF(AND(J3126="P4",F3126="causal"),"P4-CAUSAL",""))</f>
        <v/>
      </c>
    </row>
    <row r="3127" ht="15" customHeight="1" s="1">
      <c r="P3127">
        <f>IF(OR(F3127="",H3127="",J3127=""),"",J3127&amp;"|"&amp;F3127&amp;"|"&amp;IF(H3127="W3","W3_"&amp;IF(I3127="","unknown",I3127),H3127))</f>
        <v/>
      </c>
      <c r="Q3127">
        <f>IF(P3127="","",IFERROR(IF(AND(H3127="W7",OR(F3127="causal",F3127="predictive")),IF(AND(OR(K3127=1,K3127="1"),OR(L3127=1,L3127="1"),OR(M3127=1,M3127="1")),"adequate","partial"),IF(AND(H3127="W4",F3127="predictive",OR(J3127="P2",J3127="P3",J3127="P4")),IF(OR(U3127=1,U3127="1"),"adequate","partial"),INDEX(Fit_Matrix!$B:$B,MATCH(P3127,Fit_Matrix!$A:$A,0)))),"CHECK KEY"))</f>
        <v/>
      </c>
      <c r="U3127" s="10" t="n"/>
      <c r="V3127" s="10" t="n"/>
      <c r="W3127" s="10" t="n"/>
      <c r="X3127" s="10" t="n"/>
      <c r="Y3127" s="10" t="n"/>
      <c r="Z3127" s="10" t="n"/>
      <c r="AA3127" s="11">
        <f>IF(A3127="","",IF(AND(J3127="P4",F3127="causal"),"P4-CAUSAL",""))</f>
        <v/>
      </c>
    </row>
    <row r="3128" ht="15" customHeight="1" s="1">
      <c r="P3128">
        <f>IF(OR(F3128="",H3128="",J3128=""),"",J3128&amp;"|"&amp;F3128&amp;"|"&amp;IF(H3128="W3","W3_"&amp;IF(I3128="","unknown",I3128),H3128))</f>
        <v/>
      </c>
      <c r="Q3128">
        <f>IF(P3128="","",IFERROR(IF(AND(H3128="W7",OR(F3128="causal",F3128="predictive")),IF(AND(OR(K3128=1,K3128="1"),OR(L3128=1,L3128="1"),OR(M3128=1,M3128="1")),"adequate","partial"),IF(AND(H3128="W4",F3128="predictive",OR(J3128="P2",J3128="P3",J3128="P4")),IF(OR(U3128=1,U3128="1"),"adequate","partial"),INDEX(Fit_Matrix!$B:$B,MATCH(P3128,Fit_Matrix!$A:$A,0)))),"CHECK KEY"))</f>
        <v/>
      </c>
      <c r="U3128" s="10" t="n"/>
      <c r="V3128" s="10" t="n"/>
      <c r="W3128" s="10" t="n"/>
      <c r="X3128" s="10" t="n"/>
      <c r="Y3128" s="10" t="n"/>
      <c r="Z3128" s="10" t="n"/>
      <c r="AA3128" s="11">
        <f>IF(A3128="","",IF(AND(J3128="P4",F3128="causal"),"P4-CAUSAL",""))</f>
        <v/>
      </c>
    </row>
    <row r="3129" ht="15" customHeight="1" s="1">
      <c r="P3129">
        <f>IF(OR(F3129="",H3129="",J3129=""),"",J3129&amp;"|"&amp;F3129&amp;"|"&amp;IF(H3129="W3","W3_"&amp;IF(I3129="","unknown",I3129),H3129))</f>
        <v/>
      </c>
      <c r="Q3129">
        <f>IF(P3129="","",IFERROR(IF(AND(H3129="W7",OR(F3129="causal",F3129="predictive")),IF(AND(OR(K3129=1,K3129="1"),OR(L3129=1,L3129="1"),OR(M3129=1,M3129="1")),"adequate","partial"),IF(AND(H3129="W4",F3129="predictive",OR(J3129="P2",J3129="P3",J3129="P4")),IF(OR(U3129=1,U3129="1"),"adequate","partial"),INDEX(Fit_Matrix!$B:$B,MATCH(P3129,Fit_Matrix!$A:$A,0)))),"CHECK KEY"))</f>
        <v/>
      </c>
      <c r="U3129" s="10" t="n"/>
      <c r="V3129" s="10" t="n"/>
      <c r="W3129" s="10" t="n"/>
      <c r="X3129" s="10" t="n"/>
      <c r="Y3129" s="10" t="n"/>
      <c r="Z3129" s="10" t="n"/>
      <c r="AA3129" s="11">
        <f>IF(A3129="","",IF(AND(J3129="P4",F3129="causal"),"P4-CAUSAL",""))</f>
        <v/>
      </c>
    </row>
    <row r="3130" ht="15" customHeight="1" s="1">
      <c r="P3130">
        <f>IF(OR(F3130="",H3130="",J3130=""),"",J3130&amp;"|"&amp;F3130&amp;"|"&amp;IF(H3130="W3","W3_"&amp;IF(I3130="","unknown",I3130),H3130))</f>
        <v/>
      </c>
      <c r="Q3130">
        <f>IF(P3130="","",IFERROR(IF(AND(H3130="W7",OR(F3130="causal",F3130="predictive")),IF(AND(OR(K3130=1,K3130="1"),OR(L3130=1,L3130="1"),OR(M3130=1,M3130="1")),"adequate","partial"),IF(AND(H3130="W4",F3130="predictive",OR(J3130="P2",J3130="P3",J3130="P4")),IF(OR(U3130=1,U3130="1"),"adequate","partial"),INDEX(Fit_Matrix!$B:$B,MATCH(P3130,Fit_Matrix!$A:$A,0)))),"CHECK KEY"))</f>
        <v/>
      </c>
      <c r="U3130" s="10" t="n"/>
      <c r="V3130" s="10" t="n"/>
      <c r="W3130" s="10" t="n"/>
      <c r="X3130" s="10" t="n"/>
      <c r="Y3130" s="10" t="n"/>
      <c r="Z3130" s="10" t="n"/>
      <c r="AA3130" s="11">
        <f>IF(A3130="","",IF(AND(J3130="P4",F3130="causal"),"P4-CAUSAL",""))</f>
        <v/>
      </c>
    </row>
    <row r="3131" ht="15" customHeight="1" s="1">
      <c r="P3131">
        <f>IF(OR(F3131="",H3131="",J3131=""),"",J3131&amp;"|"&amp;F3131&amp;"|"&amp;IF(H3131="W3","W3_"&amp;IF(I3131="","unknown",I3131),H3131))</f>
        <v/>
      </c>
      <c r="Q3131">
        <f>IF(P3131="","",IFERROR(IF(AND(H3131="W7",OR(F3131="causal",F3131="predictive")),IF(AND(OR(K3131=1,K3131="1"),OR(L3131=1,L3131="1"),OR(M3131=1,M3131="1")),"adequate","partial"),IF(AND(H3131="W4",F3131="predictive",OR(J3131="P2",J3131="P3",J3131="P4")),IF(OR(U3131=1,U3131="1"),"adequate","partial"),INDEX(Fit_Matrix!$B:$B,MATCH(P3131,Fit_Matrix!$A:$A,0)))),"CHECK KEY"))</f>
        <v/>
      </c>
      <c r="U3131" s="10" t="n"/>
      <c r="V3131" s="10" t="n"/>
      <c r="W3131" s="10" t="n"/>
      <c r="X3131" s="10" t="n"/>
      <c r="Y3131" s="10" t="n"/>
      <c r="Z3131" s="10" t="n"/>
      <c r="AA3131" s="11">
        <f>IF(A3131="","",IF(AND(J3131="P4",F3131="causal"),"P4-CAUSAL",""))</f>
        <v/>
      </c>
    </row>
    <row r="3132" ht="15" customHeight="1" s="1">
      <c r="P3132">
        <f>IF(OR(F3132="",H3132="",J3132=""),"",J3132&amp;"|"&amp;F3132&amp;"|"&amp;IF(H3132="W3","W3_"&amp;IF(I3132="","unknown",I3132),H3132))</f>
        <v/>
      </c>
      <c r="Q3132">
        <f>IF(P3132="","",IFERROR(IF(AND(H3132="W7",OR(F3132="causal",F3132="predictive")),IF(AND(OR(K3132=1,K3132="1"),OR(L3132=1,L3132="1"),OR(M3132=1,M3132="1")),"adequate","partial"),IF(AND(H3132="W4",F3132="predictive",OR(J3132="P2",J3132="P3",J3132="P4")),IF(OR(U3132=1,U3132="1"),"adequate","partial"),INDEX(Fit_Matrix!$B:$B,MATCH(P3132,Fit_Matrix!$A:$A,0)))),"CHECK KEY"))</f>
        <v/>
      </c>
      <c r="U3132" s="10" t="n"/>
      <c r="V3132" s="10" t="n"/>
      <c r="W3132" s="10" t="n"/>
      <c r="X3132" s="10" t="n"/>
      <c r="Y3132" s="10" t="n"/>
      <c r="Z3132" s="10" t="n"/>
      <c r="AA3132" s="11">
        <f>IF(A3132="","",IF(AND(J3132="P4",F3132="causal"),"P4-CAUSAL",""))</f>
        <v/>
      </c>
    </row>
    <row r="3133" ht="15" customHeight="1" s="1">
      <c r="P3133">
        <f>IF(OR(F3133="",H3133="",J3133=""),"",J3133&amp;"|"&amp;F3133&amp;"|"&amp;IF(H3133="W3","W3_"&amp;IF(I3133="","unknown",I3133),H3133))</f>
        <v/>
      </c>
      <c r="Q3133">
        <f>IF(P3133="","",IFERROR(IF(AND(H3133="W7",OR(F3133="causal",F3133="predictive")),IF(AND(OR(K3133=1,K3133="1"),OR(L3133=1,L3133="1"),OR(M3133=1,M3133="1")),"adequate","partial"),IF(AND(H3133="W4",F3133="predictive",OR(J3133="P2",J3133="P3",J3133="P4")),IF(OR(U3133=1,U3133="1"),"adequate","partial"),INDEX(Fit_Matrix!$B:$B,MATCH(P3133,Fit_Matrix!$A:$A,0)))),"CHECK KEY"))</f>
        <v/>
      </c>
      <c r="U3133" s="10" t="n"/>
      <c r="V3133" s="10" t="n"/>
      <c r="W3133" s="10" t="n"/>
      <c r="X3133" s="10" t="n"/>
      <c r="Y3133" s="10" t="n"/>
      <c r="Z3133" s="10" t="n"/>
      <c r="AA3133" s="11">
        <f>IF(A3133="","",IF(AND(J3133="P4",F3133="causal"),"P4-CAUSAL",""))</f>
        <v/>
      </c>
    </row>
    <row r="3134" ht="15" customHeight="1" s="1">
      <c r="P3134">
        <f>IF(OR(F3134="",H3134="",J3134=""),"",J3134&amp;"|"&amp;F3134&amp;"|"&amp;IF(H3134="W3","W3_"&amp;IF(I3134="","unknown",I3134),H3134))</f>
        <v/>
      </c>
      <c r="Q3134">
        <f>IF(P3134="","",IFERROR(IF(AND(H3134="W7",OR(F3134="causal",F3134="predictive")),IF(AND(OR(K3134=1,K3134="1"),OR(L3134=1,L3134="1"),OR(M3134=1,M3134="1")),"adequate","partial"),IF(AND(H3134="W4",F3134="predictive",OR(J3134="P2",J3134="P3",J3134="P4")),IF(OR(U3134=1,U3134="1"),"adequate","partial"),INDEX(Fit_Matrix!$B:$B,MATCH(P3134,Fit_Matrix!$A:$A,0)))),"CHECK KEY"))</f>
        <v/>
      </c>
      <c r="U3134" s="10" t="n"/>
      <c r="V3134" s="10" t="n"/>
      <c r="W3134" s="10" t="n"/>
      <c r="X3134" s="10" t="n"/>
      <c r="Y3134" s="10" t="n"/>
      <c r="Z3134" s="10" t="n"/>
      <c r="AA3134" s="11">
        <f>IF(A3134="","",IF(AND(J3134="P4",F3134="causal"),"P4-CAUSAL",""))</f>
        <v/>
      </c>
    </row>
    <row r="3135" ht="15" customHeight="1" s="1">
      <c r="P3135">
        <f>IF(OR(F3135="",H3135="",J3135=""),"",J3135&amp;"|"&amp;F3135&amp;"|"&amp;IF(H3135="W3","W3_"&amp;IF(I3135="","unknown",I3135),H3135))</f>
        <v/>
      </c>
      <c r="Q3135">
        <f>IF(P3135="","",IFERROR(IF(AND(H3135="W7",OR(F3135="causal",F3135="predictive")),IF(AND(OR(K3135=1,K3135="1"),OR(L3135=1,L3135="1"),OR(M3135=1,M3135="1")),"adequate","partial"),IF(AND(H3135="W4",F3135="predictive",OR(J3135="P2",J3135="P3",J3135="P4")),IF(OR(U3135=1,U3135="1"),"adequate","partial"),INDEX(Fit_Matrix!$B:$B,MATCH(P3135,Fit_Matrix!$A:$A,0)))),"CHECK KEY"))</f>
        <v/>
      </c>
      <c r="U3135" s="10" t="n"/>
      <c r="V3135" s="10" t="n"/>
      <c r="W3135" s="10" t="n"/>
      <c r="X3135" s="10" t="n"/>
      <c r="Y3135" s="10" t="n"/>
      <c r="Z3135" s="10" t="n"/>
      <c r="AA3135" s="11">
        <f>IF(A3135="","",IF(AND(J3135="P4",F3135="causal"),"P4-CAUSAL",""))</f>
        <v/>
      </c>
    </row>
    <row r="3136" ht="15" customHeight="1" s="1">
      <c r="P3136">
        <f>IF(OR(F3136="",H3136="",J3136=""),"",J3136&amp;"|"&amp;F3136&amp;"|"&amp;IF(H3136="W3","W3_"&amp;IF(I3136="","unknown",I3136),H3136))</f>
        <v/>
      </c>
      <c r="Q3136">
        <f>IF(P3136="","",IFERROR(IF(AND(H3136="W7",OR(F3136="causal",F3136="predictive")),IF(AND(OR(K3136=1,K3136="1"),OR(L3136=1,L3136="1"),OR(M3136=1,M3136="1")),"adequate","partial"),IF(AND(H3136="W4",F3136="predictive",OR(J3136="P2",J3136="P3",J3136="P4")),IF(OR(U3136=1,U3136="1"),"adequate","partial"),INDEX(Fit_Matrix!$B:$B,MATCH(P3136,Fit_Matrix!$A:$A,0)))),"CHECK KEY"))</f>
        <v/>
      </c>
      <c r="U3136" s="10" t="n"/>
      <c r="V3136" s="10" t="n"/>
      <c r="W3136" s="10" t="n"/>
      <c r="X3136" s="10" t="n"/>
      <c r="Y3136" s="10" t="n"/>
      <c r="Z3136" s="10" t="n"/>
      <c r="AA3136" s="11">
        <f>IF(A3136="","",IF(AND(J3136="P4",F3136="causal"),"P4-CAUSAL",""))</f>
        <v/>
      </c>
    </row>
    <row r="3137" ht="15" customHeight="1" s="1">
      <c r="P3137">
        <f>IF(OR(F3137="",H3137="",J3137=""),"",J3137&amp;"|"&amp;F3137&amp;"|"&amp;IF(H3137="W3","W3_"&amp;IF(I3137="","unknown",I3137),H3137))</f>
        <v/>
      </c>
      <c r="Q3137">
        <f>IF(P3137="","",IFERROR(IF(AND(H3137="W7",OR(F3137="causal",F3137="predictive")),IF(AND(OR(K3137=1,K3137="1"),OR(L3137=1,L3137="1"),OR(M3137=1,M3137="1")),"adequate","partial"),IF(AND(H3137="W4",F3137="predictive",OR(J3137="P2",J3137="P3",J3137="P4")),IF(OR(U3137=1,U3137="1"),"adequate","partial"),INDEX(Fit_Matrix!$B:$B,MATCH(P3137,Fit_Matrix!$A:$A,0)))),"CHECK KEY"))</f>
        <v/>
      </c>
      <c r="U3137" s="10" t="n"/>
      <c r="V3137" s="10" t="n"/>
      <c r="W3137" s="10" t="n"/>
      <c r="X3137" s="10" t="n"/>
      <c r="Y3137" s="10" t="n"/>
      <c r="Z3137" s="10" t="n"/>
      <c r="AA3137" s="11">
        <f>IF(A3137="","",IF(AND(J3137="P4",F3137="causal"),"P4-CAUSAL",""))</f>
        <v/>
      </c>
    </row>
    <row r="3138" ht="15" customHeight="1" s="1">
      <c r="P3138">
        <f>IF(OR(F3138="",H3138="",J3138=""),"",J3138&amp;"|"&amp;F3138&amp;"|"&amp;IF(H3138="W3","W3_"&amp;IF(I3138="","unknown",I3138),H3138))</f>
        <v/>
      </c>
      <c r="Q3138">
        <f>IF(P3138="","",IFERROR(IF(AND(H3138="W7",OR(F3138="causal",F3138="predictive")),IF(AND(OR(K3138=1,K3138="1"),OR(L3138=1,L3138="1"),OR(M3138=1,M3138="1")),"adequate","partial"),IF(AND(H3138="W4",F3138="predictive",OR(J3138="P2",J3138="P3",J3138="P4")),IF(OR(U3138=1,U3138="1"),"adequate","partial"),INDEX(Fit_Matrix!$B:$B,MATCH(P3138,Fit_Matrix!$A:$A,0)))),"CHECK KEY"))</f>
        <v/>
      </c>
      <c r="U3138" s="10" t="n"/>
      <c r="V3138" s="10" t="n"/>
      <c r="W3138" s="10" t="n"/>
      <c r="X3138" s="10" t="n"/>
      <c r="Y3138" s="10" t="n"/>
      <c r="Z3138" s="10" t="n"/>
      <c r="AA3138" s="11">
        <f>IF(A3138="","",IF(AND(J3138="P4",F3138="causal"),"P4-CAUSAL",""))</f>
        <v/>
      </c>
    </row>
    <row r="3139" ht="15" customHeight="1" s="1">
      <c r="P3139">
        <f>IF(OR(F3139="",H3139="",J3139=""),"",J3139&amp;"|"&amp;F3139&amp;"|"&amp;IF(H3139="W3","W3_"&amp;IF(I3139="","unknown",I3139),H3139))</f>
        <v/>
      </c>
      <c r="Q3139">
        <f>IF(P3139="","",IFERROR(IF(AND(H3139="W7",OR(F3139="causal",F3139="predictive")),IF(AND(OR(K3139=1,K3139="1"),OR(L3139=1,L3139="1"),OR(M3139=1,M3139="1")),"adequate","partial"),IF(AND(H3139="W4",F3139="predictive",OR(J3139="P2",J3139="P3",J3139="P4")),IF(OR(U3139=1,U3139="1"),"adequate","partial"),INDEX(Fit_Matrix!$B:$B,MATCH(P3139,Fit_Matrix!$A:$A,0)))),"CHECK KEY"))</f>
        <v/>
      </c>
      <c r="U3139" s="10" t="n"/>
      <c r="V3139" s="10" t="n"/>
      <c r="W3139" s="10" t="n"/>
      <c r="X3139" s="10" t="n"/>
      <c r="Y3139" s="10" t="n"/>
      <c r="Z3139" s="10" t="n"/>
      <c r="AA3139" s="11">
        <f>IF(A3139="","",IF(AND(J3139="P4",F3139="causal"),"P4-CAUSAL",""))</f>
        <v/>
      </c>
    </row>
    <row r="3140" ht="15" customHeight="1" s="1">
      <c r="P3140">
        <f>IF(OR(F3140="",H3140="",J3140=""),"",J3140&amp;"|"&amp;F3140&amp;"|"&amp;IF(H3140="W3","W3_"&amp;IF(I3140="","unknown",I3140),H3140))</f>
        <v/>
      </c>
      <c r="Q3140">
        <f>IF(P3140="","",IFERROR(IF(AND(H3140="W7",OR(F3140="causal",F3140="predictive")),IF(AND(OR(K3140=1,K3140="1"),OR(L3140=1,L3140="1"),OR(M3140=1,M3140="1")),"adequate","partial"),IF(AND(H3140="W4",F3140="predictive",OR(J3140="P2",J3140="P3",J3140="P4")),IF(OR(U3140=1,U3140="1"),"adequate","partial"),INDEX(Fit_Matrix!$B:$B,MATCH(P3140,Fit_Matrix!$A:$A,0)))),"CHECK KEY"))</f>
        <v/>
      </c>
      <c r="U3140" s="10" t="n"/>
      <c r="V3140" s="10" t="n"/>
      <c r="W3140" s="10" t="n"/>
      <c r="X3140" s="10" t="n"/>
      <c r="Y3140" s="10" t="n"/>
      <c r="Z3140" s="10" t="n"/>
      <c r="AA3140" s="11">
        <f>IF(A3140="","",IF(AND(J3140="P4",F3140="causal"),"P4-CAUSAL",""))</f>
        <v/>
      </c>
    </row>
    <row r="3141" ht="15" customHeight="1" s="1">
      <c r="P3141">
        <f>IF(OR(F3141="",H3141="",J3141=""),"",J3141&amp;"|"&amp;F3141&amp;"|"&amp;IF(H3141="W3","W3_"&amp;IF(I3141="","unknown",I3141),H3141))</f>
        <v/>
      </c>
      <c r="Q3141">
        <f>IF(P3141="","",IFERROR(IF(AND(H3141="W7",OR(F3141="causal",F3141="predictive")),IF(AND(OR(K3141=1,K3141="1"),OR(L3141=1,L3141="1"),OR(M3141=1,M3141="1")),"adequate","partial"),IF(AND(H3141="W4",F3141="predictive",OR(J3141="P2",J3141="P3",J3141="P4")),IF(OR(U3141=1,U3141="1"),"adequate","partial"),INDEX(Fit_Matrix!$B:$B,MATCH(P3141,Fit_Matrix!$A:$A,0)))),"CHECK KEY"))</f>
        <v/>
      </c>
      <c r="U3141" s="10" t="n"/>
      <c r="V3141" s="10" t="n"/>
      <c r="W3141" s="10" t="n"/>
      <c r="X3141" s="10" t="n"/>
      <c r="Y3141" s="10" t="n"/>
      <c r="Z3141" s="10" t="n"/>
      <c r="AA3141" s="11">
        <f>IF(A3141="","",IF(AND(J3141="P4",F3141="causal"),"P4-CAUSAL",""))</f>
        <v/>
      </c>
    </row>
    <row r="3142" ht="15" customHeight="1" s="1">
      <c r="P3142">
        <f>IF(OR(F3142="",H3142="",J3142=""),"",J3142&amp;"|"&amp;F3142&amp;"|"&amp;IF(H3142="W3","W3_"&amp;IF(I3142="","unknown",I3142),H3142))</f>
        <v/>
      </c>
      <c r="Q3142">
        <f>IF(P3142="","",IFERROR(IF(AND(H3142="W7",OR(F3142="causal",F3142="predictive")),IF(AND(OR(K3142=1,K3142="1"),OR(L3142=1,L3142="1"),OR(M3142=1,M3142="1")),"adequate","partial"),IF(AND(H3142="W4",F3142="predictive",OR(J3142="P2",J3142="P3",J3142="P4")),IF(OR(U3142=1,U3142="1"),"adequate","partial"),INDEX(Fit_Matrix!$B:$B,MATCH(P3142,Fit_Matrix!$A:$A,0)))),"CHECK KEY"))</f>
        <v/>
      </c>
      <c r="U3142" s="10" t="n"/>
      <c r="V3142" s="10" t="n"/>
      <c r="W3142" s="10" t="n"/>
      <c r="X3142" s="10" t="n"/>
      <c r="Y3142" s="10" t="n"/>
      <c r="Z3142" s="10" t="n"/>
      <c r="AA3142" s="11">
        <f>IF(A3142="","",IF(AND(J3142="P4",F3142="causal"),"P4-CAUSAL",""))</f>
        <v/>
      </c>
    </row>
    <row r="3143" ht="15" customHeight="1" s="1">
      <c r="P3143">
        <f>IF(OR(F3143="",H3143="",J3143=""),"",J3143&amp;"|"&amp;F3143&amp;"|"&amp;IF(H3143="W3","W3_"&amp;IF(I3143="","unknown",I3143),H3143))</f>
        <v/>
      </c>
      <c r="Q3143">
        <f>IF(P3143="","",IFERROR(IF(AND(H3143="W7",OR(F3143="causal",F3143="predictive")),IF(AND(OR(K3143=1,K3143="1"),OR(L3143=1,L3143="1"),OR(M3143=1,M3143="1")),"adequate","partial"),IF(AND(H3143="W4",F3143="predictive",OR(J3143="P2",J3143="P3",J3143="P4")),IF(OR(U3143=1,U3143="1"),"adequate","partial"),INDEX(Fit_Matrix!$B:$B,MATCH(P3143,Fit_Matrix!$A:$A,0)))),"CHECK KEY"))</f>
        <v/>
      </c>
      <c r="U3143" s="10" t="n"/>
      <c r="V3143" s="10" t="n"/>
      <c r="W3143" s="10" t="n"/>
      <c r="X3143" s="10" t="n"/>
      <c r="Y3143" s="10" t="n"/>
      <c r="Z3143" s="10" t="n"/>
      <c r="AA3143" s="11">
        <f>IF(A3143="","",IF(AND(J3143="P4",F3143="causal"),"P4-CAUSAL",""))</f>
        <v/>
      </c>
    </row>
    <row r="3144" ht="15" customHeight="1" s="1">
      <c r="P3144">
        <f>IF(OR(F3144="",H3144="",J3144=""),"",J3144&amp;"|"&amp;F3144&amp;"|"&amp;IF(H3144="W3","W3_"&amp;IF(I3144="","unknown",I3144),H3144))</f>
        <v/>
      </c>
      <c r="Q3144">
        <f>IF(P3144="","",IFERROR(IF(AND(H3144="W7",OR(F3144="causal",F3144="predictive")),IF(AND(OR(K3144=1,K3144="1"),OR(L3144=1,L3144="1"),OR(M3144=1,M3144="1")),"adequate","partial"),IF(AND(H3144="W4",F3144="predictive",OR(J3144="P2",J3144="P3",J3144="P4")),IF(OR(U3144=1,U3144="1"),"adequate","partial"),INDEX(Fit_Matrix!$B:$B,MATCH(P3144,Fit_Matrix!$A:$A,0)))),"CHECK KEY"))</f>
        <v/>
      </c>
      <c r="U3144" s="10" t="n"/>
      <c r="V3144" s="10" t="n"/>
      <c r="W3144" s="10" t="n"/>
      <c r="X3144" s="10" t="n"/>
      <c r="Y3144" s="10" t="n"/>
      <c r="Z3144" s="10" t="n"/>
      <c r="AA3144" s="11">
        <f>IF(A3144="","",IF(AND(J3144="P4",F3144="causal"),"P4-CAUSAL",""))</f>
        <v/>
      </c>
    </row>
    <row r="3145" ht="15" customHeight="1" s="1">
      <c r="P3145">
        <f>IF(OR(F3145="",H3145="",J3145=""),"",J3145&amp;"|"&amp;F3145&amp;"|"&amp;IF(H3145="W3","W3_"&amp;IF(I3145="","unknown",I3145),H3145))</f>
        <v/>
      </c>
      <c r="Q3145">
        <f>IF(P3145="","",IFERROR(IF(AND(H3145="W7",OR(F3145="causal",F3145="predictive")),IF(AND(OR(K3145=1,K3145="1"),OR(L3145=1,L3145="1"),OR(M3145=1,M3145="1")),"adequate","partial"),IF(AND(H3145="W4",F3145="predictive",OR(J3145="P2",J3145="P3",J3145="P4")),IF(OR(U3145=1,U3145="1"),"adequate","partial"),INDEX(Fit_Matrix!$B:$B,MATCH(P3145,Fit_Matrix!$A:$A,0)))),"CHECK KEY"))</f>
        <v/>
      </c>
      <c r="U3145" s="10" t="n"/>
      <c r="V3145" s="10" t="n"/>
      <c r="W3145" s="10" t="n"/>
      <c r="X3145" s="10" t="n"/>
      <c r="Y3145" s="10" t="n"/>
      <c r="Z3145" s="10" t="n"/>
      <c r="AA3145" s="11">
        <f>IF(A3145="","",IF(AND(J3145="P4",F3145="causal"),"P4-CAUSAL",""))</f>
        <v/>
      </c>
    </row>
    <row r="3146" ht="15" customHeight="1" s="1">
      <c r="P3146">
        <f>IF(OR(F3146="",H3146="",J3146=""),"",J3146&amp;"|"&amp;F3146&amp;"|"&amp;IF(H3146="W3","W3_"&amp;IF(I3146="","unknown",I3146),H3146))</f>
        <v/>
      </c>
      <c r="Q3146">
        <f>IF(P3146="","",IFERROR(IF(AND(H3146="W7",OR(F3146="causal",F3146="predictive")),IF(AND(OR(K3146=1,K3146="1"),OR(L3146=1,L3146="1"),OR(M3146=1,M3146="1")),"adequate","partial"),IF(AND(H3146="W4",F3146="predictive",OR(J3146="P2",J3146="P3",J3146="P4")),IF(OR(U3146=1,U3146="1"),"adequate","partial"),INDEX(Fit_Matrix!$B:$B,MATCH(P3146,Fit_Matrix!$A:$A,0)))),"CHECK KEY"))</f>
        <v/>
      </c>
      <c r="U3146" s="10" t="n"/>
      <c r="V3146" s="10" t="n"/>
      <c r="W3146" s="10" t="n"/>
      <c r="X3146" s="10" t="n"/>
      <c r="Y3146" s="10" t="n"/>
      <c r="Z3146" s="10" t="n"/>
      <c r="AA3146" s="11">
        <f>IF(A3146="","",IF(AND(J3146="P4",F3146="causal"),"P4-CAUSAL",""))</f>
        <v/>
      </c>
    </row>
    <row r="3147" ht="15" customHeight="1" s="1">
      <c r="P3147">
        <f>IF(OR(F3147="",H3147="",J3147=""),"",J3147&amp;"|"&amp;F3147&amp;"|"&amp;IF(H3147="W3","W3_"&amp;IF(I3147="","unknown",I3147),H3147))</f>
        <v/>
      </c>
      <c r="Q3147">
        <f>IF(P3147="","",IFERROR(IF(AND(H3147="W7",OR(F3147="causal",F3147="predictive")),IF(AND(OR(K3147=1,K3147="1"),OR(L3147=1,L3147="1"),OR(M3147=1,M3147="1")),"adequate","partial"),IF(AND(H3147="W4",F3147="predictive",OR(J3147="P2",J3147="P3",J3147="P4")),IF(OR(U3147=1,U3147="1"),"adequate","partial"),INDEX(Fit_Matrix!$B:$B,MATCH(P3147,Fit_Matrix!$A:$A,0)))),"CHECK KEY"))</f>
        <v/>
      </c>
      <c r="U3147" s="10" t="n"/>
      <c r="V3147" s="10" t="n"/>
      <c r="W3147" s="10" t="n"/>
      <c r="X3147" s="10" t="n"/>
      <c r="Y3147" s="10" t="n"/>
      <c r="Z3147" s="10" t="n"/>
      <c r="AA3147" s="11">
        <f>IF(A3147="","",IF(AND(J3147="P4",F3147="causal"),"P4-CAUSAL",""))</f>
        <v/>
      </c>
    </row>
    <row r="3148" ht="15" customHeight="1" s="1">
      <c r="P3148">
        <f>IF(OR(F3148="",H3148="",J3148=""),"",J3148&amp;"|"&amp;F3148&amp;"|"&amp;IF(H3148="W3","W3_"&amp;IF(I3148="","unknown",I3148),H3148))</f>
        <v/>
      </c>
      <c r="Q3148">
        <f>IF(P3148="","",IFERROR(IF(AND(H3148="W7",OR(F3148="causal",F3148="predictive")),IF(AND(OR(K3148=1,K3148="1"),OR(L3148=1,L3148="1"),OR(M3148=1,M3148="1")),"adequate","partial"),IF(AND(H3148="W4",F3148="predictive",OR(J3148="P2",J3148="P3",J3148="P4")),IF(OR(U3148=1,U3148="1"),"adequate","partial"),INDEX(Fit_Matrix!$B:$B,MATCH(P3148,Fit_Matrix!$A:$A,0)))),"CHECK KEY"))</f>
        <v/>
      </c>
      <c r="U3148" s="10" t="n"/>
      <c r="V3148" s="10" t="n"/>
      <c r="W3148" s="10" t="n"/>
      <c r="X3148" s="10" t="n"/>
      <c r="Y3148" s="10" t="n"/>
      <c r="Z3148" s="10" t="n"/>
      <c r="AA3148" s="11">
        <f>IF(A3148="","",IF(AND(J3148="P4",F3148="causal"),"P4-CAUSAL",""))</f>
        <v/>
      </c>
    </row>
    <row r="3149" ht="15" customHeight="1" s="1">
      <c r="P3149">
        <f>IF(OR(F3149="",H3149="",J3149=""),"",J3149&amp;"|"&amp;F3149&amp;"|"&amp;IF(H3149="W3","W3_"&amp;IF(I3149="","unknown",I3149),H3149))</f>
        <v/>
      </c>
      <c r="Q3149">
        <f>IF(P3149="","",IFERROR(IF(AND(H3149="W7",OR(F3149="causal",F3149="predictive")),IF(AND(OR(K3149=1,K3149="1"),OR(L3149=1,L3149="1"),OR(M3149=1,M3149="1")),"adequate","partial"),IF(AND(H3149="W4",F3149="predictive",OR(J3149="P2",J3149="P3",J3149="P4")),IF(OR(U3149=1,U3149="1"),"adequate","partial"),INDEX(Fit_Matrix!$B:$B,MATCH(P3149,Fit_Matrix!$A:$A,0)))),"CHECK KEY"))</f>
        <v/>
      </c>
      <c r="U3149" s="10" t="n"/>
      <c r="V3149" s="10" t="n"/>
      <c r="W3149" s="10" t="n"/>
      <c r="X3149" s="10" t="n"/>
      <c r="Y3149" s="10" t="n"/>
      <c r="Z3149" s="10" t="n"/>
      <c r="AA3149" s="11">
        <f>IF(A3149="","",IF(AND(J3149="P4",F3149="causal"),"P4-CAUSAL",""))</f>
        <v/>
      </c>
    </row>
    <row r="3150" ht="15" customHeight="1" s="1">
      <c r="P3150">
        <f>IF(OR(F3150="",H3150="",J3150=""),"",J3150&amp;"|"&amp;F3150&amp;"|"&amp;IF(H3150="W3","W3_"&amp;IF(I3150="","unknown",I3150),H3150))</f>
        <v/>
      </c>
      <c r="Q3150">
        <f>IF(P3150="","",IFERROR(IF(AND(H3150="W7",OR(F3150="causal",F3150="predictive")),IF(AND(OR(K3150=1,K3150="1"),OR(L3150=1,L3150="1"),OR(M3150=1,M3150="1")),"adequate","partial"),IF(AND(H3150="W4",F3150="predictive",OR(J3150="P2",J3150="P3",J3150="P4")),IF(OR(U3150=1,U3150="1"),"adequate","partial"),INDEX(Fit_Matrix!$B:$B,MATCH(P3150,Fit_Matrix!$A:$A,0)))),"CHECK KEY"))</f>
        <v/>
      </c>
      <c r="U3150" s="10" t="n"/>
      <c r="V3150" s="10" t="n"/>
      <c r="W3150" s="10" t="n"/>
      <c r="X3150" s="10" t="n"/>
      <c r="Y3150" s="10" t="n"/>
      <c r="Z3150" s="10" t="n"/>
      <c r="AA3150" s="11">
        <f>IF(A3150="","",IF(AND(J3150="P4",F3150="causal"),"P4-CAUSAL",""))</f>
        <v/>
      </c>
    </row>
    <row r="3151" ht="15" customHeight="1" s="1">
      <c r="P3151">
        <f>IF(OR(F3151="",H3151="",J3151=""),"",J3151&amp;"|"&amp;F3151&amp;"|"&amp;IF(H3151="W3","W3_"&amp;IF(I3151="","unknown",I3151),H3151))</f>
        <v/>
      </c>
      <c r="Q3151">
        <f>IF(P3151="","",IFERROR(IF(AND(H3151="W7",OR(F3151="causal",F3151="predictive")),IF(AND(OR(K3151=1,K3151="1"),OR(L3151=1,L3151="1"),OR(M3151=1,M3151="1")),"adequate","partial"),IF(AND(H3151="W4",F3151="predictive",OR(J3151="P2",J3151="P3",J3151="P4")),IF(OR(U3151=1,U3151="1"),"adequate","partial"),INDEX(Fit_Matrix!$B:$B,MATCH(P3151,Fit_Matrix!$A:$A,0)))),"CHECK KEY"))</f>
        <v/>
      </c>
      <c r="U3151" s="10" t="n"/>
      <c r="V3151" s="10" t="n"/>
      <c r="W3151" s="10" t="n"/>
      <c r="X3151" s="10" t="n"/>
      <c r="Y3151" s="10" t="n"/>
      <c r="Z3151" s="10" t="n"/>
      <c r="AA3151" s="11">
        <f>IF(A3151="","",IF(AND(J3151="P4",F3151="causal"),"P4-CAUSAL",""))</f>
        <v/>
      </c>
    </row>
    <row r="3152" ht="15" customHeight="1" s="1">
      <c r="P3152">
        <f>IF(OR(F3152="",H3152="",J3152=""),"",J3152&amp;"|"&amp;F3152&amp;"|"&amp;IF(H3152="W3","W3_"&amp;IF(I3152="","unknown",I3152),H3152))</f>
        <v/>
      </c>
      <c r="Q3152">
        <f>IF(P3152="","",IFERROR(IF(AND(H3152="W7",OR(F3152="causal",F3152="predictive")),IF(AND(OR(K3152=1,K3152="1"),OR(L3152=1,L3152="1"),OR(M3152=1,M3152="1")),"adequate","partial"),IF(AND(H3152="W4",F3152="predictive",OR(J3152="P2",J3152="P3",J3152="P4")),IF(OR(U3152=1,U3152="1"),"adequate","partial"),INDEX(Fit_Matrix!$B:$B,MATCH(P3152,Fit_Matrix!$A:$A,0)))),"CHECK KEY"))</f>
        <v/>
      </c>
      <c r="U3152" s="10" t="n"/>
      <c r="V3152" s="10" t="n"/>
      <c r="W3152" s="10" t="n"/>
      <c r="X3152" s="10" t="n"/>
      <c r="Y3152" s="10" t="n"/>
      <c r="Z3152" s="10" t="n"/>
      <c r="AA3152" s="11">
        <f>IF(A3152="","",IF(AND(J3152="P4",F3152="causal"),"P4-CAUSAL",""))</f>
        <v/>
      </c>
    </row>
    <row r="3153" ht="15" customHeight="1" s="1">
      <c r="P3153">
        <f>IF(OR(F3153="",H3153="",J3153=""),"",J3153&amp;"|"&amp;F3153&amp;"|"&amp;IF(H3153="W3","W3_"&amp;IF(I3153="","unknown",I3153),H3153))</f>
        <v/>
      </c>
      <c r="Q3153">
        <f>IF(P3153="","",IFERROR(IF(AND(H3153="W7",OR(F3153="causal",F3153="predictive")),IF(AND(OR(K3153=1,K3153="1"),OR(L3153=1,L3153="1"),OR(M3153=1,M3153="1")),"adequate","partial"),IF(AND(H3153="W4",F3153="predictive",OR(J3153="P2",J3153="P3",J3153="P4")),IF(OR(U3153=1,U3153="1"),"adequate","partial"),INDEX(Fit_Matrix!$B:$B,MATCH(P3153,Fit_Matrix!$A:$A,0)))),"CHECK KEY"))</f>
        <v/>
      </c>
      <c r="U3153" s="10" t="n"/>
      <c r="V3153" s="10" t="n"/>
      <c r="W3153" s="10" t="n"/>
      <c r="X3153" s="10" t="n"/>
      <c r="Y3153" s="10" t="n"/>
      <c r="Z3153" s="10" t="n"/>
      <c r="AA3153" s="11">
        <f>IF(A3153="","",IF(AND(J3153="P4",F3153="causal"),"P4-CAUSAL",""))</f>
        <v/>
      </c>
    </row>
    <row r="3154" ht="15" customHeight="1" s="1">
      <c r="P3154">
        <f>IF(OR(F3154="",H3154="",J3154=""),"",J3154&amp;"|"&amp;F3154&amp;"|"&amp;IF(H3154="W3","W3_"&amp;IF(I3154="","unknown",I3154),H3154))</f>
        <v/>
      </c>
      <c r="Q3154">
        <f>IF(P3154="","",IFERROR(IF(AND(H3154="W7",OR(F3154="causal",F3154="predictive")),IF(AND(OR(K3154=1,K3154="1"),OR(L3154=1,L3154="1"),OR(M3154=1,M3154="1")),"adequate","partial"),IF(AND(H3154="W4",F3154="predictive",OR(J3154="P2",J3154="P3",J3154="P4")),IF(OR(U3154=1,U3154="1"),"adequate","partial"),INDEX(Fit_Matrix!$B:$B,MATCH(P3154,Fit_Matrix!$A:$A,0)))),"CHECK KEY"))</f>
        <v/>
      </c>
      <c r="U3154" s="10" t="n"/>
      <c r="V3154" s="10" t="n"/>
      <c r="W3154" s="10" t="n"/>
      <c r="X3154" s="10" t="n"/>
      <c r="Y3154" s="10" t="n"/>
      <c r="Z3154" s="10" t="n"/>
      <c r="AA3154" s="11">
        <f>IF(A3154="","",IF(AND(J3154="P4",F3154="causal"),"P4-CAUSAL",""))</f>
        <v/>
      </c>
    </row>
    <row r="3155" ht="15" customHeight="1" s="1">
      <c r="P3155">
        <f>IF(OR(F3155="",H3155="",J3155=""),"",J3155&amp;"|"&amp;F3155&amp;"|"&amp;IF(H3155="W3","W3_"&amp;IF(I3155="","unknown",I3155),H3155))</f>
        <v/>
      </c>
      <c r="Q3155">
        <f>IF(P3155="","",IFERROR(IF(AND(H3155="W7",OR(F3155="causal",F3155="predictive")),IF(AND(OR(K3155=1,K3155="1"),OR(L3155=1,L3155="1"),OR(M3155=1,M3155="1")),"adequate","partial"),IF(AND(H3155="W4",F3155="predictive",OR(J3155="P2",J3155="P3",J3155="P4")),IF(OR(U3155=1,U3155="1"),"adequate","partial"),INDEX(Fit_Matrix!$B:$B,MATCH(P3155,Fit_Matrix!$A:$A,0)))),"CHECK KEY"))</f>
        <v/>
      </c>
      <c r="U3155" s="10" t="n"/>
      <c r="V3155" s="10" t="n"/>
      <c r="W3155" s="10" t="n"/>
      <c r="X3155" s="10" t="n"/>
      <c r="Y3155" s="10" t="n"/>
      <c r="Z3155" s="10" t="n"/>
      <c r="AA3155" s="11">
        <f>IF(A3155="","",IF(AND(J3155="P4",F3155="causal"),"P4-CAUSAL",""))</f>
        <v/>
      </c>
    </row>
    <row r="3156" ht="15" customHeight="1" s="1">
      <c r="P3156">
        <f>IF(OR(F3156="",H3156="",J3156=""),"",J3156&amp;"|"&amp;F3156&amp;"|"&amp;IF(H3156="W3","W3_"&amp;IF(I3156="","unknown",I3156),H3156))</f>
        <v/>
      </c>
      <c r="Q3156">
        <f>IF(P3156="","",IFERROR(IF(AND(H3156="W7",OR(F3156="causal",F3156="predictive")),IF(AND(OR(K3156=1,K3156="1"),OR(L3156=1,L3156="1"),OR(M3156=1,M3156="1")),"adequate","partial"),IF(AND(H3156="W4",F3156="predictive",OR(J3156="P2",J3156="P3",J3156="P4")),IF(OR(U3156=1,U3156="1"),"adequate","partial"),INDEX(Fit_Matrix!$B:$B,MATCH(P3156,Fit_Matrix!$A:$A,0)))),"CHECK KEY"))</f>
        <v/>
      </c>
      <c r="U3156" s="10" t="n"/>
      <c r="V3156" s="10" t="n"/>
      <c r="W3156" s="10" t="n"/>
      <c r="X3156" s="10" t="n"/>
      <c r="Y3156" s="10" t="n"/>
      <c r="Z3156" s="10" t="n"/>
      <c r="AA3156" s="11">
        <f>IF(A3156="","",IF(AND(J3156="P4",F3156="causal"),"P4-CAUSAL",""))</f>
        <v/>
      </c>
    </row>
    <row r="3157" ht="15" customHeight="1" s="1">
      <c r="P3157">
        <f>IF(OR(F3157="",H3157="",J3157=""),"",J3157&amp;"|"&amp;F3157&amp;"|"&amp;IF(H3157="W3","W3_"&amp;IF(I3157="","unknown",I3157),H3157))</f>
        <v/>
      </c>
      <c r="Q3157">
        <f>IF(P3157="","",IFERROR(IF(AND(H3157="W7",OR(F3157="causal",F3157="predictive")),IF(AND(OR(K3157=1,K3157="1"),OR(L3157=1,L3157="1"),OR(M3157=1,M3157="1")),"adequate","partial"),IF(AND(H3157="W4",F3157="predictive",OR(J3157="P2",J3157="P3",J3157="P4")),IF(OR(U3157=1,U3157="1"),"adequate","partial"),INDEX(Fit_Matrix!$B:$B,MATCH(P3157,Fit_Matrix!$A:$A,0)))),"CHECK KEY"))</f>
        <v/>
      </c>
      <c r="U3157" s="10" t="n"/>
      <c r="V3157" s="10" t="n"/>
      <c r="W3157" s="10" t="n"/>
      <c r="X3157" s="10" t="n"/>
      <c r="Y3157" s="10" t="n"/>
      <c r="Z3157" s="10" t="n"/>
      <c r="AA3157" s="11">
        <f>IF(A3157="","",IF(AND(J3157="P4",F3157="causal"),"P4-CAUSAL",""))</f>
        <v/>
      </c>
    </row>
    <row r="3158" ht="15" customHeight="1" s="1">
      <c r="P3158">
        <f>IF(OR(F3158="",H3158="",J3158=""),"",J3158&amp;"|"&amp;F3158&amp;"|"&amp;IF(H3158="W3","W3_"&amp;IF(I3158="","unknown",I3158),H3158))</f>
        <v/>
      </c>
      <c r="Q3158">
        <f>IF(P3158="","",IFERROR(IF(AND(H3158="W7",OR(F3158="causal",F3158="predictive")),IF(AND(OR(K3158=1,K3158="1"),OR(L3158=1,L3158="1"),OR(M3158=1,M3158="1")),"adequate","partial"),IF(AND(H3158="W4",F3158="predictive",OR(J3158="P2",J3158="P3",J3158="P4")),IF(OR(U3158=1,U3158="1"),"adequate","partial"),INDEX(Fit_Matrix!$B:$B,MATCH(P3158,Fit_Matrix!$A:$A,0)))),"CHECK KEY"))</f>
        <v/>
      </c>
      <c r="U3158" s="10" t="n"/>
      <c r="V3158" s="10" t="n"/>
      <c r="W3158" s="10" t="n"/>
      <c r="X3158" s="10" t="n"/>
      <c r="Y3158" s="10" t="n"/>
      <c r="Z3158" s="10" t="n"/>
      <c r="AA3158" s="11">
        <f>IF(A3158="","",IF(AND(J3158="P4",F3158="causal"),"P4-CAUSAL",""))</f>
        <v/>
      </c>
    </row>
    <row r="3159" ht="15" customHeight="1" s="1">
      <c r="P3159">
        <f>IF(OR(F3159="",H3159="",J3159=""),"",J3159&amp;"|"&amp;F3159&amp;"|"&amp;IF(H3159="W3","W3_"&amp;IF(I3159="","unknown",I3159),H3159))</f>
        <v/>
      </c>
      <c r="Q3159">
        <f>IF(P3159="","",IFERROR(IF(AND(H3159="W7",OR(F3159="causal",F3159="predictive")),IF(AND(OR(K3159=1,K3159="1"),OR(L3159=1,L3159="1"),OR(M3159=1,M3159="1")),"adequate","partial"),IF(AND(H3159="W4",F3159="predictive",OR(J3159="P2",J3159="P3",J3159="P4")),IF(OR(U3159=1,U3159="1"),"adequate","partial"),INDEX(Fit_Matrix!$B:$B,MATCH(P3159,Fit_Matrix!$A:$A,0)))),"CHECK KEY"))</f>
        <v/>
      </c>
      <c r="U3159" s="10" t="n"/>
      <c r="V3159" s="10" t="n"/>
      <c r="W3159" s="10" t="n"/>
      <c r="X3159" s="10" t="n"/>
      <c r="Y3159" s="10" t="n"/>
      <c r="Z3159" s="10" t="n"/>
      <c r="AA3159" s="11">
        <f>IF(A3159="","",IF(AND(J3159="P4",F3159="causal"),"P4-CAUSAL",""))</f>
        <v/>
      </c>
    </row>
    <row r="3160" ht="15" customHeight="1" s="1">
      <c r="P3160">
        <f>IF(OR(F3160="",H3160="",J3160=""),"",J3160&amp;"|"&amp;F3160&amp;"|"&amp;IF(H3160="W3","W3_"&amp;IF(I3160="","unknown",I3160),H3160))</f>
        <v/>
      </c>
      <c r="Q3160">
        <f>IF(P3160="","",IFERROR(IF(AND(H3160="W7",OR(F3160="causal",F3160="predictive")),IF(AND(OR(K3160=1,K3160="1"),OR(L3160=1,L3160="1"),OR(M3160=1,M3160="1")),"adequate","partial"),IF(AND(H3160="W4",F3160="predictive",OR(J3160="P2",J3160="P3",J3160="P4")),IF(OR(U3160=1,U3160="1"),"adequate","partial"),INDEX(Fit_Matrix!$B:$B,MATCH(P3160,Fit_Matrix!$A:$A,0)))),"CHECK KEY"))</f>
        <v/>
      </c>
      <c r="U3160" s="10" t="n"/>
      <c r="V3160" s="10" t="n"/>
      <c r="W3160" s="10" t="n"/>
      <c r="X3160" s="10" t="n"/>
      <c r="Y3160" s="10" t="n"/>
      <c r="Z3160" s="10" t="n"/>
      <c r="AA3160" s="11">
        <f>IF(A3160="","",IF(AND(J3160="P4",F3160="causal"),"P4-CAUSAL",""))</f>
        <v/>
      </c>
    </row>
    <row r="3161" ht="15" customHeight="1" s="1">
      <c r="P3161">
        <f>IF(OR(F3161="",H3161="",J3161=""),"",J3161&amp;"|"&amp;F3161&amp;"|"&amp;IF(H3161="W3","W3_"&amp;IF(I3161="","unknown",I3161),H3161))</f>
        <v/>
      </c>
      <c r="Q3161">
        <f>IF(P3161="","",IFERROR(IF(AND(H3161="W7",OR(F3161="causal",F3161="predictive")),IF(AND(OR(K3161=1,K3161="1"),OR(L3161=1,L3161="1"),OR(M3161=1,M3161="1")),"adequate","partial"),IF(AND(H3161="W4",F3161="predictive",OR(J3161="P2",J3161="P3",J3161="P4")),IF(OR(U3161=1,U3161="1"),"adequate","partial"),INDEX(Fit_Matrix!$B:$B,MATCH(P3161,Fit_Matrix!$A:$A,0)))),"CHECK KEY"))</f>
        <v/>
      </c>
      <c r="U3161" s="10" t="n"/>
      <c r="V3161" s="10" t="n"/>
      <c r="W3161" s="10" t="n"/>
      <c r="X3161" s="10" t="n"/>
      <c r="Y3161" s="10" t="n"/>
      <c r="Z3161" s="10" t="n"/>
      <c r="AA3161" s="11">
        <f>IF(A3161="","",IF(AND(J3161="P4",F3161="causal"),"P4-CAUSAL",""))</f>
        <v/>
      </c>
    </row>
    <row r="3162" ht="15" customHeight="1" s="1">
      <c r="P3162">
        <f>IF(OR(F3162="",H3162="",J3162=""),"",J3162&amp;"|"&amp;F3162&amp;"|"&amp;IF(H3162="W3","W3_"&amp;IF(I3162="","unknown",I3162),H3162))</f>
        <v/>
      </c>
      <c r="Q3162">
        <f>IF(P3162="","",IFERROR(IF(AND(H3162="W7",OR(F3162="causal",F3162="predictive")),IF(AND(OR(K3162=1,K3162="1"),OR(L3162=1,L3162="1"),OR(M3162=1,M3162="1")),"adequate","partial"),IF(AND(H3162="W4",F3162="predictive",OR(J3162="P2",J3162="P3",J3162="P4")),IF(OR(U3162=1,U3162="1"),"adequate","partial"),INDEX(Fit_Matrix!$B:$B,MATCH(P3162,Fit_Matrix!$A:$A,0)))),"CHECK KEY"))</f>
        <v/>
      </c>
      <c r="U3162" s="10" t="n"/>
      <c r="V3162" s="10" t="n"/>
      <c r="W3162" s="10" t="n"/>
      <c r="X3162" s="10" t="n"/>
      <c r="Y3162" s="10" t="n"/>
      <c r="Z3162" s="10" t="n"/>
      <c r="AA3162" s="11">
        <f>IF(A3162="","",IF(AND(J3162="P4",F3162="causal"),"P4-CAUSAL",""))</f>
        <v/>
      </c>
    </row>
    <row r="3163" ht="15" customHeight="1" s="1">
      <c r="P3163">
        <f>IF(OR(F3163="",H3163="",J3163=""),"",J3163&amp;"|"&amp;F3163&amp;"|"&amp;IF(H3163="W3","W3_"&amp;IF(I3163="","unknown",I3163),H3163))</f>
        <v/>
      </c>
      <c r="Q3163">
        <f>IF(P3163="","",IFERROR(IF(AND(H3163="W7",OR(F3163="causal",F3163="predictive")),IF(AND(OR(K3163=1,K3163="1"),OR(L3163=1,L3163="1"),OR(M3163=1,M3163="1")),"adequate","partial"),IF(AND(H3163="W4",F3163="predictive",OR(J3163="P2",J3163="P3",J3163="P4")),IF(OR(U3163=1,U3163="1"),"adequate","partial"),INDEX(Fit_Matrix!$B:$B,MATCH(P3163,Fit_Matrix!$A:$A,0)))),"CHECK KEY"))</f>
        <v/>
      </c>
      <c r="U3163" s="10" t="n"/>
      <c r="V3163" s="10" t="n"/>
      <c r="W3163" s="10" t="n"/>
      <c r="X3163" s="10" t="n"/>
      <c r="Y3163" s="10" t="n"/>
      <c r="Z3163" s="10" t="n"/>
      <c r="AA3163" s="11">
        <f>IF(A3163="","",IF(AND(J3163="P4",F3163="causal"),"P4-CAUSAL",""))</f>
        <v/>
      </c>
    </row>
    <row r="3164" ht="15" customHeight="1" s="1">
      <c r="P3164">
        <f>IF(OR(F3164="",H3164="",J3164=""),"",J3164&amp;"|"&amp;F3164&amp;"|"&amp;IF(H3164="W3","W3_"&amp;IF(I3164="","unknown",I3164),H3164))</f>
        <v/>
      </c>
      <c r="Q3164">
        <f>IF(P3164="","",IFERROR(IF(AND(H3164="W7",OR(F3164="causal",F3164="predictive")),IF(AND(OR(K3164=1,K3164="1"),OR(L3164=1,L3164="1"),OR(M3164=1,M3164="1")),"adequate","partial"),IF(AND(H3164="W4",F3164="predictive",OR(J3164="P2",J3164="P3",J3164="P4")),IF(OR(U3164=1,U3164="1"),"adequate","partial"),INDEX(Fit_Matrix!$B:$B,MATCH(P3164,Fit_Matrix!$A:$A,0)))),"CHECK KEY"))</f>
        <v/>
      </c>
      <c r="U3164" s="10" t="n"/>
      <c r="V3164" s="10" t="n"/>
      <c r="W3164" s="10" t="n"/>
      <c r="X3164" s="10" t="n"/>
      <c r="Y3164" s="10" t="n"/>
      <c r="Z3164" s="10" t="n"/>
      <c r="AA3164" s="11">
        <f>IF(A3164="","",IF(AND(J3164="P4",F3164="causal"),"P4-CAUSAL",""))</f>
        <v/>
      </c>
    </row>
    <row r="3165" ht="15" customHeight="1" s="1">
      <c r="P3165">
        <f>IF(OR(F3165="",H3165="",J3165=""),"",J3165&amp;"|"&amp;F3165&amp;"|"&amp;IF(H3165="W3","W3_"&amp;IF(I3165="","unknown",I3165),H3165))</f>
        <v/>
      </c>
      <c r="Q3165">
        <f>IF(P3165="","",IFERROR(IF(AND(H3165="W7",OR(F3165="causal",F3165="predictive")),IF(AND(OR(K3165=1,K3165="1"),OR(L3165=1,L3165="1"),OR(M3165=1,M3165="1")),"adequate","partial"),IF(AND(H3165="W4",F3165="predictive",OR(J3165="P2",J3165="P3",J3165="P4")),IF(OR(U3165=1,U3165="1"),"adequate","partial"),INDEX(Fit_Matrix!$B:$B,MATCH(P3165,Fit_Matrix!$A:$A,0)))),"CHECK KEY"))</f>
        <v/>
      </c>
      <c r="U3165" s="10" t="n"/>
      <c r="V3165" s="10" t="n"/>
      <c r="W3165" s="10" t="n"/>
      <c r="X3165" s="10" t="n"/>
      <c r="Y3165" s="10" t="n"/>
      <c r="Z3165" s="10" t="n"/>
      <c r="AA3165" s="11">
        <f>IF(A3165="","",IF(AND(J3165="P4",F3165="causal"),"P4-CAUSAL",""))</f>
        <v/>
      </c>
    </row>
    <row r="3166" ht="15" customHeight="1" s="1">
      <c r="P3166">
        <f>IF(OR(F3166="",H3166="",J3166=""),"",J3166&amp;"|"&amp;F3166&amp;"|"&amp;IF(H3166="W3","W3_"&amp;IF(I3166="","unknown",I3166),H3166))</f>
        <v/>
      </c>
      <c r="Q3166">
        <f>IF(P3166="","",IFERROR(IF(AND(H3166="W7",OR(F3166="causal",F3166="predictive")),IF(AND(OR(K3166=1,K3166="1"),OR(L3166=1,L3166="1"),OR(M3166=1,M3166="1")),"adequate","partial"),IF(AND(H3166="W4",F3166="predictive",OR(J3166="P2",J3166="P3",J3166="P4")),IF(OR(U3166=1,U3166="1"),"adequate","partial"),INDEX(Fit_Matrix!$B:$B,MATCH(P3166,Fit_Matrix!$A:$A,0)))),"CHECK KEY"))</f>
        <v/>
      </c>
      <c r="U3166" s="10" t="n"/>
      <c r="V3166" s="10" t="n"/>
      <c r="W3166" s="10" t="n"/>
      <c r="X3166" s="10" t="n"/>
      <c r="Y3166" s="10" t="n"/>
      <c r="Z3166" s="10" t="n"/>
      <c r="AA3166" s="11">
        <f>IF(A3166="","",IF(AND(J3166="P4",F3166="causal"),"P4-CAUSAL",""))</f>
        <v/>
      </c>
    </row>
    <row r="3167" ht="15" customHeight="1" s="1">
      <c r="P3167">
        <f>IF(OR(F3167="",H3167="",J3167=""),"",J3167&amp;"|"&amp;F3167&amp;"|"&amp;IF(H3167="W3","W3_"&amp;IF(I3167="","unknown",I3167),H3167))</f>
        <v/>
      </c>
      <c r="Q3167">
        <f>IF(P3167="","",IFERROR(IF(AND(H3167="W7",OR(F3167="causal",F3167="predictive")),IF(AND(OR(K3167=1,K3167="1"),OR(L3167=1,L3167="1"),OR(M3167=1,M3167="1")),"adequate","partial"),IF(AND(H3167="W4",F3167="predictive",OR(J3167="P2",J3167="P3",J3167="P4")),IF(OR(U3167=1,U3167="1"),"adequate","partial"),INDEX(Fit_Matrix!$B:$B,MATCH(P3167,Fit_Matrix!$A:$A,0)))),"CHECK KEY"))</f>
        <v/>
      </c>
      <c r="U3167" s="10" t="n"/>
      <c r="V3167" s="10" t="n"/>
      <c r="W3167" s="10" t="n"/>
      <c r="X3167" s="10" t="n"/>
      <c r="Y3167" s="10" t="n"/>
      <c r="Z3167" s="10" t="n"/>
      <c r="AA3167" s="11">
        <f>IF(A3167="","",IF(AND(J3167="P4",F3167="causal"),"P4-CAUSAL",""))</f>
        <v/>
      </c>
    </row>
    <row r="3168" ht="15" customHeight="1" s="1">
      <c r="P3168">
        <f>IF(OR(F3168="",H3168="",J3168=""),"",J3168&amp;"|"&amp;F3168&amp;"|"&amp;IF(H3168="W3","W3_"&amp;IF(I3168="","unknown",I3168),H3168))</f>
        <v/>
      </c>
      <c r="Q3168">
        <f>IF(P3168="","",IFERROR(IF(AND(H3168="W7",OR(F3168="causal",F3168="predictive")),IF(AND(OR(K3168=1,K3168="1"),OR(L3168=1,L3168="1"),OR(M3168=1,M3168="1")),"adequate","partial"),IF(AND(H3168="W4",F3168="predictive",OR(J3168="P2",J3168="P3",J3168="P4")),IF(OR(U3168=1,U3168="1"),"adequate","partial"),INDEX(Fit_Matrix!$B:$B,MATCH(P3168,Fit_Matrix!$A:$A,0)))),"CHECK KEY"))</f>
        <v/>
      </c>
      <c r="U3168" s="10" t="n"/>
      <c r="V3168" s="10" t="n"/>
      <c r="W3168" s="10" t="n"/>
      <c r="X3168" s="10" t="n"/>
      <c r="Y3168" s="10" t="n"/>
      <c r="Z3168" s="10" t="n"/>
      <c r="AA3168" s="11">
        <f>IF(A3168="","",IF(AND(J3168="P4",F3168="causal"),"P4-CAUSAL",""))</f>
        <v/>
      </c>
    </row>
    <row r="3169" ht="15" customHeight="1" s="1">
      <c r="P3169">
        <f>IF(OR(F3169="",H3169="",J3169=""),"",J3169&amp;"|"&amp;F3169&amp;"|"&amp;IF(H3169="W3","W3_"&amp;IF(I3169="","unknown",I3169),H3169))</f>
        <v/>
      </c>
      <c r="Q3169">
        <f>IF(P3169="","",IFERROR(IF(AND(H3169="W7",OR(F3169="causal",F3169="predictive")),IF(AND(OR(K3169=1,K3169="1"),OR(L3169=1,L3169="1"),OR(M3169=1,M3169="1")),"adequate","partial"),IF(AND(H3169="W4",F3169="predictive",OR(J3169="P2",J3169="P3",J3169="P4")),IF(OR(U3169=1,U3169="1"),"adequate","partial"),INDEX(Fit_Matrix!$B:$B,MATCH(P3169,Fit_Matrix!$A:$A,0)))),"CHECK KEY"))</f>
        <v/>
      </c>
      <c r="U3169" s="10" t="n"/>
      <c r="V3169" s="10" t="n"/>
      <c r="W3169" s="10" t="n"/>
      <c r="X3169" s="10" t="n"/>
      <c r="Y3169" s="10" t="n"/>
      <c r="Z3169" s="10" t="n"/>
      <c r="AA3169" s="11">
        <f>IF(A3169="","",IF(AND(J3169="P4",F3169="causal"),"P4-CAUSAL",""))</f>
        <v/>
      </c>
    </row>
    <row r="3170" ht="15" customHeight="1" s="1">
      <c r="P3170">
        <f>IF(OR(F3170="",H3170="",J3170=""),"",J3170&amp;"|"&amp;F3170&amp;"|"&amp;IF(H3170="W3","W3_"&amp;IF(I3170="","unknown",I3170),H3170))</f>
        <v/>
      </c>
      <c r="Q3170">
        <f>IF(P3170="","",IFERROR(IF(AND(H3170="W7",OR(F3170="causal",F3170="predictive")),IF(AND(OR(K3170=1,K3170="1"),OR(L3170=1,L3170="1"),OR(M3170=1,M3170="1")),"adequate","partial"),IF(AND(H3170="W4",F3170="predictive",OR(J3170="P2",J3170="P3",J3170="P4")),IF(OR(U3170=1,U3170="1"),"adequate","partial"),INDEX(Fit_Matrix!$B:$B,MATCH(P3170,Fit_Matrix!$A:$A,0)))),"CHECK KEY"))</f>
        <v/>
      </c>
      <c r="U3170" s="10" t="n"/>
      <c r="V3170" s="10" t="n"/>
      <c r="W3170" s="10" t="n"/>
      <c r="X3170" s="10" t="n"/>
      <c r="Y3170" s="10" t="n"/>
      <c r="Z3170" s="10" t="n"/>
      <c r="AA3170" s="11">
        <f>IF(A3170="","",IF(AND(J3170="P4",F3170="causal"),"P4-CAUSAL",""))</f>
        <v/>
      </c>
    </row>
    <row r="3171" ht="15" customHeight="1" s="1">
      <c r="P3171">
        <f>IF(OR(F3171="",H3171="",J3171=""),"",J3171&amp;"|"&amp;F3171&amp;"|"&amp;IF(H3171="W3","W3_"&amp;IF(I3171="","unknown",I3171),H3171))</f>
        <v/>
      </c>
      <c r="Q3171">
        <f>IF(P3171="","",IFERROR(IF(AND(H3171="W7",OR(F3171="causal",F3171="predictive")),IF(AND(OR(K3171=1,K3171="1"),OR(L3171=1,L3171="1"),OR(M3171=1,M3171="1")),"adequate","partial"),IF(AND(H3171="W4",F3171="predictive",OR(J3171="P2",J3171="P3",J3171="P4")),IF(OR(U3171=1,U3171="1"),"adequate","partial"),INDEX(Fit_Matrix!$B:$B,MATCH(P3171,Fit_Matrix!$A:$A,0)))),"CHECK KEY"))</f>
        <v/>
      </c>
      <c r="U3171" s="10" t="n"/>
      <c r="V3171" s="10" t="n"/>
      <c r="W3171" s="10" t="n"/>
      <c r="X3171" s="10" t="n"/>
      <c r="Y3171" s="10" t="n"/>
      <c r="Z3171" s="10" t="n"/>
      <c r="AA3171" s="11">
        <f>IF(A3171="","",IF(AND(J3171="P4",F3171="causal"),"P4-CAUSAL",""))</f>
        <v/>
      </c>
    </row>
    <row r="3172" ht="15" customHeight="1" s="1">
      <c r="P3172">
        <f>IF(OR(F3172="",H3172="",J3172=""),"",J3172&amp;"|"&amp;F3172&amp;"|"&amp;IF(H3172="W3","W3_"&amp;IF(I3172="","unknown",I3172),H3172))</f>
        <v/>
      </c>
      <c r="Q3172">
        <f>IF(P3172="","",IFERROR(IF(AND(H3172="W7",OR(F3172="causal",F3172="predictive")),IF(AND(OR(K3172=1,K3172="1"),OR(L3172=1,L3172="1"),OR(M3172=1,M3172="1")),"adequate","partial"),IF(AND(H3172="W4",F3172="predictive",OR(J3172="P2",J3172="P3",J3172="P4")),IF(OR(U3172=1,U3172="1"),"adequate","partial"),INDEX(Fit_Matrix!$B:$B,MATCH(P3172,Fit_Matrix!$A:$A,0)))),"CHECK KEY"))</f>
        <v/>
      </c>
      <c r="U3172" s="10" t="n"/>
      <c r="V3172" s="10" t="n"/>
      <c r="W3172" s="10" t="n"/>
      <c r="X3172" s="10" t="n"/>
      <c r="Y3172" s="10" t="n"/>
      <c r="Z3172" s="10" t="n"/>
      <c r="AA3172" s="11">
        <f>IF(A3172="","",IF(AND(J3172="P4",F3172="causal"),"P4-CAUSAL",""))</f>
        <v/>
      </c>
    </row>
    <row r="3173" ht="15" customHeight="1" s="1">
      <c r="P3173">
        <f>IF(OR(F3173="",H3173="",J3173=""),"",J3173&amp;"|"&amp;F3173&amp;"|"&amp;IF(H3173="W3","W3_"&amp;IF(I3173="","unknown",I3173),H3173))</f>
        <v/>
      </c>
      <c r="Q3173">
        <f>IF(P3173="","",IFERROR(IF(AND(H3173="W7",OR(F3173="causal",F3173="predictive")),IF(AND(OR(K3173=1,K3173="1"),OR(L3173=1,L3173="1"),OR(M3173=1,M3173="1")),"adequate","partial"),IF(AND(H3173="W4",F3173="predictive",OR(J3173="P2",J3173="P3",J3173="P4")),IF(OR(U3173=1,U3173="1"),"adequate","partial"),INDEX(Fit_Matrix!$B:$B,MATCH(P3173,Fit_Matrix!$A:$A,0)))),"CHECK KEY"))</f>
        <v/>
      </c>
      <c r="U3173" s="10" t="n"/>
      <c r="V3173" s="10" t="n"/>
      <c r="W3173" s="10" t="n"/>
      <c r="X3173" s="10" t="n"/>
      <c r="Y3173" s="10" t="n"/>
      <c r="Z3173" s="10" t="n"/>
      <c r="AA3173" s="11">
        <f>IF(A3173="","",IF(AND(J3173="P4",F3173="causal"),"P4-CAUSAL",""))</f>
        <v/>
      </c>
    </row>
    <row r="3174" ht="15" customHeight="1" s="1">
      <c r="P3174">
        <f>IF(OR(F3174="",H3174="",J3174=""),"",J3174&amp;"|"&amp;F3174&amp;"|"&amp;IF(H3174="W3","W3_"&amp;IF(I3174="","unknown",I3174),H3174))</f>
        <v/>
      </c>
      <c r="Q3174">
        <f>IF(P3174="","",IFERROR(IF(AND(H3174="W7",OR(F3174="causal",F3174="predictive")),IF(AND(OR(K3174=1,K3174="1"),OR(L3174=1,L3174="1"),OR(M3174=1,M3174="1")),"adequate","partial"),IF(AND(H3174="W4",F3174="predictive",OR(J3174="P2",J3174="P3",J3174="P4")),IF(OR(U3174=1,U3174="1"),"adequate","partial"),INDEX(Fit_Matrix!$B:$B,MATCH(P3174,Fit_Matrix!$A:$A,0)))),"CHECK KEY"))</f>
        <v/>
      </c>
      <c r="U3174" s="10" t="n"/>
      <c r="V3174" s="10" t="n"/>
      <c r="W3174" s="10" t="n"/>
      <c r="X3174" s="10" t="n"/>
      <c r="Y3174" s="10" t="n"/>
      <c r="Z3174" s="10" t="n"/>
      <c r="AA3174" s="11">
        <f>IF(A3174="","",IF(AND(J3174="P4",F3174="causal"),"P4-CAUSAL",""))</f>
        <v/>
      </c>
    </row>
    <row r="3175" ht="15" customHeight="1" s="1">
      <c r="P3175">
        <f>IF(OR(F3175="",H3175="",J3175=""),"",J3175&amp;"|"&amp;F3175&amp;"|"&amp;IF(H3175="W3","W3_"&amp;IF(I3175="","unknown",I3175),H3175))</f>
        <v/>
      </c>
      <c r="Q3175">
        <f>IF(P3175="","",IFERROR(IF(AND(H3175="W7",OR(F3175="causal",F3175="predictive")),IF(AND(OR(K3175=1,K3175="1"),OR(L3175=1,L3175="1"),OR(M3175=1,M3175="1")),"adequate","partial"),IF(AND(H3175="W4",F3175="predictive",OR(J3175="P2",J3175="P3",J3175="P4")),IF(OR(U3175=1,U3175="1"),"adequate","partial"),INDEX(Fit_Matrix!$B:$B,MATCH(P3175,Fit_Matrix!$A:$A,0)))),"CHECK KEY"))</f>
        <v/>
      </c>
      <c r="U3175" s="10" t="n"/>
      <c r="V3175" s="10" t="n"/>
      <c r="W3175" s="10" t="n"/>
      <c r="X3175" s="10" t="n"/>
      <c r="Y3175" s="10" t="n"/>
      <c r="Z3175" s="10" t="n"/>
      <c r="AA3175" s="11">
        <f>IF(A3175="","",IF(AND(J3175="P4",F3175="causal"),"P4-CAUSAL",""))</f>
        <v/>
      </c>
    </row>
    <row r="3176" ht="15" customHeight="1" s="1">
      <c r="P3176">
        <f>IF(OR(F3176="",H3176="",J3176=""),"",J3176&amp;"|"&amp;F3176&amp;"|"&amp;IF(H3176="W3","W3_"&amp;IF(I3176="","unknown",I3176),H3176))</f>
        <v/>
      </c>
      <c r="Q3176">
        <f>IF(P3176="","",IFERROR(IF(AND(H3176="W7",OR(F3176="causal",F3176="predictive")),IF(AND(OR(K3176=1,K3176="1"),OR(L3176=1,L3176="1"),OR(M3176=1,M3176="1")),"adequate","partial"),IF(AND(H3176="W4",F3176="predictive",OR(J3176="P2",J3176="P3",J3176="P4")),IF(OR(U3176=1,U3176="1"),"adequate","partial"),INDEX(Fit_Matrix!$B:$B,MATCH(P3176,Fit_Matrix!$A:$A,0)))),"CHECK KEY"))</f>
        <v/>
      </c>
      <c r="U3176" s="10" t="n"/>
      <c r="V3176" s="10" t="n"/>
      <c r="W3176" s="10" t="n"/>
      <c r="X3176" s="10" t="n"/>
      <c r="Y3176" s="10" t="n"/>
      <c r="Z3176" s="10" t="n"/>
      <c r="AA3176" s="11">
        <f>IF(A3176="","",IF(AND(J3176="P4",F3176="causal"),"P4-CAUSAL",""))</f>
        <v/>
      </c>
    </row>
    <row r="3177" ht="15" customHeight="1" s="1">
      <c r="P3177">
        <f>IF(OR(F3177="",H3177="",J3177=""),"",J3177&amp;"|"&amp;F3177&amp;"|"&amp;IF(H3177="W3","W3_"&amp;IF(I3177="","unknown",I3177),H3177))</f>
        <v/>
      </c>
      <c r="Q3177">
        <f>IF(P3177="","",IFERROR(IF(AND(H3177="W7",OR(F3177="causal",F3177="predictive")),IF(AND(OR(K3177=1,K3177="1"),OR(L3177=1,L3177="1"),OR(M3177=1,M3177="1")),"adequate","partial"),IF(AND(H3177="W4",F3177="predictive",OR(J3177="P2",J3177="P3",J3177="P4")),IF(OR(U3177=1,U3177="1"),"adequate","partial"),INDEX(Fit_Matrix!$B:$B,MATCH(P3177,Fit_Matrix!$A:$A,0)))),"CHECK KEY"))</f>
        <v/>
      </c>
      <c r="U3177" s="10" t="n"/>
      <c r="V3177" s="10" t="n"/>
      <c r="W3177" s="10" t="n"/>
      <c r="X3177" s="10" t="n"/>
      <c r="Y3177" s="10" t="n"/>
      <c r="Z3177" s="10" t="n"/>
      <c r="AA3177" s="11">
        <f>IF(A3177="","",IF(AND(J3177="P4",F3177="causal"),"P4-CAUSAL",""))</f>
        <v/>
      </c>
    </row>
    <row r="3178" ht="15" customHeight="1" s="1">
      <c r="P3178">
        <f>IF(OR(F3178="",H3178="",J3178=""),"",J3178&amp;"|"&amp;F3178&amp;"|"&amp;IF(H3178="W3","W3_"&amp;IF(I3178="","unknown",I3178),H3178))</f>
        <v/>
      </c>
      <c r="Q3178">
        <f>IF(P3178="","",IFERROR(IF(AND(H3178="W7",OR(F3178="causal",F3178="predictive")),IF(AND(OR(K3178=1,K3178="1"),OR(L3178=1,L3178="1"),OR(M3178=1,M3178="1")),"adequate","partial"),IF(AND(H3178="W4",F3178="predictive",OR(J3178="P2",J3178="P3",J3178="P4")),IF(OR(U3178=1,U3178="1"),"adequate","partial"),INDEX(Fit_Matrix!$B:$B,MATCH(P3178,Fit_Matrix!$A:$A,0)))),"CHECK KEY"))</f>
        <v/>
      </c>
      <c r="U3178" s="10" t="n"/>
      <c r="V3178" s="10" t="n"/>
      <c r="W3178" s="10" t="n"/>
      <c r="X3178" s="10" t="n"/>
      <c r="Y3178" s="10" t="n"/>
      <c r="Z3178" s="10" t="n"/>
      <c r="AA3178" s="11">
        <f>IF(A3178="","",IF(AND(J3178="P4",F3178="causal"),"P4-CAUSAL",""))</f>
        <v/>
      </c>
    </row>
    <row r="3179" ht="15" customHeight="1" s="1">
      <c r="P3179">
        <f>IF(OR(F3179="",H3179="",J3179=""),"",J3179&amp;"|"&amp;F3179&amp;"|"&amp;IF(H3179="W3","W3_"&amp;IF(I3179="","unknown",I3179),H3179))</f>
        <v/>
      </c>
      <c r="Q3179">
        <f>IF(P3179="","",IFERROR(IF(AND(H3179="W7",OR(F3179="causal",F3179="predictive")),IF(AND(OR(K3179=1,K3179="1"),OR(L3179=1,L3179="1"),OR(M3179=1,M3179="1")),"adequate","partial"),IF(AND(H3179="W4",F3179="predictive",OR(J3179="P2",J3179="P3",J3179="P4")),IF(OR(U3179=1,U3179="1"),"adequate","partial"),INDEX(Fit_Matrix!$B:$B,MATCH(P3179,Fit_Matrix!$A:$A,0)))),"CHECK KEY"))</f>
        <v/>
      </c>
      <c r="U3179" s="10" t="n"/>
      <c r="V3179" s="10" t="n"/>
      <c r="W3179" s="10" t="n"/>
      <c r="X3179" s="10" t="n"/>
      <c r="Y3179" s="10" t="n"/>
      <c r="Z3179" s="10" t="n"/>
      <c r="AA3179" s="11">
        <f>IF(A3179="","",IF(AND(J3179="P4",F3179="causal"),"P4-CAUSAL",""))</f>
        <v/>
      </c>
    </row>
    <row r="3180" ht="15" customHeight="1" s="1">
      <c r="P3180">
        <f>IF(OR(F3180="",H3180="",J3180=""),"",J3180&amp;"|"&amp;F3180&amp;"|"&amp;IF(H3180="W3","W3_"&amp;IF(I3180="","unknown",I3180),H3180))</f>
        <v/>
      </c>
      <c r="Q3180">
        <f>IF(P3180="","",IFERROR(IF(AND(H3180="W7",OR(F3180="causal",F3180="predictive")),IF(AND(OR(K3180=1,K3180="1"),OR(L3180=1,L3180="1"),OR(M3180=1,M3180="1")),"adequate","partial"),IF(AND(H3180="W4",F3180="predictive",OR(J3180="P2",J3180="P3",J3180="P4")),IF(OR(U3180=1,U3180="1"),"adequate","partial"),INDEX(Fit_Matrix!$B:$B,MATCH(P3180,Fit_Matrix!$A:$A,0)))),"CHECK KEY"))</f>
        <v/>
      </c>
      <c r="U3180" s="10" t="n"/>
      <c r="V3180" s="10" t="n"/>
      <c r="W3180" s="10" t="n"/>
      <c r="X3180" s="10" t="n"/>
      <c r="Y3180" s="10" t="n"/>
      <c r="Z3180" s="10" t="n"/>
      <c r="AA3180" s="11">
        <f>IF(A3180="","",IF(AND(J3180="P4",F3180="causal"),"P4-CAUSAL",""))</f>
        <v/>
      </c>
    </row>
    <row r="3181" ht="15" customHeight="1" s="1">
      <c r="P3181">
        <f>IF(OR(F3181="",H3181="",J3181=""),"",J3181&amp;"|"&amp;F3181&amp;"|"&amp;IF(H3181="W3","W3_"&amp;IF(I3181="","unknown",I3181),H3181))</f>
        <v/>
      </c>
      <c r="Q3181">
        <f>IF(P3181="","",IFERROR(IF(AND(H3181="W7",OR(F3181="causal",F3181="predictive")),IF(AND(OR(K3181=1,K3181="1"),OR(L3181=1,L3181="1"),OR(M3181=1,M3181="1")),"adequate","partial"),IF(AND(H3181="W4",F3181="predictive",OR(J3181="P2",J3181="P3",J3181="P4")),IF(OR(U3181=1,U3181="1"),"adequate","partial"),INDEX(Fit_Matrix!$B:$B,MATCH(P3181,Fit_Matrix!$A:$A,0)))),"CHECK KEY"))</f>
        <v/>
      </c>
      <c r="U3181" s="10" t="n"/>
      <c r="V3181" s="10" t="n"/>
      <c r="W3181" s="10" t="n"/>
      <c r="X3181" s="10" t="n"/>
      <c r="Y3181" s="10" t="n"/>
      <c r="Z3181" s="10" t="n"/>
      <c r="AA3181" s="11">
        <f>IF(A3181="","",IF(AND(J3181="P4",F3181="causal"),"P4-CAUSAL",""))</f>
        <v/>
      </c>
    </row>
    <row r="3182" ht="15" customHeight="1" s="1">
      <c r="P3182">
        <f>IF(OR(F3182="",H3182="",J3182=""),"",J3182&amp;"|"&amp;F3182&amp;"|"&amp;IF(H3182="W3","W3_"&amp;IF(I3182="","unknown",I3182),H3182))</f>
        <v/>
      </c>
      <c r="Q3182">
        <f>IF(P3182="","",IFERROR(IF(AND(H3182="W7",OR(F3182="causal",F3182="predictive")),IF(AND(OR(K3182=1,K3182="1"),OR(L3182=1,L3182="1"),OR(M3182=1,M3182="1")),"adequate","partial"),IF(AND(H3182="W4",F3182="predictive",OR(J3182="P2",J3182="P3",J3182="P4")),IF(OR(U3182=1,U3182="1"),"adequate","partial"),INDEX(Fit_Matrix!$B:$B,MATCH(P3182,Fit_Matrix!$A:$A,0)))),"CHECK KEY"))</f>
        <v/>
      </c>
      <c r="U3182" s="10" t="n"/>
      <c r="V3182" s="10" t="n"/>
      <c r="W3182" s="10" t="n"/>
      <c r="X3182" s="10" t="n"/>
      <c r="Y3182" s="10" t="n"/>
      <c r="Z3182" s="10" t="n"/>
      <c r="AA3182" s="11">
        <f>IF(A3182="","",IF(AND(J3182="P4",F3182="causal"),"P4-CAUSAL",""))</f>
        <v/>
      </c>
    </row>
    <row r="3183" ht="15" customHeight="1" s="1">
      <c r="P3183">
        <f>IF(OR(F3183="",H3183="",J3183=""),"",J3183&amp;"|"&amp;F3183&amp;"|"&amp;IF(H3183="W3","W3_"&amp;IF(I3183="","unknown",I3183),H3183))</f>
        <v/>
      </c>
      <c r="Q3183">
        <f>IF(P3183="","",IFERROR(IF(AND(H3183="W7",OR(F3183="causal",F3183="predictive")),IF(AND(OR(K3183=1,K3183="1"),OR(L3183=1,L3183="1"),OR(M3183=1,M3183="1")),"adequate","partial"),IF(AND(H3183="W4",F3183="predictive",OR(J3183="P2",J3183="P3",J3183="P4")),IF(OR(U3183=1,U3183="1"),"adequate","partial"),INDEX(Fit_Matrix!$B:$B,MATCH(P3183,Fit_Matrix!$A:$A,0)))),"CHECK KEY"))</f>
        <v/>
      </c>
      <c r="U3183" s="10" t="n"/>
      <c r="V3183" s="10" t="n"/>
      <c r="W3183" s="10" t="n"/>
      <c r="X3183" s="10" t="n"/>
      <c r="Y3183" s="10" t="n"/>
      <c r="Z3183" s="10" t="n"/>
      <c r="AA3183" s="11">
        <f>IF(A3183="","",IF(AND(J3183="P4",F3183="causal"),"P4-CAUSAL",""))</f>
        <v/>
      </c>
    </row>
    <row r="3184" ht="15" customHeight="1" s="1">
      <c r="P3184">
        <f>IF(OR(F3184="",H3184="",J3184=""),"",J3184&amp;"|"&amp;F3184&amp;"|"&amp;IF(H3184="W3","W3_"&amp;IF(I3184="","unknown",I3184),H3184))</f>
        <v/>
      </c>
      <c r="Q3184">
        <f>IF(P3184="","",IFERROR(IF(AND(H3184="W7",OR(F3184="causal",F3184="predictive")),IF(AND(OR(K3184=1,K3184="1"),OR(L3184=1,L3184="1"),OR(M3184=1,M3184="1")),"adequate","partial"),IF(AND(H3184="W4",F3184="predictive",OR(J3184="P2",J3184="P3",J3184="P4")),IF(OR(U3184=1,U3184="1"),"adequate","partial"),INDEX(Fit_Matrix!$B:$B,MATCH(P3184,Fit_Matrix!$A:$A,0)))),"CHECK KEY"))</f>
        <v/>
      </c>
      <c r="U3184" s="10" t="n"/>
      <c r="V3184" s="10" t="n"/>
      <c r="W3184" s="10" t="n"/>
      <c r="X3184" s="10" t="n"/>
      <c r="Y3184" s="10" t="n"/>
      <c r="Z3184" s="10" t="n"/>
      <c r="AA3184" s="11">
        <f>IF(A3184="","",IF(AND(J3184="P4",F3184="causal"),"P4-CAUSAL",""))</f>
        <v/>
      </c>
    </row>
    <row r="3185" ht="15" customHeight="1" s="1">
      <c r="P3185">
        <f>IF(OR(F3185="",H3185="",J3185=""),"",J3185&amp;"|"&amp;F3185&amp;"|"&amp;IF(H3185="W3","W3_"&amp;IF(I3185="","unknown",I3185),H3185))</f>
        <v/>
      </c>
      <c r="Q3185">
        <f>IF(P3185="","",IFERROR(IF(AND(H3185="W7",OR(F3185="causal",F3185="predictive")),IF(AND(OR(K3185=1,K3185="1"),OR(L3185=1,L3185="1"),OR(M3185=1,M3185="1")),"adequate","partial"),IF(AND(H3185="W4",F3185="predictive",OR(J3185="P2",J3185="P3",J3185="P4")),IF(OR(U3185=1,U3185="1"),"adequate","partial"),INDEX(Fit_Matrix!$B:$B,MATCH(P3185,Fit_Matrix!$A:$A,0)))),"CHECK KEY"))</f>
        <v/>
      </c>
      <c r="U3185" s="10" t="n"/>
      <c r="V3185" s="10" t="n"/>
      <c r="W3185" s="10" t="n"/>
      <c r="X3185" s="10" t="n"/>
      <c r="Y3185" s="10" t="n"/>
      <c r="Z3185" s="10" t="n"/>
      <c r="AA3185" s="11">
        <f>IF(A3185="","",IF(AND(J3185="P4",F3185="causal"),"P4-CAUSAL",""))</f>
        <v/>
      </c>
    </row>
    <row r="3186" ht="15" customHeight="1" s="1">
      <c r="P3186">
        <f>IF(OR(F3186="",H3186="",J3186=""),"",J3186&amp;"|"&amp;F3186&amp;"|"&amp;IF(H3186="W3","W3_"&amp;IF(I3186="","unknown",I3186),H3186))</f>
        <v/>
      </c>
      <c r="Q3186">
        <f>IF(P3186="","",IFERROR(IF(AND(H3186="W7",OR(F3186="causal",F3186="predictive")),IF(AND(OR(K3186=1,K3186="1"),OR(L3186=1,L3186="1"),OR(M3186=1,M3186="1")),"adequate","partial"),IF(AND(H3186="W4",F3186="predictive",OR(J3186="P2",J3186="P3",J3186="P4")),IF(OR(U3186=1,U3186="1"),"adequate","partial"),INDEX(Fit_Matrix!$B:$B,MATCH(P3186,Fit_Matrix!$A:$A,0)))),"CHECK KEY"))</f>
        <v/>
      </c>
      <c r="U3186" s="10" t="n"/>
      <c r="V3186" s="10" t="n"/>
      <c r="W3186" s="10" t="n"/>
      <c r="X3186" s="10" t="n"/>
      <c r="Y3186" s="10" t="n"/>
      <c r="Z3186" s="10" t="n"/>
      <c r="AA3186" s="11">
        <f>IF(A3186="","",IF(AND(J3186="P4",F3186="causal"),"P4-CAUSAL",""))</f>
        <v/>
      </c>
    </row>
    <row r="3187" ht="15" customHeight="1" s="1">
      <c r="P3187">
        <f>IF(OR(F3187="",H3187="",J3187=""),"",J3187&amp;"|"&amp;F3187&amp;"|"&amp;IF(H3187="W3","W3_"&amp;IF(I3187="","unknown",I3187),H3187))</f>
        <v/>
      </c>
      <c r="Q3187">
        <f>IF(P3187="","",IFERROR(IF(AND(H3187="W7",OR(F3187="causal",F3187="predictive")),IF(AND(OR(K3187=1,K3187="1"),OR(L3187=1,L3187="1"),OR(M3187=1,M3187="1")),"adequate","partial"),IF(AND(H3187="W4",F3187="predictive",OR(J3187="P2",J3187="P3",J3187="P4")),IF(OR(U3187=1,U3187="1"),"adequate","partial"),INDEX(Fit_Matrix!$B:$B,MATCH(P3187,Fit_Matrix!$A:$A,0)))),"CHECK KEY"))</f>
        <v/>
      </c>
      <c r="U3187" s="10" t="n"/>
      <c r="V3187" s="10" t="n"/>
      <c r="W3187" s="10" t="n"/>
      <c r="X3187" s="10" t="n"/>
      <c r="Y3187" s="10" t="n"/>
      <c r="Z3187" s="10" t="n"/>
      <c r="AA3187" s="11">
        <f>IF(A3187="","",IF(AND(J3187="P4",F3187="causal"),"P4-CAUSAL",""))</f>
        <v/>
      </c>
    </row>
    <row r="3188" ht="15" customHeight="1" s="1">
      <c r="P3188">
        <f>IF(OR(F3188="",H3188="",J3188=""),"",J3188&amp;"|"&amp;F3188&amp;"|"&amp;IF(H3188="W3","W3_"&amp;IF(I3188="","unknown",I3188),H3188))</f>
        <v/>
      </c>
      <c r="Q3188">
        <f>IF(P3188="","",IFERROR(IF(AND(H3188="W7",OR(F3188="causal",F3188="predictive")),IF(AND(OR(K3188=1,K3188="1"),OR(L3188=1,L3188="1"),OR(M3188=1,M3188="1")),"adequate","partial"),IF(AND(H3188="W4",F3188="predictive",OR(J3188="P2",J3188="P3",J3188="P4")),IF(OR(U3188=1,U3188="1"),"adequate","partial"),INDEX(Fit_Matrix!$B:$B,MATCH(P3188,Fit_Matrix!$A:$A,0)))),"CHECK KEY"))</f>
        <v/>
      </c>
      <c r="U3188" s="10" t="n"/>
      <c r="V3188" s="10" t="n"/>
      <c r="W3188" s="10" t="n"/>
      <c r="X3188" s="10" t="n"/>
      <c r="Y3188" s="10" t="n"/>
      <c r="Z3188" s="10" t="n"/>
      <c r="AA3188" s="11">
        <f>IF(A3188="","",IF(AND(J3188="P4",F3188="causal"),"P4-CAUSAL",""))</f>
        <v/>
      </c>
    </row>
    <row r="3189" ht="15" customHeight="1" s="1">
      <c r="P3189">
        <f>IF(OR(F3189="",H3189="",J3189=""),"",J3189&amp;"|"&amp;F3189&amp;"|"&amp;IF(H3189="W3","W3_"&amp;IF(I3189="","unknown",I3189),H3189))</f>
        <v/>
      </c>
      <c r="Q3189">
        <f>IF(P3189="","",IFERROR(IF(AND(H3189="W7",OR(F3189="causal",F3189="predictive")),IF(AND(OR(K3189=1,K3189="1"),OR(L3189=1,L3189="1"),OR(M3189=1,M3189="1")),"adequate","partial"),IF(AND(H3189="W4",F3189="predictive",OR(J3189="P2",J3189="P3",J3189="P4")),IF(OR(U3189=1,U3189="1"),"adequate","partial"),INDEX(Fit_Matrix!$B:$B,MATCH(P3189,Fit_Matrix!$A:$A,0)))),"CHECK KEY"))</f>
        <v/>
      </c>
      <c r="U3189" s="10" t="n"/>
      <c r="V3189" s="10" t="n"/>
      <c r="W3189" s="10" t="n"/>
      <c r="X3189" s="10" t="n"/>
      <c r="Y3189" s="10" t="n"/>
      <c r="Z3189" s="10" t="n"/>
      <c r="AA3189" s="11">
        <f>IF(A3189="","",IF(AND(J3189="P4",F3189="causal"),"P4-CAUSAL",""))</f>
        <v/>
      </c>
    </row>
    <row r="3190" ht="15" customHeight="1" s="1">
      <c r="P3190">
        <f>IF(OR(F3190="",H3190="",J3190=""),"",J3190&amp;"|"&amp;F3190&amp;"|"&amp;IF(H3190="W3","W3_"&amp;IF(I3190="","unknown",I3190),H3190))</f>
        <v/>
      </c>
      <c r="Q3190">
        <f>IF(P3190="","",IFERROR(IF(AND(H3190="W7",OR(F3190="causal",F3190="predictive")),IF(AND(OR(K3190=1,K3190="1"),OR(L3190=1,L3190="1"),OR(M3190=1,M3190="1")),"adequate","partial"),IF(AND(H3190="W4",F3190="predictive",OR(J3190="P2",J3190="P3",J3190="P4")),IF(OR(U3190=1,U3190="1"),"adequate","partial"),INDEX(Fit_Matrix!$B:$B,MATCH(P3190,Fit_Matrix!$A:$A,0)))),"CHECK KEY"))</f>
        <v/>
      </c>
      <c r="U3190" s="10" t="n"/>
      <c r="V3190" s="10" t="n"/>
      <c r="W3190" s="10" t="n"/>
      <c r="X3190" s="10" t="n"/>
      <c r="Y3190" s="10" t="n"/>
      <c r="Z3190" s="10" t="n"/>
      <c r="AA3190" s="11">
        <f>IF(A3190="","",IF(AND(J3190="P4",F3190="causal"),"P4-CAUSAL",""))</f>
        <v/>
      </c>
    </row>
    <row r="3191" ht="15" customHeight="1" s="1">
      <c r="P3191">
        <f>IF(OR(F3191="",H3191="",J3191=""),"",J3191&amp;"|"&amp;F3191&amp;"|"&amp;IF(H3191="W3","W3_"&amp;IF(I3191="","unknown",I3191),H3191))</f>
        <v/>
      </c>
      <c r="Q3191">
        <f>IF(P3191="","",IFERROR(IF(AND(H3191="W7",OR(F3191="causal",F3191="predictive")),IF(AND(OR(K3191=1,K3191="1"),OR(L3191=1,L3191="1"),OR(M3191=1,M3191="1")),"adequate","partial"),IF(AND(H3191="W4",F3191="predictive",OR(J3191="P2",J3191="P3",J3191="P4")),IF(OR(U3191=1,U3191="1"),"adequate","partial"),INDEX(Fit_Matrix!$B:$B,MATCH(P3191,Fit_Matrix!$A:$A,0)))),"CHECK KEY"))</f>
        <v/>
      </c>
      <c r="U3191" s="10" t="n"/>
      <c r="V3191" s="10" t="n"/>
      <c r="W3191" s="10" t="n"/>
      <c r="X3191" s="10" t="n"/>
      <c r="Y3191" s="10" t="n"/>
      <c r="Z3191" s="10" t="n"/>
      <c r="AA3191" s="11">
        <f>IF(A3191="","",IF(AND(J3191="P4",F3191="causal"),"P4-CAUSAL",""))</f>
        <v/>
      </c>
    </row>
    <row r="3192" ht="15" customHeight="1" s="1">
      <c r="P3192">
        <f>IF(OR(F3192="",H3192="",J3192=""),"",J3192&amp;"|"&amp;F3192&amp;"|"&amp;IF(H3192="W3","W3_"&amp;IF(I3192="","unknown",I3192),H3192))</f>
        <v/>
      </c>
      <c r="Q3192">
        <f>IF(P3192="","",IFERROR(IF(AND(H3192="W7",OR(F3192="causal",F3192="predictive")),IF(AND(OR(K3192=1,K3192="1"),OR(L3192=1,L3192="1"),OR(M3192=1,M3192="1")),"adequate","partial"),IF(AND(H3192="W4",F3192="predictive",OR(J3192="P2",J3192="P3",J3192="P4")),IF(OR(U3192=1,U3192="1"),"adequate","partial"),INDEX(Fit_Matrix!$B:$B,MATCH(P3192,Fit_Matrix!$A:$A,0)))),"CHECK KEY"))</f>
        <v/>
      </c>
      <c r="U3192" s="10" t="n"/>
      <c r="V3192" s="10" t="n"/>
      <c r="W3192" s="10" t="n"/>
      <c r="X3192" s="10" t="n"/>
      <c r="Y3192" s="10" t="n"/>
      <c r="Z3192" s="10" t="n"/>
      <c r="AA3192" s="11">
        <f>IF(A3192="","",IF(AND(J3192="P4",F3192="causal"),"P4-CAUSAL",""))</f>
        <v/>
      </c>
    </row>
    <row r="3193" ht="15" customHeight="1" s="1">
      <c r="P3193">
        <f>IF(OR(F3193="",H3193="",J3193=""),"",J3193&amp;"|"&amp;F3193&amp;"|"&amp;IF(H3193="W3","W3_"&amp;IF(I3193="","unknown",I3193),H3193))</f>
        <v/>
      </c>
      <c r="Q3193">
        <f>IF(P3193="","",IFERROR(IF(AND(H3193="W7",OR(F3193="causal",F3193="predictive")),IF(AND(OR(K3193=1,K3193="1"),OR(L3193=1,L3193="1"),OR(M3193=1,M3193="1")),"adequate","partial"),IF(AND(H3193="W4",F3193="predictive",OR(J3193="P2",J3193="P3",J3193="P4")),IF(OR(U3193=1,U3193="1"),"adequate","partial"),INDEX(Fit_Matrix!$B:$B,MATCH(P3193,Fit_Matrix!$A:$A,0)))),"CHECK KEY"))</f>
        <v/>
      </c>
      <c r="U3193" s="10" t="n"/>
      <c r="V3193" s="10" t="n"/>
      <c r="W3193" s="10" t="n"/>
      <c r="X3193" s="10" t="n"/>
      <c r="Y3193" s="10" t="n"/>
      <c r="Z3193" s="10" t="n"/>
      <c r="AA3193" s="11">
        <f>IF(A3193="","",IF(AND(J3193="P4",F3193="causal"),"P4-CAUSAL",""))</f>
        <v/>
      </c>
    </row>
    <row r="3194" ht="15" customHeight="1" s="1">
      <c r="P3194">
        <f>IF(OR(F3194="",H3194="",J3194=""),"",J3194&amp;"|"&amp;F3194&amp;"|"&amp;IF(H3194="W3","W3_"&amp;IF(I3194="","unknown",I3194),H3194))</f>
        <v/>
      </c>
      <c r="Q3194">
        <f>IF(P3194="","",IFERROR(IF(AND(H3194="W7",OR(F3194="causal",F3194="predictive")),IF(AND(OR(K3194=1,K3194="1"),OR(L3194=1,L3194="1"),OR(M3194=1,M3194="1")),"adequate","partial"),IF(AND(H3194="W4",F3194="predictive",OR(J3194="P2",J3194="P3",J3194="P4")),IF(OR(U3194=1,U3194="1"),"adequate","partial"),INDEX(Fit_Matrix!$B:$B,MATCH(P3194,Fit_Matrix!$A:$A,0)))),"CHECK KEY"))</f>
        <v/>
      </c>
      <c r="U3194" s="10" t="n"/>
      <c r="V3194" s="10" t="n"/>
      <c r="W3194" s="10" t="n"/>
      <c r="X3194" s="10" t="n"/>
      <c r="Y3194" s="10" t="n"/>
      <c r="Z3194" s="10" t="n"/>
      <c r="AA3194" s="11">
        <f>IF(A3194="","",IF(AND(J3194="P4",F3194="causal"),"P4-CAUSAL",""))</f>
        <v/>
      </c>
    </row>
    <row r="3195" ht="15" customHeight="1" s="1">
      <c r="P3195">
        <f>IF(OR(F3195="",H3195="",J3195=""),"",J3195&amp;"|"&amp;F3195&amp;"|"&amp;IF(H3195="W3","W3_"&amp;IF(I3195="","unknown",I3195),H3195))</f>
        <v/>
      </c>
      <c r="Q3195">
        <f>IF(P3195="","",IFERROR(IF(AND(H3195="W7",OR(F3195="causal",F3195="predictive")),IF(AND(OR(K3195=1,K3195="1"),OR(L3195=1,L3195="1"),OR(M3195=1,M3195="1")),"adequate","partial"),IF(AND(H3195="W4",F3195="predictive",OR(J3195="P2",J3195="P3",J3195="P4")),IF(OR(U3195=1,U3195="1"),"adequate","partial"),INDEX(Fit_Matrix!$B:$B,MATCH(P3195,Fit_Matrix!$A:$A,0)))),"CHECK KEY"))</f>
        <v/>
      </c>
      <c r="U3195" s="10" t="n"/>
      <c r="V3195" s="10" t="n"/>
      <c r="W3195" s="10" t="n"/>
      <c r="X3195" s="10" t="n"/>
      <c r="Y3195" s="10" t="n"/>
      <c r="Z3195" s="10" t="n"/>
      <c r="AA3195" s="11">
        <f>IF(A3195="","",IF(AND(J3195="P4",F3195="causal"),"P4-CAUSAL",""))</f>
        <v/>
      </c>
    </row>
    <row r="3196" ht="15" customHeight="1" s="1">
      <c r="P3196">
        <f>IF(OR(F3196="",H3196="",J3196=""),"",J3196&amp;"|"&amp;F3196&amp;"|"&amp;IF(H3196="W3","W3_"&amp;IF(I3196="","unknown",I3196),H3196))</f>
        <v/>
      </c>
      <c r="Q3196">
        <f>IF(P3196="","",IFERROR(IF(AND(H3196="W7",OR(F3196="causal",F3196="predictive")),IF(AND(OR(K3196=1,K3196="1"),OR(L3196=1,L3196="1"),OR(M3196=1,M3196="1")),"adequate","partial"),IF(AND(H3196="W4",F3196="predictive",OR(J3196="P2",J3196="P3",J3196="P4")),IF(OR(U3196=1,U3196="1"),"adequate","partial"),INDEX(Fit_Matrix!$B:$B,MATCH(P3196,Fit_Matrix!$A:$A,0)))),"CHECK KEY"))</f>
        <v/>
      </c>
      <c r="U3196" s="10" t="n"/>
      <c r="V3196" s="10" t="n"/>
      <c r="W3196" s="10" t="n"/>
      <c r="X3196" s="10" t="n"/>
      <c r="Y3196" s="10" t="n"/>
      <c r="Z3196" s="10" t="n"/>
      <c r="AA3196" s="11">
        <f>IF(A3196="","",IF(AND(J3196="P4",F3196="causal"),"P4-CAUSAL",""))</f>
        <v/>
      </c>
    </row>
    <row r="3197" ht="15" customHeight="1" s="1">
      <c r="P3197">
        <f>IF(OR(F3197="",H3197="",J3197=""),"",J3197&amp;"|"&amp;F3197&amp;"|"&amp;IF(H3197="W3","W3_"&amp;IF(I3197="","unknown",I3197),H3197))</f>
        <v/>
      </c>
      <c r="Q3197">
        <f>IF(P3197="","",IFERROR(IF(AND(H3197="W7",OR(F3197="causal",F3197="predictive")),IF(AND(OR(K3197=1,K3197="1"),OR(L3197=1,L3197="1"),OR(M3197=1,M3197="1")),"adequate","partial"),IF(AND(H3197="W4",F3197="predictive",OR(J3197="P2",J3197="P3",J3197="P4")),IF(OR(U3197=1,U3197="1"),"adequate","partial"),INDEX(Fit_Matrix!$B:$B,MATCH(P3197,Fit_Matrix!$A:$A,0)))),"CHECK KEY"))</f>
        <v/>
      </c>
      <c r="U3197" s="10" t="n"/>
      <c r="V3197" s="10" t="n"/>
      <c r="W3197" s="10" t="n"/>
      <c r="X3197" s="10" t="n"/>
      <c r="Y3197" s="10" t="n"/>
      <c r="Z3197" s="10" t="n"/>
      <c r="AA3197" s="11">
        <f>IF(A3197="","",IF(AND(J3197="P4",F3197="causal"),"P4-CAUSAL",""))</f>
        <v/>
      </c>
    </row>
    <row r="3198" ht="15" customHeight="1" s="1">
      <c r="P3198">
        <f>IF(OR(F3198="",H3198="",J3198=""),"",J3198&amp;"|"&amp;F3198&amp;"|"&amp;IF(H3198="W3","W3_"&amp;IF(I3198="","unknown",I3198),H3198))</f>
        <v/>
      </c>
      <c r="Q3198">
        <f>IF(P3198="","",IFERROR(IF(AND(H3198="W7",OR(F3198="causal",F3198="predictive")),IF(AND(OR(K3198=1,K3198="1"),OR(L3198=1,L3198="1"),OR(M3198=1,M3198="1")),"adequate","partial"),IF(AND(H3198="W4",F3198="predictive",OR(J3198="P2",J3198="P3",J3198="P4")),IF(OR(U3198=1,U3198="1"),"adequate","partial"),INDEX(Fit_Matrix!$B:$B,MATCH(P3198,Fit_Matrix!$A:$A,0)))),"CHECK KEY"))</f>
        <v/>
      </c>
      <c r="U3198" s="10" t="n"/>
      <c r="V3198" s="10" t="n"/>
      <c r="W3198" s="10" t="n"/>
      <c r="X3198" s="10" t="n"/>
      <c r="Y3198" s="10" t="n"/>
      <c r="Z3198" s="10" t="n"/>
      <c r="AA3198" s="11">
        <f>IF(A3198="","",IF(AND(J3198="P4",F3198="causal"),"P4-CAUSAL",""))</f>
        <v/>
      </c>
    </row>
    <row r="3199" ht="15" customHeight="1" s="1">
      <c r="P3199">
        <f>IF(OR(F3199="",H3199="",J3199=""),"",J3199&amp;"|"&amp;F3199&amp;"|"&amp;IF(H3199="W3","W3_"&amp;IF(I3199="","unknown",I3199),H3199))</f>
        <v/>
      </c>
      <c r="Q3199">
        <f>IF(P3199="","",IFERROR(IF(AND(H3199="W7",OR(F3199="causal",F3199="predictive")),IF(AND(OR(K3199=1,K3199="1"),OR(L3199=1,L3199="1"),OR(M3199=1,M3199="1")),"adequate","partial"),IF(AND(H3199="W4",F3199="predictive",OR(J3199="P2",J3199="P3",J3199="P4")),IF(OR(U3199=1,U3199="1"),"adequate","partial"),INDEX(Fit_Matrix!$B:$B,MATCH(P3199,Fit_Matrix!$A:$A,0)))),"CHECK KEY"))</f>
        <v/>
      </c>
      <c r="U3199" s="10" t="n"/>
      <c r="V3199" s="10" t="n"/>
      <c r="W3199" s="10" t="n"/>
      <c r="X3199" s="10" t="n"/>
      <c r="Y3199" s="10" t="n"/>
      <c r="Z3199" s="10" t="n"/>
      <c r="AA3199" s="11">
        <f>IF(A3199="","",IF(AND(J3199="P4",F3199="causal"),"P4-CAUSAL",""))</f>
        <v/>
      </c>
    </row>
    <row r="3200" ht="15" customHeight="1" s="1">
      <c r="P3200">
        <f>IF(OR(F3200="",H3200="",J3200=""),"",J3200&amp;"|"&amp;F3200&amp;"|"&amp;IF(H3200="W3","W3_"&amp;IF(I3200="","unknown",I3200),H3200))</f>
        <v/>
      </c>
      <c r="Q3200">
        <f>IF(P3200="","",IFERROR(IF(AND(H3200="W7",OR(F3200="causal",F3200="predictive")),IF(AND(OR(K3200=1,K3200="1"),OR(L3200=1,L3200="1"),OR(M3200=1,M3200="1")),"adequate","partial"),IF(AND(H3200="W4",F3200="predictive",OR(J3200="P2",J3200="P3",J3200="P4")),IF(OR(U3200=1,U3200="1"),"adequate","partial"),INDEX(Fit_Matrix!$B:$B,MATCH(P3200,Fit_Matrix!$A:$A,0)))),"CHECK KEY"))</f>
        <v/>
      </c>
      <c r="U3200" s="10" t="n"/>
      <c r="V3200" s="10" t="n"/>
      <c r="W3200" s="10" t="n"/>
      <c r="X3200" s="10" t="n"/>
      <c r="Y3200" s="10" t="n"/>
      <c r="Z3200" s="10" t="n"/>
      <c r="AA3200" s="11">
        <f>IF(A3200="","",IF(AND(J3200="P4",F3200="causal"),"P4-CAUSAL",""))</f>
        <v/>
      </c>
    </row>
    <row r="3201" ht="15" customHeight="1" s="1">
      <c r="P3201">
        <f>IF(OR(F3201="",H3201="",J3201=""),"",J3201&amp;"|"&amp;F3201&amp;"|"&amp;IF(H3201="W3","W3_"&amp;IF(I3201="","unknown",I3201),H3201))</f>
        <v/>
      </c>
      <c r="Q3201">
        <f>IF(P3201="","",IFERROR(IF(AND(H3201="W7",OR(F3201="causal",F3201="predictive")),IF(AND(OR(K3201=1,K3201="1"),OR(L3201=1,L3201="1"),OR(M3201=1,M3201="1")),"adequate","partial"),IF(AND(H3201="W4",F3201="predictive",OR(J3201="P2",J3201="P3",J3201="P4")),IF(OR(U3201=1,U3201="1"),"adequate","partial"),INDEX(Fit_Matrix!$B:$B,MATCH(P3201,Fit_Matrix!$A:$A,0)))),"CHECK KEY"))</f>
        <v/>
      </c>
      <c r="U3201" s="10" t="n"/>
      <c r="V3201" s="10" t="n"/>
      <c r="W3201" s="10" t="n"/>
      <c r="X3201" s="10" t="n"/>
      <c r="Y3201" s="10" t="n"/>
      <c r="Z3201" s="10" t="n"/>
      <c r="AA3201" s="11">
        <f>IF(A3201="","",IF(AND(J3201="P4",F3201="causal"),"P4-CAUSAL",""))</f>
        <v/>
      </c>
    </row>
    <row r="3202" ht="15" customHeight="1" s="1">
      <c r="P3202">
        <f>IF(OR(F3202="",H3202="",J3202=""),"",J3202&amp;"|"&amp;F3202&amp;"|"&amp;IF(H3202="W3","W3_"&amp;IF(I3202="","unknown",I3202),H3202))</f>
        <v/>
      </c>
      <c r="Q3202">
        <f>IF(P3202="","",IFERROR(IF(AND(H3202="W7",OR(F3202="causal",F3202="predictive")),IF(AND(OR(K3202=1,K3202="1"),OR(L3202=1,L3202="1"),OR(M3202=1,M3202="1")),"adequate","partial"),IF(AND(H3202="W4",F3202="predictive",OR(J3202="P2",J3202="P3",J3202="P4")),IF(OR(U3202=1,U3202="1"),"adequate","partial"),INDEX(Fit_Matrix!$B:$B,MATCH(P3202,Fit_Matrix!$A:$A,0)))),"CHECK KEY"))</f>
        <v/>
      </c>
      <c r="U3202" s="10" t="n"/>
      <c r="V3202" s="10" t="n"/>
      <c r="W3202" s="10" t="n"/>
      <c r="X3202" s="10" t="n"/>
      <c r="Y3202" s="10" t="n"/>
      <c r="Z3202" s="10" t="n"/>
      <c r="AA3202" s="11">
        <f>IF(A3202="","",IF(AND(J3202="P4",F3202="causal"),"P4-CAUSAL",""))</f>
        <v/>
      </c>
    </row>
    <row r="3203" ht="15" customHeight="1" s="1">
      <c r="P3203">
        <f>IF(OR(F3203="",H3203="",J3203=""),"",J3203&amp;"|"&amp;F3203&amp;"|"&amp;IF(H3203="W3","W3_"&amp;IF(I3203="","unknown",I3203),H3203))</f>
        <v/>
      </c>
      <c r="Q3203">
        <f>IF(P3203="","",IFERROR(IF(AND(H3203="W7",OR(F3203="causal",F3203="predictive")),IF(AND(OR(K3203=1,K3203="1"),OR(L3203=1,L3203="1"),OR(M3203=1,M3203="1")),"adequate","partial"),IF(AND(H3203="W4",F3203="predictive",OR(J3203="P2",J3203="P3",J3203="P4")),IF(OR(U3203=1,U3203="1"),"adequate","partial"),INDEX(Fit_Matrix!$B:$B,MATCH(P3203,Fit_Matrix!$A:$A,0)))),"CHECK KEY"))</f>
        <v/>
      </c>
      <c r="U3203" s="10" t="n"/>
      <c r="V3203" s="10" t="n"/>
      <c r="W3203" s="10" t="n"/>
      <c r="X3203" s="10" t="n"/>
      <c r="Y3203" s="10" t="n"/>
      <c r="Z3203" s="10" t="n"/>
      <c r="AA3203" s="11">
        <f>IF(A3203="","",IF(AND(J3203="P4",F3203="causal"),"P4-CAUSAL",""))</f>
        <v/>
      </c>
    </row>
    <row r="3204" ht="15" customHeight="1" s="1">
      <c r="P3204">
        <f>IF(OR(F3204="",H3204="",J3204=""),"",J3204&amp;"|"&amp;F3204&amp;"|"&amp;IF(H3204="W3","W3_"&amp;IF(I3204="","unknown",I3204),H3204))</f>
        <v/>
      </c>
      <c r="Q3204">
        <f>IF(P3204="","",IFERROR(IF(AND(H3204="W7",OR(F3204="causal",F3204="predictive")),IF(AND(OR(K3204=1,K3204="1"),OR(L3204=1,L3204="1"),OR(M3204=1,M3204="1")),"adequate","partial"),IF(AND(H3204="W4",F3204="predictive",OR(J3204="P2",J3204="P3",J3204="P4")),IF(OR(U3204=1,U3204="1"),"adequate","partial"),INDEX(Fit_Matrix!$B:$B,MATCH(P3204,Fit_Matrix!$A:$A,0)))),"CHECK KEY"))</f>
        <v/>
      </c>
      <c r="U3204" s="10" t="n"/>
      <c r="V3204" s="10" t="n"/>
      <c r="W3204" s="10" t="n"/>
      <c r="X3204" s="10" t="n"/>
      <c r="Y3204" s="10" t="n"/>
      <c r="Z3204" s="10" t="n"/>
      <c r="AA3204" s="11">
        <f>IF(A3204="","",IF(AND(J3204="P4",F3204="causal"),"P4-CAUSAL",""))</f>
        <v/>
      </c>
    </row>
    <row r="3205" ht="15" customHeight="1" s="1">
      <c r="P3205">
        <f>IF(OR(F3205="",H3205="",J3205=""),"",J3205&amp;"|"&amp;F3205&amp;"|"&amp;IF(H3205="W3","W3_"&amp;IF(I3205="","unknown",I3205),H3205))</f>
        <v/>
      </c>
      <c r="Q3205">
        <f>IF(P3205="","",IFERROR(IF(AND(H3205="W7",OR(F3205="causal",F3205="predictive")),IF(AND(OR(K3205=1,K3205="1"),OR(L3205=1,L3205="1"),OR(M3205=1,M3205="1")),"adequate","partial"),IF(AND(H3205="W4",F3205="predictive",OR(J3205="P2",J3205="P3",J3205="P4")),IF(OR(U3205=1,U3205="1"),"adequate","partial"),INDEX(Fit_Matrix!$B:$B,MATCH(P3205,Fit_Matrix!$A:$A,0)))),"CHECK KEY"))</f>
        <v/>
      </c>
      <c r="U3205" s="10" t="n"/>
      <c r="V3205" s="10" t="n"/>
      <c r="W3205" s="10" t="n"/>
      <c r="X3205" s="10" t="n"/>
      <c r="Y3205" s="10" t="n"/>
      <c r="Z3205" s="10" t="n"/>
      <c r="AA3205" s="11">
        <f>IF(A3205="","",IF(AND(J3205="P4",F3205="causal"),"P4-CAUSAL",""))</f>
        <v/>
      </c>
    </row>
    <row r="3206" ht="15" customHeight="1" s="1">
      <c r="P3206">
        <f>IF(OR(F3206="",H3206="",J3206=""),"",J3206&amp;"|"&amp;F3206&amp;"|"&amp;IF(H3206="W3","W3_"&amp;IF(I3206="","unknown",I3206),H3206))</f>
        <v/>
      </c>
      <c r="Q3206">
        <f>IF(P3206="","",IFERROR(IF(AND(H3206="W7",OR(F3206="causal",F3206="predictive")),IF(AND(OR(K3206=1,K3206="1"),OR(L3206=1,L3206="1"),OR(M3206=1,M3206="1")),"adequate","partial"),IF(AND(H3206="W4",F3206="predictive",OR(J3206="P2",J3206="P3",J3206="P4")),IF(OR(U3206=1,U3206="1"),"adequate","partial"),INDEX(Fit_Matrix!$B:$B,MATCH(P3206,Fit_Matrix!$A:$A,0)))),"CHECK KEY"))</f>
        <v/>
      </c>
      <c r="U3206" s="10" t="n"/>
      <c r="V3206" s="10" t="n"/>
      <c r="W3206" s="10" t="n"/>
      <c r="X3206" s="10" t="n"/>
      <c r="Y3206" s="10" t="n"/>
      <c r="Z3206" s="10" t="n"/>
      <c r="AA3206" s="11">
        <f>IF(A3206="","",IF(AND(J3206="P4",F3206="causal"),"P4-CAUSAL",""))</f>
        <v/>
      </c>
    </row>
    <row r="3207" ht="15" customHeight="1" s="1">
      <c r="P3207">
        <f>IF(OR(F3207="",H3207="",J3207=""),"",J3207&amp;"|"&amp;F3207&amp;"|"&amp;IF(H3207="W3","W3_"&amp;IF(I3207="","unknown",I3207),H3207))</f>
        <v/>
      </c>
      <c r="Q3207">
        <f>IF(P3207="","",IFERROR(IF(AND(H3207="W7",OR(F3207="causal",F3207="predictive")),IF(AND(OR(K3207=1,K3207="1"),OR(L3207=1,L3207="1"),OR(M3207=1,M3207="1")),"adequate","partial"),IF(AND(H3207="W4",F3207="predictive",OR(J3207="P2",J3207="P3",J3207="P4")),IF(OR(U3207=1,U3207="1"),"adequate","partial"),INDEX(Fit_Matrix!$B:$B,MATCH(P3207,Fit_Matrix!$A:$A,0)))),"CHECK KEY"))</f>
        <v/>
      </c>
      <c r="U3207" s="10" t="n"/>
      <c r="V3207" s="10" t="n"/>
      <c r="W3207" s="10" t="n"/>
      <c r="X3207" s="10" t="n"/>
      <c r="Y3207" s="10" t="n"/>
      <c r="Z3207" s="10" t="n"/>
      <c r="AA3207" s="11">
        <f>IF(A3207="","",IF(AND(J3207="P4",F3207="causal"),"P4-CAUSAL",""))</f>
        <v/>
      </c>
    </row>
    <row r="3208" ht="15" customHeight="1" s="1">
      <c r="P3208">
        <f>IF(OR(F3208="",H3208="",J3208=""),"",J3208&amp;"|"&amp;F3208&amp;"|"&amp;IF(H3208="W3","W3_"&amp;IF(I3208="","unknown",I3208),H3208))</f>
        <v/>
      </c>
      <c r="Q3208">
        <f>IF(P3208="","",IFERROR(IF(AND(H3208="W7",OR(F3208="causal",F3208="predictive")),IF(AND(OR(K3208=1,K3208="1"),OR(L3208=1,L3208="1"),OR(M3208=1,M3208="1")),"adequate","partial"),IF(AND(H3208="W4",F3208="predictive",OR(J3208="P2",J3208="P3",J3208="P4")),IF(OR(U3208=1,U3208="1"),"adequate","partial"),INDEX(Fit_Matrix!$B:$B,MATCH(P3208,Fit_Matrix!$A:$A,0)))),"CHECK KEY"))</f>
        <v/>
      </c>
      <c r="U3208" s="10" t="n"/>
      <c r="V3208" s="10" t="n"/>
      <c r="W3208" s="10" t="n"/>
      <c r="X3208" s="10" t="n"/>
      <c r="Y3208" s="10" t="n"/>
      <c r="Z3208" s="10" t="n"/>
      <c r="AA3208" s="11">
        <f>IF(A3208="","",IF(AND(J3208="P4",F3208="causal"),"P4-CAUSAL",""))</f>
        <v/>
      </c>
    </row>
    <row r="3209" ht="15" customHeight="1" s="1">
      <c r="P3209">
        <f>IF(OR(F3209="",H3209="",J3209=""),"",J3209&amp;"|"&amp;F3209&amp;"|"&amp;IF(H3209="W3","W3_"&amp;IF(I3209="","unknown",I3209),H3209))</f>
        <v/>
      </c>
      <c r="Q3209">
        <f>IF(P3209="","",IFERROR(IF(AND(H3209="W7",OR(F3209="causal",F3209="predictive")),IF(AND(OR(K3209=1,K3209="1"),OR(L3209=1,L3209="1"),OR(M3209=1,M3209="1")),"adequate","partial"),IF(AND(H3209="W4",F3209="predictive",OR(J3209="P2",J3209="P3",J3209="P4")),IF(OR(U3209=1,U3209="1"),"adequate","partial"),INDEX(Fit_Matrix!$B:$B,MATCH(P3209,Fit_Matrix!$A:$A,0)))),"CHECK KEY"))</f>
        <v/>
      </c>
      <c r="U3209" s="10" t="n"/>
      <c r="V3209" s="10" t="n"/>
      <c r="W3209" s="10" t="n"/>
      <c r="X3209" s="10" t="n"/>
      <c r="Y3209" s="10" t="n"/>
      <c r="Z3209" s="10" t="n"/>
      <c r="AA3209" s="11">
        <f>IF(A3209="","",IF(AND(J3209="P4",F3209="causal"),"P4-CAUSAL",""))</f>
        <v/>
      </c>
    </row>
    <row r="3210" ht="15" customHeight="1" s="1">
      <c r="P3210">
        <f>IF(OR(F3210="",H3210="",J3210=""),"",J3210&amp;"|"&amp;F3210&amp;"|"&amp;IF(H3210="W3","W3_"&amp;IF(I3210="","unknown",I3210),H3210))</f>
        <v/>
      </c>
      <c r="Q3210">
        <f>IF(P3210="","",IFERROR(IF(AND(H3210="W7",OR(F3210="causal",F3210="predictive")),IF(AND(OR(K3210=1,K3210="1"),OR(L3210=1,L3210="1"),OR(M3210=1,M3210="1")),"adequate","partial"),IF(AND(H3210="W4",F3210="predictive",OR(J3210="P2",J3210="P3",J3210="P4")),IF(OR(U3210=1,U3210="1"),"adequate","partial"),INDEX(Fit_Matrix!$B:$B,MATCH(P3210,Fit_Matrix!$A:$A,0)))),"CHECK KEY"))</f>
        <v/>
      </c>
      <c r="U3210" s="10" t="n"/>
      <c r="V3210" s="10" t="n"/>
      <c r="W3210" s="10" t="n"/>
      <c r="X3210" s="10" t="n"/>
      <c r="Y3210" s="10" t="n"/>
      <c r="Z3210" s="10" t="n"/>
      <c r="AA3210" s="11">
        <f>IF(A3210="","",IF(AND(J3210="P4",F3210="causal"),"P4-CAUSAL",""))</f>
        <v/>
      </c>
    </row>
    <row r="3211" ht="15" customHeight="1" s="1">
      <c r="P3211">
        <f>IF(OR(F3211="",H3211="",J3211=""),"",J3211&amp;"|"&amp;F3211&amp;"|"&amp;IF(H3211="W3","W3_"&amp;IF(I3211="","unknown",I3211),H3211))</f>
        <v/>
      </c>
      <c r="Q3211">
        <f>IF(P3211="","",IFERROR(IF(AND(H3211="W7",OR(F3211="causal",F3211="predictive")),IF(AND(OR(K3211=1,K3211="1"),OR(L3211=1,L3211="1"),OR(M3211=1,M3211="1")),"adequate","partial"),IF(AND(H3211="W4",F3211="predictive",OR(J3211="P2",J3211="P3",J3211="P4")),IF(OR(U3211=1,U3211="1"),"adequate","partial"),INDEX(Fit_Matrix!$B:$B,MATCH(P3211,Fit_Matrix!$A:$A,0)))),"CHECK KEY"))</f>
        <v/>
      </c>
      <c r="U3211" s="10" t="n"/>
      <c r="V3211" s="10" t="n"/>
      <c r="W3211" s="10" t="n"/>
      <c r="X3211" s="10" t="n"/>
      <c r="Y3211" s="10" t="n"/>
      <c r="Z3211" s="10" t="n"/>
      <c r="AA3211" s="11">
        <f>IF(A3211="","",IF(AND(J3211="P4",F3211="causal"),"P4-CAUSAL",""))</f>
        <v/>
      </c>
    </row>
    <row r="3212" ht="15" customHeight="1" s="1">
      <c r="P3212">
        <f>IF(OR(F3212="",H3212="",J3212=""),"",J3212&amp;"|"&amp;F3212&amp;"|"&amp;IF(H3212="W3","W3_"&amp;IF(I3212="","unknown",I3212),H3212))</f>
        <v/>
      </c>
      <c r="Q3212">
        <f>IF(P3212="","",IFERROR(IF(AND(H3212="W7",OR(F3212="causal",F3212="predictive")),IF(AND(OR(K3212=1,K3212="1"),OR(L3212=1,L3212="1"),OR(M3212=1,M3212="1")),"adequate","partial"),IF(AND(H3212="W4",F3212="predictive",OR(J3212="P2",J3212="P3",J3212="P4")),IF(OR(U3212=1,U3212="1"),"adequate","partial"),INDEX(Fit_Matrix!$B:$B,MATCH(P3212,Fit_Matrix!$A:$A,0)))),"CHECK KEY"))</f>
        <v/>
      </c>
      <c r="U3212" s="10" t="n"/>
      <c r="V3212" s="10" t="n"/>
      <c r="W3212" s="10" t="n"/>
      <c r="X3212" s="10" t="n"/>
      <c r="Y3212" s="10" t="n"/>
      <c r="Z3212" s="10" t="n"/>
      <c r="AA3212" s="11">
        <f>IF(A3212="","",IF(AND(J3212="P4",F3212="causal"),"P4-CAUSAL",""))</f>
        <v/>
      </c>
    </row>
    <row r="3213" ht="15" customHeight="1" s="1">
      <c r="P3213">
        <f>IF(OR(F3213="",H3213="",J3213=""),"",J3213&amp;"|"&amp;F3213&amp;"|"&amp;IF(H3213="W3","W3_"&amp;IF(I3213="","unknown",I3213),H3213))</f>
        <v/>
      </c>
      <c r="Q3213">
        <f>IF(P3213="","",IFERROR(IF(AND(H3213="W7",OR(F3213="causal",F3213="predictive")),IF(AND(OR(K3213=1,K3213="1"),OR(L3213=1,L3213="1"),OR(M3213=1,M3213="1")),"adequate","partial"),IF(AND(H3213="W4",F3213="predictive",OR(J3213="P2",J3213="P3",J3213="P4")),IF(OR(U3213=1,U3213="1"),"adequate","partial"),INDEX(Fit_Matrix!$B:$B,MATCH(P3213,Fit_Matrix!$A:$A,0)))),"CHECK KEY"))</f>
        <v/>
      </c>
      <c r="U3213" s="10" t="n"/>
      <c r="V3213" s="10" t="n"/>
      <c r="W3213" s="10" t="n"/>
      <c r="X3213" s="10" t="n"/>
      <c r="Y3213" s="10" t="n"/>
      <c r="Z3213" s="10" t="n"/>
      <c r="AA3213" s="11">
        <f>IF(A3213="","",IF(AND(J3213="P4",F3213="causal"),"P4-CAUSAL",""))</f>
        <v/>
      </c>
    </row>
    <row r="3214" ht="15" customHeight="1" s="1">
      <c r="P3214">
        <f>IF(OR(F3214="",H3214="",J3214=""),"",J3214&amp;"|"&amp;F3214&amp;"|"&amp;IF(H3214="W3","W3_"&amp;IF(I3214="","unknown",I3214),H3214))</f>
        <v/>
      </c>
      <c r="Q3214">
        <f>IF(P3214="","",IFERROR(IF(AND(H3214="W7",OR(F3214="causal",F3214="predictive")),IF(AND(OR(K3214=1,K3214="1"),OR(L3214=1,L3214="1"),OR(M3214=1,M3214="1")),"adequate","partial"),IF(AND(H3214="W4",F3214="predictive",OR(J3214="P2",J3214="P3",J3214="P4")),IF(OR(U3214=1,U3214="1"),"adequate","partial"),INDEX(Fit_Matrix!$B:$B,MATCH(P3214,Fit_Matrix!$A:$A,0)))),"CHECK KEY"))</f>
        <v/>
      </c>
      <c r="U3214" s="10" t="n"/>
      <c r="V3214" s="10" t="n"/>
      <c r="W3214" s="10" t="n"/>
      <c r="X3214" s="10" t="n"/>
      <c r="Y3214" s="10" t="n"/>
      <c r="Z3214" s="10" t="n"/>
      <c r="AA3214" s="11">
        <f>IF(A3214="","",IF(AND(J3214="P4",F3214="causal"),"P4-CAUSAL",""))</f>
        <v/>
      </c>
    </row>
    <row r="3215" ht="15" customHeight="1" s="1">
      <c r="P3215">
        <f>IF(OR(F3215="",H3215="",J3215=""),"",J3215&amp;"|"&amp;F3215&amp;"|"&amp;IF(H3215="W3","W3_"&amp;IF(I3215="","unknown",I3215),H3215))</f>
        <v/>
      </c>
      <c r="Q3215">
        <f>IF(P3215="","",IFERROR(IF(AND(H3215="W7",OR(F3215="causal",F3215="predictive")),IF(AND(OR(K3215=1,K3215="1"),OR(L3215=1,L3215="1"),OR(M3215=1,M3215="1")),"adequate","partial"),IF(AND(H3215="W4",F3215="predictive",OR(J3215="P2",J3215="P3",J3215="P4")),IF(OR(U3215=1,U3215="1"),"adequate","partial"),INDEX(Fit_Matrix!$B:$B,MATCH(P3215,Fit_Matrix!$A:$A,0)))),"CHECK KEY"))</f>
        <v/>
      </c>
      <c r="U3215" s="10" t="n"/>
      <c r="V3215" s="10" t="n"/>
      <c r="W3215" s="10" t="n"/>
      <c r="X3215" s="10" t="n"/>
      <c r="Y3215" s="10" t="n"/>
      <c r="Z3215" s="10" t="n"/>
      <c r="AA3215" s="11">
        <f>IF(A3215="","",IF(AND(J3215="P4",F3215="causal"),"P4-CAUSAL",""))</f>
        <v/>
      </c>
    </row>
    <row r="3216" ht="15" customHeight="1" s="1">
      <c r="P3216">
        <f>IF(OR(F3216="",H3216="",J3216=""),"",J3216&amp;"|"&amp;F3216&amp;"|"&amp;IF(H3216="W3","W3_"&amp;IF(I3216="","unknown",I3216),H3216))</f>
        <v/>
      </c>
      <c r="Q3216">
        <f>IF(P3216="","",IFERROR(IF(AND(H3216="W7",OR(F3216="causal",F3216="predictive")),IF(AND(OR(K3216=1,K3216="1"),OR(L3216=1,L3216="1"),OR(M3216=1,M3216="1")),"adequate","partial"),IF(AND(H3216="W4",F3216="predictive",OR(J3216="P2",J3216="P3",J3216="P4")),IF(OR(U3216=1,U3216="1"),"adequate","partial"),INDEX(Fit_Matrix!$B:$B,MATCH(P3216,Fit_Matrix!$A:$A,0)))),"CHECK KEY"))</f>
        <v/>
      </c>
      <c r="U3216" s="10" t="n"/>
      <c r="V3216" s="10" t="n"/>
      <c r="W3216" s="10" t="n"/>
      <c r="X3216" s="10" t="n"/>
      <c r="Y3216" s="10" t="n"/>
      <c r="Z3216" s="10" t="n"/>
      <c r="AA3216" s="11">
        <f>IF(A3216="","",IF(AND(J3216="P4",F3216="causal"),"P4-CAUSAL",""))</f>
        <v/>
      </c>
    </row>
    <row r="3217" ht="15" customHeight="1" s="1">
      <c r="P3217">
        <f>IF(OR(F3217="",H3217="",J3217=""),"",J3217&amp;"|"&amp;F3217&amp;"|"&amp;IF(H3217="W3","W3_"&amp;IF(I3217="","unknown",I3217),H3217))</f>
        <v/>
      </c>
      <c r="Q3217">
        <f>IF(P3217="","",IFERROR(IF(AND(H3217="W7",OR(F3217="causal",F3217="predictive")),IF(AND(OR(K3217=1,K3217="1"),OR(L3217=1,L3217="1"),OR(M3217=1,M3217="1")),"adequate","partial"),IF(AND(H3217="W4",F3217="predictive",OR(J3217="P2",J3217="P3",J3217="P4")),IF(OR(U3217=1,U3217="1"),"adequate","partial"),INDEX(Fit_Matrix!$B:$B,MATCH(P3217,Fit_Matrix!$A:$A,0)))),"CHECK KEY"))</f>
        <v/>
      </c>
      <c r="U3217" s="10" t="n"/>
      <c r="V3217" s="10" t="n"/>
      <c r="W3217" s="10" t="n"/>
      <c r="X3217" s="10" t="n"/>
      <c r="Y3217" s="10" t="n"/>
      <c r="Z3217" s="10" t="n"/>
      <c r="AA3217" s="11">
        <f>IF(A3217="","",IF(AND(J3217="P4",F3217="causal"),"P4-CAUSAL",""))</f>
        <v/>
      </c>
    </row>
    <row r="3218" ht="15" customHeight="1" s="1">
      <c r="P3218">
        <f>IF(OR(F3218="",H3218="",J3218=""),"",J3218&amp;"|"&amp;F3218&amp;"|"&amp;IF(H3218="W3","W3_"&amp;IF(I3218="","unknown",I3218),H3218))</f>
        <v/>
      </c>
      <c r="Q3218">
        <f>IF(P3218="","",IFERROR(IF(AND(H3218="W7",OR(F3218="causal",F3218="predictive")),IF(AND(OR(K3218=1,K3218="1"),OR(L3218=1,L3218="1"),OR(M3218=1,M3218="1")),"adequate","partial"),IF(AND(H3218="W4",F3218="predictive",OR(J3218="P2",J3218="P3",J3218="P4")),IF(OR(U3218=1,U3218="1"),"adequate","partial"),INDEX(Fit_Matrix!$B:$B,MATCH(P3218,Fit_Matrix!$A:$A,0)))),"CHECK KEY"))</f>
        <v/>
      </c>
      <c r="U3218" s="10" t="n"/>
      <c r="V3218" s="10" t="n"/>
      <c r="W3218" s="10" t="n"/>
      <c r="X3218" s="10" t="n"/>
      <c r="Y3218" s="10" t="n"/>
      <c r="Z3218" s="10" t="n"/>
      <c r="AA3218" s="11">
        <f>IF(A3218="","",IF(AND(J3218="P4",F3218="causal"),"P4-CAUSAL",""))</f>
        <v/>
      </c>
    </row>
    <row r="3219" ht="15" customHeight="1" s="1">
      <c r="P3219">
        <f>IF(OR(F3219="",H3219="",J3219=""),"",J3219&amp;"|"&amp;F3219&amp;"|"&amp;IF(H3219="W3","W3_"&amp;IF(I3219="","unknown",I3219),H3219))</f>
        <v/>
      </c>
      <c r="Q3219">
        <f>IF(P3219="","",IFERROR(IF(AND(H3219="W7",OR(F3219="causal",F3219="predictive")),IF(AND(OR(K3219=1,K3219="1"),OR(L3219=1,L3219="1"),OR(M3219=1,M3219="1")),"adequate","partial"),IF(AND(H3219="W4",F3219="predictive",OR(J3219="P2",J3219="P3",J3219="P4")),IF(OR(U3219=1,U3219="1"),"adequate","partial"),INDEX(Fit_Matrix!$B:$B,MATCH(P3219,Fit_Matrix!$A:$A,0)))),"CHECK KEY"))</f>
        <v/>
      </c>
      <c r="U3219" s="10" t="n"/>
      <c r="V3219" s="10" t="n"/>
      <c r="W3219" s="10" t="n"/>
      <c r="X3219" s="10" t="n"/>
      <c r="Y3219" s="10" t="n"/>
      <c r="Z3219" s="10" t="n"/>
      <c r="AA3219" s="11">
        <f>IF(A3219="","",IF(AND(J3219="P4",F3219="causal"),"P4-CAUSAL",""))</f>
        <v/>
      </c>
    </row>
    <row r="3220" ht="15" customHeight="1" s="1">
      <c r="P3220">
        <f>IF(OR(F3220="",H3220="",J3220=""),"",J3220&amp;"|"&amp;F3220&amp;"|"&amp;IF(H3220="W3","W3_"&amp;IF(I3220="","unknown",I3220),H3220))</f>
        <v/>
      </c>
      <c r="Q3220">
        <f>IF(P3220="","",IFERROR(IF(AND(H3220="W7",OR(F3220="causal",F3220="predictive")),IF(AND(OR(K3220=1,K3220="1"),OR(L3220=1,L3220="1"),OR(M3220=1,M3220="1")),"adequate","partial"),IF(AND(H3220="W4",F3220="predictive",OR(J3220="P2",J3220="P3",J3220="P4")),IF(OR(U3220=1,U3220="1"),"adequate","partial"),INDEX(Fit_Matrix!$B:$B,MATCH(P3220,Fit_Matrix!$A:$A,0)))),"CHECK KEY"))</f>
        <v/>
      </c>
      <c r="U3220" s="10" t="n"/>
      <c r="V3220" s="10" t="n"/>
      <c r="W3220" s="10" t="n"/>
      <c r="X3220" s="10" t="n"/>
      <c r="Y3220" s="10" t="n"/>
      <c r="Z3220" s="10" t="n"/>
      <c r="AA3220" s="11">
        <f>IF(A3220="","",IF(AND(J3220="P4",F3220="causal"),"P4-CAUSAL",""))</f>
        <v/>
      </c>
    </row>
    <row r="3221" ht="15" customHeight="1" s="1">
      <c r="P3221">
        <f>IF(OR(F3221="",H3221="",J3221=""),"",J3221&amp;"|"&amp;F3221&amp;"|"&amp;IF(H3221="W3","W3_"&amp;IF(I3221="","unknown",I3221),H3221))</f>
        <v/>
      </c>
      <c r="Q3221">
        <f>IF(P3221="","",IFERROR(IF(AND(H3221="W7",OR(F3221="causal",F3221="predictive")),IF(AND(OR(K3221=1,K3221="1"),OR(L3221=1,L3221="1"),OR(M3221=1,M3221="1")),"adequate","partial"),IF(AND(H3221="W4",F3221="predictive",OR(J3221="P2",J3221="P3",J3221="P4")),IF(OR(U3221=1,U3221="1"),"adequate","partial"),INDEX(Fit_Matrix!$B:$B,MATCH(P3221,Fit_Matrix!$A:$A,0)))),"CHECK KEY"))</f>
        <v/>
      </c>
      <c r="U3221" s="10" t="n"/>
      <c r="V3221" s="10" t="n"/>
      <c r="W3221" s="10" t="n"/>
      <c r="X3221" s="10" t="n"/>
      <c r="Y3221" s="10" t="n"/>
      <c r="Z3221" s="10" t="n"/>
      <c r="AA3221" s="11">
        <f>IF(A3221="","",IF(AND(J3221="P4",F3221="causal"),"P4-CAUSAL",""))</f>
        <v/>
      </c>
    </row>
    <row r="3222" ht="15" customHeight="1" s="1">
      <c r="P3222">
        <f>IF(OR(F3222="",H3222="",J3222=""),"",J3222&amp;"|"&amp;F3222&amp;"|"&amp;IF(H3222="W3","W3_"&amp;IF(I3222="","unknown",I3222),H3222))</f>
        <v/>
      </c>
      <c r="Q3222">
        <f>IF(P3222="","",IFERROR(IF(AND(H3222="W7",OR(F3222="causal",F3222="predictive")),IF(AND(OR(K3222=1,K3222="1"),OR(L3222=1,L3222="1"),OR(M3222=1,M3222="1")),"adequate","partial"),IF(AND(H3222="W4",F3222="predictive",OR(J3222="P2",J3222="P3",J3222="P4")),IF(OR(U3222=1,U3222="1"),"adequate","partial"),INDEX(Fit_Matrix!$B:$B,MATCH(P3222,Fit_Matrix!$A:$A,0)))),"CHECK KEY"))</f>
        <v/>
      </c>
      <c r="U3222" s="10" t="n"/>
      <c r="V3222" s="10" t="n"/>
      <c r="W3222" s="10" t="n"/>
      <c r="X3222" s="10" t="n"/>
      <c r="Y3222" s="10" t="n"/>
      <c r="Z3222" s="10" t="n"/>
      <c r="AA3222" s="11">
        <f>IF(A3222="","",IF(AND(J3222="P4",F3222="causal"),"P4-CAUSAL",""))</f>
        <v/>
      </c>
    </row>
    <row r="3223" ht="15" customHeight="1" s="1">
      <c r="P3223">
        <f>IF(OR(F3223="",H3223="",J3223=""),"",J3223&amp;"|"&amp;F3223&amp;"|"&amp;IF(H3223="W3","W3_"&amp;IF(I3223="","unknown",I3223),H3223))</f>
        <v/>
      </c>
      <c r="Q3223">
        <f>IF(P3223="","",IFERROR(IF(AND(H3223="W7",OR(F3223="causal",F3223="predictive")),IF(AND(OR(K3223=1,K3223="1"),OR(L3223=1,L3223="1"),OR(M3223=1,M3223="1")),"adequate","partial"),IF(AND(H3223="W4",F3223="predictive",OR(J3223="P2",J3223="P3",J3223="P4")),IF(OR(U3223=1,U3223="1"),"adequate","partial"),INDEX(Fit_Matrix!$B:$B,MATCH(P3223,Fit_Matrix!$A:$A,0)))),"CHECK KEY"))</f>
        <v/>
      </c>
      <c r="U3223" s="10" t="n"/>
      <c r="V3223" s="10" t="n"/>
      <c r="W3223" s="10" t="n"/>
      <c r="X3223" s="10" t="n"/>
      <c r="Y3223" s="10" t="n"/>
      <c r="Z3223" s="10" t="n"/>
      <c r="AA3223" s="11">
        <f>IF(A3223="","",IF(AND(J3223="P4",F3223="causal"),"P4-CAUSAL",""))</f>
        <v/>
      </c>
    </row>
    <row r="3224" ht="15" customHeight="1" s="1">
      <c r="P3224">
        <f>IF(OR(F3224="",H3224="",J3224=""),"",J3224&amp;"|"&amp;F3224&amp;"|"&amp;IF(H3224="W3","W3_"&amp;IF(I3224="","unknown",I3224),H3224))</f>
        <v/>
      </c>
      <c r="Q3224">
        <f>IF(P3224="","",IFERROR(IF(AND(H3224="W7",OR(F3224="causal",F3224="predictive")),IF(AND(OR(K3224=1,K3224="1"),OR(L3224=1,L3224="1"),OR(M3224=1,M3224="1")),"adequate","partial"),IF(AND(H3224="W4",F3224="predictive",OR(J3224="P2",J3224="P3",J3224="P4")),IF(OR(U3224=1,U3224="1"),"adequate","partial"),INDEX(Fit_Matrix!$B:$B,MATCH(P3224,Fit_Matrix!$A:$A,0)))),"CHECK KEY"))</f>
        <v/>
      </c>
      <c r="U3224" s="10" t="n"/>
      <c r="V3224" s="10" t="n"/>
      <c r="W3224" s="10" t="n"/>
      <c r="X3224" s="10" t="n"/>
      <c r="Y3224" s="10" t="n"/>
      <c r="Z3224" s="10" t="n"/>
      <c r="AA3224" s="11">
        <f>IF(A3224="","",IF(AND(J3224="P4",F3224="causal"),"P4-CAUSAL",""))</f>
        <v/>
      </c>
    </row>
    <row r="3225" ht="15" customHeight="1" s="1">
      <c r="P3225">
        <f>IF(OR(F3225="",H3225="",J3225=""),"",J3225&amp;"|"&amp;F3225&amp;"|"&amp;IF(H3225="W3","W3_"&amp;IF(I3225="","unknown",I3225),H3225))</f>
        <v/>
      </c>
      <c r="Q3225">
        <f>IF(P3225="","",IFERROR(IF(AND(H3225="W7",OR(F3225="causal",F3225="predictive")),IF(AND(OR(K3225=1,K3225="1"),OR(L3225=1,L3225="1"),OR(M3225=1,M3225="1")),"adequate","partial"),IF(AND(H3225="W4",F3225="predictive",OR(J3225="P2",J3225="P3",J3225="P4")),IF(OR(U3225=1,U3225="1"),"adequate","partial"),INDEX(Fit_Matrix!$B:$B,MATCH(P3225,Fit_Matrix!$A:$A,0)))),"CHECK KEY"))</f>
        <v/>
      </c>
      <c r="U3225" s="10" t="n"/>
      <c r="V3225" s="10" t="n"/>
      <c r="W3225" s="10" t="n"/>
      <c r="X3225" s="10" t="n"/>
      <c r="Y3225" s="10" t="n"/>
      <c r="Z3225" s="10" t="n"/>
      <c r="AA3225" s="11">
        <f>IF(A3225="","",IF(AND(J3225="P4",F3225="causal"),"P4-CAUSAL",""))</f>
        <v/>
      </c>
    </row>
    <row r="3226" ht="15" customHeight="1" s="1">
      <c r="P3226">
        <f>IF(OR(F3226="",H3226="",J3226=""),"",J3226&amp;"|"&amp;F3226&amp;"|"&amp;IF(H3226="W3","W3_"&amp;IF(I3226="","unknown",I3226),H3226))</f>
        <v/>
      </c>
      <c r="Q3226">
        <f>IF(P3226="","",IFERROR(IF(AND(H3226="W7",OR(F3226="causal",F3226="predictive")),IF(AND(OR(K3226=1,K3226="1"),OR(L3226=1,L3226="1"),OR(M3226=1,M3226="1")),"adequate","partial"),IF(AND(H3226="W4",F3226="predictive",OR(J3226="P2",J3226="P3",J3226="P4")),IF(OR(U3226=1,U3226="1"),"adequate","partial"),INDEX(Fit_Matrix!$B:$B,MATCH(P3226,Fit_Matrix!$A:$A,0)))),"CHECK KEY"))</f>
        <v/>
      </c>
      <c r="U3226" s="10" t="n"/>
      <c r="V3226" s="10" t="n"/>
      <c r="W3226" s="10" t="n"/>
      <c r="X3226" s="10" t="n"/>
      <c r="Y3226" s="10" t="n"/>
      <c r="Z3226" s="10" t="n"/>
      <c r="AA3226" s="11">
        <f>IF(A3226="","",IF(AND(J3226="P4",F3226="causal"),"P4-CAUSAL",""))</f>
        <v/>
      </c>
    </row>
    <row r="3227" ht="15" customHeight="1" s="1">
      <c r="P3227">
        <f>IF(OR(F3227="",H3227="",J3227=""),"",J3227&amp;"|"&amp;F3227&amp;"|"&amp;IF(H3227="W3","W3_"&amp;IF(I3227="","unknown",I3227),H3227))</f>
        <v/>
      </c>
      <c r="Q3227">
        <f>IF(P3227="","",IFERROR(IF(AND(H3227="W7",OR(F3227="causal",F3227="predictive")),IF(AND(OR(K3227=1,K3227="1"),OR(L3227=1,L3227="1"),OR(M3227=1,M3227="1")),"adequate","partial"),IF(AND(H3227="W4",F3227="predictive",OR(J3227="P2",J3227="P3",J3227="P4")),IF(OR(U3227=1,U3227="1"),"adequate","partial"),INDEX(Fit_Matrix!$B:$B,MATCH(P3227,Fit_Matrix!$A:$A,0)))),"CHECK KEY"))</f>
        <v/>
      </c>
      <c r="U3227" s="10" t="n"/>
      <c r="V3227" s="10" t="n"/>
      <c r="W3227" s="10" t="n"/>
      <c r="X3227" s="10" t="n"/>
      <c r="Y3227" s="10" t="n"/>
      <c r="Z3227" s="10" t="n"/>
      <c r="AA3227" s="11">
        <f>IF(A3227="","",IF(AND(J3227="P4",F3227="causal"),"P4-CAUSAL",""))</f>
        <v/>
      </c>
    </row>
    <row r="3228" ht="15" customHeight="1" s="1">
      <c r="P3228">
        <f>IF(OR(F3228="",H3228="",J3228=""),"",J3228&amp;"|"&amp;F3228&amp;"|"&amp;IF(H3228="W3","W3_"&amp;IF(I3228="","unknown",I3228),H3228))</f>
        <v/>
      </c>
      <c r="Q3228">
        <f>IF(P3228="","",IFERROR(IF(AND(H3228="W7",OR(F3228="causal",F3228="predictive")),IF(AND(OR(K3228=1,K3228="1"),OR(L3228=1,L3228="1"),OR(M3228=1,M3228="1")),"adequate","partial"),IF(AND(H3228="W4",F3228="predictive",OR(J3228="P2",J3228="P3",J3228="P4")),IF(OR(U3228=1,U3228="1"),"adequate","partial"),INDEX(Fit_Matrix!$B:$B,MATCH(P3228,Fit_Matrix!$A:$A,0)))),"CHECK KEY"))</f>
        <v/>
      </c>
      <c r="U3228" s="10" t="n"/>
      <c r="V3228" s="10" t="n"/>
      <c r="W3228" s="10" t="n"/>
      <c r="X3228" s="10" t="n"/>
      <c r="Y3228" s="10" t="n"/>
      <c r="Z3228" s="10" t="n"/>
      <c r="AA3228" s="11">
        <f>IF(A3228="","",IF(AND(J3228="P4",F3228="causal"),"P4-CAUSAL",""))</f>
        <v/>
      </c>
    </row>
    <row r="3229" ht="15" customHeight="1" s="1">
      <c r="P3229">
        <f>IF(OR(F3229="",H3229="",J3229=""),"",J3229&amp;"|"&amp;F3229&amp;"|"&amp;IF(H3229="W3","W3_"&amp;IF(I3229="","unknown",I3229),H3229))</f>
        <v/>
      </c>
      <c r="Q3229">
        <f>IF(P3229="","",IFERROR(IF(AND(H3229="W7",OR(F3229="causal",F3229="predictive")),IF(AND(OR(K3229=1,K3229="1"),OR(L3229=1,L3229="1"),OR(M3229=1,M3229="1")),"adequate","partial"),IF(AND(H3229="W4",F3229="predictive",OR(J3229="P2",J3229="P3",J3229="P4")),IF(OR(U3229=1,U3229="1"),"adequate","partial"),INDEX(Fit_Matrix!$B:$B,MATCH(P3229,Fit_Matrix!$A:$A,0)))),"CHECK KEY"))</f>
        <v/>
      </c>
      <c r="U3229" s="10" t="n"/>
      <c r="V3229" s="10" t="n"/>
      <c r="W3229" s="10" t="n"/>
      <c r="X3229" s="10" t="n"/>
      <c r="Y3229" s="10" t="n"/>
      <c r="Z3229" s="10" t="n"/>
      <c r="AA3229" s="11">
        <f>IF(A3229="","",IF(AND(J3229="P4",F3229="causal"),"P4-CAUSAL",""))</f>
        <v/>
      </c>
    </row>
    <row r="3230" ht="15" customHeight="1" s="1">
      <c r="P3230">
        <f>IF(OR(F3230="",H3230="",J3230=""),"",J3230&amp;"|"&amp;F3230&amp;"|"&amp;IF(H3230="W3","W3_"&amp;IF(I3230="","unknown",I3230),H3230))</f>
        <v/>
      </c>
      <c r="Q3230">
        <f>IF(P3230="","",IFERROR(IF(AND(H3230="W7",OR(F3230="causal",F3230="predictive")),IF(AND(OR(K3230=1,K3230="1"),OR(L3230=1,L3230="1"),OR(M3230=1,M3230="1")),"adequate","partial"),IF(AND(H3230="W4",F3230="predictive",OR(J3230="P2",J3230="P3",J3230="P4")),IF(OR(U3230=1,U3230="1"),"adequate","partial"),INDEX(Fit_Matrix!$B:$B,MATCH(P3230,Fit_Matrix!$A:$A,0)))),"CHECK KEY"))</f>
        <v/>
      </c>
      <c r="U3230" s="10" t="n"/>
      <c r="V3230" s="10" t="n"/>
      <c r="W3230" s="10" t="n"/>
      <c r="X3230" s="10" t="n"/>
      <c r="Y3230" s="10" t="n"/>
      <c r="Z3230" s="10" t="n"/>
      <c r="AA3230" s="11">
        <f>IF(A3230="","",IF(AND(J3230="P4",F3230="causal"),"P4-CAUSAL",""))</f>
        <v/>
      </c>
    </row>
    <row r="3231" ht="15" customHeight="1" s="1">
      <c r="P3231">
        <f>IF(OR(F3231="",H3231="",J3231=""),"",J3231&amp;"|"&amp;F3231&amp;"|"&amp;IF(H3231="W3","W3_"&amp;IF(I3231="","unknown",I3231),H3231))</f>
        <v/>
      </c>
      <c r="Q3231">
        <f>IF(P3231="","",IFERROR(IF(AND(H3231="W7",OR(F3231="causal",F3231="predictive")),IF(AND(OR(K3231=1,K3231="1"),OR(L3231=1,L3231="1"),OR(M3231=1,M3231="1")),"adequate","partial"),IF(AND(H3231="W4",F3231="predictive",OR(J3231="P2",J3231="P3",J3231="P4")),IF(OR(U3231=1,U3231="1"),"adequate","partial"),INDEX(Fit_Matrix!$B:$B,MATCH(P3231,Fit_Matrix!$A:$A,0)))),"CHECK KEY"))</f>
        <v/>
      </c>
      <c r="U3231" s="10" t="n"/>
      <c r="V3231" s="10" t="n"/>
      <c r="W3231" s="10" t="n"/>
      <c r="X3231" s="10" t="n"/>
      <c r="Y3231" s="10" t="n"/>
      <c r="Z3231" s="10" t="n"/>
      <c r="AA3231" s="11">
        <f>IF(A3231="","",IF(AND(J3231="P4",F3231="causal"),"P4-CAUSAL",""))</f>
        <v/>
      </c>
    </row>
    <row r="3232" ht="15" customHeight="1" s="1">
      <c r="P3232">
        <f>IF(OR(F3232="",H3232="",J3232=""),"",J3232&amp;"|"&amp;F3232&amp;"|"&amp;IF(H3232="W3","W3_"&amp;IF(I3232="","unknown",I3232),H3232))</f>
        <v/>
      </c>
      <c r="Q3232">
        <f>IF(P3232="","",IFERROR(IF(AND(H3232="W7",OR(F3232="causal",F3232="predictive")),IF(AND(OR(K3232=1,K3232="1"),OR(L3232=1,L3232="1"),OR(M3232=1,M3232="1")),"adequate","partial"),IF(AND(H3232="W4",F3232="predictive",OR(J3232="P2",J3232="P3",J3232="P4")),IF(OR(U3232=1,U3232="1"),"adequate","partial"),INDEX(Fit_Matrix!$B:$B,MATCH(P3232,Fit_Matrix!$A:$A,0)))),"CHECK KEY"))</f>
        <v/>
      </c>
      <c r="U3232" s="10" t="n"/>
      <c r="V3232" s="10" t="n"/>
      <c r="W3232" s="10" t="n"/>
      <c r="X3232" s="10" t="n"/>
      <c r="Y3232" s="10" t="n"/>
      <c r="Z3232" s="10" t="n"/>
      <c r="AA3232" s="11">
        <f>IF(A3232="","",IF(AND(J3232="P4",F3232="causal"),"P4-CAUSAL",""))</f>
        <v/>
      </c>
    </row>
    <row r="3233" ht="15" customHeight="1" s="1">
      <c r="P3233">
        <f>IF(OR(F3233="",H3233="",J3233=""),"",J3233&amp;"|"&amp;F3233&amp;"|"&amp;IF(H3233="W3","W3_"&amp;IF(I3233="","unknown",I3233),H3233))</f>
        <v/>
      </c>
      <c r="Q3233">
        <f>IF(P3233="","",IFERROR(IF(AND(H3233="W7",OR(F3233="causal",F3233="predictive")),IF(AND(OR(K3233=1,K3233="1"),OR(L3233=1,L3233="1"),OR(M3233=1,M3233="1")),"adequate","partial"),IF(AND(H3233="W4",F3233="predictive",OR(J3233="P2",J3233="P3",J3233="P4")),IF(OR(U3233=1,U3233="1"),"adequate","partial"),INDEX(Fit_Matrix!$B:$B,MATCH(P3233,Fit_Matrix!$A:$A,0)))),"CHECK KEY"))</f>
        <v/>
      </c>
      <c r="U3233" s="10" t="n"/>
      <c r="V3233" s="10" t="n"/>
      <c r="W3233" s="10" t="n"/>
      <c r="X3233" s="10" t="n"/>
      <c r="Y3233" s="10" t="n"/>
      <c r="Z3233" s="10" t="n"/>
      <c r="AA3233" s="11">
        <f>IF(A3233="","",IF(AND(J3233="P4",F3233="causal"),"P4-CAUSAL",""))</f>
        <v/>
      </c>
    </row>
    <row r="3234" ht="15" customHeight="1" s="1">
      <c r="P3234">
        <f>IF(OR(F3234="",H3234="",J3234=""),"",J3234&amp;"|"&amp;F3234&amp;"|"&amp;IF(H3234="W3","W3_"&amp;IF(I3234="","unknown",I3234),H3234))</f>
        <v/>
      </c>
      <c r="Q3234">
        <f>IF(P3234="","",IFERROR(IF(AND(H3234="W7",OR(F3234="causal",F3234="predictive")),IF(AND(OR(K3234=1,K3234="1"),OR(L3234=1,L3234="1"),OR(M3234=1,M3234="1")),"adequate","partial"),IF(AND(H3234="W4",F3234="predictive",OR(J3234="P2",J3234="P3",J3234="P4")),IF(OR(U3234=1,U3234="1"),"adequate","partial"),INDEX(Fit_Matrix!$B:$B,MATCH(P3234,Fit_Matrix!$A:$A,0)))),"CHECK KEY"))</f>
        <v/>
      </c>
      <c r="U3234" s="10" t="n"/>
      <c r="V3234" s="10" t="n"/>
      <c r="W3234" s="10" t="n"/>
      <c r="X3234" s="10" t="n"/>
      <c r="Y3234" s="10" t="n"/>
      <c r="Z3234" s="10" t="n"/>
      <c r="AA3234" s="11">
        <f>IF(A3234="","",IF(AND(J3234="P4",F3234="causal"),"P4-CAUSAL",""))</f>
        <v/>
      </c>
    </row>
    <row r="3235" ht="15" customHeight="1" s="1">
      <c r="P3235">
        <f>IF(OR(F3235="",H3235="",J3235=""),"",J3235&amp;"|"&amp;F3235&amp;"|"&amp;IF(H3235="W3","W3_"&amp;IF(I3235="","unknown",I3235),H3235))</f>
        <v/>
      </c>
      <c r="Q3235">
        <f>IF(P3235="","",IFERROR(IF(AND(H3235="W7",OR(F3235="causal",F3235="predictive")),IF(AND(OR(K3235=1,K3235="1"),OR(L3235=1,L3235="1"),OR(M3235=1,M3235="1")),"adequate","partial"),IF(AND(H3235="W4",F3235="predictive",OR(J3235="P2",J3235="P3",J3235="P4")),IF(OR(U3235=1,U3235="1"),"adequate","partial"),INDEX(Fit_Matrix!$B:$B,MATCH(P3235,Fit_Matrix!$A:$A,0)))),"CHECK KEY"))</f>
        <v/>
      </c>
      <c r="U3235" s="10" t="n"/>
      <c r="V3235" s="10" t="n"/>
      <c r="W3235" s="10" t="n"/>
      <c r="X3235" s="10" t="n"/>
      <c r="Y3235" s="10" t="n"/>
      <c r="Z3235" s="10" t="n"/>
      <c r="AA3235" s="11">
        <f>IF(A3235="","",IF(AND(J3235="P4",F3235="causal"),"P4-CAUSAL",""))</f>
        <v/>
      </c>
    </row>
    <row r="3236" ht="15" customHeight="1" s="1">
      <c r="P3236">
        <f>IF(OR(F3236="",H3236="",J3236=""),"",J3236&amp;"|"&amp;F3236&amp;"|"&amp;IF(H3236="W3","W3_"&amp;IF(I3236="","unknown",I3236),H3236))</f>
        <v/>
      </c>
      <c r="Q3236">
        <f>IF(P3236="","",IFERROR(IF(AND(H3236="W7",OR(F3236="causal",F3236="predictive")),IF(AND(OR(K3236=1,K3236="1"),OR(L3236=1,L3236="1"),OR(M3236=1,M3236="1")),"adequate","partial"),IF(AND(H3236="W4",F3236="predictive",OR(J3236="P2",J3236="P3",J3236="P4")),IF(OR(U3236=1,U3236="1"),"adequate","partial"),INDEX(Fit_Matrix!$B:$B,MATCH(P3236,Fit_Matrix!$A:$A,0)))),"CHECK KEY"))</f>
        <v/>
      </c>
      <c r="U3236" s="10" t="n"/>
      <c r="V3236" s="10" t="n"/>
      <c r="W3236" s="10" t="n"/>
      <c r="X3236" s="10" t="n"/>
      <c r="Y3236" s="10" t="n"/>
      <c r="Z3236" s="10" t="n"/>
      <c r="AA3236" s="11">
        <f>IF(A3236="","",IF(AND(J3236="P4",F3236="causal"),"P4-CAUSAL",""))</f>
        <v/>
      </c>
    </row>
    <row r="3237" ht="15" customHeight="1" s="1">
      <c r="P3237">
        <f>IF(OR(F3237="",H3237="",J3237=""),"",J3237&amp;"|"&amp;F3237&amp;"|"&amp;IF(H3237="W3","W3_"&amp;IF(I3237="","unknown",I3237),H3237))</f>
        <v/>
      </c>
      <c r="Q3237">
        <f>IF(P3237="","",IFERROR(IF(AND(H3237="W7",OR(F3237="causal",F3237="predictive")),IF(AND(OR(K3237=1,K3237="1"),OR(L3237=1,L3237="1"),OR(M3237=1,M3237="1")),"adequate","partial"),IF(AND(H3237="W4",F3237="predictive",OR(J3237="P2",J3237="P3",J3237="P4")),IF(OR(U3237=1,U3237="1"),"adequate","partial"),INDEX(Fit_Matrix!$B:$B,MATCH(P3237,Fit_Matrix!$A:$A,0)))),"CHECK KEY"))</f>
        <v/>
      </c>
      <c r="U3237" s="10" t="n"/>
      <c r="V3237" s="10" t="n"/>
      <c r="W3237" s="10" t="n"/>
      <c r="X3237" s="10" t="n"/>
      <c r="Y3237" s="10" t="n"/>
      <c r="Z3237" s="10" t="n"/>
      <c r="AA3237" s="11">
        <f>IF(A3237="","",IF(AND(J3237="P4",F3237="causal"),"P4-CAUSAL",""))</f>
        <v/>
      </c>
    </row>
    <row r="3238" ht="15" customHeight="1" s="1">
      <c r="P3238">
        <f>IF(OR(F3238="",H3238="",J3238=""),"",J3238&amp;"|"&amp;F3238&amp;"|"&amp;IF(H3238="W3","W3_"&amp;IF(I3238="","unknown",I3238),H3238))</f>
        <v/>
      </c>
      <c r="Q3238">
        <f>IF(P3238="","",IFERROR(IF(AND(H3238="W7",OR(F3238="causal",F3238="predictive")),IF(AND(OR(K3238=1,K3238="1"),OR(L3238=1,L3238="1"),OR(M3238=1,M3238="1")),"adequate","partial"),IF(AND(H3238="W4",F3238="predictive",OR(J3238="P2",J3238="P3",J3238="P4")),IF(OR(U3238=1,U3238="1"),"adequate","partial"),INDEX(Fit_Matrix!$B:$B,MATCH(P3238,Fit_Matrix!$A:$A,0)))),"CHECK KEY"))</f>
        <v/>
      </c>
      <c r="U3238" s="10" t="n"/>
      <c r="V3238" s="10" t="n"/>
      <c r="W3238" s="10" t="n"/>
      <c r="X3238" s="10" t="n"/>
      <c r="Y3238" s="10" t="n"/>
      <c r="Z3238" s="10" t="n"/>
      <c r="AA3238" s="11">
        <f>IF(A3238="","",IF(AND(J3238="P4",F3238="causal"),"P4-CAUSAL",""))</f>
        <v/>
      </c>
    </row>
    <row r="3239" ht="15" customHeight="1" s="1">
      <c r="P3239">
        <f>IF(OR(F3239="",H3239="",J3239=""),"",J3239&amp;"|"&amp;F3239&amp;"|"&amp;IF(H3239="W3","W3_"&amp;IF(I3239="","unknown",I3239),H3239))</f>
        <v/>
      </c>
      <c r="Q3239">
        <f>IF(P3239="","",IFERROR(IF(AND(H3239="W7",OR(F3239="causal",F3239="predictive")),IF(AND(OR(K3239=1,K3239="1"),OR(L3239=1,L3239="1"),OR(M3239=1,M3239="1")),"adequate","partial"),IF(AND(H3239="W4",F3239="predictive",OR(J3239="P2",J3239="P3",J3239="P4")),IF(OR(U3239=1,U3239="1"),"adequate","partial"),INDEX(Fit_Matrix!$B:$B,MATCH(P3239,Fit_Matrix!$A:$A,0)))),"CHECK KEY"))</f>
        <v/>
      </c>
      <c r="U3239" s="10" t="n"/>
      <c r="V3239" s="10" t="n"/>
      <c r="W3239" s="10" t="n"/>
      <c r="X3239" s="10" t="n"/>
      <c r="Y3239" s="10" t="n"/>
      <c r="Z3239" s="10" t="n"/>
      <c r="AA3239" s="11">
        <f>IF(A3239="","",IF(AND(J3239="P4",F3239="causal"),"P4-CAUSAL",""))</f>
        <v/>
      </c>
    </row>
    <row r="3240" ht="15" customHeight="1" s="1">
      <c r="P3240">
        <f>IF(OR(F3240="",H3240="",J3240=""),"",J3240&amp;"|"&amp;F3240&amp;"|"&amp;IF(H3240="W3","W3_"&amp;IF(I3240="","unknown",I3240),H3240))</f>
        <v/>
      </c>
      <c r="Q3240">
        <f>IF(P3240="","",IFERROR(IF(AND(H3240="W7",OR(F3240="causal",F3240="predictive")),IF(AND(OR(K3240=1,K3240="1"),OR(L3240=1,L3240="1"),OR(M3240=1,M3240="1")),"adequate","partial"),IF(AND(H3240="W4",F3240="predictive",OR(J3240="P2",J3240="P3",J3240="P4")),IF(OR(U3240=1,U3240="1"),"adequate","partial"),INDEX(Fit_Matrix!$B:$B,MATCH(P3240,Fit_Matrix!$A:$A,0)))),"CHECK KEY"))</f>
        <v/>
      </c>
      <c r="U3240" s="10" t="n"/>
      <c r="V3240" s="10" t="n"/>
      <c r="W3240" s="10" t="n"/>
      <c r="X3240" s="10" t="n"/>
      <c r="Y3240" s="10" t="n"/>
      <c r="Z3240" s="10" t="n"/>
      <c r="AA3240" s="11">
        <f>IF(A3240="","",IF(AND(J3240="P4",F3240="causal"),"P4-CAUSAL",""))</f>
        <v/>
      </c>
    </row>
    <row r="3241" ht="15" customHeight="1" s="1">
      <c r="P3241">
        <f>IF(OR(F3241="",H3241="",J3241=""),"",J3241&amp;"|"&amp;F3241&amp;"|"&amp;IF(H3241="W3","W3_"&amp;IF(I3241="","unknown",I3241),H3241))</f>
        <v/>
      </c>
      <c r="Q3241">
        <f>IF(P3241="","",IFERROR(IF(AND(H3241="W7",OR(F3241="causal",F3241="predictive")),IF(AND(OR(K3241=1,K3241="1"),OR(L3241=1,L3241="1"),OR(M3241=1,M3241="1")),"adequate","partial"),IF(AND(H3241="W4",F3241="predictive",OR(J3241="P2",J3241="P3",J3241="P4")),IF(OR(U3241=1,U3241="1"),"adequate","partial"),INDEX(Fit_Matrix!$B:$B,MATCH(P3241,Fit_Matrix!$A:$A,0)))),"CHECK KEY"))</f>
        <v/>
      </c>
      <c r="U3241" s="10" t="n"/>
      <c r="V3241" s="10" t="n"/>
      <c r="W3241" s="10" t="n"/>
      <c r="X3241" s="10" t="n"/>
      <c r="Y3241" s="10" t="n"/>
      <c r="Z3241" s="10" t="n"/>
      <c r="AA3241" s="11">
        <f>IF(A3241="","",IF(AND(J3241="P4",F3241="causal"),"P4-CAUSAL",""))</f>
        <v/>
      </c>
    </row>
    <row r="3242" ht="15" customHeight="1" s="1">
      <c r="P3242">
        <f>IF(OR(F3242="",H3242="",J3242=""),"",J3242&amp;"|"&amp;F3242&amp;"|"&amp;IF(H3242="W3","W3_"&amp;IF(I3242="","unknown",I3242),H3242))</f>
        <v/>
      </c>
      <c r="Q3242">
        <f>IF(P3242="","",IFERROR(IF(AND(H3242="W7",OR(F3242="causal",F3242="predictive")),IF(AND(OR(K3242=1,K3242="1"),OR(L3242=1,L3242="1"),OR(M3242=1,M3242="1")),"adequate","partial"),IF(AND(H3242="W4",F3242="predictive",OR(J3242="P2",J3242="P3",J3242="P4")),IF(OR(U3242=1,U3242="1"),"adequate","partial"),INDEX(Fit_Matrix!$B:$B,MATCH(P3242,Fit_Matrix!$A:$A,0)))),"CHECK KEY"))</f>
        <v/>
      </c>
      <c r="U3242" s="10" t="n"/>
      <c r="V3242" s="10" t="n"/>
      <c r="W3242" s="10" t="n"/>
      <c r="X3242" s="10" t="n"/>
      <c r="Y3242" s="10" t="n"/>
      <c r="Z3242" s="10" t="n"/>
      <c r="AA3242" s="11">
        <f>IF(A3242="","",IF(AND(J3242="P4",F3242="causal"),"P4-CAUSAL",""))</f>
        <v/>
      </c>
    </row>
    <row r="3243" ht="15" customHeight="1" s="1">
      <c r="P3243">
        <f>IF(OR(F3243="",H3243="",J3243=""),"",J3243&amp;"|"&amp;F3243&amp;"|"&amp;IF(H3243="W3","W3_"&amp;IF(I3243="","unknown",I3243),H3243))</f>
        <v/>
      </c>
      <c r="Q3243">
        <f>IF(P3243="","",IFERROR(IF(AND(H3243="W7",OR(F3243="causal",F3243="predictive")),IF(AND(OR(K3243=1,K3243="1"),OR(L3243=1,L3243="1"),OR(M3243=1,M3243="1")),"adequate","partial"),IF(AND(H3243="W4",F3243="predictive",OR(J3243="P2",J3243="P3",J3243="P4")),IF(OR(U3243=1,U3243="1"),"adequate","partial"),INDEX(Fit_Matrix!$B:$B,MATCH(P3243,Fit_Matrix!$A:$A,0)))),"CHECK KEY"))</f>
        <v/>
      </c>
      <c r="U3243" s="10" t="n"/>
      <c r="V3243" s="10" t="n"/>
      <c r="W3243" s="10" t="n"/>
      <c r="X3243" s="10" t="n"/>
      <c r="Y3243" s="10" t="n"/>
      <c r="Z3243" s="10" t="n"/>
      <c r="AA3243" s="11">
        <f>IF(A3243="","",IF(AND(J3243="P4",F3243="causal"),"P4-CAUSAL",""))</f>
        <v/>
      </c>
    </row>
    <row r="3244" ht="15" customHeight="1" s="1">
      <c r="P3244">
        <f>IF(OR(F3244="",H3244="",J3244=""),"",J3244&amp;"|"&amp;F3244&amp;"|"&amp;IF(H3244="W3","W3_"&amp;IF(I3244="","unknown",I3244),H3244))</f>
        <v/>
      </c>
      <c r="Q3244">
        <f>IF(P3244="","",IFERROR(IF(AND(H3244="W7",OR(F3244="causal",F3244="predictive")),IF(AND(OR(K3244=1,K3244="1"),OR(L3244=1,L3244="1"),OR(M3244=1,M3244="1")),"adequate","partial"),IF(AND(H3244="W4",F3244="predictive",OR(J3244="P2",J3244="P3",J3244="P4")),IF(OR(U3244=1,U3244="1"),"adequate","partial"),INDEX(Fit_Matrix!$B:$B,MATCH(P3244,Fit_Matrix!$A:$A,0)))),"CHECK KEY"))</f>
        <v/>
      </c>
      <c r="U3244" s="10" t="n"/>
      <c r="V3244" s="10" t="n"/>
      <c r="W3244" s="10" t="n"/>
      <c r="X3244" s="10" t="n"/>
      <c r="Y3244" s="10" t="n"/>
      <c r="Z3244" s="10" t="n"/>
      <c r="AA3244" s="11">
        <f>IF(A3244="","",IF(AND(J3244="P4",F3244="causal"),"P4-CAUSAL",""))</f>
        <v/>
      </c>
    </row>
    <row r="3245" ht="15" customHeight="1" s="1">
      <c r="P3245">
        <f>IF(OR(F3245="",H3245="",J3245=""),"",J3245&amp;"|"&amp;F3245&amp;"|"&amp;IF(H3245="W3","W3_"&amp;IF(I3245="","unknown",I3245),H3245))</f>
        <v/>
      </c>
      <c r="Q3245">
        <f>IF(P3245="","",IFERROR(IF(AND(H3245="W7",OR(F3245="causal",F3245="predictive")),IF(AND(OR(K3245=1,K3245="1"),OR(L3245=1,L3245="1"),OR(M3245=1,M3245="1")),"adequate","partial"),IF(AND(H3245="W4",F3245="predictive",OR(J3245="P2",J3245="P3",J3245="P4")),IF(OR(U3245=1,U3245="1"),"adequate","partial"),INDEX(Fit_Matrix!$B:$B,MATCH(P3245,Fit_Matrix!$A:$A,0)))),"CHECK KEY"))</f>
        <v/>
      </c>
      <c r="U3245" s="10" t="n"/>
      <c r="V3245" s="10" t="n"/>
      <c r="W3245" s="10" t="n"/>
      <c r="X3245" s="10" t="n"/>
      <c r="Y3245" s="10" t="n"/>
      <c r="Z3245" s="10" t="n"/>
      <c r="AA3245" s="11">
        <f>IF(A3245="","",IF(AND(J3245="P4",F3245="causal"),"P4-CAUSAL",""))</f>
        <v/>
      </c>
    </row>
    <row r="3246" ht="15" customHeight="1" s="1">
      <c r="P3246">
        <f>IF(OR(F3246="",H3246="",J3246=""),"",J3246&amp;"|"&amp;F3246&amp;"|"&amp;IF(H3246="W3","W3_"&amp;IF(I3246="","unknown",I3246),H3246))</f>
        <v/>
      </c>
      <c r="Q3246">
        <f>IF(P3246="","",IFERROR(IF(AND(H3246="W7",OR(F3246="causal",F3246="predictive")),IF(AND(OR(K3246=1,K3246="1"),OR(L3246=1,L3246="1"),OR(M3246=1,M3246="1")),"adequate","partial"),IF(AND(H3246="W4",F3246="predictive",OR(J3246="P2",J3246="P3",J3246="P4")),IF(OR(U3246=1,U3246="1"),"adequate","partial"),INDEX(Fit_Matrix!$B:$B,MATCH(P3246,Fit_Matrix!$A:$A,0)))),"CHECK KEY"))</f>
        <v/>
      </c>
      <c r="U3246" s="10" t="n"/>
      <c r="V3246" s="10" t="n"/>
      <c r="W3246" s="10" t="n"/>
      <c r="X3246" s="10" t="n"/>
      <c r="Y3246" s="10" t="n"/>
      <c r="Z3246" s="10" t="n"/>
      <c r="AA3246" s="11">
        <f>IF(A3246="","",IF(AND(J3246="P4",F3246="causal"),"P4-CAUSAL",""))</f>
        <v/>
      </c>
    </row>
    <row r="3247" ht="15" customHeight="1" s="1">
      <c r="P3247">
        <f>IF(OR(F3247="",H3247="",J3247=""),"",J3247&amp;"|"&amp;F3247&amp;"|"&amp;IF(H3247="W3","W3_"&amp;IF(I3247="","unknown",I3247),H3247))</f>
        <v/>
      </c>
      <c r="Q3247">
        <f>IF(P3247="","",IFERROR(IF(AND(H3247="W7",OR(F3247="causal",F3247="predictive")),IF(AND(OR(K3247=1,K3247="1"),OR(L3247=1,L3247="1"),OR(M3247=1,M3247="1")),"adequate","partial"),IF(AND(H3247="W4",F3247="predictive",OR(J3247="P2",J3247="P3",J3247="P4")),IF(OR(U3247=1,U3247="1"),"adequate","partial"),INDEX(Fit_Matrix!$B:$B,MATCH(P3247,Fit_Matrix!$A:$A,0)))),"CHECK KEY"))</f>
        <v/>
      </c>
      <c r="U3247" s="10" t="n"/>
      <c r="V3247" s="10" t="n"/>
      <c r="W3247" s="10" t="n"/>
      <c r="X3247" s="10" t="n"/>
      <c r="Y3247" s="10" t="n"/>
      <c r="Z3247" s="10" t="n"/>
      <c r="AA3247" s="11">
        <f>IF(A3247="","",IF(AND(J3247="P4",F3247="causal"),"P4-CAUSAL",""))</f>
        <v/>
      </c>
    </row>
    <row r="3248" ht="15" customHeight="1" s="1">
      <c r="P3248">
        <f>IF(OR(F3248="",H3248="",J3248=""),"",J3248&amp;"|"&amp;F3248&amp;"|"&amp;IF(H3248="W3","W3_"&amp;IF(I3248="","unknown",I3248),H3248))</f>
        <v/>
      </c>
      <c r="Q3248">
        <f>IF(P3248="","",IFERROR(IF(AND(H3248="W7",OR(F3248="causal",F3248="predictive")),IF(AND(OR(K3248=1,K3248="1"),OR(L3248=1,L3248="1"),OR(M3248=1,M3248="1")),"adequate","partial"),IF(AND(H3248="W4",F3248="predictive",OR(J3248="P2",J3248="P3",J3248="P4")),IF(OR(U3248=1,U3248="1"),"adequate","partial"),INDEX(Fit_Matrix!$B:$B,MATCH(P3248,Fit_Matrix!$A:$A,0)))),"CHECK KEY"))</f>
        <v/>
      </c>
      <c r="U3248" s="10" t="n"/>
      <c r="V3248" s="10" t="n"/>
      <c r="W3248" s="10" t="n"/>
      <c r="X3248" s="10" t="n"/>
      <c r="Y3248" s="10" t="n"/>
      <c r="Z3248" s="10" t="n"/>
      <c r="AA3248" s="11">
        <f>IF(A3248="","",IF(AND(J3248="P4",F3248="causal"),"P4-CAUSAL",""))</f>
        <v/>
      </c>
    </row>
    <row r="3249" ht="15" customHeight="1" s="1">
      <c r="P3249">
        <f>IF(OR(F3249="",H3249="",J3249=""),"",J3249&amp;"|"&amp;F3249&amp;"|"&amp;IF(H3249="W3","W3_"&amp;IF(I3249="","unknown",I3249),H3249))</f>
        <v/>
      </c>
      <c r="Q3249">
        <f>IF(P3249="","",IFERROR(IF(AND(H3249="W7",OR(F3249="causal",F3249="predictive")),IF(AND(OR(K3249=1,K3249="1"),OR(L3249=1,L3249="1"),OR(M3249=1,M3249="1")),"adequate","partial"),IF(AND(H3249="W4",F3249="predictive",OR(J3249="P2",J3249="P3",J3249="P4")),IF(OR(U3249=1,U3249="1"),"adequate","partial"),INDEX(Fit_Matrix!$B:$B,MATCH(P3249,Fit_Matrix!$A:$A,0)))),"CHECK KEY"))</f>
        <v/>
      </c>
      <c r="U3249" s="10" t="n"/>
      <c r="V3249" s="10" t="n"/>
      <c r="W3249" s="10" t="n"/>
      <c r="X3249" s="10" t="n"/>
      <c r="Y3249" s="10" t="n"/>
      <c r="Z3249" s="10" t="n"/>
      <c r="AA3249" s="11">
        <f>IF(A3249="","",IF(AND(J3249="P4",F3249="causal"),"P4-CAUSAL",""))</f>
        <v/>
      </c>
    </row>
    <row r="3250" ht="15" customHeight="1" s="1">
      <c r="P3250">
        <f>IF(OR(F3250="",H3250="",J3250=""),"",J3250&amp;"|"&amp;F3250&amp;"|"&amp;IF(H3250="W3","W3_"&amp;IF(I3250="","unknown",I3250),H3250))</f>
        <v/>
      </c>
      <c r="Q3250">
        <f>IF(P3250="","",IFERROR(IF(AND(H3250="W7",OR(F3250="causal",F3250="predictive")),IF(AND(OR(K3250=1,K3250="1"),OR(L3250=1,L3250="1"),OR(M3250=1,M3250="1")),"adequate","partial"),IF(AND(H3250="W4",F3250="predictive",OR(J3250="P2",J3250="P3",J3250="P4")),IF(OR(U3250=1,U3250="1"),"adequate","partial"),INDEX(Fit_Matrix!$B:$B,MATCH(P3250,Fit_Matrix!$A:$A,0)))),"CHECK KEY"))</f>
        <v/>
      </c>
      <c r="U3250" s="10" t="n"/>
      <c r="V3250" s="10" t="n"/>
      <c r="W3250" s="10" t="n"/>
      <c r="X3250" s="10" t="n"/>
      <c r="Y3250" s="10" t="n"/>
      <c r="Z3250" s="10" t="n"/>
      <c r="AA3250" s="11">
        <f>IF(A3250="","",IF(AND(J3250="P4",F3250="causal"),"P4-CAUSAL",""))</f>
        <v/>
      </c>
    </row>
    <row r="3251" ht="15" customHeight="1" s="1">
      <c r="P3251">
        <f>IF(OR(F3251="",H3251="",J3251=""),"",J3251&amp;"|"&amp;F3251&amp;"|"&amp;IF(H3251="W3","W3_"&amp;IF(I3251="","unknown",I3251),H3251))</f>
        <v/>
      </c>
      <c r="Q3251">
        <f>IF(P3251="","",IFERROR(IF(AND(H3251="W7",OR(F3251="causal",F3251="predictive")),IF(AND(OR(K3251=1,K3251="1"),OR(L3251=1,L3251="1"),OR(M3251=1,M3251="1")),"adequate","partial"),IF(AND(H3251="W4",F3251="predictive",OR(J3251="P2",J3251="P3",J3251="P4")),IF(OR(U3251=1,U3251="1"),"adequate","partial"),INDEX(Fit_Matrix!$B:$B,MATCH(P3251,Fit_Matrix!$A:$A,0)))),"CHECK KEY"))</f>
        <v/>
      </c>
      <c r="U3251" s="10" t="n"/>
      <c r="V3251" s="10" t="n"/>
      <c r="W3251" s="10" t="n"/>
      <c r="X3251" s="10" t="n"/>
      <c r="Y3251" s="10" t="n"/>
      <c r="Z3251" s="10" t="n"/>
      <c r="AA3251" s="11">
        <f>IF(A3251="","",IF(AND(J3251="P4",F3251="causal"),"P4-CAUSAL",""))</f>
        <v/>
      </c>
    </row>
    <row r="3252" ht="15" customHeight="1" s="1">
      <c r="P3252">
        <f>IF(OR(F3252="",H3252="",J3252=""),"",J3252&amp;"|"&amp;F3252&amp;"|"&amp;IF(H3252="W3","W3_"&amp;IF(I3252="","unknown",I3252),H3252))</f>
        <v/>
      </c>
      <c r="Q3252">
        <f>IF(P3252="","",IFERROR(IF(AND(H3252="W7",OR(F3252="causal",F3252="predictive")),IF(AND(OR(K3252=1,K3252="1"),OR(L3252=1,L3252="1"),OR(M3252=1,M3252="1")),"adequate","partial"),IF(AND(H3252="W4",F3252="predictive",OR(J3252="P2",J3252="P3",J3252="P4")),IF(OR(U3252=1,U3252="1"),"adequate","partial"),INDEX(Fit_Matrix!$B:$B,MATCH(P3252,Fit_Matrix!$A:$A,0)))),"CHECK KEY"))</f>
        <v/>
      </c>
      <c r="U3252" s="10" t="n"/>
      <c r="V3252" s="10" t="n"/>
      <c r="W3252" s="10" t="n"/>
      <c r="X3252" s="10" t="n"/>
      <c r="Y3252" s="10" t="n"/>
      <c r="Z3252" s="10" t="n"/>
      <c r="AA3252" s="11">
        <f>IF(A3252="","",IF(AND(J3252="P4",F3252="causal"),"P4-CAUSAL",""))</f>
        <v/>
      </c>
    </row>
    <row r="3253" ht="15" customHeight="1" s="1">
      <c r="P3253">
        <f>IF(OR(F3253="",H3253="",J3253=""),"",J3253&amp;"|"&amp;F3253&amp;"|"&amp;IF(H3253="W3","W3_"&amp;IF(I3253="","unknown",I3253),H3253))</f>
        <v/>
      </c>
      <c r="Q3253">
        <f>IF(P3253="","",IFERROR(IF(AND(H3253="W7",OR(F3253="causal",F3253="predictive")),IF(AND(OR(K3253=1,K3253="1"),OR(L3253=1,L3253="1"),OR(M3253=1,M3253="1")),"adequate","partial"),IF(AND(H3253="W4",F3253="predictive",OR(J3253="P2",J3253="P3",J3253="P4")),IF(OR(U3253=1,U3253="1"),"adequate","partial"),INDEX(Fit_Matrix!$B:$B,MATCH(P3253,Fit_Matrix!$A:$A,0)))),"CHECK KEY"))</f>
        <v/>
      </c>
      <c r="U3253" s="10" t="n"/>
      <c r="V3253" s="10" t="n"/>
      <c r="W3253" s="10" t="n"/>
      <c r="X3253" s="10" t="n"/>
      <c r="Y3253" s="10" t="n"/>
      <c r="Z3253" s="10" t="n"/>
      <c r="AA3253" s="11">
        <f>IF(A3253="","",IF(AND(J3253="P4",F3253="causal"),"P4-CAUSAL",""))</f>
        <v/>
      </c>
    </row>
    <row r="3254" ht="15" customHeight="1" s="1">
      <c r="P3254">
        <f>IF(OR(F3254="",H3254="",J3254=""),"",J3254&amp;"|"&amp;F3254&amp;"|"&amp;IF(H3254="W3","W3_"&amp;IF(I3254="","unknown",I3254),H3254))</f>
        <v/>
      </c>
      <c r="Q3254">
        <f>IF(P3254="","",IFERROR(IF(AND(H3254="W7",OR(F3254="causal",F3254="predictive")),IF(AND(OR(K3254=1,K3254="1"),OR(L3254=1,L3254="1"),OR(M3254=1,M3254="1")),"adequate","partial"),IF(AND(H3254="W4",F3254="predictive",OR(J3254="P2",J3254="P3",J3254="P4")),IF(OR(U3254=1,U3254="1"),"adequate","partial"),INDEX(Fit_Matrix!$B:$B,MATCH(P3254,Fit_Matrix!$A:$A,0)))),"CHECK KEY"))</f>
        <v/>
      </c>
      <c r="U3254" s="10" t="n"/>
      <c r="V3254" s="10" t="n"/>
      <c r="W3254" s="10" t="n"/>
      <c r="X3254" s="10" t="n"/>
      <c r="Y3254" s="10" t="n"/>
      <c r="Z3254" s="10" t="n"/>
      <c r="AA3254" s="11">
        <f>IF(A3254="","",IF(AND(J3254="P4",F3254="causal"),"P4-CAUSAL",""))</f>
        <v/>
      </c>
    </row>
    <row r="3255" ht="15" customHeight="1" s="1">
      <c r="P3255">
        <f>IF(OR(F3255="",H3255="",J3255=""),"",J3255&amp;"|"&amp;F3255&amp;"|"&amp;IF(H3255="W3","W3_"&amp;IF(I3255="","unknown",I3255),H3255))</f>
        <v/>
      </c>
      <c r="Q3255">
        <f>IF(P3255="","",IFERROR(IF(AND(H3255="W7",OR(F3255="causal",F3255="predictive")),IF(AND(OR(K3255=1,K3255="1"),OR(L3255=1,L3255="1"),OR(M3255=1,M3255="1")),"adequate","partial"),IF(AND(H3255="W4",F3255="predictive",OR(J3255="P2",J3255="P3",J3255="P4")),IF(OR(U3255=1,U3255="1"),"adequate","partial"),INDEX(Fit_Matrix!$B:$B,MATCH(P3255,Fit_Matrix!$A:$A,0)))),"CHECK KEY"))</f>
        <v/>
      </c>
      <c r="U3255" s="10" t="n"/>
      <c r="V3255" s="10" t="n"/>
      <c r="W3255" s="10" t="n"/>
      <c r="X3255" s="10" t="n"/>
      <c r="Y3255" s="10" t="n"/>
      <c r="Z3255" s="10" t="n"/>
      <c r="AA3255" s="11">
        <f>IF(A3255="","",IF(AND(J3255="P4",F3255="causal"),"P4-CAUSAL",""))</f>
        <v/>
      </c>
    </row>
    <row r="3256" ht="15" customHeight="1" s="1">
      <c r="P3256">
        <f>IF(OR(F3256="",H3256="",J3256=""),"",J3256&amp;"|"&amp;F3256&amp;"|"&amp;IF(H3256="W3","W3_"&amp;IF(I3256="","unknown",I3256),H3256))</f>
        <v/>
      </c>
      <c r="Q3256">
        <f>IF(P3256="","",IFERROR(IF(AND(H3256="W7",OR(F3256="causal",F3256="predictive")),IF(AND(OR(K3256=1,K3256="1"),OR(L3256=1,L3256="1"),OR(M3256=1,M3256="1")),"adequate","partial"),IF(AND(H3256="W4",F3256="predictive",OR(J3256="P2",J3256="P3",J3256="P4")),IF(OR(U3256=1,U3256="1"),"adequate","partial"),INDEX(Fit_Matrix!$B:$B,MATCH(P3256,Fit_Matrix!$A:$A,0)))),"CHECK KEY"))</f>
        <v/>
      </c>
      <c r="U3256" s="10" t="n"/>
      <c r="V3256" s="10" t="n"/>
      <c r="W3256" s="10" t="n"/>
      <c r="X3256" s="10" t="n"/>
      <c r="Y3256" s="10" t="n"/>
      <c r="Z3256" s="10" t="n"/>
      <c r="AA3256" s="11">
        <f>IF(A3256="","",IF(AND(J3256="P4",F3256="causal"),"P4-CAUSAL",""))</f>
        <v/>
      </c>
    </row>
    <row r="3257" ht="15" customHeight="1" s="1">
      <c r="P3257">
        <f>IF(OR(F3257="",H3257="",J3257=""),"",J3257&amp;"|"&amp;F3257&amp;"|"&amp;IF(H3257="W3","W3_"&amp;IF(I3257="","unknown",I3257),H3257))</f>
        <v/>
      </c>
      <c r="Q3257">
        <f>IF(P3257="","",IFERROR(IF(AND(H3257="W7",OR(F3257="causal",F3257="predictive")),IF(AND(OR(K3257=1,K3257="1"),OR(L3257=1,L3257="1"),OR(M3257=1,M3257="1")),"adequate","partial"),IF(AND(H3257="W4",F3257="predictive",OR(J3257="P2",J3257="P3",J3257="P4")),IF(OR(U3257=1,U3257="1"),"adequate","partial"),INDEX(Fit_Matrix!$B:$B,MATCH(P3257,Fit_Matrix!$A:$A,0)))),"CHECK KEY"))</f>
        <v/>
      </c>
      <c r="U3257" s="10" t="n"/>
      <c r="V3257" s="10" t="n"/>
      <c r="W3257" s="10" t="n"/>
      <c r="X3257" s="10" t="n"/>
      <c r="Y3257" s="10" t="n"/>
      <c r="Z3257" s="10" t="n"/>
      <c r="AA3257" s="11">
        <f>IF(A3257="","",IF(AND(J3257="P4",F3257="causal"),"P4-CAUSAL",""))</f>
        <v/>
      </c>
    </row>
    <row r="3258" ht="15" customHeight="1" s="1">
      <c r="P3258">
        <f>IF(OR(F3258="",H3258="",J3258=""),"",J3258&amp;"|"&amp;F3258&amp;"|"&amp;IF(H3258="W3","W3_"&amp;IF(I3258="","unknown",I3258),H3258))</f>
        <v/>
      </c>
      <c r="Q3258">
        <f>IF(P3258="","",IFERROR(IF(AND(H3258="W7",OR(F3258="causal",F3258="predictive")),IF(AND(OR(K3258=1,K3258="1"),OR(L3258=1,L3258="1"),OR(M3258=1,M3258="1")),"adequate","partial"),IF(AND(H3258="W4",F3258="predictive",OR(J3258="P2",J3258="P3",J3258="P4")),IF(OR(U3258=1,U3258="1"),"adequate","partial"),INDEX(Fit_Matrix!$B:$B,MATCH(P3258,Fit_Matrix!$A:$A,0)))),"CHECK KEY"))</f>
        <v/>
      </c>
      <c r="U3258" s="10" t="n"/>
      <c r="V3258" s="10" t="n"/>
      <c r="W3258" s="10" t="n"/>
      <c r="X3258" s="10" t="n"/>
      <c r="Y3258" s="10" t="n"/>
      <c r="Z3258" s="10" t="n"/>
      <c r="AA3258" s="11">
        <f>IF(A3258="","",IF(AND(J3258="P4",F3258="causal"),"P4-CAUSAL",""))</f>
        <v/>
      </c>
    </row>
    <row r="3259" ht="15" customHeight="1" s="1">
      <c r="P3259">
        <f>IF(OR(F3259="",H3259="",J3259=""),"",J3259&amp;"|"&amp;F3259&amp;"|"&amp;IF(H3259="W3","W3_"&amp;IF(I3259="","unknown",I3259),H3259))</f>
        <v/>
      </c>
      <c r="Q3259">
        <f>IF(P3259="","",IFERROR(IF(AND(H3259="W7",OR(F3259="causal",F3259="predictive")),IF(AND(OR(K3259=1,K3259="1"),OR(L3259=1,L3259="1"),OR(M3259=1,M3259="1")),"adequate","partial"),IF(AND(H3259="W4",F3259="predictive",OR(J3259="P2",J3259="P3",J3259="P4")),IF(OR(U3259=1,U3259="1"),"adequate","partial"),INDEX(Fit_Matrix!$B:$B,MATCH(P3259,Fit_Matrix!$A:$A,0)))),"CHECK KEY"))</f>
        <v/>
      </c>
      <c r="U3259" s="10" t="n"/>
      <c r="V3259" s="10" t="n"/>
      <c r="W3259" s="10" t="n"/>
      <c r="X3259" s="10" t="n"/>
      <c r="Y3259" s="10" t="n"/>
      <c r="Z3259" s="10" t="n"/>
      <c r="AA3259" s="11">
        <f>IF(A3259="","",IF(AND(J3259="P4",F3259="causal"),"P4-CAUSAL",""))</f>
        <v/>
      </c>
    </row>
    <row r="3260" ht="15" customHeight="1" s="1">
      <c r="P3260">
        <f>IF(OR(F3260="",H3260="",J3260=""),"",J3260&amp;"|"&amp;F3260&amp;"|"&amp;IF(H3260="W3","W3_"&amp;IF(I3260="","unknown",I3260),H3260))</f>
        <v/>
      </c>
      <c r="Q3260">
        <f>IF(P3260="","",IFERROR(IF(AND(H3260="W7",OR(F3260="causal",F3260="predictive")),IF(AND(OR(K3260=1,K3260="1"),OR(L3260=1,L3260="1"),OR(M3260=1,M3260="1")),"adequate","partial"),IF(AND(H3260="W4",F3260="predictive",OR(J3260="P2",J3260="P3",J3260="P4")),IF(OR(U3260=1,U3260="1"),"adequate","partial"),INDEX(Fit_Matrix!$B:$B,MATCH(P3260,Fit_Matrix!$A:$A,0)))),"CHECK KEY"))</f>
        <v/>
      </c>
      <c r="U3260" s="10" t="n"/>
      <c r="V3260" s="10" t="n"/>
      <c r="W3260" s="10" t="n"/>
      <c r="X3260" s="10" t="n"/>
      <c r="Y3260" s="10" t="n"/>
      <c r="Z3260" s="10" t="n"/>
      <c r="AA3260" s="11">
        <f>IF(A3260="","",IF(AND(J3260="P4",F3260="causal"),"P4-CAUSAL",""))</f>
        <v/>
      </c>
    </row>
    <row r="3261" ht="15" customHeight="1" s="1">
      <c r="P3261">
        <f>IF(OR(F3261="",H3261="",J3261=""),"",J3261&amp;"|"&amp;F3261&amp;"|"&amp;IF(H3261="W3","W3_"&amp;IF(I3261="","unknown",I3261),H3261))</f>
        <v/>
      </c>
      <c r="Q3261">
        <f>IF(P3261="","",IFERROR(IF(AND(H3261="W7",OR(F3261="causal",F3261="predictive")),IF(AND(OR(K3261=1,K3261="1"),OR(L3261=1,L3261="1"),OR(M3261=1,M3261="1")),"adequate","partial"),IF(AND(H3261="W4",F3261="predictive",OR(J3261="P2",J3261="P3",J3261="P4")),IF(OR(U3261=1,U3261="1"),"adequate","partial"),INDEX(Fit_Matrix!$B:$B,MATCH(P3261,Fit_Matrix!$A:$A,0)))),"CHECK KEY"))</f>
        <v/>
      </c>
      <c r="U3261" s="10" t="n"/>
      <c r="V3261" s="10" t="n"/>
      <c r="W3261" s="10" t="n"/>
      <c r="X3261" s="10" t="n"/>
      <c r="Y3261" s="10" t="n"/>
      <c r="Z3261" s="10" t="n"/>
      <c r="AA3261" s="11">
        <f>IF(A3261="","",IF(AND(J3261="P4",F3261="causal"),"P4-CAUSAL",""))</f>
        <v/>
      </c>
    </row>
    <row r="3262" ht="15" customHeight="1" s="1">
      <c r="P3262">
        <f>IF(OR(F3262="",H3262="",J3262=""),"",J3262&amp;"|"&amp;F3262&amp;"|"&amp;IF(H3262="W3","W3_"&amp;IF(I3262="","unknown",I3262),H3262))</f>
        <v/>
      </c>
      <c r="Q3262">
        <f>IF(P3262="","",IFERROR(IF(AND(H3262="W7",OR(F3262="causal",F3262="predictive")),IF(AND(OR(K3262=1,K3262="1"),OR(L3262=1,L3262="1"),OR(M3262=1,M3262="1")),"adequate","partial"),IF(AND(H3262="W4",F3262="predictive",OR(J3262="P2",J3262="P3",J3262="P4")),IF(OR(U3262=1,U3262="1"),"adequate","partial"),INDEX(Fit_Matrix!$B:$B,MATCH(P3262,Fit_Matrix!$A:$A,0)))),"CHECK KEY"))</f>
        <v/>
      </c>
      <c r="U3262" s="10" t="n"/>
      <c r="V3262" s="10" t="n"/>
      <c r="W3262" s="10" t="n"/>
      <c r="X3262" s="10" t="n"/>
      <c r="Y3262" s="10" t="n"/>
      <c r="Z3262" s="10" t="n"/>
      <c r="AA3262" s="11">
        <f>IF(A3262="","",IF(AND(J3262="P4",F3262="causal"),"P4-CAUSAL",""))</f>
        <v/>
      </c>
    </row>
    <row r="3263" ht="15" customHeight="1" s="1">
      <c r="P3263">
        <f>IF(OR(F3263="",H3263="",J3263=""),"",J3263&amp;"|"&amp;F3263&amp;"|"&amp;IF(H3263="W3","W3_"&amp;IF(I3263="","unknown",I3263),H3263))</f>
        <v/>
      </c>
      <c r="Q3263">
        <f>IF(P3263="","",IFERROR(IF(AND(H3263="W7",OR(F3263="causal",F3263="predictive")),IF(AND(OR(K3263=1,K3263="1"),OR(L3263=1,L3263="1"),OR(M3263=1,M3263="1")),"adequate","partial"),IF(AND(H3263="W4",F3263="predictive",OR(J3263="P2",J3263="P3",J3263="P4")),IF(OR(U3263=1,U3263="1"),"adequate","partial"),INDEX(Fit_Matrix!$B:$B,MATCH(P3263,Fit_Matrix!$A:$A,0)))),"CHECK KEY"))</f>
        <v/>
      </c>
      <c r="U3263" s="10" t="n"/>
      <c r="V3263" s="10" t="n"/>
      <c r="W3263" s="10" t="n"/>
      <c r="X3263" s="10" t="n"/>
      <c r="Y3263" s="10" t="n"/>
      <c r="Z3263" s="10" t="n"/>
      <c r="AA3263" s="11">
        <f>IF(A3263="","",IF(AND(J3263="P4",F3263="causal"),"P4-CAUSAL",""))</f>
        <v/>
      </c>
    </row>
    <row r="3264" ht="15" customHeight="1" s="1">
      <c r="P3264">
        <f>IF(OR(F3264="",H3264="",J3264=""),"",J3264&amp;"|"&amp;F3264&amp;"|"&amp;IF(H3264="W3","W3_"&amp;IF(I3264="","unknown",I3264),H3264))</f>
        <v/>
      </c>
      <c r="Q3264">
        <f>IF(P3264="","",IFERROR(IF(AND(H3264="W7",OR(F3264="causal",F3264="predictive")),IF(AND(OR(K3264=1,K3264="1"),OR(L3264=1,L3264="1"),OR(M3264=1,M3264="1")),"adequate","partial"),IF(AND(H3264="W4",F3264="predictive",OR(J3264="P2",J3264="P3",J3264="P4")),IF(OR(U3264=1,U3264="1"),"adequate","partial"),INDEX(Fit_Matrix!$B:$B,MATCH(P3264,Fit_Matrix!$A:$A,0)))),"CHECK KEY"))</f>
        <v/>
      </c>
      <c r="U3264" s="10" t="n"/>
      <c r="V3264" s="10" t="n"/>
      <c r="W3264" s="10" t="n"/>
      <c r="X3264" s="10" t="n"/>
      <c r="Y3264" s="10" t="n"/>
      <c r="Z3264" s="10" t="n"/>
      <c r="AA3264" s="11">
        <f>IF(A3264="","",IF(AND(J3264="P4",F3264="causal"),"P4-CAUSAL",""))</f>
        <v/>
      </c>
    </row>
    <row r="3265" ht="15" customHeight="1" s="1">
      <c r="P3265">
        <f>IF(OR(F3265="",H3265="",J3265=""),"",J3265&amp;"|"&amp;F3265&amp;"|"&amp;IF(H3265="W3","W3_"&amp;IF(I3265="","unknown",I3265),H3265))</f>
        <v/>
      </c>
      <c r="Q3265">
        <f>IF(P3265="","",IFERROR(IF(AND(H3265="W7",OR(F3265="causal",F3265="predictive")),IF(AND(OR(K3265=1,K3265="1"),OR(L3265=1,L3265="1"),OR(M3265=1,M3265="1")),"adequate","partial"),IF(AND(H3265="W4",F3265="predictive",OR(J3265="P2",J3265="P3",J3265="P4")),IF(OR(U3265=1,U3265="1"),"adequate","partial"),INDEX(Fit_Matrix!$B:$B,MATCH(P3265,Fit_Matrix!$A:$A,0)))),"CHECK KEY"))</f>
        <v/>
      </c>
      <c r="U3265" s="10" t="n"/>
      <c r="V3265" s="10" t="n"/>
      <c r="W3265" s="10" t="n"/>
      <c r="X3265" s="10" t="n"/>
      <c r="Y3265" s="10" t="n"/>
      <c r="Z3265" s="10" t="n"/>
      <c r="AA3265" s="11">
        <f>IF(A3265="","",IF(AND(J3265="P4",F3265="causal"),"P4-CAUSAL",""))</f>
        <v/>
      </c>
    </row>
    <row r="3266" ht="15" customHeight="1" s="1">
      <c r="P3266">
        <f>IF(OR(F3266="",H3266="",J3266=""),"",J3266&amp;"|"&amp;F3266&amp;"|"&amp;IF(H3266="W3","W3_"&amp;IF(I3266="","unknown",I3266),H3266))</f>
        <v/>
      </c>
      <c r="Q3266">
        <f>IF(P3266="","",IFERROR(IF(AND(H3266="W7",OR(F3266="causal",F3266="predictive")),IF(AND(OR(K3266=1,K3266="1"),OR(L3266=1,L3266="1"),OR(M3266=1,M3266="1")),"adequate","partial"),IF(AND(H3266="W4",F3266="predictive",OR(J3266="P2",J3266="P3",J3266="P4")),IF(OR(U3266=1,U3266="1"),"adequate","partial"),INDEX(Fit_Matrix!$B:$B,MATCH(P3266,Fit_Matrix!$A:$A,0)))),"CHECK KEY"))</f>
        <v/>
      </c>
      <c r="U3266" s="10" t="n"/>
      <c r="V3266" s="10" t="n"/>
      <c r="W3266" s="10" t="n"/>
      <c r="X3266" s="10" t="n"/>
      <c r="Y3266" s="10" t="n"/>
      <c r="Z3266" s="10" t="n"/>
      <c r="AA3266" s="11">
        <f>IF(A3266="","",IF(AND(J3266="P4",F3266="causal"),"P4-CAUSAL",""))</f>
        <v/>
      </c>
    </row>
    <row r="3267" ht="15" customHeight="1" s="1">
      <c r="P3267">
        <f>IF(OR(F3267="",H3267="",J3267=""),"",J3267&amp;"|"&amp;F3267&amp;"|"&amp;IF(H3267="W3","W3_"&amp;IF(I3267="","unknown",I3267),H3267))</f>
        <v/>
      </c>
      <c r="Q3267">
        <f>IF(P3267="","",IFERROR(IF(AND(H3267="W7",OR(F3267="causal",F3267="predictive")),IF(AND(OR(K3267=1,K3267="1"),OR(L3267=1,L3267="1"),OR(M3267=1,M3267="1")),"adequate","partial"),IF(AND(H3267="W4",F3267="predictive",OR(J3267="P2",J3267="P3",J3267="P4")),IF(OR(U3267=1,U3267="1"),"adequate","partial"),INDEX(Fit_Matrix!$B:$B,MATCH(P3267,Fit_Matrix!$A:$A,0)))),"CHECK KEY"))</f>
        <v/>
      </c>
      <c r="U3267" s="10" t="n"/>
      <c r="V3267" s="10" t="n"/>
      <c r="W3267" s="10" t="n"/>
      <c r="X3267" s="10" t="n"/>
      <c r="Y3267" s="10" t="n"/>
      <c r="Z3267" s="10" t="n"/>
      <c r="AA3267" s="11">
        <f>IF(A3267="","",IF(AND(J3267="P4",F3267="causal"),"P4-CAUSAL",""))</f>
        <v/>
      </c>
    </row>
    <row r="3268" ht="15" customHeight="1" s="1">
      <c r="P3268">
        <f>IF(OR(F3268="",H3268="",J3268=""),"",J3268&amp;"|"&amp;F3268&amp;"|"&amp;IF(H3268="W3","W3_"&amp;IF(I3268="","unknown",I3268),H3268))</f>
        <v/>
      </c>
      <c r="Q3268">
        <f>IF(P3268="","",IFERROR(IF(AND(H3268="W7",OR(F3268="causal",F3268="predictive")),IF(AND(OR(K3268=1,K3268="1"),OR(L3268=1,L3268="1"),OR(M3268=1,M3268="1")),"adequate","partial"),IF(AND(H3268="W4",F3268="predictive",OR(J3268="P2",J3268="P3",J3268="P4")),IF(OR(U3268=1,U3268="1"),"adequate","partial"),INDEX(Fit_Matrix!$B:$B,MATCH(P3268,Fit_Matrix!$A:$A,0)))),"CHECK KEY"))</f>
        <v/>
      </c>
      <c r="U3268" s="10" t="n"/>
      <c r="V3268" s="10" t="n"/>
      <c r="W3268" s="10" t="n"/>
      <c r="X3268" s="10" t="n"/>
      <c r="Y3268" s="10" t="n"/>
      <c r="Z3268" s="10" t="n"/>
      <c r="AA3268" s="11">
        <f>IF(A3268="","",IF(AND(J3268="P4",F3268="causal"),"P4-CAUSAL",""))</f>
        <v/>
      </c>
    </row>
    <row r="3269" ht="15" customHeight="1" s="1">
      <c r="P3269">
        <f>IF(OR(F3269="",H3269="",J3269=""),"",J3269&amp;"|"&amp;F3269&amp;"|"&amp;IF(H3269="W3","W3_"&amp;IF(I3269="","unknown",I3269),H3269))</f>
        <v/>
      </c>
      <c r="Q3269">
        <f>IF(P3269="","",IFERROR(IF(AND(H3269="W7",OR(F3269="causal",F3269="predictive")),IF(AND(OR(K3269=1,K3269="1"),OR(L3269=1,L3269="1"),OR(M3269=1,M3269="1")),"adequate","partial"),IF(AND(H3269="W4",F3269="predictive",OR(J3269="P2",J3269="P3",J3269="P4")),IF(OR(U3269=1,U3269="1"),"adequate","partial"),INDEX(Fit_Matrix!$B:$B,MATCH(P3269,Fit_Matrix!$A:$A,0)))),"CHECK KEY"))</f>
        <v/>
      </c>
      <c r="U3269" s="10" t="n"/>
      <c r="V3269" s="10" t="n"/>
      <c r="W3269" s="10" t="n"/>
      <c r="X3269" s="10" t="n"/>
      <c r="Y3269" s="10" t="n"/>
      <c r="Z3269" s="10" t="n"/>
      <c r="AA3269" s="11">
        <f>IF(A3269="","",IF(AND(J3269="P4",F3269="causal"),"P4-CAUSAL",""))</f>
        <v/>
      </c>
    </row>
    <row r="3270" ht="15" customHeight="1" s="1">
      <c r="P3270">
        <f>IF(OR(F3270="",H3270="",J3270=""),"",J3270&amp;"|"&amp;F3270&amp;"|"&amp;IF(H3270="W3","W3_"&amp;IF(I3270="","unknown",I3270),H3270))</f>
        <v/>
      </c>
      <c r="Q3270">
        <f>IF(P3270="","",IFERROR(IF(AND(H3270="W7",OR(F3270="causal",F3270="predictive")),IF(AND(OR(K3270=1,K3270="1"),OR(L3270=1,L3270="1"),OR(M3270=1,M3270="1")),"adequate","partial"),IF(AND(H3270="W4",F3270="predictive",OR(J3270="P2",J3270="P3",J3270="P4")),IF(OR(U3270=1,U3270="1"),"adequate","partial"),INDEX(Fit_Matrix!$B:$B,MATCH(P3270,Fit_Matrix!$A:$A,0)))),"CHECK KEY"))</f>
        <v/>
      </c>
      <c r="U3270" s="10" t="n"/>
      <c r="V3270" s="10" t="n"/>
      <c r="W3270" s="10" t="n"/>
      <c r="X3270" s="10" t="n"/>
      <c r="Y3270" s="10" t="n"/>
      <c r="Z3270" s="10" t="n"/>
      <c r="AA3270" s="11">
        <f>IF(A3270="","",IF(AND(J3270="P4",F3270="causal"),"P4-CAUSAL",""))</f>
        <v/>
      </c>
    </row>
    <row r="3271" ht="15" customHeight="1" s="1">
      <c r="P3271">
        <f>IF(OR(F3271="",H3271="",J3271=""),"",J3271&amp;"|"&amp;F3271&amp;"|"&amp;IF(H3271="W3","W3_"&amp;IF(I3271="","unknown",I3271),H3271))</f>
        <v/>
      </c>
      <c r="Q3271">
        <f>IF(P3271="","",IFERROR(IF(AND(H3271="W7",OR(F3271="causal",F3271="predictive")),IF(AND(OR(K3271=1,K3271="1"),OR(L3271=1,L3271="1"),OR(M3271=1,M3271="1")),"adequate","partial"),IF(AND(H3271="W4",F3271="predictive",OR(J3271="P2",J3271="P3",J3271="P4")),IF(OR(U3271=1,U3271="1"),"adequate","partial"),INDEX(Fit_Matrix!$B:$B,MATCH(P3271,Fit_Matrix!$A:$A,0)))),"CHECK KEY"))</f>
        <v/>
      </c>
      <c r="U3271" s="10" t="n"/>
      <c r="V3271" s="10" t="n"/>
      <c r="W3271" s="10" t="n"/>
      <c r="X3271" s="10" t="n"/>
      <c r="Y3271" s="10" t="n"/>
      <c r="Z3271" s="10" t="n"/>
      <c r="AA3271" s="11">
        <f>IF(A3271="","",IF(AND(J3271="P4",F3271="causal"),"P4-CAUSAL",""))</f>
        <v/>
      </c>
    </row>
    <row r="3272" ht="15" customHeight="1" s="1">
      <c r="P3272">
        <f>IF(OR(F3272="",H3272="",J3272=""),"",J3272&amp;"|"&amp;F3272&amp;"|"&amp;IF(H3272="W3","W3_"&amp;IF(I3272="","unknown",I3272),H3272))</f>
        <v/>
      </c>
      <c r="Q3272">
        <f>IF(P3272="","",IFERROR(IF(AND(H3272="W7",OR(F3272="causal",F3272="predictive")),IF(AND(OR(K3272=1,K3272="1"),OR(L3272=1,L3272="1"),OR(M3272=1,M3272="1")),"adequate","partial"),IF(AND(H3272="W4",F3272="predictive",OR(J3272="P2",J3272="P3",J3272="P4")),IF(OR(U3272=1,U3272="1"),"adequate","partial"),INDEX(Fit_Matrix!$B:$B,MATCH(P3272,Fit_Matrix!$A:$A,0)))),"CHECK KEY"))</f>
        <v/>
      </c>
      <c r="U3272" s="10" t="n"/>
      <c r="V3272" s="10" t="n"/>
      <c r="W3272" s="10" t="n"/>
      <c r="X3272" s="10" t="n"/>
      <c r="Y3272" s="10" t="n"/>
      <c r="Z3272" s="10" t="n"/>
      <c r="AA3272" s="11">
        <f>IF(A3272="","",IF(AND(J3272="P4",F3272="causal"),"P4-CAUSAL",""))</f>
        <v/>
      </c>
    </row>
    <row r="3273" ht="15" customHeight="1" s="1">
      <c r="P3273">
        <f>IF(OR(F3273="",H3273="",J3273=""),"",J3273&amp;"|"&amp;F3273&amp;"|"&amp;IF(H3273="W3","W3_"&amp;IF(I3273="","unknown",I3273),H3273))</f>
        <v/>
      </c>
      <c r="Q3273">
        <f>IF(P3273="","",IFERROR(IF(AND(H3273="W7",OR(F3273="causal",F3273="predictive")),IF(AND(OR(K3273=1,K3273="1"),OR(L3273=1,L3273="1"),OR(M3273=1,M3273="1")),"adequate","partial"),IF(AND(H3273="W4",F3273="predictive",OR(J3273="P2",J3273="P3",J3273="P4")),IF(OR(U3273=1,U3273="1"),"adequate","partial"),INDEX(Fit_Matrix!$B:$B,MATCH(P3273,Fit_Matrix!$A:$A,0)))),"CHECK KEY"))</f>
        <v/>
      </c>
      <c r="U3273" s="10" t="n"/>
      <c r="V3273" s="10" t="n"/>
      <c r="W3273" s="10" t="n"/>
      <c r="X3273" s="10" t="n"/>
      <c r="Y3273" s="10" t="n"/>
      <c r="Z3273" s="10" t="n"/>
      <c r="AA3273" s="11">
        <f>IF(A3273="","",IF(AND(J3273="P4",F3273="causal"),"P4-CAUSAL",""))</f>
        <v/>
      </c>
    </row>
    <row r="3274" ht="15" customHeight="1" s="1">
      <c r="P3274">
        <f>IF(OR(F3274="",H3274="",J3274=""),"",J3274&amp;"|"&amp;F3274&amp;"|"&amp;IF(H3274="W3","W3_"&amp;IF(I3274="","unknown",I3274),H3274))</f>
        <v/>
      </c>
      <c r="Q3274">
        <f>IF(P3274="","",IFERROR(IF(AND(H3274="W7",OR(F3274="causal",F3274="predictive")),IF(AND(OR(K3274=1,K3274="1"),OR(L3274=1,L3274="1"),OR(M3274=1,M3274="1")),"adequate","partial"),IF(AND(H3274="W4",F3274="predictive",OR(J3274="P2",J3274="P3",J3274="P4")),IF(OR(U3274=1,U3274="1"),"adequate","partial"),INDEX(Fit_Matrix!$B:$B,MATCH(P3274,Fit_Matrix!$A:$A,0)))),"CHECK KEY"))</f>
        <v/>
      </c>
      <c r="U3274" s="10" t="n"/>
      <c r="V3274" s="10" t="n"/>
      <c r="W3274" s="10" t="n"/>
      <c r="X3274" s="10" t="n"/>
      <c r="Y3274" s="10" t="n"/>
      <c r="Z3274" s="10" t="n"/>
      <c r="AA3274" s="11">
        <f>IF(A3274="","",IF(AND(J3274="P4",F3274="causal"),"P4-CAUSAL",""))</f>
        <v/>
      </c>
    </row>
    <row r="3275" ht="15" customHeight="1" s="1">
      <c r="P3275">
        <f>IF(OR(F3275="",H3275="",J3275=""),"",J3275&amp;"|"&amp;F3275&amp;"|"&amp;IF(H3275="W3","W3_"&amp;IF(I3275="","unknown",I3275),H3275))</f>
        <v/>
      </c>
      <c r="Q3275">
        <f>IF(P3275="","",IFERROR(IF(AND(H3275="W7",OR(F3275="causal",F3275="predictive")),IF(AND(OR(K3275=1,K3275="1"),OR(L3275=1,L3275="1"),OR(M3275=1,M3275="1")),"adequate","partial"),IF(AND(H3275="W4",F3275="predictive",OR(J3275="P2",J3275="P3",J3275="P4")),IF(OR(U3275=1,U3275="1"),"adequate","partial"),INDEX(Fit_Matrix!$B:$B,MATCH(P3275,Fit_Matrix!$A:$A,0)))),"CHECK KEY"))</f>
        <v/>
      </c>
      <c r="U3275" s="10" t="n"/>
      <c r="V3275" s="10" t="n"/>
      <c r="W3275" s="10" t="n"/>
      <c r="X3275" s="10" t="n"/>
      <c r="Y3275" s="10" t="n"/>
      <c r="Z3275" s="10" t="n"/>
      <c r="AA3275" s="11">
        <f>IF(A3275="","",IF(AND(J3275="P4",F3275="causal"),"P4-CAUSAL",""))</f>
        <v/>
      </c>
    </row>
    <row r="3276" ht="15" customHeight="1" s="1">
      <c r="P3276">
        <f>IF(OR(F3276="",H3276="",J3276=""),"",J3276&amp;"|"&amp;F3276&amp;"|"&amp;IF(H3276="W3","W3_"&amp;IF(I3276="","unknown",I3276),H3276))</f>
        <v/>
      </c>
      <c r="Q3276">
        <f>IF(P3276="","",IFERROR(IF(AND(H3276="W7",OR(F3276="causal",F3276="predictive")),IF(AND(OR(K3276=1,K3276="1"),OR(L3276=1,L3276="1"),OR(M3276=1,M3276="1")),"adequate","partial"),IF(AND(H3276="W4",F3276="predictive",OR(J3276="P2",J3276="P3",J3276="P4")),IF(OR(U3276=1,U3276="1"),"adequate","partial"),INDEX(Fit_Matrix!$B:$B,MATCH(P3276,Fit_Matrix!$A:$A,0)))),"CHECK KEY"))</f>
        <v/>
      </c>
      <c r="U3276" s="10" t="n"/>
      <c r="V3276" s="10" t="n"/>
      <c r="W3276" s="10" t="n"/>
      <c r="X3276" s="10" t="n"/>
      <c r="Y3276" s="10" t="n"/>
      <c r="Z3276" s="10" t="n"/>
      <c r="AA3276" s="11">
        <f>IF(A3276="","",IF(AND(J3276="P4",F3276="causal"),"P4-CAUSAL",""))</f>
        <v/>
      </c>
    </row>
    <row r="3277" ht="15" customHeight="1" s="1">
      <c r="P3277">
        <f>IF(OR(F3277="",H3277="",J3277=""),"",J3277&amp;"|"&amp;F3277&amp;"|"&amp;IF(H3277="W3","W3_"&amp;IF(I3277="","unknown",I3277),H3277))</f>
        <v/>
      </c>
      <c r="Q3277">
        <f>IF(P3277="","",IFERROR(IF(AND(H3277="W7",OR(F3277="causal",F3277="predictive")),IF(AND(OR(K3277=1,K3277="1"),OR(L3277=1,L3277="1"),OR(M3277=1,M3277="1")),"adequate","partial"),IF(AND(H3277="W4",F3277="predictive",OR(J3277="P2",J3277="P3",J3277="P4")),IF(OR(U3277=1,U3277="1"),"adequate","partial"),INDEX(Fit_Matrix!$B:$B,MATCH(P3277,Fit_Matrix!$A:$A,0)))),"CHECK KEY"))</f>
        <v/>
      </c>
      <c r="U3277" s="10" t="n"/>
      <c r="V3277" s="10" t="n"/>
      <c r="W3277" s="10" t="n"/>
      <c r="X3277" s="10" t="n"/>
      <c r="Y3277" s="10" t="n"/>
      <c r="Z3277" s="10" t="n"/>
      <c r="AA3277" s="11">
        <f>IF(A3277="","",IF(AND(J3277="P4",F3277="causal"),"P4-CAUSAL",""))</f>
        <v/>
      </c>
    </row>
    <row r="3278" ht="15" customHeight="1" s="1">
      <c r="P3278">
        <f>IF(OR(F3278="",H3278="",J3278=""),"",J3278&amp;"|"&amp;F3278&amp;"|"&amp;IF(H3278="W3","W3_"&amp;IF(I3278="","unknown",I3278),H3278))</f>
        <v/>
      </c>
      <c r="Q3278">
        <f>IF(P3278="","",IFERROR(IF(AND(H3278="W7",OR(F3278="causal",F3278="predictive")),IF(AND(OR(K3278=1,K3278="1"),OR(L3278=1,L3278="1"),OR(M3278=1,M3278="1")),"adequate","partial"),IF(AND(H3278="W4",F3278="predictive",OR(J3278="P2",J3278="P3",J3278="P4")),IF(OR(U3278=1,U3278="1"),"adequate","partial"),INDEX(Fit_Matrix!$B:$B,MATCH(P3278,Fit_Matrix!$A:$A,0)))),"CHECK KEY"))</f>
        <v/>
      </c>
      <c r="U3278" s="10" t="n"/>
      <c r="V3278" s="10" t="n"/>
      <c r="W3278" s="10" t="n"/>
      <c r="X3278" s="10" t="n"/>
      <c r="Y3278" s="10" t="n"/>
      <c r="Z3278" s="10" t="n"/>
      <c r="AA3278" s="11">
        <f>IF(A3278="","",IF(AND(J3278="P4",F3278="causal"),"P4-CAUSAL",""))</f>
        <v/>
      </c>
    </row>
    <row r="3279" ht="15" customHeight="1" s="1">
      <c r="P3279">
        <f>IF(OR(F3279="",H3279="",J3279=""),"",J3279&amp;"|"&amp;F3279&amp;"|"&amp;IF(H3279="W3","W3_"&amp;IF(I3279="","unknown",I3279),H3279))</f>
        <v/>
      </c>
      <c r="Q3279">
        <f>IF(P3279="","",IFERROR(IF(AND(H3279="W7",OR(F3279="causal",F3279="predictive")),IF(AND(OR(K3279=1,K3279="1"),OR(L3279=1,L3279="1"),OR(M3279=1,M3279="1")),"adequate","partial"),IF(AND(H3279="W4",F3279="predictive",OR(J3279="P2",J3279="P3",J3279="P4")),IF(OR(U3279=1,U3279="1"),"adequate","partial"),INDEX(Fit_Matrix!$B:$B,MATCH(P3279,Fit_Matrix!$A:$A,0)))),"CHECK KEY"))</f>
        <v/>
      </c>
      <c r="U3279" s="10" t="n"/>
      <c r="V3279" s="10" t="n"/>
      <c r="W3279" s="10" t="n"/>
      <c r="X3279" s="10" t="n"/>
      <c r="Y3279" s="10" t="n"/>
      <c r="Z3279" s="10" t="n"/>
      <c r="AA3279" s="11">
        <f>IF(A3279="","",IF(AND(J3279="P4",F3279="causal"),"P4-CAUSAL",""))</f>
        <v/>
      </c>
    </row>
    <row r="3280" ht="15" customHeight="1" s="1">
      <c r="P3280">
        <f>IF(OR(F3280="",H3280="",J3280=""),"",J3280&amp;"|"&amp;F3280&amp;"|"&amp;IF(H3280="W3","W3_"&amp;IF(I3280="","unknown",I3280),H3280))</f>
        <v/>
      </c>
      <c r="Q3280">
        <f>IF(P3280="","",IFERROR(IF(AND(H3280="W7",OR(F3280="causal",F3280="predictive")),IF(AND(OR(K3280=1,K3280="1"),OR(L3280=1,L3280="1"),OR(M3280=1,M3280="1")),"adequate","partial"),IF(AND(H3280="W4",F3280="predictive",OR(J3280="P2",J3280="P3",J3280="P4")),IF(OR(U3280=1,U3280="1"),"adequate","partial"),INDEX(Fit_Matrix!$B:$B,MATCH(P3280,Fit_Matrix!$A:$A,0)))),"CHECK KEY"))</f>
        <v/>
      </c>
      <c r="U3280" s="10" t="n"/>
      <c r="V3280" s="10" t="n"/>
      <c r="W3280" s="10" t="n"/>
      <c r="X3280" s="10" t="n"/>
      <c r="Y3280" s="10" t="n"/>
      <c r="Z3280" s="10" t="n"/>
      <c r="AA3280" s="11">
        <f>IF(A3280="","",IF(AND(J3280="P4",F3280="causal"),"P4-CAUSAL",""))</f>
        <v/>
      </c>
    </row>
    <row r="3281" ht="15" customHeight="1" s="1">
      <c r="P3281">
        <f>IF(OR(F3281="",H3281="",J3281=""),"",J3281&amp;"|"&amp;F3281&amp;"|"&amp;IF(H3281="W3","W3_"&amp;IF(I3281="","unknown",I3281),H3281))</f>
        <v/>
      </c>
      <c r="Q3281">
        <f>IF(P3281="","",IFERROR(IF(AND(H3281="W7",OR(F3281="causal",F3281="predictive")),IF(AND(OR(K3281=1,K3281="1"),OR(L3281=1,L3281="1"),OR(M3281=1,M3281="1")),"adequate","partial"),IF(AND(H3281="W4",F3281="predictive",OR(J3281="P2",J3281="P3",J3281="P4")),IF(OR(U3281=1,U3281="1"),"adequate","partial"),INDEX(Fit_Matrix!$B:$B,MATCH(P3281,Fit_Matrix!$A:$A,0)))),"CHECK KEY"))</f>
        <v/>
      </c>
      <c r="U3281" s="10" t="n"/>
      <c r="V3281" s="10" t="n"/>
      <c r="W3281" s="10" t="n"/>
      <c r="X3281" s="10" t="n"/>
      <c r="Y3281" s="10" t="n"/>
      <c r="Z3281" s="10" t="n"/>
      <c r="AA3281" s="11">
        <f>IF(A3281="","",IF(AND(J3281="P4",F3281="causal"),"P4-CAUSAL",""))</f>
        <v/>
      </c>
    </row>
    <row r="3282" ht="15" customHeight="1" s="1">
      <c r="P3282">
        <f>IF(OR(F3282="",H3282="",J3282=""),"",J3282&amp;"|"&amp;F3282&amp;"|"&amp;IF(H3282="W3","W3_"&amp;IF(I3282="","unknown",I3282),H3282))</f>
        <v/>
      </c>
      <c r="Q3282">
        <f>IF(P3282="","",IFERROR(IF(AND(H3282="W7",OR(F3282="causal",F3282="predictive")),IF(AND(OR(K3282=1,K3282="1"),OR(L3282=1,L3282="1"),OR(M3282=1,M3282="1")),"adequate","partial"),IF(AND(H3282="W4",F3282="predictive",OR(J3282="P2",J3282="P3",J3282="P4")),IF(OR(U3282=1,U3282="1"),"adequate","partial"),INDEX(Fit_Matrix!$B:$B,MATCH(P3282,Fit_Matrix!$A:$A,0)))),"CHECK KEY"))</f>
        <v/>
      </c>
      <c r="U3282" s="10" t="n"/>
      <c r="V3282" s="10" t="n"/>
      <c r="W3282" s="10" t="n"/>
      <c r="X3282" s="10" t="n"/>
      <c r="Y3282" s="10" t="n"/>
      <c r="Z3282" s="10" t="n"/>
      <c r="AA3282" s="11">
        <f>IF(A3282="","",IF(AND(J3282="P4",F3282="causal"),"P4-CAUSAL",""))</f>
        <v/>
      </c>
    </row>
    <row r="3283" ht="15" customHeight="1" s="1">
      <c r="P3283">
        <f>IF(OR(F3283="",H3283="",J3283=""),"",J3283&amp;"|"&amp;F3283&amp;"|"&amp;IF(H3283="W3","W3_"&amp;IF(I3283="","unknown",I3283),H3283))</f>
        <v/>
      </c>
      <c r="Q3283">
        <f>IF(P3283="","",IFERROR(IF(AND(H3283="W7",OR(F3283="causal",F3283="predictive")),IF(AND(OR(K3283=1,K3283="1"),OR(L3283=1,L3283="1"),OR(M3283=1,M3283="1")),"adequate","partial"),IF(AND(H3283="W4",F3283="predictive",OR(J3283="P2",J3283="P3",J3283="P4")),IF(OR(U3283=1,U3283="1"),"adequate","partial"),INDEX(Fit_Matrix!$B:$B,MATCH(P3283,Fit_Matrix!$A:$A,0)))),"CHECK KEY"))</f>
        <v/>
      </c>
      <c r="U3283" s="10" t="n"/>
      <c r="V3283" s="10" t="n"/>
      <c r="W3283" s="10" t="n"/>
      <c r="X3283" s="10" t="n"/>
      <c r="Y3283" s="10" t="n"/>
      <c r="Z3283" s="10" t="n"/>
      <c r="AA3283" s="11">
        <f>IF(A3283="","",IF(AND(J3283="P4",F3283="causal"),"P4-CAUSAL",""))</f>
        <v/>
      </c>
    </row>
    <row r="3284" ht="15" customHeight="1" s="1">
      <c r="P3284">
        <f>IF(OR(F3284="",H3284="",J3284=""),"",J3284&amp;"|"&amp;F3284&amp;"|"&amp;IF(H3284="W3","W3_"&amp;IF(I3284="","unknown",I3284),H3284))</f>
        <v/>
      </c>
      <c r="Q3284">
        <f>IF(P3284="","",IFERROR(IF(AND(H3284="W7",OR(F3284="causal",F3284="predictive")),IF(AND(OR(K3284=1,K3284="1"),OR(L3284=1,L3284="1"),OR(M3284=1,M3284="1")),"adequate","partial"),IF(AND(H3284="W4",F3284="predictive",OR(J3284="P2",J3284="P3",J3284="P4")),IF(OR(U3284=1,U3284="1"),"adequate","partial"),INDEX(Fit_Matrix!$B:$B,MATCH(P3284,Fit_Matrix!$A:$A,0)))),"CHECK KEY"))</f>
        <v/>
      </c>
      <c r="U3284" s="10" t="n"/>
      <c r="V3284" s="10" t="n"/>
      <c r="W3284" s="10" t="n"/>
      <c r="X3284" s="10" t="n"/>
      <c r="Y3284" s="10" t="n"/>
      <c r="Z3284" s="10" t="n"/>
      <c r="AA3284" s="11">
        <f>IF(A3284="","",IF(AND(J3284="P4",F3284="causal"),"P4-CAUSAL",""))</f>
        <v/>
      </c>
    </row>
    <row r="3285" ht="15" customHeight="1" s="1">
      <c r="P3285">
        <f>IF(OR(F3285="",H3285="",J3285=""),"",J3285&amp;"|"&amp;F3285&amp;"|"&amp;IF(H3285="W3","W3_"&amp;IF(I3285="","unknown",I3285),H3285))</f>
        <v/>
      </c>
      <c r="Q3285">
        <f>IF(P3285="","",IFERROR(IF(AND(H3285="W7",OR(F3285="causal",F3285="predictive")),IF(AND(OR(K3285=1,K3285="1"),OR(L3285=1,L3285="1"),OR(M3285=1,M3285="1")),"adequate","partial"),IF(AND(H3285="W4",F3285="predictive",OR(J3285="P2",J3285="P3",J3285="P4")),IF(OR(U3285=1,U3285="1"),"adequate","partial"),INDEX(Fit_Matrix!$B:$B,MATCH(P3285,Fit_Matrix!$A:$A,0)))),"CHECK KEY"))</f>
        <v/>
      </c>
      <c r="U3285" s="10" t="n"/>
      <c r="V3285" s="10" t="n"/>
      <c r="W3285" s="10" t="n"/>
      <c r="X3285" s="10" t="n"/>
      <c r="Y3285" s="10" t="n"/>
      <c r="Z3285" s="10" t="n"/>
      <c r="AA3285" s="11">
        <f>IF(A3285="","",IF(AND(J3285="P4",F3285="causal"),"P4-CAUSAL",""))</f>
        <v/>
      </c>
    </row>
    <row r="3286" ht="15" customHeight="1" s="1">
      <c r="P3286">
        <f>IF(OR(F3286="",H3286="",J3286=""),"",J3286&amp;"|"&amp;F3286&amp;"|"&amp;IF(H3286="W3","W3_"&amp;IF(I3286="","unknown",I3286),H3286))</f>
        <v/>
      </c>
      <c r="Q3286">
        <f>IF(P3286="","",IFERROR(IF(AND(H3286="W7",OR(F3286="causal",F3286="predictive")),IF(AND(OR(K3286=1,K3286="1"),OR(L3286=1,L3286="1"),OR(M3286=1,M3286="1")),"adequate","partial"),IF(AND(H3286="W4",F3286="predictive",OR(J3286="P2",J3286="P3",J3286="P4")),IF(OR(U3286=1,U3286="1"),"adequate","partial"),INDEX(Fit_Matrix!$B:$B,MATCH(P3286,Fit_Matrix!$A:$A,0)))),"CHECK KEY"))</f>
        <v/>
      </c>
      <c r="U3286" s="10" t="n"/>
      <c r="V3286" s="10" t="n"/>
      <c r="W3286" s="10" t="n"/>
      <c r="X3286" s="10" t="n"/>
      <c r="Y3286" s="10" t="n"/>
      <c r="Z3286" s="10" t="n"/>
      <c r="AA3286" s="11">
        <f>IF(A3286="","",IF(AND(J3286="P4",F3286="causal"),"P4-CAUSAL",""))</f>
        <v/>
      </c>
    </row>
    <row r="3287" ht="15" customHeight="1" s="1">
      <c r="P3287">
        <f>IF(OR(F3287="",H3287="",J3287=""),"",J3287&amp;"|"&amp;F3287&amp;"|"&amp;IF(H3287="W3","W3_"&amp;IF(I3287="","unknown",I3287),H3287))</f>
        <v/>
      </c>
      <c r="Q3287">
        <f>IF(P3287="","",IFERROR(IF(AND(H3287="W7",OR(F3287="causal",F3287="predictive")),IF(AND(OR(K3287=1,K3287="1"),OR(L3287=1,L3287="1"),OR(M3287=1,M3287="1")),"adequate","partial"),IF(AND(H3287="W4",F3287="predictive",OR(J3287="P2",J3287="P3",J3287="P4")),IF(OR(U3287=1,U3287="1"),"adequate","partial"),INDEX(Fit_Matrix!$B:$B,MATCH(P3287,Fit_Matrix!$A:$A,0)))),"CHECK KEY"))</f>
        <v/>
      </c>
      <c r="U3287" s="10" t="n"/>
      <c r="V3287" s="10" t="n"/>
      <c r="W3287" s="10" t="n"/>
      <c r="X3287" s="10" t="n"/>
      <c r="Y3287" s="10" t="n"/>
      <c r="Z3287" s="10" t="n"/>
      <c r="AA3287" s="11">
        <f>IF(A3287="","",IF(AND(J3287="P4",F3287="causal"),"P4-CAUSAL",""))</f>
        <v/>
      </c>
    </row>
    <row r="3288" ht="15" customHeight="1" s="1">
      <c r="P3288">
        <f>IF(OR(F3288="",H3288="",J3288=""),"",J3288&amp;"|"&amp;F3288&amp;"|"&amp;IF(H3288="W3","W3_"&amp;IF(I3288="","unknown",I3288),H3288))</f>
        <v/>
      </c>
      <c r="Q3288">
        <f>IF(P3288="","",IFERROR(IF(AND(H3288="W7",OR(F3288="causal",F3288="predictive")),IF(AND(OR(K3288=1,K3288="1"),OR(L3288=1,L3288="1"),OR(M3288=1,M3288="1")),"adequate","partial"),IF(AND(H3288="W4",F3288="predictive",OR(J3288="P2",J3288="P3",J3288="P4")),IF(OR(U3288=1,U3288="1"),"adequate","partial"),INDEX(Fit_Matrix!$B:$B,MATCH(P3288,Fit_Matrix!$A:$A,0)))),"CHECK KEY"))</f>
        <v/>
      </c>
      <c r="U3288" s="10" t="n"/>
      <c r="V3288" s="10" t="n"/>
      <c r="W3288" s="10" t="n"/>
      <c r="X3288" s="10" t="n"/>
      <c r="Y3288" s="10" t="n"/>
      <c r="Z3288" s="10" t="n"/>
      <c r="AA3288" s="11">
        <f>IF(A3288="","",IF(AND(J3288="P4",F3288="causal"),"P4-CAUSAL",""))</f>
        <v/>
      </c>
    </row>
    <row r="3289" ht="15" customHeight="1" s="1">
      <c r="P3289">
        <f>IF(OR(F3289="",H3289="",J3289=""),"",J3289&amp;"|"&amp;F3289&amp;"|"&amp;IF(H3289="W3","W3_"&amp;IF(I3289="","unknown",I3289),H3289))</f>
        <v/>
      </c>
      <c r="Q3289">
        <f>IF(P3289="","",IFERROR(IF(AND(H3289="W7",OR(F3289="causal",F3289="predictive")),IF(AND(OR(K3289=1,K3289="1"),OR(L3289=1,L3289="1"),OR(M3289=1,M3289="1")),"adequate","partial"),IF(AND(H3289="W4",F3289="predictive",OR(J3289="P2",J3289="P3",J3289="P4")),IF(OR(U3289=1,U3289="1"),"adequate","partial"),INDEX(Fit_Matrix!$B:$B,MATCH(P3289,Fit_Matrix!$A:$A,0)))),"CHECK KEY"))</f>
        <v/>
      </c>
      <c r="U3289" s="10" t="n"/>
      <c r="V3289" s="10" t="n"/>
      <c r="W3289" s="10" t="n"/>
      <c r="X3289" s="10" t="n"/>
      <c r="Y3289" s="10" t="n"/>
      <c r="Z3289" s="10" t="n"/>
      <c r="AA3289" s="11">
        <f>IF(A3289="","",IF(AND(J3289="P4",F3289="causal"),"P4-CAUSAL",""))</f>
        <v/>
      </c>
    </row>
    <row r="3290" ht="15" customHeight="1" s="1">
      <c r="P3290">
        <f>IF(OR(F3290="",H3290="",J3290=""),"",J3290&amp;"|"&amp;F3290&amp;"|"&amp;IF(H3290="W3","W3_"&amp;IF(I3290="","unknown",I3290),H3290))</f>
        <v/>
      </c>
      <c r="Q3290">
        <f>IF(P3290="","",IFERROR(IF(AND(H3290="W7",OR(F3290="causal",F3290="predictive")),IF(AND(OR(K3290=1,K3290="1"),OR(L3290=1,L3290="1"),OR(M3290=1,M3290="1")),"adequate","partial"),IF(AND(H3290="W4",F3290="predictive",OR(J3290="P2",J3290="P3",J3290="P4")),IF(OR(U3290=1,U3290="1"),"adequate","partial"),INDEX(Fit_Matrix!$B:$B,MATCH(P3290,Fit_Matrix!$A:$A,0)))),"CHECK KEY"))</f>
        <v/>
      </c>
      <c r="U3290" s="10" t="n"/>
      <c r="V3290" s="10" t="n"/>
      <c r="W3290" s="10" t="n"/>
      <c r="X3290" s="10" t="n"/>
      <c r="Y3290" s="10" t="n"/>
      <c r="Z3290" s="10" t="n"/>
      <c r="AA3290" s="11">
        <f>IF(A3290="","",IF(AND(J3290="P4",F3290="causal"),"P4-CAUSAL",""))</f>
        <v/>
      </c>
    </row>
    <row r="3291" ht="15" customHeight="1" s="1">
      <c r="P3291">
        <f>IF(OR(F3291="",H3291="",J3291=""),"",J3291&amp;"|"&amp;F3291&amp;"|"&amp;IF(H3291="W3","W3_"&amp;IF(I3291="","unknown",I3291),H3291))</f>
        <v/>
      </c>
      <c r="Q3291">
        <f>IF(P3291="","",IFERROR(IF(AND(H3291="W7",OR(F3291="causal",F3291="predictive")),IF(AND(OR(K3291=1,K3291="1"),OR(L3291=1,L3291="1"),OR(M3291=1,M3291="1")),"adequate","partial"),IF(AND(H3291="W4",F3291="predictive",OR(J3291="P2",J3291="P3",J3291="P4")),IF(OR(U3291=1,U3291="1"),"adequate","partial"),INDEX(Fit_Matrix!$B:$B,MATCH(P3291,Fit_Matrix!$A:$A,0)))),"CHECK KEY"))</f>
        <v/>
      </c>
      <c r="U3291" s="10" t="n"/>
      <c r="V3291" s="10" t="n"/>
      <c r="W3291" s="10" t="n"/>
      <c r="X3291" s="10" t="n"/>
      <c r="Y3291" s="10" t="n"/>
      <c r="Z3291" s="10" t="n"/>
      <c r="AA3291" s="11">
        <f>IF(A3291="","",IF(AND(J3291="P4",F3291="causal"),"P4-CAUSAL",""))</f>
        <v/>
      </c>
    </row>
    <row r="3292" ht="15" customHeight="1" s="1">
      <c r="P3292">
        <f>IF(OR(F3292="",H3292="",J3292=""),"",J3292&amp;"|"&amp;F3292&amp;"|"&amp;IF(H3292="W3","W3_"&amp;IF(I3292="","unknown",I3292),H3292))</f>
        <v/>
      </c>
      <c r="Q3292">
        <f>IF(P3292="","",IFERROR(IF(AND(H3292="W7",OR(F3292="causal",F3292="predictive")),IF(AND(OR(K3292=1,K3292="1"),OR(L3292=1,L3292="1"),OR(M3292=1,M3292="1")),"adequate","partial"),IF(AND(H3292="W4",F3292="predictive",OR(J3292="P2",J3292="P3",J3292="P4")),IF(OR(U3292=1,U3292="1"),"adequate","partial"),INDEX(Fit_Matrix!$B:$B,MATCH(P3292,Fit_Matrix!$A:$A,0)))),"CHECK KEY"))</f>
        <v/>
      </c>
      <c r="U3292" s="10" t="n"/>
      <c r="V3292" s="10" t="n"/>
      <c r="W3292" s="10" t="n"/>
      <c r="X3292" s="10" t="n"/>
      <c r="Y3292" s="10" t="n"/>
      <c r="Z3292" s="10" t="n"/>
      <c r="AA3292" s="11">
        <f>IF(A3292="","",IF(AND(J3292="P4",F3292="causal"),"P4-CAUSAL",""))</f>
        <v/>
      </c>
    </row>
    <row r="3293" ht="15" customHeight="1" s="1">
      <c r="P3293">
        <f>IF(OR(F3293="",H3293="",J3293=""),"",J3293&amp;"|"&amp;F3293&amp;"|"&amp;IF(H3293="W3","W3_"&amp;IF(I3293="","unknown",I3293),H3293))</f>
        <v/>
      </c>
      <c r="Q3293">
        <f>IF(P3293="","",IFERROR(IF(AND(H3293="W7",OR(F3293="causal",F3293="predictive")),IF(AND(OR(K3293=1,K3293="1"),OR(L3293=1,L3293="1"),OR(M3293=1,M3293="1")),"adequate","partial"),IF(AND(H3293="W4",F3293="predictive",OR(J3293="P2",J3293="P3",J3293="P4")),IF(OR(U3293=1,U3293="1"),"adequate","partial"),INDEX(Fit_Matrix!$B:$B,MATCH(P3293,Fit_Matrix!$A:$A,0)))),"CHECK KEY"))</f>
        <v/>
      </c>
      <c r="U3293" s="10" t="n"/>
      <c r="V3293" s="10" t="n"/>
      <c r="W3293" s="10" t="n"/>
      <c r="X3293" s="10" t="n"/>
      <c r="Y3293" s="10" t="n"/>
      <c r="Z3293" s="10" t="n"/>
      <c r="AA3293" s="11">
        <f>IF(A3293="","",IF(AND(J3293="P4",F3293="causal"),"P4-CAUSAL",""))</f>
        <v/>
      </c>
    </row>
    <row r="3294" ht="15" customHeight="1" s="1">
      <c r="P3294">
        <f>IF(OR(F3294="",H3294="",J3294=""),"",J3294&amp;"|"&amp;F3294&amp;"|"&amp;IF(H3294="W3","W3_"&amp;IF(I3294="","unknown",I3294),H3294))</f>
        <v/>
      </c>
      <c r="Q3294">
        <f>IF(P3294="","",IFERROR(IF(AND(H3294="W7",OR(F3294="causal",F3294="predictive")),IF(AND(OR(K3294=1,K3294="1"),OR(L3294=1,L3294="1"),OR(M3294=1,M3294="1")),"adequate","partial"),IF(AND(H3294="W4",F3294="predictive",OR(J3294="P2",J3294="P3",J3294="P4")),IF(OR(U3294=1,U3294="1"),"adequate","partial"),INDEX(Fit_Matrix!$B:$B,MATCH(P3294,Fit_Matrix!$A:$A,0)))),"CHECK KEY"))</f>
        <v/>
      </c>
      <c r="U3294" s="10" t="n"/>
      <c r="V3294" s="10" t="n"/>
      <c r="W3294" s="10" t="n"/>
      <c r="X3294" s="10" t="n"/>
      <c r="Y3294" s="10" t="n"/>
      <c r="Z3294" s="10" t="n"/>
      <c r="AA3294" s="11">
        <f>IF(A3294="","",IF(AND(J3294="P4",F3294="causal"),"P4-CAUSAL",""))</f>
        <v/>
      </c>
    </row>
    <row r="3295" ht="15" customHeight="1" s="1">
      <c r="P3295">
        <f>IF(OR(F3295="",H3295="",J3295=""),"",J3295&amp;"|"&amp;F3295&amp;"|"&amp;IF(H3295="W3","W3_"&amp;IF(I3295="","unknown",I3295),H3295))</f>
        <v/>
      </c>
      <c r="Q3295">
        <f>IF(P3295="","",IFERROR(IF(AND(H3295="W7",OR(F3295="causal",F3295="predictive")),IF(AND(OR(K3295=1,K3295="1"),OR(L3295=1,L3295="1"),OR(M3295=1,M3295="1")),"adequate","partial"),IF(AND(H3295="W4",F3295="predictive",OR(J3295="P2",J3295="P3",J3295="P4")),IF(OR(U3295=1,U3295="1"),"adequate","partial"),INDEX(Fit_Matrix!$B:$B,MATCH(P3295,Fit_Matrix!$A:$A,0)))),"CHECK KEY"))</f>
        <v/>
      </c>
      <c r="U3295" s="10" t="n"/>
      <c r="V3295" s="10" t="n"/>
      <c r="W3295" s="10" t="n"/>
      <c r="X3295" s="10" t="n"/>
      <c r="Y3295" s="10" t="n"/>
      <c r="Z3295" s="10" t="n"/>
      <c r="AA3295" s="11">
        <f>IF(A3295="","",IF(AND(J3295="P4",F3295="causal"),"P4-CAUSAL",""))</f>
        <v/>
      </c>
    </row>
    <row r="3296" ht="15" customHeight="1" s="1">
      <c r="P3296">
        <f>IF(OR(F3296="",H3296="",J3296=""),"",J3296&amp;"|"&amp;F3296&amp;"|"&amp;IF(H3296="W3","W3_"&amp;IF(I3296="","unknown",I3296),H3296))</f>
        <v/>
      </c>
      <c r="Q3296">
        <f>IF(P3296="","",IFERROR(IF(AND(H3296="W7",OR(F3296="causal",F3296="predictive")),IF(AND(OR(K3296=1,K3296="1"),OR(L3296=1,L3296="1"),OR(M3296=1,M3296="1")),"adequate","partial"),IF(AND(H3296="W4",F3296="predictive",OR(J3296="P2",J3296="P3",J3296="P4")),IF(OR(U3296=1,U3296="1"),"adequate","partial"),INDEX(Fit_Matrix!$B:$B,MATCH(P3296,Fit_Matrix!$A:$A,0)))),"CHECK KEY"))</f>
        <v/>
      </c>
      <c r="U3296" s="10" t="n"/>
      <c r="V3296" s="10" t="n"/>
      <c r="W3296" s="10" t="n"/>
      <c r="X3296" s="10" t="n"/>
      <c r="Y3296" s="10" t="n"/>
      <c r="Z3296" s="10" t="n"/>
      <c r="AA3296" s="11">
        <f>IF(A3296="","",IF(AND(J3296="P4",F3296="causal"),"P4-CAUSAL",""))</f>
        <v/>
      </c>
    </row>
    <row r="3297" ht="15" customHeight="1" s="1">
      <c r="P3297">
        <f>IF(OR(F3297="",H3297="",J3297=""),"",J3297&amp;"|"&amp;F3297&amp;"|"&amp;IF(H3297="W3","W3_"&amp;IF(I3297="","unknown",I3297),H3297))</f>
        <v/>
      </c>
      <c r="Q3297">
        <f>IF(P3297="","",IFERROR(IF(AND(H3297="W7",OR(F3297="causal",F3297="predictive")),IF(AND(OR(K3297=1,K3297="1"),OR(L3297=1,L3297="1"),OR(M3297=1,M3297="1")),"adequate","partial"),IF(AND(H3297="W4",F3297="predictive",OR(J3297="P2",J3297="P3",J3297="P4")),IF(OR(U3297=1,U3297="1"),"adequate","partial"),INDEX(Fit_Matrix!$B:$B,MATCH(P3297,Fit_Matrix!$A:$A,0)))),"CHECK KEY"))</f>
        <v/>
      </c>
      <c r="U3297" s="10" t="n"/>
      <c r="V3297" s="10" t="n"/>
      <c r="W3297" s="10" t="n"/>
      <c r="X3297" s="10" t="n"/>
      <c r="Y3297" s="10" t="n"/>
      <c r="Z3297" s="10" t="n"/>
      <c r="AA3297" s="11">
        <f>IF(A3297="","",IF(AND(J3297="P4",F3297="causal"),"P4-CAUSAL",""))</f>
        <v/>
      </c>
    </row>
    <row r="3298" ht="15" customHeight="1" s="1">
      <c r="P3298">
        <f>IF(OR(F3298="",H3298="",J3298=""),"",J3298&amp;"|"&amp;F3298&amp;"|"&amp;IF(H3298="W3","W3_"&amp;IF(I3298="","unknown",I3298),H3298))</f>
        <v/>
      </c>
      <c r="Q3298">
        <f>IF(P3298="","",IFERROR(IF(AND(H3298="W7",OR(F3298="causal",F3298="predictive")),IF(AND(OR(K3298=1,K3298="1"),OR(L3298=1,L3298="1"),OR(M3298=1,M3298="1")),"adequate","partial"),IF(AND(H3298="W4",F3298="predictive",OR(J3298="P2",J3298="P3",J3298="P4")),IF(OR(U3298=1,U3298="1"),"adequate","partial"),INDEX(Fit_Matrix!$B:$B,MATCH(P3298,Fit_Matrix!$A:$A,0)))),"CHECK KEY"))</f>
        <v/>
      </c>
      <c r="U3298" s="10" t="n"/>
      <c r="V3298" s="10" t="n"/>
      <c r="W3298" s="10" t="n"/>
      <c r="X3298" s="10" t="n"/>
      <c r="Y3298" s="10" t="n"/>
      <c r="Z3298" s="10" t="n"/>
      <c r="AA3298" s="11">
        <f>IF(A3298="","",IF(AND(J3298="P4",F3298="causal"),"P4-CAUSAL",""))</f>
        <v/>
      </c>
    </row>
    <row r="3299" ht="15" customHeight="1" s="1">
      <c r="P3299">
        <f>IF(OR(F3299="",H3299="",J3299=""),"",J3299&amp;"|"&amp;F3299&amp;"|"&amp;IF(H3299="W3","W3_"&amp;IF(I3299="","unknown",I3299),H3299))</f>
        <v/>
      </c>
      <c r="Q3299">
        <f>IF(P3299="","",IFERROR(IF(AND(H3299="W7",OR(F3299="causal",F3299="predictive")),IF(AND(OR(K3299=1,K3299="1"),OR(L3299=1,L3299="1"),OR(M3299=1,M3299="1")),"adequate","partial"),IF(AND(H3299="W4",F3299="predictive",OR(J3299="P2",J3299="P3",J3299="P4")),IF(OR(U3299=1,U3299="1"),"adequate","partial"),INDEX(Fit_Matrix!$B:$B,MATCH(P3299,Fit_Matrix!$A:$A,0)))),"CHECK KEY"))</f>
        <v/>
      </c>
      <c r="U3299" s="10" t="n"/>
      <c r="V3299" s="10" t="n"/>
      <c r="W3299" s="10" t="n"/>
      <c r="X3299" s="10" t="n"/>
      <c r="Y3299" s="10" t="n"/>
      <c r="Z3299" s="10" t="n"/>
      <c r="AA3299" s="11">
        <f>IF(A3299="","",IF(AND(J3299="P4",F3299="causal"),"P4-CAUSAL",""))</f>
        <v/>
      </c>
    </row>
    <row r="3300" ht="15" customHeight="1" s="1">
      <c r="P3300">
        <f>IF(OR(F3300="",H3300="",J3300=""),"",J3300&amp;"|"&amp;F3300&amp;"|"&amp;IF(H3300="W3","W3_"&amp;IF(I3300="","unknown",I3300),H3300))</f>
        <v/>
      </c>
      <c r="Q3300">
        <f>IF(P3300="","",IFERROR(IF(AND(H3300="W7",OR(F3300="causal",F3300="predictive")),IF(AND(OR(K3300=1,K3300="1"),OR(L3300=1,L3300="1"),OR(M3300=1,M3300="1")),"adequate","partial"),IF(AND(H3300="W4",F3300="predictive",OR(J3300="P2",J3300="P3",J3300="P4")),IF(OR(U3300=1,U3300="1"),"adequate","partial"),INDEX(Fit_Matrix!$B:$B,MATCH(P3300,Fit_Matrix!$A:$A,0)))),"CHECK KEY"))</f>
        <v/>
      </c>
      <c r="U3300" s="10" t="n"/>
      <c r="V3300" s="10" t="n"/>
      <c r="W3300" s="10" t="n"/>
      <c r="X3300" s="10" t="n"/>
      <c r="Y3300" s="10" t="n"/>
      <c r="Z3300" s="10" t="n"/>
      <c r="AA3300" s="11">
        <f>IF(A3300="","",IF(AND(J3300="P4",F3300="causal"),"P4-CAUSAL",""))</f>
        <v/>
      </c>
    </row>
    <row r="3301" ht="15" customHeight="1" s="1">
      <c r="P3301">
        <f>IF(OR(F3301="",H3301="",J3301=""),"",J3301&amp;"|"&amp;F3301&amp;"|"&amp;IF(H3301="W3","W3_"&amp;IF(I3301="","unknown",I3301),H3301))</f>
        <v/>
      </c>
      <c r="Q3301">
        <f>IF(P3301="","",IFERROR(IF(AND(H3301="W7",OR(F3301="causal",F3301="predictive")),IF(AND(OR(K3301=1,K3301="1"),OR(L3301=1,L3301="1"),OR(M3301=1,M3301="1")),"adequate","partial"),IF(AND(H3301="W4",F3301="predictive",OR(J3301="P2",J3301="P3",J3301="P4")),IF(OR(U3301=1,U3301="1"),"adequate","partial"),INDEX(Fit_Matrix!$B:$B,MATCH(P3301,Fit_Matrix!$A:$A,0)))),"CHECK KEY"))</f>
        <v/>
      </c>
      <c r="U3301" s="10" t="n"/>
      <c r="V3301" s="10" t="n"/>
      <c r="W3301" s="10" t="n"/>
      <c r="X3301" s="10" t="n"/>
      <c r="Y3301" s="10" t="n"/>
      <c r="Z3301" s="10" t="n"/>
      <c r="AA3301" s="11">
        <f>IF(A3301="","",IF(AND(J3301="P4",F3301="causal"),"P4-CAUSAL",""))</f>
        <v/>
      </c>
    </row>
    <row r="3302" ht="15" customHeight="1" s="1">
      <c r="P3302">
        <f>IF(OR(F3302="",H3302="",J3302=""),"",J3302&amp;"|"&amp;F3302&amp;"|"&amp;IF(H3302="W3","W3_"&amp;IF(I3302="","unknown",I3302),H3302))</f>
        <v/>
      </c>
      <c r="Q3302">
        <f>IF(P3302="","",IFERROR(IF(AND(H3302="W7",OR(F3302="causal",F3302="predictive")),IF(AND(OR(K3302=1,K3302="1"),OR(L3302=1,L3302="1"),OR(M3302=1,M3302="1")),"adequate","partial"),IF(AND(H3302="W4",F3302="predictive",OR(J3302="P2",J3302="P3",J3302="P4")),IF(OR(U3302=1,U3302="1"),"adequate","partial"),INDEX(Fit_Matrix!$B:$B,MATCH(P3302,Fit_Matrix!$A:$A,0)))),"CHECK KEY"))</f>
        <v/>
      </c>
      <c r="U3302" s="10" t="n"/>
      <c r="V3302" s="10" t="n"/>
      <c r="W3302" s="10" t="n"/>
      <c r="X3302" s="10" t="n"/>
      <c r="Y3302" s="10" t="n"/>
      <c r="Z3302" s="10" t="n"/>
      <c r="AA3302" s="11">
        <f>IF(A3302="","",IF(AND(J3302="P4",F3302="causal"),"P4-CAUSAL",""))</f>
        <v/>
      </c>
    </row>
    <row r="3303" ht="15" customHeight="1" s="1">
      <c r="P3303">
        <f>IF(OR(F3303="",H3303="",J3303=""),"",J3303&amp;"|"&amp;F3303&amp;"|"&amp;IF(H3303="W3","W3_"&amp;IF(I3303="","unknown",I3303),H3303))</f>
        <v/>
      </c>
      <c r="Q3303">
        <f>IF(P3303="","",IFERROR(IF(AND(H3303="W7",OR(F3303="causal",F3303="predictive")),IF(AND(OR(K3303=1,K3303="1"),OR(L3303=1,L3303="1"),OR(M3303=1,M3303="1")),"adequate","partial"),IF(AND(H3303="W4",F3303="predictive",OR(J3303="P2",J3303="P3",J3303="P4")),IF(OR(U3303=1,U3303="1"),"adequate","partial"),INDEX(Fit_Matrix!$B:$B,MATCH(P3303,Fit_Matrix!$A:$A,0)))),"CHECK KEY"))</f>
        <v/>
      </c>
      <c r="U3303" s="10" t="n"/>
      <c r="V3303" s="10" t="n"/>
      <c r="W3303" s="10" t="n"/>
      <c r="X3303" s="10" t="n"/>
      <c r="Y3303" s="10" t="n"/>
      <c r="Z3303" s="10" t="n"/>
      <c r="AA3303" s="11">
        <f>IF(A3303="","",IF(AND(J3303="P4",F3303="causal"),"P4-CAUSAL",""))</f>
        <v/>
      </c>
    </row>
    <row r="3304" ht="15" customHeight="1" s="1">
      <c r="P3304">
        <f>IF(OR(F3304="",H3304="",J3304=""),"",J3304&amp;"|"&amp;F3304&amp;"|"&amp;IF(H3304="W3","W3_"&amp;IF(I3304="","unknown",I3304),H3304))</f>
        <v/>
      </c>
      <c r="Q3304">
        <f>IF(P3304="","",IFERROR(IF(AND(H3304="W7",OR(F3304="causal",F3304="predictive")),IF(AND(OR(K3304=1,K3304="1"),OR(L3304=1,L3304="1"),OR(M3304=1,M3304="1")),"adequate","partial"),IF(AND(H3304="W4",F3304="predictive",OR(J3304="P2",J3304="P3",J3304="P4")),IF(OR(U3304=1,U3304="1"),"adequate","partial"),INDEX(Fit_Matrix!$B:$B,MATCH(P3304,Fit_Matrix!$A:$A,0)))),"CHECK KEY"))</f>
        <v/>
      </c>
      <c r="U3304" s="10" t="n"/>
      <c r="V3304" s="10" t="n"/>
      <c r="W3304" s="10" t="n"/>
      <c r="X3304" s="10" t="n"/>
      <c r="Y3304" s="10" t="n"/>
      <c r="Z3304" s="10" t="n"/>
      <c r="AA3304" s="11">
        <f>IF(A3304="","",IF(AND(J3304="P4",F3304="causal"),"P4-CAUSAL",""))</f>
        <v/>
      </c>
    </row>
    <row r="3305" ht="15" customHeight="1" s="1">
      <c r="P3305">
        <f>IF(OR(F3305="",H3305="",J3305=""),"",J3305&amp;"|"&amp;F3305&amp;"|"&amp;IF(H3305="W3","W3_"&amp;IF(I3305="","unknown",I3305),H3305))</f>
        <v/>
      </c>
      <c r="Q3305">
        <f>IF(P3305="","",IFERROR(IF(AND(H3305="W7",OR(F3305="causal",F3305="predictive")),IF(AND(OR(K3305=1,K3305="1"),OR(L3305=1,L3305="1"),OR(M3305=1,M3305="1")),"adequate","partial"),IF(AND(H3305="W4",F3305="predictive",OR(J3305="P2",J3305="P3",J3305="P4")),IF(OR(U3305=1,U3305="1"),"adequate","partial"),INDEX(Fit_Matrix!$B:$B,MATCH(P3305,Fit_Matrix!$A:$A,0)))),"CHECK KEY"))</f>
        <v/>
      </c>
      <c r="U3305" s="10" t="n"/>
      <c r="V3305" s="10" t="n"/>
      <c r="W3305" s="10" t="n"/>
      <c r="X3305" s="10" t="n"/>
      <c r="Y3305" s="10" t="n"/>
      <c r="Z3305" s="10" t="n"/>
      <c r="AA3305" s="11">
        <f>IF(A3305="","",IF(AND(J3305="P4",F3305="causal"),"P4-CAUSAL",""))</f>
        <v/>
      </c>
    </row>
    <row r="3306" ht="15" customHeight="1" s="1">
      <c r="P3306">
        <f>IF(OR(F3306="",H3306="",J3306=""),"",J3306&amp;"|"&amp;F3306&amp;"|"&amp;IF(H3306="W3","W3_"&amp;IF(I3306="","unknown",I3306),H3306))</f>
        <v/>
      </c>
      <c r="Q3306">
        <f>IF(P3306="","",IFERROR(IF(AND(H3306="W7",OR(F3306="causal",F3306="predictive")),IF(AND(OR(K3306=1,K3306="1"),OR(L3306=1,L3306="1"),OR(M3306=1,M3306="1")),"adequate","partial"),IF(AND(H3306="W4",F3306="predictive",OR(J3306="P2",J3306="P3",J3306="P4")),IF(OR(U3306=1,U3306="1"),"adequate","partial"),INDEX(Fit_Matrix!$B:$B,MATCH(P3306,Fit_Matrix!$A:$A,0)))),"CHECK KEY"))</f>
        <v/>
      </c>
      <c r="U3306" s="10" t="n"/>
      <c r="V3306" s="10" t="n"/>
      <c r="W3306" s="10" t="n"/>
      <c r="X3306" s="10" t="n"/>
      <c r="Y3306" s="10" t="n"/>
      <c r="Z3306" s="10" t="n"/>
      <c r="AA3306" s="11">
        <f>IF(A3306="","",IF(AND(J3306="P4",F3306="causal"),"P4-CAUSAL",""))</f>
        <v/>
      </c>
    </row>
    <row r="3307" ht="15" customHeight="1" s="1">
      <c r="P3307">
        <f>IF(OR(F3307="",H3307="",J3307=""),"",J3307&amp;"|"&amp;F3307&amp;"|"&amp;IF(H3307="W3","W3_"&amp;IF(I3307="","unknown",I3307),H3307))</f>
        <v/>
      </c>
      <c r="Q3307">
        <f>IF(P3307="","",IFERROR(IF(AND(H3307="W7",OR(F3307="causal",F3307="predictive")),IF(AND(OR(K3307=1,K3307="1"),OR(L3307=1,L3307="1"),OR(M3307=1,M3307="1")),"adequate","partial"),IF(AND(H3307="W4",F3307="predictive",OR(J3307="P2",J3307="P3",J3307="P4")),IF(OR(U3307=1,U3307="1"),"adequate","partial"),INDEX(Fit_Matrix!$B:$B,MATCH(P3307,Fit_Matrix!$A:$A,0)))),"CHECK KEY"))</f>
        <v/>
      </c>
      <c r="U3307" s="10" t="n"/>
      <c r="V3307" s="10" t="n"/>
      <c r="W3307" s="10" t="n"/>
      <c r="X3307" s="10" t="n"/>
      <c r="Y3307" s="10" t="n"/>
      <c r="Z3307" s="10" t="n"/>
      <c r="AA3307" s="11">
        <f>IF(A3307="","",IF(AND(J3307="P4",F3307="causal"),"P4-CAUSAL",""))</f>
        <v/>
      </c>
    </row>
    <row r="3308" ht="15" customHeight="1" s="1">
      <c r="P3308">
        <f>IF(OR(F3308="",H3308="",J3308=""),"",J3308&amp;"|"&amp;F3308&amp;"|"&amp;IF(H3308="W3","W3_"&amp;IF(I3308="","unknown",I3308),H3308))</f>
        <v/>
      </c>
      <c r="Q3308">
        <f>IF(P3308="","",IFERROR(IF(AND(H3308="W7",OR(F3308="causal",F3308="predictive")),IF(AND(OR(K3308=1,K3308="1"),OR(L3308=1,L3308="1"),OR(M3308=1,M3308="1")),"adequate","partial"),IF(AND(H3308="W4",F3308="predictive",OR(J3308="P2",J3308="P3",J3308="P4")),IF(OR(U3308=1,U3308="1"),"adequate","partial"),INDEX(Fit_Matrix!$B:$B,MATCH(P3308,Fit_Matrix!$A:$A,0)))),"CHECK KEY"))</f>
        <v/>
      </c>
      <c r="U3308" s="10" t="n"/>
      <c r="V3308" s="10" t="n"/>
      <c r="W3308" s="10" t="n"/>
      <c r="X3308" s="10" t="n"/>
      <c r="Y3308" s="10" t="n"/>
      <c r="Z3308" s="10" t="n"/>
      <c r="AA3308" s="11">
        <f>IF(A3308="","",IF(AND(J3308="P4",F3308="causal"),"P4-CAUSAL",""))</f>
        <v/>
      </c>
    </row>
    <row r="3309" ht="15" customHeight="1" s="1">
      <c r="P3309">
        <f>IF(OR(F3309="",H3309="",J3309=""),"",J3309&amp;"|"&amp;F3309&amp;"|"&amp;IF(H3309="W3","W3_"&amp;IF(I3309="","unknown",I3309),H3309))</f>
        <v/>
      </c>
      <c r="Q3309">
        <f>IF(P3309="","",IFERROR(IF(AND(H3309="W7",OR(F3309="causal",F3309="predictive")),IF(AND(OR(K3309=1,K3309="1"),OR(L3309=1,L3309="1"),OR(M3309=1,M3309="1")),"adequate","partial"),IF(AND(H3309="W4",F3309="predictive",OR(J3309="P2",J3309="P3",J3309="P4")),IF(OR(U3309=1,U3309="1"),"adequate","partial"),INDEX(Fit_Matrix!$B:$B,MATCH(P3309,Fit_Matrix!$A:$A,0)))),"CHECK KEY"))</f>
        <v/>
      </c>
      <c r="U3309" s="10" t="n"/>
      <c r="V3309" s="10" t="n"/>
      <c r="W3309" s="10" t="n"/>
      <c r="X3309" s="10" t="n"/>
      <c r="Y3309" s="10" t="n"/>
      <c r="Z3309" s="10" t="n"/>
      <c r="AA3309" s="11">
        <f>IF(A3309="","",IF(AND(J3309="P4",F3309="causal"),"P4-CAUSAL",""))</f>
        <v/>
      </c>
    </row>
    <row r="3310" ht="15" customHeight="1" s="1">
      <c r="P3310">
        <f>IF(OR(F3310="",H3310="",J3310=""),"",J3310&amp;"|"&amp;F3310&amp;"|"&amp;IF(H3310="W3","W3_"&amp;IF(I3310="","unknown",I3310),H3310))</f>
        <v/>
      </c>
      <c r="Q3310">
        <f>IF(P3310="","",IFERROR(IF(AND(H3310="W7",OR(F3310="causal",F3310="predictive")),IF(AND(OR(K3310=1,K3310="1"),OR(L3310=1,L3310="1"),OR(M3310=1,M3310="1")),"adequate","partial"),IF(AND(H3310="W4",F3310="predictive",OR(J3310="P2",J3310="P3",J3310="P4")),IF(OR(U3310=1,U3310="1"),"adequate","partial"),INDEX(Fit_Matrix!$B:$B,MATCH(P3310,Fit_Matrix!$A:$A,0)))),"CHECK KEY"))</f>
        <v/>
      </c>
      <c r="U3310" s="10" t="n"/>
      <c r="V3310" s="10" t="n"/>
      <c r="W3310" s="10" t="n"/>
      <c r="X3310" s="10" t="n"/>
      <c r="Y3310" s="10" t="n"/>
      <c r="Z3310" s="10" t="n"/>
      <c r="AA3310" s="11">
        <f>IF(A3310="","",IF(AND(J3310="P4",F3310="causal"),"P4-CAUSAL",""))</f>
        <v/>
      </c>
    </row>
    <row r="3311" ht="15" customHeight="1" s="1">
      <c r="P3311">
        <f>IF(OR(F3311="",H3311="",J3311=""),"",J3311&amp;"|"&amp;F3311&amp;"|"&amp;IF(H3311="W3","W3_"&amp;IF(I3311="","unknown",I3311),H3311))</f>
        <v/>
      </c>
      <c r="Q3311">
        <f>IF(P3311="","",IFERROR(IF(AND(H3311="W7",OR(F3311="causal",F3311="predictive")),IF(AND(OR(K3311=1,K3311="1"),OR(L3311=1,L3311="1"),OR(M3311=1,M3311="1")),"adequate","partial"),IF(AND(H3311="W4",F3311="predictive",OR(J3311="P2",J3311="P3",J3311="P4")),IF(OR(U3311=1,U3311="1"),"adequate","partial"),INDEX(Fit_Matrix!$B:$B,MATCH(P3311,Fit_Matrix!$A:$A,0)))),"CHECK KEY"))</f>
        <v/>
      </c>
      <c r="U3311" s="10" t="n"/>
      <c r="V3311" s="10" t="n"/>
      <c r="W3311" s="10" t="n"/>
      <c r="X3311" s="10" t="n"/>
      <c r="Y3311" s="10" t="n"/>
      <c r="Z3311" s="10" t="n"/>
      <c r="AA3311" s="11">
        <f>IF(A3311="","",IF(AND(J3311="P4",F3311="causal"),"P4-CAUSAL",""))</f>
        <v/>
      </c>
    </row>
    <row r="3312" ht="15" customHeight="1" s="1">
      <c r="P3312">
        <f>IF(OR(F3312="",H3312="",J3312=""),"",J3312&amp;"|"&amp;F3312&amp;"|"&amp;IF(H3312="W3","W3_"&amp;IF(I3312="","unknown",I3312),H3312))</f>
        <v/>
      </c>
      <c r="Q3312">
        <f>IF(P3312="","",IFERROR(IF(AND(H3312="W7",OR(F3312="causal",F3312="predictive")),IF(AND(OR(K3312=1,K3312="1"),OR(L3312=1,L3312="1"),OR(M3312=1,M3312="1")),"adequate","partial"),IF(AND(H3312="W4",F3312="predictive",OR(J3312="P2",J3312="P3",J3312="P4")),IF(OR(U3312=1,U3312="1"),"adequate","partial"),INDEX(Fit_Matrix!$B:$B,MATCH(P3312,Fit_Matrix!$A:$A,0)))),"CHECK KEY"))</f>
        <v/>
      </c>
      <c r="U3312" s="10" t="n"/>
      <c r="V3312" s="10" t="n"/>
      <c r="W3312" s="10" t="n"/>
      <c r="X3312" s="10" t="n"/>
      <c r="Y3312" s="10" t="n"/>
      <c r="Z3312" s="10" t="n"/>
      <c r="AA3312" s="11">
        <f>IF(A3312="","",IF(AND(J3312="P4",F3312="causal"),"P4-CAUSAL",""))</f>
        <v/>
      </c>
    </row>
    <row r="3313" ht="15" customHeight="1" s="1">
      <c r="P3313">
        <f>IF(OR(F3313="",H3313="",J3313=""),"",J3313&amp;"|"&amp;F3313&amp;"|"&amp;IF(H3313="W3","W3_"&amp;IF(I3313="","unknown",I3313),H3313))</f>
        <v/>
      </c>
      <c r="Q3313">
        <f>IF(P3313="","",IFERROR(IF(AND(H3313="W7",OR(F3313="causal",F3313="predictive")),IF(AND(OR(K3313=1,K3313="1"),OR(L3313=1,L3313="1"),OR(M3313=1,M3313="1")),"adequate","partial"),IF(AND(H3313="W4",F3313="predictive",OR(J3313="P2",J3313="P3",J3313="P4")),IF(OR(U3313=1,U3313="1"),"adequate","partial"),INDEX(Fit_Matrix!$B:$B,MATCH(P3313,Fit_Matrix!$A:$A,0)))),"CHECK KEY"))</f>
        <v/>
      </c>
      <c r="U3313" s="10" t="n"/>
      <c r="V3313" s="10" t="n"/>
      <c r="W3313" s="10" t="n"/>
      <c r="X3313" s="10" t="n"/>
      <c r="Y3313" s="10" t="n"/>
      <c r="Z3313" s="10" t="n"/>
      <c r="AA3313" s="11">
        <f>IF(A3313="","",IF(AND(J3313="P4",F3313="causal"),"P4-CAUSAL",""))</f>
        <v/>
      </c>
    </row>
    <row r="3314" ht="15" customHeight="1" s="1">
      <c r="P3314">
        <f>IF(OR(F3314="",H3314="",J3314=""),"",J3314&amp;"|"&amp;F3314&amp;"|"&amp;IF(H3314="W3","W3_"&amp;IF(I3314="","unknown",I3314),H3314))</f>
        <v/>
      </c>
      <c r="Q3314">
        <f>IF(P3314="","",IFERROR(IF(AND(H3314="W7",OR(F3314="causal",F3314="predictive")),IF(AND(OR(K3314=1,K3314="1"),OR(L3314=1,L3314="1"),OR(M3314=1,M3314="1")),"adequate","partial"),IF(AND(H3314="W4",F3314="predictive",OR(J3314="P2",J3314="P3",J3314="P4")),IF(OR(U3314=1,U3314="1"),"adequate","partial"),INDEX(Fit_Matrix!$B:$B,MATCH(P3314,Fit_Matrix!$A:$A,0)))),"CHECK KEY"))</f>
        <v/>
      </c>
      <c r="U3314" s="10" t="n"/>
      <c r="V3314" s="10" t="n"/>
      <c r="W3314" s="10" t="n"/>
      <c r="X3314" s="10" t="n"/>
      <c r="Y3314" s="10" t="n"/>
      <c r="Z3314" s="10" t="n"/>
      <c r="AA3314" s="11">
        <f>IF(A3314="","",IF(AND(J3314="P4",F3314="causal"),"P4-CAUSAL",""))</f>
        <v/>
      </c>
    </row>
    <row r="3315" ht="15" customHeight="1" s="1">
      <c r="P3315">
        <f>IF(OR(F3315="",H3315="",J3315=""),"",J3315&amp;"|"&amp;F3315&amp;"|"&amp;IF(H3315="W3","W3_"&amp;IF(I3315="","unknown",I3315),H3315))</f>
        <v/>
      </c>
      <c r="Q3315">
        <f>IF(P3315="","",IFERROR(IF(AND(H3315="W7",OR(F3315="causal",F3315="predictive")),IF(AND(OR(K3315=1,K3315="1"),OR(L3315=1,L3315="1"),OR(M3315=1,M3315="1")),"adequate","partial"),IF(AND(H3315="W4",F3315="predictive",OR(J3315="P2",J3315="P3",J3315="P4")),IF(OR(U3315=1,U3315="1"),"adequate","partial"),INDEX(Fit_Matrix!$B:$B,MATCH(P3315,Fit_Matrix!$A:$A,0)))),"CHECK KEY"))</f>
        <v/>
      </c>
      <c r="U3315" s="10" t="n"/>
      <c r="V3315" s="10" t="n"/>
      <c r="W3315" s="10" t="n"/>
      <c r="X3315" s="10" t="n"/>
      <c r="Y3315" s="10" t="n"/>
      <c r="Z3315" s="10" t="n"/>
      <c r="AA3315" s="11">
        <f>IF(A3315="","",IF(AND(J3315="P4",F3315="causal"),"P4-CAUSAL",""))</f>
        <v/>
      </c>
    </row>
    <row r="3316" ht="15" customHeight="1" s="1">
      <c r="P3316">
        <f>IF(OR(F3316="",H3316="",J3316=""),"",J3316&amp;"|"&amp;F3316&amp;"|"&amp;IF(H3316="W3","W3_"&amp;IF(I3316="","unknown",I3316),H3316))</f>
        <v/>
      </c>
      <c r="Q3316">
        <f>IF(P3316="","",IFERROR(IF(AND(H3316="W7",OR(F3316="causal",F3316="predictive")),IF(AND(OR(K3316=1,K3316="1"),OR(L3316=1,L3316="1"),OR(M3316=1,M3316="1")),"adequate","partial"),IF(AND(H3316="W4",F3316="predictive",OR(J3316="P2",J3316="P3",J3316="P4")),IF(OR(U3316=1,U3316="1"),"adequate","partial"),INDEX(Fit_Matrix!$B:$B,MATCH(P3316,Fit_Matrix!$A:$A,0)))),"CHECK KEY"))</f>
        <v/>
      </c>
      <c r="U3316" s="10" t="n"/>
      <c r="V3316" s="10" t="n"/>
      <c r="W3316" s="10" t="n"/>
      <c r="X3316" s="10" t="n"/>
      <c r="Y3316" s="10" t="n"/>
      <c r="Z3316" s="10" t="n"/>
      <c r="AA3316" s="11">
        <f>IF(A3316="","",IF(AND(J3316="P4",F3316="causal"),"P4-CAUSAL",""))</f>
        <v/>
      </c>
    </row>
    <row r="3317" ht="15" customHeight="1" s="1">
      <c r="P3317">
        <f>IF(OR(F3317="",H3317="",J3317=""),"",J3317&amp;"|"&amp;F3317&amp;"|"&amp;IF(H3317="W3","W3_"&amp;IF(I3317="","unknown",I3317),H3317))</f>
        <v/>
      </c>
      <c r="Q3317">
        <f>IF(P3317="","",IFERROR(IF(AND(H3317="W7",OR(F3317="causal",F3317="predictive")),IF(AND(OR(K3317=1,K3317="1"),OR(L3317=1,L3317="1"),OR(M3317=1,M3317="1")),"adequate","partial"),IF(AND(H3317="W4",F3317="predictive",OR(J3317="P2",J3317="P3",J3317="P4")),IF(OR(U3317=1,U3317="1"),"adequate","partial"),INDEX(Fit_Matrix!$B:$B,MATCH(P3317,Fit_Matrix!$A:$A,0)))),"CHECK KEY"))</f>
        <v/>
      </c>
      <c r="U3317" s="10" t="n"/>
      <c r="V3317" s="10" t="n"/>
      <c r="W3317" s="10" t="n"/>
      <c r="X3317" s="10" t="n"/>
      <c r="Y3317" s="10" t="n"/>
      <c r="Z3317" s="10" t="n"/>
      <c r="AA3317" s="11">
        <f>IF(A3317="","",IF(AND(J3317="P4",F3317="causal"),"P4-CAUSAL",""))</f>
        <v/>
      </c>
    </row>
    <row r="3318" ht="15" customHeight="1" s="1">
      <c r="P3318">
        <f>IF(OR(F3318="",H3318="",J3318=""),"",J3318&amp;"|"&amp;F3318&amp;"|"&amp;IF(H3318="W3","W3_"&amp;IF(I3318="","unknown",I3318),H3318))</f>
        <v/>
      </c>
      <c r="Q3318">
        <f>IF(P3318="","",IFERROR(IF(AND(H3318="W7",OR(F3318="causal",F3318="predictive")),IF(AND(OR(K3318=1,K3318="1"),OR(L3318=1,L3318="1"),OR(M3318=1,M3318="1")),"adequate","partial"),IF(AND(H3318="W4",F3318="predictive",OR(J3318="P2",J3318="P3",J3318="P4")),IF(OR(U3318=1,U3318="1"),"adequate","partial"),INDEX(Fit_Matrix!$B:$B,MATCH(P3318,Fit_Matrix!$A:$A,0)))),"CHECK KEY"))</f>
        <v/>
      </c>
      <c r="U3318" s="10" t="n"/>
      <c r="V3318" s="10" t="n"/>
      <c r="W3318" s="10" t="n"/>
      <c r="X3318" s="10" t="n"/>
      <c r="Y3318" s="10" t="n"/>
      <c r="Z3318" s="10" t="n"/>
      <c r="AA3318" s="11">
        <f>IF(A3318="","",IF(AND(J3318="P4",F3318="causal"),"P4-CAUSAL",""))</f>
        <v/>
      </c>
    </row>
    <row r="3319" ht="15" customHeight="1" s="1">
      <c r="P3319">
        <f>IF(OR(F3319="",H3319="",J3319=""),"",J3319&amp;"|"&amp;F3319&amp;"|"&amp;IF(H3319="W3","W3_"&amp;IF(I3319="","unknown",I3319),H3319))</f>
        <v/>
      </c>
      <c r="Q3319">
        <f>IF(P3319="","",IFERROR(IF(AND(H3319="W7",OR(F3319="causal",F3319="predictive")),IF(AND(OR(K3319=1,K3319="1"),OR(L3319=1,L3319="1"),OR(M3319=1,M3319="1")),"adequate","partial"),IF(AND(H3319="W4",F3319="predictive",OR(J3319="P2",J3319="P3",J3319="P4")),IF(OR(U3319=1,U3319="1"),"adequate","partial"),INDEX(Fit_Matrix!$B:$B,MATCH(P3319,Fit_Matrix!$A:$A,0)))),"CHECK KEY"))</f>
        <v/>
      </c>
      <c r="U3319" s="10" t="n"/>
      <c r="V3319" s="10" t="n"/>
      <c r="W3319" s="10" t="n"/>
      <c r="X3319" s="10" t="n"/>
      <c r="Y3319" s="10" t="n"/>
      <c r="Z3319" s="10" t="n"/>
      <c r="AA3319" s="11">
        <f>IF(A3319="","",IF(AND(J3319="P4",F3319="causal"),"P4-CAUSAL",""))</f>
        <v/>
      </c>
    </row>
    <row r="3320" ht="15" customHeight="1" s="1">
      <c r="P3320">
        <f>IF(OR(F3320="",H3320="",J3320=""),"",J3320&amp;"|"&amp;F3320&amp;"|"&amp;IF(H3320="W3","W3_"&amp;IF(I3320="","unknown",I3320),H3320))</f>
        <v/>
      </c>
      <c r="Q3320">
        <f>IF(P3320="","",IFERROR(IF(AND(H3320="W7",OR(F3320="causal",F3320="predictive")),IF(AND(OR(K3320=1,K3320="1"),OR(L3320=1,L3320="1"),OR(M3320=1,M3320="1")),"adequate","partial"),IF(AND(H3320="W4",F3320="predictive",OR(J3320="P2",J3320="P3",J3320="P4")),IF(OR(U3320=1,U3320="1"),"adequate","partial"),INDEX(Fit_Matrix!$B:$B,MATCH(P3320,Fit_Matrix!$A:$A,0)))),"CHECK KEY"))</f>
        <v/>
      </c>
      <c r="U3320" s="10" t="n"/>
      <c r="V3320" s="10" t="n"/>
      <c r="W3320" s="10" t="n"/>
      <c r="X3320" s="10" t="n"/>
      <c r="Y3320" s="10" t="n"/>
      <c r="Z3320" s="10" t="n"/>
      <c r="AA3320" s="11">
        <f>IF(A3320="","",IF(AND(J3320="P4",F3320="causal"),"P4-CAUSAL",""))</f>
        <v/>
      </c>
    </row>
    <row r="3321" ht="15" customHeight="1" s="1">
      <c r="P3321">
        <f>IF(OR(F3321="",H3321="",J3321=""),"",J3321&amp;"|"&amp;F3321&amp;"|"&amp;IF(H3321="W3","W3_"&amp;IF(I3321="","unknown",I3321),H3321))</f>
        <v/>
      </c>
      <c r="Q3321">
        <f>IF(P3321="","",IFERROR(IF(AND(H3321="W7",OR(F3321="causal",F3321="predictive")),IF(AND(OR(K3321=1,K3321="1"),OR(L3321=1,L3321="1"),OR(M3321=1,M3321="1")),"adequate","partial"),IF(AND(H3321="W4",F3321="predictive",OR(J3321="P2",J3321="P3",J3321="P4")),IF(OR(U3321=1,U3321="1"),"adequate","partial"),INDEX(Fit_Matrix!$B:$B,MATCH(P3321,Fit_Matrix!$A:$A,0)))),"CHECK KEY"))</f>
        <v/>
      </c>
      <c r="U3321" s="10" t="n"/>
      <c r="V3321" s="10" t="n"/>
      <c r="W3321" s="10" t="n"/>
      <c r="X3321" s="10" t="n"/>
      <c r="Y3321" s="10" t="n"/>
      <c r="Z3321" s="10" t="n"/>
      <c r="AA3321" s="11">
        <f>IF(A3321="","",IF(AND(J3321="P4",F3321="causal"),"P4-CAUSAL",""))</f>
        <v/>
      </c>
    </row>
    <row r="3322" ht="15" customHeight="1" s="1">
      <c r="P3322">
        <f>IF(OR(F3322="",H3322="",J3322=""),"",J3322&amp;"|"&amp;F3322&amp;"|"&amp;IF(H3322="W3","W3_"&amp;IF(I3322="","unknown",I3322),H3322))</f>
        <v/>
      </c>
      <c r="Q3322">
        <f>IF(P3322="","",IFERROR(IF(AND(H3322="W7",OR(F3322="causal",F3322="predictive")),IF(AND(OR(K3322=1,K3322="1"),OR(L3322=1,L3322="1"),OR(M3322=1,M3322="1")),"adequate","partial"),IF(AND(H3322="W4",F3322="predictive",OR(J3322="P2",J3322="P3",J3322="P4")),IF(OR(U3322=1,U3322="1"),"adequate","partial"),INDEX(Fit_Matrix!$B:$B,MATCH(P3322,Fit_Matrix!$A:$A,0)))),"CHECK KEY"))</f>
        <v/>
      </c>
      <c r="U3322" s="10" t="n"/>
      <c r="V3322" s="10" t="n"/>
      <c r="W3322" s="10" t="n"/>
      <c r="X3322" s="10" t="n"/>
      <c r="Y3322" s="10" t="n"/>
      <c r="Z3322" s="10" t="n"/>
      <c r="AA3322" s="11">
        <f>IF(A3322="","",IF(AND(J3322="P4",F3322="causal"),"P4-CAUSAL",""))</f>
        <v/>
      </c>
    </row>
    <row r="3323" ht="15" customHeight="1" s="1">
      <c r="P3323">
        <f>IF(OR(F3323="",H3323="",J3323=""),"",J3323&amp;"|"&amp;F3323&amp;"|"&amp;IF(H3323="W3","W3_"&amp;IF(I3323="","unknown",I3323),H3323))</f>
        <v/>
      </c>
      <c r="Q3323">
        <f>IF(P3323="","",IFERROR(IF(AND(H3323="W7",OR(F3323="causal",F3323="predictive")),IF(AND(OR(K3323=1,K3323="1"),OR(L3323=1,L3323="1"),OR(M3323=1,M3323="1")),"adequate","partial"),IF(AND(H3323="W4",F3323="predictive",OR(J3323="P2",J3323="P3",J3323="P4")),IF(OR(U3323=1,U3323="1"),"adequate","partial"),INDEX(Fit_Matrix!$B:$B,MATCH(P3323,Fit_Matrix!$A:$A,0)))),"CHECK KEY"))</f>
        <v/>
      </c>
      <c r="U3323" s="10" t="n"/>
      <c r="V3323" s="10" t="n"/>
      <c r="W3323" s="10" t="n"/>
      <c r="X3323" s="10" t="n"/>
      <c r="Y3323" s="10" t="n"/>
      <c r="Z3323" s="10" t="n"/>
      <c r="AA3323" s="11">
        <f>IF(A3323="","",IF(AND(J3323="P4",F3323="causal"),"P4-CAUSAL",""))</f>
        <v/>
      </c>
    </row>
    <row r="3324" ht="15" customHeight="1" s="1">
      <c r="P3324">
        <f>IF(OR(F3324="",H3324="",J3324=""),"",J3324&amp;"|"&amp;F3324&amp;"|"&amp;IF(H3324="W3","W3_"&amp;IF(I3324="","unknown",I3324),H3324))</f>
        <v/>
      </c>
      <c r="Q3324">
        <f>IF(P3324="","",IFERROR(IF(AND(H3324="W7",OR(F3324="causal",F3324="predictive")),IF(AND(OR(K3324=1,K3324="1"),OR(L3324=1,L3324="1"),OR(M3324=1,M3324="1")),"adequate","partial"),IF(AND(H3324="W4",F3324="predictive",OR(J3324="P2",J3324="P3",J3324="P4")),IF(OR(U3324=1,U3324="1"),"adequate","partial"),INDEX(Fit_Matrix!$B:$B,MATCH(P3324,Fit_Matrix!$A:$A,0)))),"CHECK KEY"))</f>
        <v/>
      </c>
      <c r="U3324" s="10" t="n"/>
      <c r="V3324" s="10" t="n"/>
      <c r="W3324" s="10" t="n"/>
      <c r="X3324" s="10" t="n"/>
      <c r="Y3324" s="10" t="n"/>
      <c r="Z3324" s="10" t="n"/>
      <c r="AA3324" s="11">
        <f>IF(A3324="","",IF(AND(J3324="P4",F3324="causal"),"P4-CAUSAL",""))</f>
        <v/>
      </c>
    </row>
    <row r="3325" ht="15" customHeight="1" s="1">
      <c r="P3325">
        <f>IF(OR(F3325="",H3325="",J3325=""),"",J3325&amp;"|"&amp;F3325&amp;"|"&amp;IF(H3325="W3","W3_"&amp;IF(I3325="","unknown",I3325),H3325))</f>
        <v/>
      </c>
      <c r="Q3325">
        <f>IF(P3325="","",IFERROR(IF(AND(H3325="W7",OR(F3325="causal",F3325="predictive")),IF(AND(OR(K3325=1,K3325="1"),OR(L3325=1,L3325="1"),OR(M3325=1,M3325="1")),"adequate","partial"),IF(AND(H3325="W4",F3325="predictive",OR(J3325="P2",J3325="P3",J3325="P4")),IF(OR(U3325=1,U3325="1"),"adequate","partial"),INDEX(Fit_Matrix!$B:$B,MATCH(P3325,Fit_Matrix!$A:$A,0)))),"CHECK KEY"))</f>
        <v/>
      </c>
      <c r="U3325" s="10" t="n"/>
      <c r="V3325" s="10" t="n"/>
      <c r="W3325" s="10" t="n"/>
      <c r="X3325" s="10" t="n"/>
      <c r="Y3325" s="10" t="n"/>
      <c r="Z3325" s="10" t="n"/>
      <c r="AA3325" s="11">
        <f>IF(A3325="","",IF(AND(J3325="P4",F3325="causal"),"P4-CAUSAL",""))</f>
        <v/>
      </c>
    </row>
    <row r="3326" ht="15" customHeight="1" s="1">
      <c r="P3326">
        <f>IF(OR(F3326="",H3326="",J3326=""),"",J3326&amp;"|"&amp;F3326&amp;"|"&amp;IF(H3326="W3","W3_"&amp;IF(I3326="","unknown",I3326),H3326))</f>
        <v/>
      </c>
      <c r="Q3326">
        <f>IF(P3326="","",IFERROR(IF(AND(H3326="W7",OR(F3326="causal",F3326="predictive")),IF(AND(OR(K3326=1,K3326="1"),OR(L3326=1,L3326="1"),OR(M3326=1,M3326="1")),"adequate","partial"),IF(AND(H3326="W4",F3326="predictive",OR(J3326="P2",J3326="P3",J3326="P4")),IF(OR(U3326=1,U3326="1"),"adequate","partial"),INDEX(Fit_Matrix!$B:$B,MATCH(P3326,Fit_Matrix!$A:$A,0)))),"CHECK KEY"))</f>
        <v/>
      </c>
      <c r="U3326" s="10" t="n"/>
      <c r="V3326" s="10" t="n"/>
      <c r="W3326" s="10" t="n"/>
      <c r="X3326" s="10" t="n"/>
      <c r="Y3326" s="10" t="n"/>
      <c r="Z3326" s="10" t="n"/>
      <c r="AA3326" s="11">
        <f>IF(A3326="","",IF(AND(J3326="P4",F3326="causal"),"P4-CAUSAL",""))</f>
        <v/>
      </c>
    </row>
    <row r="3327" ht="15" customHeight="1" s="1">
      <c r="P3327">
        <f>IF(OR(F3327="",H3327="",J3327=""),"",J3327&amp;"|"&amp;F3327&amp;"|"&amp;IF(H3327="W3","W3_"&amp;IF(I3327="","unknown",I3327),H3327))</f>
        <v/>
      </c>
      <c r="Q3327">
        <f>IF(P3327="","",IFERROR(IF(AND(H3327="W7",OR(F3327="causal",F3327="predictive")),IF(AND(OR(K3327=1,K3327="1"),OR(L3327=1,L3327="1"),OR(M3327=1,M3327="1")),"adequate","partial"),IF(AND(H3327="W4",F3327="predictive",OR(J3327="P2",J3327="P3",J3327="P4")),IF(OR(U3327=1,U3327="1"),"adequate","partial"),INDEX(Fit_Matrix!$B:$B,MATCH(P3327,Fit_Matrix!$A:$A,0)))),"CHECK KEY"))</f>
        <v/>
      </c>
      <c r="U3327" s="10" t="n"/>
      <c r="V3327" s="10" t="n"/>
      <c r="W3327" s="10" t="n"/>
      <c r="X3327" s="10" t="n"/>
      <c r="Y3327" s="10" t="n"/>
      <c r="Z3327" s="10" t="n"/>
      <c r="AA3327" s="11">
        <f>IF(A3327="","",IF(AND(J3327="P4",F3327="causal"),"P4-CAUSAL",""))</f>
        <v/>
      </c>
    </row>
    <row r="3328" ht="15" customHeight="1" s="1">
      <c r="P3328">
        <f>IF(OR(F3328="",H3328="",J3328=""),"",J3328&amp;"|"&amp;F3328&amp;"|"&amp;IF(H3328="W3","W3_"&amp;IF(I3328="","unknown",I3328),H3328))</f>
        <v/>
      </c>
      <c r="Q3328">
        <f>IF(P3328="","",IFERROR(IF(AND(H3328="W7",OR(F3328="causal",F3328="predictive")),IF(AND(OR(K3328=1,K3328="1"),OR(L3328=1,L3328="1"),OR(M3328=1,M3328="1")),"adequate","partial"),IF(AND(H3328="W4",F3328="predictive",OR(J3328="P2",J3328="P3",J3328="P4")),IF(OR(U3328=1,U3328="1"),"adequate","partial"),INDEX(Fit_Matrix!$B:$B,MATCH(P3328,Fit_Matrix!$A:$A,0)))),"CHECK KEY"))</f>
        <v/>
      </c>
      <c r="U3328" s="10" t="n"/>
      <c r="V3328" s="10" t="n"/>
      <c r="W3328" s="10" t="n"/>
      <c r="X3328" s="10" t="n"/>
      <c r="Y3328" s="10" t="n"/>
      <c r="Z3328" s="10" t="n"/>
      <c r="AA3328" s="11">
        <f>IF(A3328="","",IF(AND(J3328="P4",F3328="causal"),"P4-CAUSAL",""))</f>
        <v/>
      </c>
    </row>
    <row r="3329" ht="15" customHeight="1" s="1">
      <c r="P3329">
        <f>IF(OR(F3329="",H3329="",J3329=""),"",J3329&amp;"|"&amp;F3329&amp;"|"&amp;IF(H3329="W3","W3_"&amp;IF(I3329="","unknown",I3329),H3329))</f>
        <v/>
      </c>
      <c r="Q3329">
        <f>IF(P3329="","",IFERROR(IF(AND(H3329="W7",OR(F3329="causal",F3329="predictive")),IF(AND(OR(K3329=1,K3329="1"),OR(L3329=1,L3329="1"),OR(M3329=1,M3329="1")),"adequate","partial"),IF(AND(H3329="W4",F3329="predictive",OR(J3329="P2",J3329="P3",J3329="P4")),IF(OR(U3329=1,U3329="1"),"adequate","partial"),INDEX(Fit_Matrix!$B:$B,MATCH(P3329,Fit_Matrix!$A:$A,0)))),"CHECK KEY"))</f>
        <v/>
      </c>
      <c r="U3329" s="10" t="n"/>
      <c r="V3329" s="10" t="n"/>
      <c r="W3329" s="10" t="n"/>
      <c r="X3329" s="10" t="n"/>
      <c r="Y3329" s="10" t="n"/>
      <c r="Z3329" s="10" t="n"/>
      <c r="AA3329" s="11">
        <f>IF(A3329="","",IF(AND(J3329="P4",F3329="causal"),"P4-CAUSAL",""))</f>
        <v/>
      </c>
    </row>
    <row r="3330" ht="15" customHeight="1" s="1">
      <c r="P3330">
        <f>IF(OR(F3330="",H3330="",J3330=""),"",J3330&amp;"|"&amp;F3330&amp;"|"&amp;IF(H3330="W3","W3_"&amp;IF(I3330="","unknown",I3330),H3330))</f>
        <v/>
      </c>
      <c r="Q3330">
        <f>IF(P3330="","",IFERROR(IF(AND(H3330="W7",OR(F3330="causal",F3330="predictive")),IF(AND(OR(K3330=1,K3330="1"),OR(L3330=1,L3330="1"),OR(M3330=1,M3330="1")),"adequate","partial"),IF(AND(H3330="W4",F3330="predictive",OR(J3330="P2",J3330="P3",J3330="P4")),IF(OR(U3330=1,U3330="1"),"adequate","partial"),INDEX(Fit_Matrix!$B:$B,MATCH(P3330,Fit_Matrix!$A:$A,0)))),"CHECK KEY"))</f>
        <v/>
      </c>
      <c r="U3330" s="10" t="n"/>
      <c r="V3330" s="10" t="n"/>
      <c r="W3330" s="10" t="n"/>
      <c r="X3330" s="10" t="n"/>
      <c r="Y3330" s="10" t="n"/>
      <c r="Z3330" s="10" t="n"/>
      <c r="AA3330" s="11">
        <f>IF(A3330="","",IF(AND(J3330="P4",F3330="causal"),"P4-CAUSAL",""))</f>
        <v/>
      </c>
    </row>
    <row r="3331" ht="15" customHeight="1" s="1">
      <c r="P3331">
        <f>IF(OR(F3331="",H3331="",J3331=""),"",J3331&amp;"|"&amp;F3331&amp;"|"&amp;IF(H3331="W3","W3_"&amp;IF(I3331="","unknown",I3331),H3331))</f>
        <v/>
      </c>
      <c r="Q3331">
        <f>IF(P3331="","",IFERROR(IF(AND(H3331="W7",OR(F3331="causal",F3331="predictive")),IF(AND(OR(K3331=1,K3331="1"),OR(L3331=1,L3331="1"),OR(M3331=1,M3331="1")),"adequate","partial"),IF(AND(H3331="W4",F3331="predictive",OR(J3331="P2",J3331="P3",J3331="P4")),IF(OR(U3331=1,U3331="1"),"adequate","partial"),INDEX(Fit_Matrix!$B:$B,MATCH(P3331,Fit_Matrix!$A:$A,0)))),"CHECK KEY"))</f>
        <v/>
      </c>
      <c r="U3331" s="10" t="n"/>
      <c r="V3331" s="10" t="n"/>
      <c r="W3331" s="10" t="n"/>
      <c r="X3331" s="10" t="n"/>
      <c r="Y3331" s="10" t="n"/>
      <c r="Z3331" s="10" t="n"/>
      <c r="AA3331" s="11">
        <f>IF(A3331="","",IF(AND(J3331="P4",F3331="causal"),"P4-CAUSAL",""))</f>
        <v/>
      </c>
    </row>
    <row r="3332" ht="15" customHeight="1" s="1">
      <c r="P3332">
        <f>IF(OR(F3332="",H3332="",J3332=""),"",J3332&amp;"|"&amp;F3332&amp;"|"&amp;IF(H3332="W3","W3_"&amp;IF(I3332="","unknown",I3332),H3332))</f>
        <v/>
      </c>
      <c r="Q3332">
        <f>IF(P3332="","",IFERROR(IF(AND(H3332="W7",OR(F3332="causal",F3332="predictive")),IF(AND(OR(K3332=1,K3332="1"),OR(L3332=1,L3332="1"),OR(M3332=1,M3332="1")),"adequate","partial"),IF(AND(H3332="W4",F3332="predictive",OR(J3332="P2",J3332="P3",J3332="P4")),IF(OR(U3332=1,U3332="1"),"adequate","partial"),INDEX(Fit_Matrix!$B:$B,MATCH(P3332,Fit_Matrix!$A:$A,0)))),"CHECK KEY"))</f>
        <v/>
      </c>
      <c r="U3332" s="10" t="n"/>
      <c r="V3332" s="10" t="n"/>
      <c r="W3332" s="10" t="n"/>
      <c r="X3332" s="10" t="n"/>
      <c r="Y3332" s="10" t="n"/>
      <c r="Z3332" s="10" t="n"/>
      <c r="AA3332" s="11">
        <f>IF(A3332="","",IF(AND(J3332="P4",F3332="causal"),"P4-CAUSAL",""))</f>
        <v/>
      </c>
    </row>
    <row r="3333" ht="15" customHeight="1" s="1">
      <c r="P3333">
        <f>IF(OR(F3333="",H3333="",J3333=""),"",J3333&amp;"|"&amp;F3333&amp;"|"&amp;IF(H3333="W3","W3_"&amp;IF(I3333="","unknown",I3333),H3333))</f>
        <v/>
      </c>
      <c r="Q3333">
        <f>IF(P3333="","",IFERROR(IF(AND(H3333="W7",OR(F3333="causal",F3333="predictive")),IF(AND(OR(K3333=1,K3333="1"),OR(L3333=1,L3333="1"),OR(M3333=1,M3333="1")),"adequate","partial"),IF(AND(H3333="W4",F3333="predictive",OR(J3333="P2",J3333="P3",J3333="P4")),IF(OR(U3333=1,U3333="1"),"adequate","partial"),INDEX(Fit_Matrix!$B:$B,MATCH(P3333,Fit_Matrix!$A:$A,0)))),"CHECK KEY"))</f>
        <v/>
      </c>
      <c r="U3333" s="10" t="n"/>
      <c r="V3333" s="10" t="n"/>
      <c r="W3333" s="10" t="n"/>
      <c r="X3333" s="10" t="n"/>
      <c r="Y3333" s="10" t="n"/>
      <c r="Z3333" s="10" t="n"/>
      <c r="AA3333" s="11">
        <f>IF(A3333="","",IF(AND(J3333="P4",F3333="causal"),"P4-CAUSAL",""))</f>
        <v/>
      </c>
    </row>
    <row r="3334" ht="15" customHeight="1" s="1">
      <c r="P3334">
        <f>IF(OR(F3334="",H3334="",J3334=""),"",J3334&amp;"|"&amp;F3334&amp;"|"&amp;IF(H3334="W3","W3_"&amp;IF(I3334="","unknown",I3334),H3334))</f>
        <v/>
      </c>
      <c r="Q3334">
        <f>IF(P3334="","",IFERROR(IF(AND(H3334="W7",OR(F3334="causal",F3334="predictive")),IF(AND(OR(K3334=1,K3334="1"),OR(L3334=1,L3334="1"),OR(M3334=1,M3334="1")),"adequate","partial"),IF(AND(H3334="W4",F3334="predictive",OR(J3334="P2",J3334="P3",J3334="P4")),IF(OR(U3334=1,U3334="1"),"adequate","partial"),INDEX(Fit_Matrix!$B:$B,MATCH(P3334,Fit_Matrix!$A:$A,0)))),"CHECK KEY"))</f>
        <v/>
      </c>
      <c r="U3334" s="10" t="n"/>
      <c r="V3334" s="10" t="n"/>
      <c r="W3334" s="10" t="n"/>
      <c r="X3334" s="10" t="n"/>
      <c r="Y3334" s="10" t="n"/>
      <c r="Z3334" s="10" t="n"/>
      <c r="AA3334" s="11">
        <f>IF(A3334="","",IF(AND(J3334="P4",F3334="causal"),"P4-CAUSAL",""))</f>
        <v/>
      </c>
    </row>
    <row r="3335" ht="15" customHeight="1" s="1">
      <c r="P3335">
        <f>IF(OR(F3335="",H3335="",J3335=""),"",J3335&amp;"|"&amp;F3335&amp;"|"&amp;IF(H3335="W3","W3_"&amp;IF(I3335="","unknown",I3335),H3335))</f>
        <v/>
      </c>
      <c r="Q3335">
        <f>IF(P3335="","",IFERROR(IF(AND(H3335="W7",OR(F3335="causal",F3335="predictive")),IF(AND(OR(K3335=1,K3335="1"),OR(L3335=1,L3335="1"),OR(M3335=1,M3335="1")),"adequate","partial"),IF(AND(H3335="W4",F3335="predictive",OR(J3335="P2",J3335="P3",J3335="P4")),IF(OR(U3335=1,U3335="1"),"adequate","partial"),INDEX(Fit_Matrix!$B:$B,MATCH(P3335,Fit_Matrix!$A:$A,0)))),"CHECK KEY"))</f>
        <v/>
      </c>
      <c r="U3335" s="10" t="n"/>
      <c r="V3335" s="10" t="n"/>
      <c r="W3335" s="10" t="n"/>
      <c r="X3335" s="10" t="n"/>
      <c r="Y3335" s="10" t="n"/>
      <c r="Z3335" s="10" t="n"/>
      <c r="AA3335" s="11">
        <f>IF(A3335="","",IF(AND(J3335="P4",F3335="causal"),"P4-CAUSAL",""))</f>
        <v/>
      </c>
    </row>
    <row r="3336" ht="15" customHeight="1" s="1">
      <c r="P3336">
        <f>IF(OR(F3336="",H3336="",J3336=""),"",J3336&amp;"|"&amp;F3336&amp;"|"&amp;IF(H3336="W3","W3_"&amp;IF(I3336="","unknown",I3336),H3336))</f>
        <v/>
      </c>
      <c r="Q3336">
        <f>IF(P3336="","",IFERROR(IF(AND(H3336="W7",OR(F3336="causal",F3336="predictive")),IF(AND(OR(K3336=1,K3336="1"),OR(L3336=1,L3336="1"),OR(M3336=1,M3336="1")),"adequate","partial"),IF(AND(H3336="W4",F3336="predictive",OR(J3336="P2",J3336="P3",J3336="P4")),IF(OR(U3336=1,U3336="1"),"adequate","partial"),INDEX(Fit_Matrix!$B:$B,MATCH(P3336,Fit_Matrix!$A:$A,0)))),"CHECK KEY"))</f>
        <v/>
      </c>
      <c r="U3336" s="10" t="n"/>
      <c r="V3336" s="10" t="n"/>
      <c r="W3336" s="10" t="n"/>
      <c r="X3336" s="10" t="n"/>
      <c r="Y3336" s="10" t="n"/>
      <c r="Z3336" s="10" t="n"/>
      <c r="AA3336" s="11">
        <f>IF(A3336="","",IF(AND(J3336="P4",F3336="causal"),"P4-CAUSAL",""))</f>
        <v/>
      </c>
    </row>
    <row r="3337" ht="15" customHeight="1" s="1">
      <c r="P3337">
        <f>IF(OR(F3337="",H3337="",J3337=""),"",J3337&amp;"|"&amp;F3337&amp;"|"&amp;IF(H3337="W3","W3_"&amp;IF(I3337="","unknown",I3337),H3337))</f>
        <v/>
      </c>
      <c r="Q3337">
        <f>IF(P3337="","",IFERROR(IF(AND(H3337="W7",OR(F3337="causal",F3337="predictive")),IF(AND(OR(K3337=1,K3337="1"),OR(L3337=1,L3337="1"),OR(M3337=1,M3337="1")),"adequate","partial"),IF(AND(H3337="W4",F3337="predictive",OR(J3337="P2",J3337="P3",J3337="P4")),IF(OR(U3337=1,U3337="1"),"adequate","partial"),INDEX(Fit_Matrix!$B:$B,MATCH(P3337,Fit_Matrix!$A:$A,0)))),"CHECK KEY"))</f>
        <v/>
      </c>
      <c r="U3337" s="10" t="n"/>
      <c r="V3337" s="10" t="n"/>
      <c r="W3337" s="10" t="n"/>
      <c r="X3337" s="10" t="n"/>
      <c r="Y3337" s="10" t="n"/>
      <c r="Z3337" s="10" t="n"/>
      <c r="AA3337" s="11">
        <f>IF(A3337="","",IF(AND(J3337="P4",F3337="causal"),"P4-CAUSAL",""))</f>
        <v/>
      </c>
    </row>
    <row r="3338" ht="15" customHeight="1" s="1">
      <c r="P3338">
        <f>IF(OR(F3338="",H3338="",J3338=""),"",J3338&amp;"|"&amp;F3338&amp;"|"&amp;IF(H3338="W3","W3_"&amp;IF(I3338="","unknown",I3338),H3338))</f>
        <v/>
      </c>
      <c r="Q3338">
        <f>IF(P3338="","",IFERROR(IF(AND(H3338="W7",OR(F3338="causal",F3338="predictive")),IF(AND(OR(K3338=1,K3338="1"),OR(L3338=1,L3338="1"),OR(M3338=1,M3338="1")),"adequate","partial"),IF(AND(H3338="W4",F3338="predictive",OR(J3338="P2",J3338="P3",J3338="P4")),IF(OR(U3338=1,U3338="1"),"adequate","partial"),INDEX(Fit_Matrix!$B:$B,MATCH(P3338,Fit_Matrix!$A:$A,0)))),"CHECK KEY"))</f>
        <v/>
      </c>
      <c r="U3338" s="10" t="n"/>
      <c r="V3338" s="10" t="n"/>
      <c r="W3338" s="10" t="n"/>
      <c r="X3338" s="10" t="n"/>
      <c r="Y3338" s="10" t="n"/>
      <c r="Z3338" s="10" t="n"/>
      <c r="AA3338" s="11">
        <f>IF(A3338="","",IF(AND(J3338="P4",F3338="causal"),"P4-CAUSAL",""))</f>
        <v/>
      </c>
    </row>
    <row r="3339" ht="15" customHeight="1" s="1">
      <c r="P3339">
        <f>IF(OR(F3339="",H3339="",J3339=""),"",J3339&amp;"|"&amp;F3339&amp;"|"&amp;IF(H3339="W3","W3_"&amp;IF(I3339="","unknown",I3339),H3339))</f>
        <v/>
      </c>
      <c r="Q3339">
        <f>IF(P3339="","",IFERROR(IF(AND(H3339="W7",OR(F3339="causal",F3339="predictive")),IF(AND(OR(K3339=1,K3339="1"),OR(L3339=1,L3339="1"),OR(M3339=1,M3339="1")),"adequate","partial"),IF(AND(H3339="W4",F3339="predictive",OR(J3339="P2",J3339="P3",J3339="P4")),IF(OR(U3339=1,U3339="1"),"adequate","partial"),INDEX(Fit_Matrix!$B:$B,MATCH(P3339,Fit_Matrix!$A:$A,0)))),"CHECK KEY"))</f>
        <v/>
      </c>
      <c r="U3339" s="10" t="n"/>
      <c r="V3339" s="10" t="n"/>
      <c r="W3339" s="10" t="n"/>
      <c r="X3339" s="10" t="n"/>
      <c r="Y3339" s="10" t="n"/>
      <c r="Z3339" s="10" t="n"/>
      <c r="AA3339" s="11">
        <f>IF(A3339="","",IF(AND(J3339="P4",F3339="causal"),"P4-CAUSAL",""))</f>
        <v/>
      </c>
    </row>
    <row r="3340" ht="15" customHeight="1" s="1">
      <c r="P3340">
        <f>IF(OR(F3340="",H3340="",J3340=""),"",J3340&amp;"|"&amp;F3340&amp;"|"&amp;IF(H3340="W3","W3_"&amp;IF(I3340="","unknown",I3340),H3340))</f>
        <v/>
      </c>
      <c r="Q3340">
        <f>IF(P3340="","",IFERROR(IF(AND(H3340="W7",OR(F3340="causal",F3340="predictive")),IF(AND(OR(K3340=1,K3340="1"),OR(L3340=1,L3340="1"),OR(M3340=1,M3340="1")),"adequate","partial"),IF(AND(H3340="W4",F3340="predictive",OR(J3340="P2",J3340="P3",J3340="P4")),IF(OR(U3340=1,U3340="1"),"adequate","partial"),INDEX(Fit_Matrix!$B:$B,MATCH(P3340,Fit_Matrix!$A:$A,0)))),"CHECK KEY"))</f>
        <v/>
      </c>
      <c r="U3340" s="10" t="n"/>
      <c r="V3340" s="10" t="n"/>
      <c r="W3340" s="10" t="n"/>
      <c r="X3340" s="10" t="n"/>
      <c r="Y3340" s="10" t="n"/>
      <c r="Z3340" s="10" t="n"/>
      <c r="AA3340" s="11">
        <f>IF(A3340="","",IF(AND(J3340="P4",F3340="causal"),"P4-CAUSAL",""))</f>
        <v/>
      </c>
    </row>
    <row r="3341" ht="15" customHeight="1" s="1">
      <c r="P3341">
        <f>IF(OR(F3341="",H3341="",J3341=""),"",J3341&amp;"|"&amp;F3341&amp;"|"&amp;IF(H3341="W3","W3_"&amp;IF(I3341="","unknown",I3341),H3341))</f>
        <v/>
      </c>
      <c r="Q3341">
        <f>IF(P3341="","",IFERROR(IF(AND(H3341="W7",OR(F3341="causal",F3341="predictive")),IF(AND(OR(K3341=1,K3341="1"),OR(L3341=1,L3341="1"),OR(M3341=1,M3341="1")),"adequate","partial"),IF(AND(H3341="W4",F3341="predictive",OR(J3341="P2",J3341="P3",J3341="P4")),IF(OR(U3341=1,U3341="1"),"adequate","partial"),INDEX(Fit_Matrix!$B:$B,MATCH(P3341,Fit_Matrix!$A:$A,0)))),"CHECK KEY"))</f>
        <v/>
      </c>
      <c r="U3341" s="10" t="n"/>
      <c r="V3341" s="10" t="n"/>
      <c r="W3341" s="10" t="n"/>
      <c r="X3341" s="10" t="n"/>
      <c r="Y3341" s="10" t="n"/>
      <c r="Z3341" s="10" t="n"/>
      <c r="AA3341" s="11">
        <f>IF(A3341="","",IF(AND(J3341="P4",F3341="causal"),"P4-CAUSAL",""))</f>
        <v/>
      </c>
    </row>
    <row r="3342" ht="15" customHeight="1" s="1">
      <c r="P3342">
        <f>IF(OR(F3342="",H3342="",J3342=""),"",J3342&amp;"|"&amp;F3342&amp;"|"&amp;IF(H3342="W3","W3_"&amp;IF(I3342="","unknown",I3342),H3342))</f>
        <v/>
      </c>
      <c r="Q3342">
        <f>IF(P3342="","",IFERROR(IF(AND(H3342="W7",OR(F3342="causal",F3342="predictive")),IF(AND(OR(K3342=1,K3342="1"),OR(L3342=1,L3342="1"),OR(M3342=1,M3342="1")),"adequate","partial"),IF(AND(H3342="W4",F3342="predictive",OR(J3342="P2",J3342="P3",J3342="P4")),IF(OR(U3342=1,U3342="1"),"adequate","partial"),INDEX(Fit_Matrix!$B:$B,MATCH(P3342,Fit_Matrix!$A:$A,0)))),"CHECK KEY"))</f>
        <v/>
      </c>
      <c r="U3342" s="10" t="n"/>
      <c r="V3342" s="10" t="n"/>
      <c r="W3342" s="10" t="n"/>
      <c r="X3342" s="10" t="n"/>
      <c r="Y3342" s="10" t="n"/>
      <c r="Z3342" s="10" t="n"/>
      <c r="AA3342" s="11">
        <f>IF(A3342="","",IF(AND(J3342="P4",F3342="causal"),"P4-CAUSAL",""))</f>
        <v/>
      </c>
    </row>
    <row r="3343" ht="15" customHeight="1" s="1">
      <c r="P3343">
        <f>IF(OR(F3343="",H3343="",J3343=""),"",J3343&amp;"|"&amp;F3343&amp;"|"&amp;IF(H3343="W3","W3_"&amp;IF(I3343="","unknown",I3343),H3343))</f>
        <v/>
      </c>
      <c r="Q3343">
        <f>IF(P3343="","",IFERROR(IF(AND(H3343="W7",OR(F3343="causal",F3343="predictive")),IF(AND(OR(K3343=1,K3343="1"),OR(L3343=1,L3343="1"),OR(M3343=1,M3343="1")),"adequate","partial"),IF(AND(H3343="W4",F3343="predictive",OR(J3343="P2",J3343="P3",J3343="P4")),IF(OR(U3343=1,U3343="1"),"adequate","partial"),INDEX(Fit_Matrix!$B:$B,MATCH(P3343,Fit_Matrix!$A:$A,0)))),"CHECK KEY"))</f>
        <v/>
      </c>
      <c r="U3343" s="10" t="n"/>
      <c r="V3343" s="10" t="n"/>
      <c r="W3343" s="10" t="n"/>
      <c r="X3343" s="10" t="n"/>
      <c r="Y3343" s="10" t="n"/>
      <c r="Z3343" s="10" t="n"/>
      <c r="AA3343" s="11">
        <f>IF(A3343="","",IF(AND(J3343="P4",F3343="causal"),"P4-CAUSAL",""))</f>
        <v/>
      </c>
    </row>
    <row r="3344" ht="15" customHeight="1" s="1">
      <c r="P3344">
        <f>IF(OR(F3344="",H3344="",J3344=""),"",J3344&amp;"|"&amp;F3344&amp;"|"&amp;IF(H3344="W3","W3_"&amp;IF(I3344="","unknown",I3344),H3344))</f>
        <v/>
      </c>
      <c r="Q3344">
        <f>IF(P3344="","",IFERROR(IF(AND(H3344="W7",OR(F3344="causal",F3344="predictive")),IF(AND(OR(K3344=1,K3344="1"),OR(L3344=1,L3344="1"),OR(M3344=1,M3344="1")),"adequate","partial"),IF(AND(H3344="W4",F3344="predictive",OR(J3344="P2",J3344="P3",J3344="P4")),IF(OR(U3344=1,U3344="1"),"adequate","partial"),INDEX(Fit_Matrix!$B:$B,MATCH(P3344,Fit_Matrix!$A:$A,0)))),"CHECK KEY"))</f>
        <v/>
      </c>
      <c r="U3344" s="10" t="n"/>
      <c r="V3344" s="10" t="n"/>
      <c r="W3344" s="10" t="n"/>
      <c r="X3344" s="10" t="n"/>
      <c r="Y3344" s="10" t="n"/>
      <c r="Z3344" s="10" t="n"/>
      <c r="AA3344" s="11">
        <f>IF(A3344="","",IF(AND(J3344="P4",F3344="causal"),"P4-CAUSAL",""))</f>
        <v/>
      </c>
    </row>
    <row r="3345" ht="15" customHeight="1" s="1">
      <c r="P3345">
        <f>IF(OR(F3345="",H3345="",J3345=""),"",J3345&amp;"|"&amp;F3345&amp;"|"&amp;IF(H3345="W3","W3_"&amp;IF(I3345="","unknown",I3345),H3345))</f>
        <v/>
      </c>
      <c r="Q3345">
        <f>IF(P3345="","",IFERROR(IF(AND(H3345="W7",OR(F3345="causal",F3345="predictive")),IF(AND(OR(K3345=1,K3345="1"),OR(L3345=1,L3345="1"),OR(M3345=1,M3345="1")),"adequate","partial"),IF(AND(H3345="W4",F3345="predictive",OR(J3345="P2",J3345="P3",J3345="P4")),IF(OR(U3345=1,U3345="1"),"adequate","partial"),INDEX(Fit_Matrix!$B:$B,MATCH(P3345,Fit_Matrix!$A:$A,0)))),"CHECK KEY"))</f>
        <v/>
      </c>
      <c r="U3345" s="10" t="n"/>
      <c r="V3345" s="10" t="n"/>
      <c r="W3345" s="10" t="n"/>
      <c r="X3345" s="10" t="n"/>
      <c r="Y3345" s="10" t="n"/>
      <c r="Z3345" s="10" t="n"/>
      <c r="AA3345" s="11">
        <f>IF(A3345="","",IF(AND(J3345="P4",F3345="causal"),"P4-CAUSAL",""))</f>
        <v/>
      </c>
    </row>
    <row r="3346" ht="15" customHeight="1" s="1">
      <c r="P3346">
        <f>IF(OR(F3346="",H3346="",J3346=""),"",J3346&amp;"|"&amp;F3346&amp;"|"&amp;IF(H3346="W3","W3_"&amp;IF(I3346="","unknown",I3346),H3346))</f>
        <v/>
      </c>
      <c r="Q3346">
        <f>IF(P3346="","",IFERROR(IF(AND(H3346="W7",OR(F3346="causal",F3346="predictive")),IF(AND(OR(K3346=1,K3346="1"),OR(L3346=1,L3346="1"),OR(M3346=1,M3346="1")),"adequate","partial"),IF(AND(H3346="W4",F3346="predictive",OR(J3346="P2",J3346="P3",J3346="P4")),IF(OR(U3346=1,U3346="1"),"adequate","partial"),INDEX(Fit_Matrix!$B:$B,MATCH(P3346,Fit_Matrix!$A:$A,0)))),"CHECK KEY"))</f>
        <v/>
      </c>
      <c r="U3346" s="10" t="n"/>
      <c r="V3346" s="10" t="n"/>
      <c r="W3346" s="10" t="n"/>
      <c r="X3346" s="10" t="n"/>
      <c r="Y3346" s="10" t="n"/>
      <c r="Z3346" s="10" t="n"/>
      <c r="AA3346" s="11">
        <f>IF(A3346="","",IF(AND(J3346="P4",F3346="causal"),"P4-CAUSAL",""))</f>
        <v/>
      </c>
    </row>
    <row r="3347" ht="15" customHeight="1" s="1">
      <c r="P3347">
        <f>IF(OR(F3347="",H3347="",J3347=""),"",J3347&amp;"|"&amp;F3347&amp;"|"&amp;IF(H3347="W3","W3_"&amp;IF(I3347="","unknown",I3347),H3347))</f>
        <v/>
      </c>
      <c r="Q3347">
        <f>IF(P3347="","",IFERROR(IF(AND(H3347="W7",OR(F3347="causal",F3347="predictive")),IF(AND(OR(K3347=1,K3347="1"),OR(L3347=1,L3347="1"),OR(M3347=1,M3347="1")),"adequate","partial"),IF(AND(H3347="W4",F3347="predictive",OR(J3347="P2",J3347="P3",J3347="P4")),IF(OR(U3347=1,U3347="1"),"adequate","partial"),INDEX(Fit_Matrix!$B:$B,MATCH(P3347,Fit_Matrix!$A:$A,0)))),"CHECK KEY"))</f>
        <v/>
      </c>
      <c r="U3347" s="10" t="n"/>
      <c r="V3347" s="10" t="n"/>
      <c r="W3347" s="10" t="n"/>
      <c r="X3347" s="10" t="n"/>
      <c r="Y3347" s="10" t="n"/>
      <c r="Z3347" s="10" t="n"/>
      <c r="AA3347" s="11">
        <f>IF(A3347="","",IF(AND(J3347="P4",F3347="causal"),"P4-CAUSAL",""))</f>
        <v/>
      </c>
    </row>
    <row r="3348" ht="15" customHeight="1" s="1">
      <c r="P3348">
        <f>IF(OR(F3348="",H3348="",J3348=""),"",J3348&amp;"|"&amp;F3348&amp;"|"&amp;IF(H3348="W3","W3_"&amp;IF(I3348="","unknown",I3348),H3348))</f>
        <v/>
      </c>
      <c r="Q3348">
        <f>IF(P3348="","",IFERROR(IF(AND(H3348="W7",OR(F3348="causal",F3348="predictive")),IF(AND(OR(K3348=1,K3348="1"),OR(L3348=1,L3348="1"),OR(M3348=1,M3348="1")),"adequate","partial"),IF(AND(H3348="W4",F3348="predictive",OR(J3348="P2",J3348="P3",J3348="P4")),IF(OR(U3348=1,U3348="1"),"adequate","partial"),INDEX(Fit_Matrix!$B:$B,MATCH(P3348,Fit_Matrix!$A:$A,0)))),"CHECK KEY"))</f>
        <v/>
      </c>
      <c r="U3348" s="10" t="n"/>
      <c r="V3348" s="10" t="n"/>
      <c r="W3348" s="10" t="n"/>
      <c r="X3348" s="10" t="n"/>
      <c r="Y3348" s="10" t="n"/>
      <c r="Z3348" s="10" t="n"/>
      <c r="AA3348" s="11">
        <f>IF(A3348="","",IF(AND(J3348="P4",F3348="causal"),"P4-CAUSAL",""))</f>
        <v/>
      </c>
    </row>
    <row r="3349" ht="15" customHeight="1" s="1">
      <c r="P3349">
        <f>IF(OR(F3349="",H3349="",J3349=""),"",J3349&amp;"|"&amp;F3349&amp;"|"&amp;IF(H3349="W3","W3_"&amp;IF(I3349="","unknown",I3349),H3349))</f>
        <v/>
      </c>
      <c r="Q3349">
        <f>IF(P3349="","",IFERROR(IF(AND(H3349="W7",OR(F3349="causal",F3349="predictive")),IF(AND(OR(K3349=1,K3349="1"),OR(L3349=1,L3349="1"),OR(M3349=1,M3349="1")),"adequate","partial"),IF(AND(H3349="W4",F3349="predictive",OR(J3349="P2",J3349="P3",J3349="P4")),IF(OR(U3349=1,U3349="1"),"adequate","partial"),INDEX(Fit_Matrix!$B:$B,MATCH(P3349,Fit_Matrix!$A:$A,0)))),"CHECK KEY"))</f>
        <v/>
      </c>
      <c r="U3349" s="10" t="n"/>
      <c r="V3349" s="10" t="n"/>
      <c r="W3349" s="10" t="n"/>
      <c r="X3349" s="10" t="n"/>
      <c r="Y3349" s="10" t="n"/>
      <c r="Z3349" s="10" t="n"/>
      <c r="AA3349" s="11">
        <f>IF(A3349="","",IF(AND(J3349="P4",F3349="causal"),"P4-CAUSAL",""))</f>
        <v/>
      </c>
    </row>
    <row r="3350" ht="15" customHeight="1" s="1">
      <c r="P3350">
        <f>IF(OR(F3350="",H3350="",J3350=""),"",J3350&amp;"|"&amp;F3350&amp;"|"&amp;IF(H3350="W3","W3_"&amp;IF(I3350="","unknown",I3350),H3350))</f>
        <v/>
      </c>
      <c r="Q3350">
        <f>IF(P3350="","",IFERROR(IF(AND(H3350="W7",OR(F3350="causal",F3350="predictive")),IF(AND(OR(K3350=1,K3350="1"),OR(L3350=1,L3350="1"),OR(M3350=1,M3350="1")),"adequate","partial"),IF(AND(H3350="W4",F3350="predictive",OR(J3350="P2",J3350="P3",J3350="P4")),IF(OR(U3350=1,U3350="1"),"adequate","partial"),INDEX(Fit_Matrix!$B:$B,MATCH(P3350,Fit_Matrix!$A:$A,0)))),"CHECK KEY"))</f>
        <v/>
      </c>
      <c r="U3350" s="10" t="n"/>
      <c r="V3350" s="10" t="n"/>
      <c r="W3350" s="10" t="n"/>
      <c r="X3350" s="10" t="n"/>
      <c r="Y3350" s="10" t="n"/>
      <c r="Z3350" s="10" t="n"/>
      <c r="AA3350" s="11">
        <f>IF(A3350="","",IF(AND(J3350="P4",F3350="causal"),"P4-CAUSAL",""))</f>
        <v/>
      </c>
    </row>
    <row r="3351" ht="15" customHeight="1" s="1">
      <c r="P3351">
        <f>IF(OR(F3351="",H3351="",J3351=""),"",J3351&amp;"|"&amp;F3351&amp;"|"&amp;IF(H3351="W3","W3_"&amp;IF(I3351="","unknown",I3351),H3351))</f>
        <v/>
      </c>
      <c r="Q3351">
        <f>IF(P3351="","",IFERROR(IF(AND(H3351="W7",OR(F3351="causal",F3351="predictive")),IF(AND(OR(K3351=1,K3351="1"),OR(L3351=1,L3351="1"),OR(M3351=1,M3351="1")),"adequate","partial"),IF(AND(H3351="W4",F3351="predictive",OR(J3351="P2",J3351="P3",J3351="P4")),IF(OR(U3351=1,U3351="1"),"adequate","partial"),INDEX(Fit_Matrix!$B:$B,MATCH(P3351,Fit_Matrix!$A:$A,0)))),"CHECK KEY"))</f>
        <v/>
      </c>
      <c r="U3351" s="10" t="n"/>
      <c r="V3351" s="10" t="n"/>
      <c r="W3351" s="10" t="n"/>
      <c r="X3351" s="10" t="n"/>
      <c r="Y3351" s="10" t="n"/>
      <c r="Z3351" s="10" t="n"/>
      <c r="AA3351" s="11">
        <f>IF(A3351="","",IF(AND(J3351="P4",F3351="causal"),"P4-CAUSAL",""))</f>
        <v/>
      </c>
    </row>
    <row r="3352" ht="15" customHeight="1" s="1">
      <c r="P3352">
        <f>IF(OR(F3352="",H3352="",J3352=""),"",J3352&amp;"|"&amp;F3352&amp;"|"&amp;IF(H3352="W3","W3_"&amp;IF(I3352="","unknown",I3352),H3352))</f>
        <v/>
      </c>
      <c r="Q3352">
        <f>IF(P3352="","",IFERROR(IF(AND(H3352="W7",OR(F3352="causal",F3352="predictive")),IF(AND(OR(K3352=1,K3352="1"),OR(L3352=1,L3352="1"),OR(M3352=1,M3352="1")),"adequate","partial"),IF(AND(H3352="W4",F3352="predictive",OR(J3352="P2",J3352="P3",J3352="P4")),IF(OR(U3352=1,U3352="1"),"adequate","partial"),INDEX(Fit_Matrix!$B:$B,MATCH(P3352,Fit_Matrix!$A:$A,0)))),"CHECK KEY"))</f>
        <v/>
      </c>
      <c r="U3352" s="10" t="n"/>
      <c r="V3352" s="10" t="n"/>
      <c r="W3352" s="10" t="n"/>
      <c r="X3352" s="10" t="n"/>
      <c r="Y3352" s="10" t="n"/>
      <c r="Z3352" s="10" t="n"/>
      <c r="AA3352" s="11">
        <f>IF(A3352="","",IF(AND(J3352="P4",F3352="causal"),"P4-CAUSAL",""))</f>
        <v/>
      </c>
    </row>
    <row r="3353" ht="15" customHeight="1" s="1">
      <c r="P3353">
        <f>IF(OR(F3353="",H3353="",J3353=""),"",J3353&amp;"|"&amp;F3353&amp;"|"&amp;IF(H3353="W3","W3_"&amp;IF(I3353="","unknown",I3353),H3353))</f>
        <v/>
      </c>
      <c r="Q3353">
        <f>IF(P3353="","",IFERROR(IF(AND(H3353="W7",OR(F3353="causal",F3353="predictive")),IF(AND(OR(K3353=1,K3353="1"),OR(L3353=1,L3353="1"),OR(M3353=1,M3353="1")),"adequate","partial"),IF(AND(H3353="W4",F3353="predictive",OR(J3353="P2",J3353="P3",J3353="P4")),IF(OR(U3353=1,U3353="1"),"adequate","partial"),INDEX(Fit_Matrix!$B:$B,MATCH(P3353,Fit_Matrix!$A:$A,0)))),"CHECK KEY"))</f>
        <v/>
      </c>
      <c r="U3353" s="10" t="n"/>
      <c r="V3353" s="10" t="n"/>
      <c r="W3353" s="10" t="n"/>
      <c r="X3353" s="10" t="n"/>
      <c r="Y3353" s="10" t="n"/>
      <c r="Z3353" s="10" t="n"/>
      <c r="AA3353" s="11">
        <f>IF(A3353="","",IF(AND(J3353="P4",F3353="causal"),"P4-CAUSAL",""))</f>
        <v/>
      </c>
    </row>
    <row r="3354" ht="15" customHeight="1" s="1">
      <c r="P3354">
        <f>IF(OR(F3354="",H3354="",J3354=""),"",J3354&amp;"|"&amp;F3354&amp;"|"&amp;IF(H3354="W3","W3_"&amp;IF(I3354="","unknown",I3354),H3354))</f>
        <v/>
      </c>
      <c r="Q3354">
        <f>IF(P3354="","",IFERROR(IF(AND(H3354="W7",OR(F3354="causal",F3354="predictive")),IF(AND(OR(K3354=1,K3354="1"),OR(L3354=1,L3354="1"),OR(M3354=1,M3354="1")),"adequate","partial"),IF(AND(H3354="W4",F3354="predictive",OR(J3354="P2",J3354="P3",J3354="P4")),IF(OR(U3354=1,U3354="1"),"adequate","partial"),INDEX(Fit_Matrix!$B:$B,MATCH(P3354,Fit_Matrix!$A:$A,0)))),"CHECK KEY"))</f>
        <v/>
      </c>
      <c r="U3354" s="10" t="n"/>
      <c r="V3354" s="10" t="n"/>
      <c r="W3354" s="10" t="n"/>
      <c r="X3354" s="10" t="n"/>
      <c r="Y3354" s="10" t="n"/>
      <c r="Z3354" s="10" t="n"/>
      <c r="AA3354" s="11">
        <f>IF(A3354="","",IF(AND(J3354="P4",F3354="causal"),"P4-CAUSAL",""))</f>
        <v/>
      </c>
    </row>
    <row r="3355" ht="15" customHeight="1" s="1">
      <c r="P3355">
        <f>IF(OR(F3355="",H3355="",J3355=""),"",J3355&amp;"|"&amp;F3355&amp;"|"&amp;IF(H3355="W3","W3_"&amp;IF(I3355="","unknown",I3355),H3355))</f>
        <v/>
      </c>
      <c r="Q3355">
        <f>IF(P3355="","",IFERROR(IF(AND(H3355="W7",OR(F3355="causal",F3355="predictive")),IF(AND(OR(K3355=1,K3355="1"),OR(L3355=1,L3355="1"),OR(M3355=1,M3355="1")),"adequate","partial"),IF(AND(H3355="W4",F3355="predictive",OR(J3355="P2",J3355="P3",J3355="P4")),IF(OR(U3355=1,U3355="1"),"adequate","partial"),INDEX(Fit_Matrix!$B:$B,MATCH(P3355,Fit_Matrix!$A:$A,0)))),"CHECK KEY"))</f>
        <v/>
      </c>
      <c r="U3355" s="10" t="n"/>
      <c r="V3355" s="10" t="n"/>
      <c r="W3355" s="10" t="n"/>
      <c r="X3355" s="10" t="n"/>
      <c r="Y3355" s="10" t="n"/>
      <c r="Z3355" s="10" t="n"/>
      <c r="AA3355" s="11">
        <f>IF(A3355="","",IF(AND(J3355="P4",F3355="causal"),"P4-CAUSAL",""))</f>
        <v/>
      </c>
    </row>
    <row r="3356" ht="15" customHeight="1" s="1">
      <c r="P3356">
        <f>IF(OR(F3356="",H3356="",J3356=""),"",J3356&amp;"|"&amp;F3356&amp;"|"&amp;IF(H3356="W3","W3_"&amp;IF(I3356="","unknown",I3356),H3356))</f>
        <v/>
      </c>
      <c r="Q3356">
        <f>IF(P3356="","",IFERROR(IF(AND(H3356="W7",OR(F3356="causal",F3356="predictive")),IF(AND(OR(K3356=1,K3356="1"),OR(L3356=1,L3356="1"),OR(M3356=1,M3356="1")),"adequate","partial"),IF(AND(H3356="W4",F3356="predictive",OR(J3356="P2",J3356="P3",J3356="P4")),IF(OR(U3356=1,U3356="1"),"adequate","partial"),INDEX(Fit_Matrix!$B:$B,MATCH(P3356,Fit_Matrix!$A:$A,0)))),"CHECK KEY"))</f>
        <v/>
      </c>
      <c r="U3356" s="10" t="n"/>
      <c r="V3356" s="10" t="n"/>
      <c r="W3356" s="10" t="n"/>
      <c r="X3356" s="10" t="n"/>
      <c r="Y3356" s="10" t="n"/>
      <c r="Z3356" s="10" t="n"/>
      <c r="AA3356" s="11">
        <f>IF(A3356="","",IF(AND(J3356="P4",F3356="causal"),"P4-CAUSAL",""))</f>
        <v/>
      </c>
    </row>
    <row r="3357" ht="15" customHeight="1" s="1">
      <c r="P3357">
        <f>IF(OR(F3357="",H3357="",J3357=""),"",J3357&amp;"|"&amp;F3357&amp;"|"&amp;IF(H3357="W3","W3_"&amp;IF(I3357="","unknown",I3357),H3357))</f>
        <v/>
      </c>
      <c r="Q3357">
        <f>IF(P3357="","",IFERROR(IF(AND(H3357="W7",OR(F3357="causal",F3357="predictive")),IF(AND(OR(K3357=1,K3357="1"),OR(L3357=1,L3357="1"),OR(M3357=1,M3357="1")),"adequate","partial"),IF(AND(H3357="W4",F3357="predictive",OR(J3357="P2",J3357="P3",J3357="P4")),IF(OR(U3357=1,U3357="1"),"adequate","partial"),INDEX(Fit_Matrix!$B:$B,MATCH(P3357,Fit_Matrix!$A:$A,0)))),"CHECK KEY"))</f>
        <v/>
      </c>
      <c r="U3357" s="10" t="n"/>
      <c r="V3357" s="10" t="n"/>
      <c r="W3357" s="10" t="n"/>
      <c r="X3357" s="10" t="n"/>
      <c r="Y3357" s="10" t="n"/>
      <c r="Z3357" s="10" t="n"/>
      <c r="AA3357" s="11">
        <f>IF(A3357="","",IF(AND(J3357="P4",F3357="causal"),"P4-CAUSAL",""))</f>
        <v/>
      </c>
    </row>
    <row r="3358" ht="15" customHeight="1" s="1">
      <c r="P3358">
        <f>IF(OR(F3358="",H3358="",J3358=""),"",J3358&amp;"|"&amp;F3358&amp;"|"&amp;IF(H3358="W3","W3_"&amp;IF(I3358="","unknown",I3358),H3358))</f>
        <v/>
      </c>
      <c r="Q3358">
        <f>IF(P3358="","",IFERROR(IF(AND(H3358="W7",OR(F3358="causal",F3358="predictive")),IF(AND(OR(K3358=1,K3358="1"),OR(L3358=1,L3358="1"),OR(M3358=1,M3358="1")),"adequate","partial"),IF(AND(H3358="W4",F3358="predictive",OR(J3358="P2",J3358="P3",J3358="P4")),IF(OR(U3358=1,U3358="1"),"adequate","partial"),INDEX(Fit_Matrix!$B:$B,MATCH(P3358,Fit_Matrix!$A:$A,0)))),"CHECK KEY"))</f>
        <v/>
      </c>
      <c r="U3358" s="10" t="n"/>
      <c r="V3358" s="10" t="n"/>
      <c r="W3358" s="10" t="n"/>
      <c r="X3358" s="10" t="n"/>
      <c r="Y3358" s="10" t="n"/>
      <c r="Z3358" s="10" t="n"/>
      <c r="AA3358" s="11">
        <f>IF(A3358="","",IF(AND(J3358="P4",F3358="causal"),"P4-CAUSAL",""))</f>
        <v/>
      </c>
    </row>
    <row r="3359" ht="15" customHeight="1" s="1">
      <c r="P3359">
        <f>IF(OR(F3359="",H3359="",J3359=""),"",J3359&amp;"|"&amp;F3359&amp;"|"&amp;IF(H3359="W3","W3_"&amp;IF(I3359="","unknown",I3359),H3359))</f>
        <v/>
      </c>
      <c r="Q3359">
        <f>IF(P3359="","",IFERROR(IF(AND(H3359="W7",OR(F3359="causal",F3359="predictive")),IF(AND(OR(K3359=1,K3359="1"),OR(L3359=1,L3359="1"),OR(M3359=1,M3359="1")),"adequate","partial"),IF(AND(H3359="W4",F3359="predictive",OR(J3359="P2",J3359="P3",J3359="P4")),IF(OR(U3359=1,U3359="1"),"adequate","partial"),INDEX(Fit_Matrix!$B:$B,MATCH(P3359,Fit_Matrix!$A:$A,0)))),"CHECK KEY"))</f>
        <v/>
      </c>
      <c r="U3359" s="10" t="n"/>
      <c r="V3359" s="10" t="n"/>
      <c r="W3359" s="10" t="n"/>
      <c r="X3359" s="10" t="n"/>
      <c r="Y3359" s="10" t="n"/>
      <c r="Z3359" s="10" t="n"/>
      <c r="AA3359" s="11">
        <f>IF(A3359="","",IF(AND(J3359="P4",F3359="causal"),"P4-CAUSAL",""))</f>
        <v/>
      </c>
    </row>
    <row r="3360" ht="15" customHeight="1" s="1">
      <c r="P3360">
        <f>IF(OR(F3360="",H3360="",J3360=""),"",J3360&amp;"|"&amp;F3360&amp;"|"&amp;IF(H3360="W3","W3_"&amp;IF(I3360="","unknown",I3360),H3360))</f>
        <v/>
      </c>
      <c r="Q3360">
        <f>IF(P3360="","",IFERROR(IF(AND(H3360="W7",OR(F3360="causal",F3360="predictive")),IF(AND(OR(K3360=1,K3360="1"),OR(L3360=1,L3360="1"),OR(M3360=1,M3360="1")),"adequate","partial"),IF(AND(H3360="W4",F3360="predictive",OR(J3360="P2",J3360="P3",J3360="P4")),IF(OR(U3360=1,U3360="1"),"adequate","partial"),INDEX(Fit_Matrix!$B:$B,MATCH(P3360,Fit_Matrix!$A:$A,0)))),"CHECK KEY"))</f>
        <v/>
      </c>
      <c r="U3360" s="10" t="n"/>
      <c r="V3360" s="10" t="n"/>
      <c r="W3360" s="10" t="n"/>
      <c r="X3360" s="10" t="n"/>
      <c r="Y3360" s="10" t="n"/>
      <c r="Z3360" s="10" t="n"/>
      <c r="AA3360" s="11">
        <f>IF(A3360="","",IF(AND(J3360="P4",F3360="causal"),"P4-CAUSAL",""))</f>
        <v/>
      </c>
    </row>
    <row r="3361" ht="15" customHeight="1" s="1">
      <c r="P3361">
        <f>IF(OR(F3361="",H3361="",J3361=""),"",J3361&amp;"|"&amp;F3361&amp;"|"&amp;IF(H3361="W3","W3_"&amp;IF(I3361="","unknown",I3361),H3361))</f>
        <v/>
      </c>
      <c r="Q3361">
        <f>IF(P3361="","",IFERROR(IF(AND(H3361="W7",OR(F3361="causal",F3361="predictive")),IF(AND(OR(K3361=1,K3361="1"),OR(L3361=1,L3361="1"),OR(M3361=1,M3361="1")),"adequate","partial"),IF(AND(H3361="W4",F3361="predictive",OR(J3361="P2",J3361="P3",J3361="P4")),IF(OR(U3361=1,U3361="1"),"adequate","partial"),INDEX(Fit_Matrix!$B:$B,MATCH(P3361,Fit_Matrix!$A:$A,0)))),"CHECK KEY"))</f>
        <v/>
      </c>
      <c r="U3361" s="10" t="n"/>
      <c r="V3361" s="10" t="n"/>
      <c r="W3361" s="10" t="n"/>
      <c r="X3361" s="10" t="n"/>
      <c r="Y3361" s="10" t="n"/>
      <c r="Z3361" s="10" t="n"/>
      <c r="AA3361" s="11">
        <f>IF(A3361="","",IF(AND(J3361="P4",F3361="causal"),"P4-CAUSAL",""))</f>
        <v/>
      </c>
    </row>
    <row r="3362" ht="15" customHeight="1" s="1">
      <c r="P3362">
        <f>IF(OR(F3362="",H3362="",J3362=""),"",J3362&amp;"|"&amp;F3362&amp;"|"&amp;IF(H3362="W3","W3_"&amp;IF(I3362="","unknown",I3362),H3362))</f>
        <v/>
      </c>
      <c r="Q3362">
        <f>IF(P3362="","",IFERROR(IF(AND(H3362="W7",OR(F3362="causal",F3362="predictive")),IF(AND(OR(K3362=1,K3362="1"),OR(L3362=1,L3362="1"),OR(M3362=1,M3362="1")),"adequate","partial"),IF(AND(H3362="W4",F3362="predictive",OR(J3362="P2",J3362="P3",J3362="P4")),IF(OR(U3362=1,U3362="1"),"adequate","partial"),INDEX(Fit_Matrix!$B:$B,MATCH(P3362,Fit_Matrix!$A:$A,0)))),"CHECK KEY"))</f>
        <v/>
      </c>
      <c r="U3362" s="10" t="n"/>
      <c r="V3362" s="10" t="n"/>
      <c r="W3362" s="10" t="n"/>
      <c r="X3362" s="10" t="n"/>
      <c r="Y3362" s="10" t="n"/>
      <c r="Z3362" s="10" t="n"/>
      <c r="AA3362" s="11">
        <f>IF(A3362="","",IF(AND(J3362="P4",F3362="causal"),"P4-CAUSAL",""))</f>
        <v/>
      </c>
    </row>
    <row r="3363" ht="15" customHeight="1" s="1">
      <c r="P3363">
        <f>IF(OR(F3363="",H3363="",J3363=""),"",J3363&amp;"|"&amp;F3363&amp;"|"&amp;IF(H3363="W3","W3_"&amp;IF(I3363="","unknown",I3363),H3363))</f>
        <v/>
      </c>
      <c r="Q3363">
        <f>IF(P3363="","",IFERROR(IF(AND(H3363="W7",OR(F3363="causal",F3363="predictive")),IF(AND(OR(K3363=1,K3363="1"),OR(L3363=1,L3363="1"),OR(M3363=1,M3363="1")),"adequate","partial"),IF(AND(H3363="W4",F3363="predictive",OR(J3363="P2",J3363="P3",J3363="P4")),IF(OR(U3363=1,U3363="1"),"adequate","partial"),INDEX(Fit_Matrix!$B:$B,MATCH(P3363,Fit_Matrix!$A:$A,0)))),"CHECK KEY"))</f>
        <v/>
      </c>
      <c r="U3363" s="10" t="n"/>
      <c r="V3363" s="10" t="n"/>
      <c r="W3363" s="10" t="n"/>
      <c r="X3363" s="10" t="n"/>
      <c r="Y3363" s="10" t="n"/>
      <c r="Z3363" s="10" t="n"/>
      <c r="AA3363" s="11">
        <f>IF(A3363="","",IF(AND(J3363="P4",F3363="causal"),"P4-CAUSAL",""))</f>
        <v/>
      </c>
    </row>
    <row r="3364" ht="15" customHeight="1" s="1">
      <c r="P3364">
        <f>IF(OR(F3364="",H3364="",J3364=""),"",J3364&amp;"|"&amp;F3364&amp;"|"&amp;IF(H3364="W3","W3_"&amp;IF(I3364="","unknown",I3364),H3364))</f>
        <v/>
      </c>
      <c r="Q3364">
        <f>IF(P3364="","",IFERROR(IF(AND(H3364="W7",OR(F3364="causal",F3364="predictive")),IF(AND(OR(K3364=1,K3364="1"),OR(L3364=1,L3364="1"),OR(M3364=1,M3364="1")),"adequate","partial"),IF(AND(H3364="W4",F3364="predictive",OR(J3364="P2",J3364="P3",J3364="P4")),IF(OR(U3364=1,U3364="1"),"adequate","partial"),INDEX(Fit_Matrix!$B:$B,MATCH(P3364,Fit_Matrix!$A:$A,0)))),"CHECK KEY"))</f>
        <v/>
      </c>
      <c r="U3364" s="10" t="n"/>
      <c r="V3364" s="10" t="n"/>
      <c r="W3364" s="10" t="n"/>
      <c r="X3364" s="10" t="n"/>
      <c r="Y3364" s="10" t="n"/>
      <c r="Z3364" s="10" t="n"/>
      <c r="AA3364" s="11">
        <f>IF(A3364="","",IF(AND(J3364="P4",F3364="causal"),"P4-CAUSAL",""))</f>
        <v/>
      </c>
    </row>
    <row r="3365" ht="15" customHeight="1" s="1">
      <c r="P3365">
        <f>IF(OR(F3365="",H3365="",J3365=""),"",J3365&amp;"|"&amp;F3365&amp;"|"&amp;IF(H3365="W3","W3_"&amp;IF(I3365="","unknown",I3365),H3365))</f>
        <v/>
      </c>
      <c r="Q3365">
        <f>IF(P3365="","",IFERROR(IF(AND(H3365="W7",OR(F3365="causal",F3365="predictive")),IF(AND(OR(K3365=1,K3365="1"),OR(L3365=1,L3365="1"),OR(M3365=1,M3365="1")),"adequate","partial"),IF(AND(H3365="W4",F3365="predictive",OR(J3365="P2",J3365="P3",J3365="P4")),IF(OR(U3365=1,U3365="1"),"adequate","partial"),INDEX(Fit_Matrix!$B:$B,MATCH(P3365,Fit_Matrix!$A:$A,0)))),"CHECK KEY"))</f>
        <v/>
      </c>
      <c r="U3365" s="10" t="n"/>
      <c r="V3365" s="10" t="n"/>
      <c r="W3365" s="10" t="n"/>
      <c r="X3365" s="10" t="n"/>
      <c r="Y3365" s="10" t="n"/>
      <c r="Z3365" s="10" t="n"/>
      <c r="AA3365" s="11">
        <f>IF(A3365="","",IF(AND(J3365="P4",F3365="causal"),"P4-CAUSAL",""))</f>
        <v/>
      </c>
    </row>
    <row r="3366" ht="15" customHeight="1" s="1">
      <c r="P3366">
        <f>IF(OR(F3366="",H3366="",J3366=""),"",J3366&amp;"|"&amp;F3366&amp;"|"&amp;IF(H3366="W3","W3_"&amp;IF(I3366="","unknown",I3366),H3366))</f>
        <v/>
      </c>
      <c r="Q3366">
        <f>IF(P3366="","",IFERROR(IF(AND(H3366="W7",OR(F3366="causal",F3366="predictive")),IF(AND(OR(K3366=1,K3366="1"),OR(L3366=1,L3366="1"),OR(M3366=1,M3366="1")),"adequate","partial"),IF(AND(H3366="W4",F3366="predictive",OR(J3366="P2",J3366="P3",J3366="P4")),IF(OR(U3366=1,U3366="1"),"adequate","partial"),INDEX(Fit_Matrix!$B:$B,MATCH(P3366,Fit_Matrix!$A:$A,0)))),"CHECK KEY"))</f>
        <v/>
      </c>
      <c r="U3366" s="10" t="n"/>
      <c r="V3366" s="10" t="n"/>
      <c r="W3366" s="10" t="n"/>
      <c r="X3366" s="10" t="n"/>
      <c r="Y3366" s="10" t="n"/>
      <c r="Z3366" s="10" t="n"/>
      <c r="AA3366" s="11">
        <f>IF(A3366="","",IF(AND(J3366="P4",F3366="causal"),"P4-CAUSAL",""))</f>
        <v/>
      </c>
    </row>
    <row r="3367" ht="15" customHeight="1" s="1">
      <c r="P3367">
        <f>IF(OR(F3367="",H3367="",J3367=""),"",J3367&amp;"|"&amp;F3367&amp;"|"&amp;IF(H3367="W3","W3_"&amp;IF(I3367="","unknown",I3367),H3367))</f>
        <v/>
      </c>
      <c r="Q3367">
        <f>IF(P3367="","",IFERROR(IF(AND(H3367="W7",OR(F3367="causal",F3367="predictive")),IF(AND(OR(K3367=1,K3367="1"),OR(L3367=1,L3367="1"),OR(M3367=1,M3367="1")),"adequate","partial"),IF(AND(H3367="W4",F3367="predictive",OR(J3367="P2",J3367="P3",J3367="P4")),IF(OR(U3367=1,U3367="1"),"adequate","partial"),INDEX(Fit_Matrix!$B:$B,MATCH(P3367,Fit_Matrix!$A:$A,0)))),"CHECK KEY"))</f>
        <v/>
      </c>
      <c r="U3367" s="10" t="n"/>
      <c r="V3367" s="10" t="n"/>
      <c r="W3367" s="10" t="n"/>
      <c r="X3367" s="10" t="n"/>
      <c r="Y3367" s="10" t="n"/>
      <c r="Z3367" s="10" t="n"/>
      <c r="AA3367" s="11">
        <f>IF(A3367="","",IF(AND(J3367="P4",F3367="causal"),"P4-CAUSAL",""))</f>
        <v/>
      </c>
    </row>
    <row r="3368" ht="15" customHeight="1" s="1">
      <c r="P3368">
        <f>IF(OR(F3368="",H3368="",J3368=""),"",J3368&amp;"|"&amp;F3368&amp;"|"&amp;IF(H3368="W3","W3_"&amp;IF(I3368="","unknown",I3368),H3368))</f>
        <v/>
      </c>
      <c r="Q3368">
        <f>IF(P3368="","",IFERROR(IF(AND(H3368="W7",OR(F3368="causal",F3368="predictive")),IF(AND(OR(K3368=1,K3368="1"),OR(L3368=1,L3368="1"),OR(M3368=1,M3368="1")),"adequate","partial"),IF(AND(H3368="W4",F3368="predictive",OR(J3368="P2",J3368="P3",J3368="P4")),IF(OR(U3368=1,U3368="1"),"adequate","partial"),INDEX(Fit_Matrix!$B:$B,MATCH(P3368,Fit_Matrix!$A:$A,0)))),"CHECK KEY"))</f>
        <v/>
      </c>
      <c r="U3368" s="10" t="n"/>
      <c r="V3368" s="10" t="n"/>
      <c r="W3368" s="10" t="n"/>
      <c r="X3368" s="10" t="n"/>
      <c r="Y3368" s="10" t="n"/>
      <c r="Z3368" s="10" t="n"/>
      <c r="AA3368" s="11">
        <f>IF(A3368="","",IF(AND(J3368="P4",F3368="causal"),"P4-CAUSAL",""))</f>
        <v/>
      </c>
    </row>
    <row r="3369" ht="15" customHeight="1" s="1">
      <c r="P3369">
        <f>IF(OR(F3369="",H3369="",J3369=""),"",J3369&amp;"|"&amp;F3369&amp;"|"&amp;IF(H3369="W3","W3_"&amp;IF(I3369="","unknown",I3369),H3369))</f>
        <v/>
      </c>
      <c r="Q3369">
        <f>IF(P3369="","",IFERROR(IF(AND(H3369="W7",OR(F3369="causal",F3369="predictive")),IF(AND(OR(K3369=1,K3369="1"),OR(L3369=1,L3369="1"),OR(M3369=1,M3369="1")),"adequate","partial"),IF(AND(H3369="W4",F3369="predictive",OR(J3369="P2",J3369="P3",J3369="P4")),IF(OR(U3369=1,U3369="1"),"adequate","partial"),INDEX(Fit_Matrix!$B:$B,MATCH(P3369,Fit_Matrix!$A:$A,0)))),"CHECK KEY"))</f>
        <v/>
      </c>
      <c r="U3369" s="10" t="n"/>
      <c r="V3369" s="10" t="n"/>
      <c r="W3369" s="10" t="n"/>
      <c r="X3369" s="10" t="n"/>
      <c r="Y3369" s="10" t="n"/>
      <c r="Z3369" s="10" t="n"/>
      <c r="AA3369" s="11">
        <f>IF(A3369="","",IF(AND(J3369="P4",F3369="causal"),"P4-CAUSAL",""))</f>
        <v/>
      </c>
    </row>
    <row r="3370" ht="15" customHeight="1" s="1">
      <c r="P3370">
        <f>IF(OR(F3370="",H3370="",J3370=""),"",J3370&amp;"|"&amp;F3370&amp;"|"&amp;IF(H3370="W3","W3_"&amp;IF(I3370="","unknown",I3370),H3370))</f>
        <v/>
      </c>
      <c r="Q3370">
        <f>IF(P3370="","",IFERROR(IF(AND(H3370="W7",OR(F3370="causal",F3370="predictive")),IF(AND(OR(K3370=1,K3370="1"),OR(L3370=1,L3370="1"),OR(M3370=1,M3370="1")),"adequate","partial"),IF(AND(H3370="W4",F3370="predictive",OR(J3370="P2",J3370="P3",J3370="P4")),IF(OR(U3370=1,U3370="1"),"adequate","partial"),INDEX(Fit_Matrix!$B:$B,MATCH(P3370,Fit_Matrix!$A:$A,0)))),"CHECK KEY"))</f>
        <v/>
      </c>
      <c r="U3370" s="10" t="n"/>
      <c r="V3370" s="10" t="n"/>
      <c r="W3370" s="10" t="n"/>
      <c r="X3370" s="10" t="n"/>
      <c r="Y3370" s="10" t="n"/>
      <c r="Z3370" s="10" t="n"/>
      <c r="AA3370" s="11">
        <f>IF(A3370="","",IF(AND(J3370="P4",F3370="causal"),"P4-CAUSAL",""))</f>
        <v/>
      </c>
    </row>
    <row r="3371" ht="15" customHeight="1" s="1">
      <c r="P3371">
        <f>IF(OR(F3371="",H3371="",J3371=""),"",J3371&amp;"|"&amp;F3371&amp;"|"&amp;IF(H3371="W3","W3_"&amp;IF(I3371="","unknown",I3371),H3371))</f>
        <v/>
      </c>
      <c r="Q3371">
        <f>IF(P3371="","",IFERROR(IF(AND(H3371="W7",OR(F3371="causal",F3371="predictive")),IF(AND(OR(K3371=1,K3371="1"),OR(L3371=1,L3371="1"),OR(M3371=1,M3371="1")),"adequate","partial"),IF(AND(H3371="W4",F3371="predictive",OR(J3371="P2",J3371="P3",J3371="P4")),IF(OR(U3371=1,U3371="1"),"adequate","partial"),INDEX(Fit_Matrix!$B:$B,MATCH(P3371,Fit_Matrix!$A:$A,0)))),"CHECK KEY"))</f>
        <v/>
      </c>
      <c r="U3371" s="10" t="n"/>
      <c r="V3371" s="10" t="n"/>
      <c r="W3371" s="10" t="n"/>
      <c r="X3371" s="10" t="n"/>
      <c r="Y3371" s="10" t="n"/>
      <c r="Z3371" s="10" t="n"/>
      <c r="AA3371" s="11">
        <f>IF(A3371="","",IF(AND(J3371="P4",F3371="causal"),"P4-CAUSAL",""))</f>
        <v/>
      </c>
    </row>
    <row r="3372" ht="15" customHeight="1" s="1">
      <c r="P3372">
        <f>IF(OR(F3372="",H3372="",J3372=""),"",J3372&amp;"|"&amp;F3372&amp;"|"&amp;IF(H3372="W3","W3_"&amp;IF(I3372="","unknown",I3372),H3372))</f>
        <v/>
      </c>
      <c r="Q3372">
        <f>IF(P3372="","",IFERROR(IF(AND(H3372="W7",OR(F3372="causal",F3372="predictive")),IF(AND(OR(K3372=1,K3372="1"),OR(L3372=1,L3372="1"),OR(M3372=1,M3372="1")),"adequate","partial"),IF(AND(H3372="W4",F3372="predictive",OR(J3372="P2",J3372="P3",J3372="P4")),IF(OR(U3372=1,U3372="1"),"adequate","partial"),INDEX(Fit_Matrix!$B:$B,MATCH(P3372,Fit_Matrix!$A:$A,0)))),"CHECK KEY"))</f>
        <v/>
      </c>
      <c r="U3372" s="10" t="n"/>
      <c r="V3372" s="10" t="n"/>
      <c r="W3372" s="10" t="n"/>
      <c r="X3372" s="10" t="n"/>
      <c r="Y3372" s="10" t="n"/>
      <c r="Z3372" s="10" t="n"/>
      <c r="AA3372" s="11">
        <f>IF(A3372="","",IF(AND(J3372="P4",F3372="causal"),"P4-CAUSAL",""))</f>
        <v/>
      </c>
    </row>
    <row r="3373" ht="15" customHeight="1" s="1">
      <c r="P3373">
        <f>IF(OR(F3373="",H3373="",J3373=""),"",J3373&amp;"|"&amp;F3373&amp;"|"&amp;IF(H3373="W3","W3_"&amp;IF(I3373="","unknown",I3373),H3373))</f>
        <v/>
      </c>
      <c r="Q3373">
        <f>IF(P3373="","",IFERROR(IF(AND(H3373="W7",OR(F3373="causal",F3373="predictive")),IF(AND(OR(K3373=1,K3373="1"),OR(L3373=1,L3373="1"),OR(M3373=1,M3373="1")),"adequate","partial"),IF(AND(H3373="W4",F3373="predictive",OR(J3373="P2",J3373="P3",J3373="P4")),IF(OR(U3373=1,U3373="1"),"adequate","partial"),INDEX(Fit_Matrix!$B:$B,MATCH(P3373,Fit_Matrix!$A:$A,0)))),"CHECK KEY"))</f>
        <v/>
      </c>
      <c r="U3373" s="10" t="n"/>
      <c r="V3373" s="10" t="n"/>
      <c r="W3373" s="10" t="n"/>
      <c r="X3373" s="10" t="n"/>
      <c r="Y3373" s="10" t="n"/>
      <c r="Z3373" s="10" t="n"/>
      <c r="AA3373" s="11">
        <f>IF(A3373="","",IF(AND(J3373="P4",F3373="causal"),"P4-CAUSAL",""))</f>
        <v/>
      </c>
    </row>
    <row r="3374" ht="15" customHeight="1" s="1">
      <c r="P3374">
        <f>IF(OR(F3374="",H3374="",J3374=""),"",J3374&amp;"|"&amp;F3374&amp;"|"&amp;IF(H3374="W3","W3_"&amp;IF(I3374="","unknown",I3374),H3374))</f>
        <v/>
      </c>
      <c r="Q3374">
        <f>IF(P3374="","",IFERROR(IF(AND(H3374="W7",OR(F3374="causal",F3374="predictive")),IF(AND(OR(K3374=1,K3374="1"),OR(L3374=1,L3374="1"),OR(M3374=1,M3374="1")),"adequate","partial"),IF(AND(H3374="W4",F3374="predictive",OR(J3374="P2",J3374="P3",J3374="P4")),IF(OR(U3374=1,U3374="1"),"adequate","partial"),INDEX(Fit_Matrix!$B:$B,MATCH(P3374,Fit_Matrix!$A:$A,0)))),"CHECK KEY"))</f>
        <v/>
      </c>
      <c r="U3374" s="10" t="n"/>
      <c r="V3374" s="10" t="n"/>
      <c r="W3374" s="10" t="n"/>
      <c r="X3374" s="10" t="n"/>
      <c r="Y3374" s="10" t="n"/>
      <c r="Z3374" s="10" t="n"/>
      <c r="AA3374" s="11">
        <f>IF(A3374="","",IF(AND(J3374="P4",F3374="causal"),"P4-CAUSAL",""))</f>
        <v/>
      </c>
    </row>
    <row r="3375" ht="15" customHeight="1" s="1">
      <c r="P3375">
        <f>IF(OR(F3375="",H3375="",J3375=""),"",J3375&amp;"|"&amp;F3375&amp;"|"&amp;IF(H3375="W3","W3_"&amp;IF(I3375="","unknown",I3375),H3375))</f>
        <v/>
      </c>
      <c r="Q3375">
        <f>IF(P3375="","",IFERROR(IF(AND(H3375="W7",OR(F3375="causal",F3375="predictive")),IF(AND(OR(K3375=1,K3375="1"),OR(L3375=1,L3375="1"),OR(M3375=1,M3375="1")),"adequate","partial"),IF(AND(H3375="W4",F3375="predictive",OR(J3375="P2",J3375="P3",J3375="P4")),IF(OR(U3375=1,U3375="1"),"adequate","partial"),INDEX(Fit_Matrix!$B:$B,MATCH(P3375,Fit_Matrix!$A:$A,0)))),"CHECK KEY"))</f>
        <v/>
      </c>
      <c r="U3375" s="10" t="n"/>
      <c r="V3375" s="10" t="n"/>
      <c r="W3375" s="10" t="n"/>
      <c r="X3375" s="10" t="n"/>
      <c r="Y3375" s="10" t="n"/>
      <c r="Z3375" s="10" t="n"/>
      <c r="AA3375" s="11">
        <f>IF(A3375="","",IF(AND(J3375="P4",F3375="causal"),"P4-CAUSAL",""))</f>
        <v/>
      </c>
    </row>
    <row r="3376" ht="15" customHeight="1" s="1">
      <c r="P3376">
        <f>IF(OR(F3376="",H3376="",J3376=""),"",J3376&amp;"|"&amp;F3376&amp;"|"&amp;IF(H3376="W3","W3_"&amp;IF(I3376="","unknown",I3376),H3376))</f>
        <v/>
      </c>
      <c r="Q3376">
        <f>IF(P3376="","",IFERROR(IF(AND(H3376="W7",OR(F3376="causal",F3376="predictive")),IF(AND(OR(K3376=1,K3376="1"),OR(L3376=1,L3376="1"),OR(M3376=1,M3376="1")),"adequate","partial"),IF(AND(H3376="W4",F3376="predictive",OR(J3376="P2",J3376="P3",J3376="P4")),IF(OR(U3376=1,U3376="1"),"adequate","partial"),INDEX(Fit_Matrix!$B:$B,MATCH(P3376,Fit_Matrix!$A:$A,0)))),"CHECK KEY"))</f>
        <v/>
      </c>
      <c r="U3376" s="10" t="n"/>
      <c r="V3376" s="10" t="n"/>
      <c r="W3376" s="10" t="n"/>
      <c r="X3376" s="10" t="n"/>
      <c r="Y3376" s="10" t="n"/>
      <c r="Z3376" s="10" t="n"/>
      <c r="AA3376" s="11">
        <f>IF(A3376="","",IF(AND(J3376="P4",F3376="causal"),"P4-CAUSAL",""))</f>
        <v/>
      </c>
    </row>
    <row r="3377" ht="15" customHeight="1" s="1">
      <c r="P3377">
        <f>IF(OR(F3377="",H3377="",J3377=""),"",J3377&amp;"|"&amp;F3377&amp;"|"&amp;IF(H3377="W3","W3_"&amp;IF(I3377="","unknown",I3377),H3377))</f>
        <v/>
      </c>
      <c r="Q3377">
        <f>IF(P3377="","",IFERROR(IF(AND(H3377="W7",OR(F3377="causal",F3377="predictive")),IF(AND(OR(K3377=1,K3377="1"),OR(L3377=1,L3377="1"),OR(M3377=1,M3377="1")),"adequate","partial"),IF(AND(H3377="W4",F3377="predictive",OR(J3377="P2",J3377="P3",J3377="P4")),IF(OR(U3377=1,U3377="1"),"adequate","partial"),INDEX(Fit_Matrix!$B:$B,MATCH(P3377,Fit_Matrix!$A:$A,0)))),"CHECK KEY"))</f>
        <v/>
      </c>
      <c r="U3377" s="10" t="n"/>
      <c r="V3377" s="10" t="n"/>
      <c r="W3377" s="10" t="n"/>
      <c r="X3377" s="10" t="n"/>
      <c r="Y3377" s="10" t="n"/>
      <c r="Z3377" s="10" t="n"/>
      <c r="AA3377" s="11">
        <f>IF(A3377="","",IF(AND(J3377="P4",F3377="causal"),"P4-CAUSAL",""))</f>
        <v/>
      </c>
    </row>
    <row r="3378" ht="15" customHeight="1" s="1">
      <c r="P3378">
        <f>IF(OR(F3378="",H3378="",J3378=""),"",J3378&amp;"|"&amp;F3378&amp;"|"&amp;IF(H3378="W3","W3_"&amp;IF(I3378="","unknown",I3378),H3378))</f>
        <v/>
      </c>
      <c r="Q3378">
        <f>IF(P3378="","",IFERROR(IF(AND(H3378="W7",OR(F3378="causal",F3378="predictive")),IF(AND(OR(K3378=1,K3378="1"),OR(L3378=1,L3378="1"),OR(M3378=1,M3378="1")),"adequate","partial"),IF(AND(H3378="W4",F3378="predictive",OR(J3378="P2",J3378="P3",J3378="P4")),IF(OR(U3378=1,U3378="1"),"adequate","partial"),INDEX(Fit_Matrix!$B:$B,MATCH(P3378,Fit_Matrix!$A:$A,0)))),"CHECK KEY"))</f>
        <v/>
      </c>
      <c r="U3378" s="10" t="n"/>
      <c r="V3378" s="10" t="n"/>
      <c r="W3378" s="10" t="n"/>
      <c r="X3378" s="10" t="n"/>
      <c r="Y3378" s="10" t="n"/>
      <c r="Z3378" s="10" t="n"/>
      <c r="AA3378" s="11">
        <f>IF(A3378="","",IF(AND(J3378="P4",F3378="causal"),"P4-CAUSAL",""))</f>
        <v/>
      </c>
    </row>
    <row r="3379" ht="15" customHeight="1" s="1">
      <c r="P3379">
        <f>IF(OR(F3379="",H3379="",J3379=""),"",J3379&amp;"|"&amp;F3379&amp;"|"&amp;IF(H3379="W3","W3_"&amp;IF(I3379="","unknown",I3379),H3379))</f>
        <v/>
      </c>
      <c r="Q3379">
        <f>IF(P3379="","",IFERROR(IF(AND(H3379="W7",OR(F3379="causal",F3379="predictive")),IF(AND(OR(K3379=1,K3379="1"),OR(L3379=1,L3379="1"),OR(M3379=1,M3379="1")),"adequate","partial"),IF(AND(H3379="W4",F3379="predictive",OR(J3379="P2",J3379="P3",J3379="P4")),IF(OR(U3379=1,U3379="1"),"adequate","partial"),INDEX(Fit_Matrix!$B:$B,MATCH(P3379,Fit_Matrix!$A:$A,0)))),"CHECK KEY"))</f>
        <v/>
      </c>
      <c r="U3379" s="10" t="n"/>
      <c r="V3379" s="10" t="n"/>
      <c r="W3379" s="10" t="n"/>
      <c r="X3379" s="10" t="n"/>
      <c r="Y3379" s="10" t="n"/>
      <c r="Z3379" s="10" t="n"/>
      <c r="AA3379" s="11">
        <f>IF(A3379="","",IF(AND(J3379="P4",F3379="causal"),"P4-CAUSAL",""))</f>
        <v/>
      </c>
    </row>
    <row r="3380" ht="15" customHeight="1" s="1">
      <c r="P3380">
        <f>IF(OR(F3380="",H3380="",J3380=""),"",J3380&amp;"|"&amp;F3380&amp;"|"&amp;IF(H3380="W3","W3_"&amp;IF(I3380="","unknown",I3380),H3380))</f>
        <v/>
      </c>
      <c r="Q3380">
        <f>IF(P3380="","",IFERROR(IF(AND(H3380="W7",OR(F3380="causal",F3380="predictive")),IF(AND(OR(K3380=1,K3380="1"),OR(L3380=1,L3380="1"),OR(M3380=1,M3380="1")),"adequate","partial"),IF(AND(H3380="W4",F3380="predictive",OR(J3380="P2",J3380="P3",J3380="P4")),IF(OR(U3380=1,U3380="1"),"adequate","partial"),INDEX(Fit_Matrix!$B:$B,MATCH(P3380,Fit_Matrix!$A:$A,0)))),"CHECK KEY"))</f>
        <v/>
      </c>
      <c r="U3380" s="10" t="n"/>
      <c r="V3380" s="10" t="n"/>
      <c r="W3380" s="10" t="n"/>
      <c r="X3380" s="10" t="n"/>
      <c r="Y3380" s="10" t="n"/>
      <c r="Z3380" s="10" t="n"/>
      <c r="AA3380" s="11">
        <f>IF(A3380="","",IF(AND(J3380="P4",F3380="causal"),"P4-CAUSAL",""))</f>
        <v/>
      </c>
    </row>
    <row r="3381" ht="15" customHeight="1" s="1">
      <c r="P3381">
        <f>IF(OR(F3381="",H3381="",J3381=""),"",J3381&amp;"|"&amp;F3381&amp;"|"&amp;IF(H3381="W3","W3_"&amp;IF(I3381="","unknown",I3381),H3381))</f>
        <v/>
      </c>
      <c r="Q3381">
        <f>IF(P3381="","",IFERROR(IF(AND(H3381="W7",OR(F3381="causal",F3381="predictive")),IF(AND(OR(K3381=1,K3381="1"),OR(L3381=1,L3381="1"),OR(M3381=1,M3381="1")),"adequate","partial"),IF(AND(H3381="W4",F3381="predictive",OR(J3381="P2",J3381="P3",J3381="P4")),IF(OR(U3381=1,U3381="1"),"adequate","partial"),INDEX(Fit_Matrix!$B:$B,MATCH(P3381,Fit_Matrix!$A:$A,0)))),"CHECK KEY"))</f>
        <v/>
      </c>
      <c r="U3381" s="10" t="n"/>
      <c r="V3381" s="10" t="n"/>
      <c r="W3381" s="10" t="n"/>
      <c r="X3381" s="10" t="n"/>
      <c r="Y3381" s="10" t="n"/>
      <c r="Z3381" s="10" t="n"/>
      <c r="AA3381" s="11">
        <f>IF(A3381="","",IF(AND(J3381="P4",F3381="causal"),"P4-CAUSAL",""))</f>
        <v/>
      </c>
    </row>
    <row r="3382" ht="15" customHeight="1" s="1">
      <c r="P3382">
        <f>IF(OR(F3382="",H3382="",J3382=""),"",J3382&amp;"|"&amp;F3382&amp;"|"&amp;IF(H3382="W3","W3_"&amp;IF(I3382="","unknown",I3382),H3382))</f>
        <v/>
      </c>
      <c r="Q3382">
        <f>IF(P3382="","",IFERROR(IF(AND(H3382="W7",OR(F3382="causal",F3382="predictive")),IF(AND(OR(K3382=1,K3382="1"),OR(L3382=1,L3382="1"),OR(M3382=1,M3382="1")),"adequate","partial"),IF(AND(H3382="W4",F3382="predictive",OR(J3382="P2",J3382="P3",J3382="P4")),IF(OR(U3382=1,U3382="1"),"adequate","partial"),INDEX(Fit_Matrix!$B:$B,MATCH(P3382,Fit_Matrix!$A:$A,0)))),"CHECK KEY"))</f>
        <v/>
      </c>
      <c r="U3382" s="10" t="n"/>
      <c r="V3382" s="10" t="n"/>
      <c r="W3382" s="10" t="n"/>
      <c r="X3382" s="10" t="n"/>
      <c r="Y3382" s="10" t="n"/>
      <c r="Z3382" s="10" t="n"/>
      <c r="AA3382" s="11">
        <f>IF(A3382="","",IF(AND(J3382="P4",F3382="causal"),"P4-CAUSAL",""))</f>
        <v/>
      </c>
    </row>
    <row r="3383" ht="15" customHeight="1" s="1">
      <c r="P3383">
        <f>IF(OR(F3383="",H3383="",J3383=""),"",J3383&amp;"|"&amp;F3383&amp;"|"&amp;IF(H3383="W3","W3_"&amp;IF(I3383="","unknown",I3383),H3383))</f>
        <v/>
      </c>
      <c r="Q3383">
        <f>IF(P3383="","",IFERROR(IF(AND(H3383="W7",OR(F3383="causal",F3383="predictive")),IF(AND(OR(K3383=1,K3383="1"),OR(L3383=1,L3383="1"),OR(M3383=1,M3383="1")),"adequate","partial"),IF(AND(H3383="W4",F3383="predictive",OR(J3383="P2",J3383="P3",J3383="P4")),IF(OR(U3383=1,U3383="1"),"adequate","partial"),INDEX(Fit_Matrix!$B:$B,MATCH(P3383,Fit_Matrix!$A:$A,0)))),"CHECK KEY"))</f>
        <v/>
      </c>
      <c r="U3383" s="10" t="n"/>
      <c r="V3383" s="10" t="n"/>
      <c r="W3383" s="10" t="n"/>
      <c r="X3383" s="10" t="n"/>
      <c r="Y3383" s="10" t="n"/>
      <c r="Z3383" s="10" t="n"/>
      <c r="AA3383" s="11">
        <f>IF(A3383="","",IF(AND(J3383="P4",F3383="causal"),"P4-CAUSAL",""))</f>
        <v/>
      </c>
    </row>
    <row r="3384" ht="15" customHeight="1" s="1">
      <c r="P3384">
        <f>IF(OR(F3384="",H3384="",J3384=""),"",J3384&amp;"|"&amp;F3384&amp;"|"&amp;IF(H3384="W3","W3_"&amp;IF(I3384="","unknown",I3384),H3384))</f>
        <v/>
      </c>
      <c r="Q3384">
        <f>IF(P3384="","",IFERROR(IF(AND(H3384="W7",OR(F3384="causal",F3384="predictive")),IF(AND(OR(K3384=1,K3384="1"),OR(L3384=1,L3384="1"),OR(M3384=1,M3384="1")),"adequate","partial"),IF(AND(H3384="W4",F3384="predictive",OR(J3384="P2",J3384="P3",J3384="P4")),IF(OR(U3384=1,U3384="1"),"adequate","partial"),INDEX(Fit_Matrix!$B:$B,MATCH(P3384,Fit_Matrix!$A:$A,0)))),"CHECK KEY"))</f>
        <v/>
      </c>
      <c r="U3384" s="10" t="n"/>
      <c r="V3384" s="10" t="n"/>
      <c r="W3384" s="10" t="n"/>
      <c r="X3384" s="10" t="n"/>
      <c r="Y3384" s="10" t="n"/>
      <c r="Z3384" s="10" t="n"/>
      <c r="AA3384" s="11">
        <f>IF(A3384="","",IF(AND(J3384="P4",F3384="causal"),"P4-CAUSAL",""))</f>
        <v/>
      </c>
    </row>
    <row r="3385" ht="15" customHeight="1" s="1">
      <c r="P3385">
        <f>IF(OR(F3385="",H3385="",J3385=""),"",J3385&amp;"|"&amp;F3385&amp;"|"&amp;IF(H3385="W3","W3_"&amp;IF(I3385="","unknown",I3385),H3385))</f>
        <v/>
      </c>
      <c r="Q3385">
        <f>IF(P3385="","",IFERROR(IF(AND(H3385="W7",OR(F3385="causal",F3385="predictive")),IF(AND(OR(K3385=1,K3385="1"),OR(L3385=1,L3385="1"),OR(M3385=1,M3385="1")),"adequate","partial"),IF(AND(H3385="W4",F3385="predictive",OR(J3385="P2",J3385="P3",J3385="P4")),IF(OR(U3385=1,U3385="1"),"adequate","partial"),INDEX(Fit_Matrix!$B:$B,MATCH(P3385,Fit_Matrix!$A:$A,0)))),"CHECK KEY"))</f>
        <v/>
      </c>
      <c r="U3385" s="10" t="n"/>
      <c r="V3385" s="10" t="n"/>
      <c r="W3385" s="10" t="n"/>
      <c r="X3385" s="10" t="n"/>
      <c r="Y3385" s="10" t="n"/>
      <c r="Z3385" s="10" t="n"/>
      <c r="AA3385" s="11">
        <f>IF(A3385="","",IF(AND(J3385="P4",F3385="causal"),"P4-CAUSAL",""))</f>
        <v/>
      </c>
    </row>
    <row r="3386" ht="15" customHeight="1" s="1">
      <c r="P3386">
        <f>IF(OR(F3386="",H3386="",J3386=""),"",J3386&amp;"|"&amp;F3386&amp;"|"&amp;IF(H3386="W3","W3_"&amp;IF(I3386="","unknown",I3386),H3386))</f>
        <v/>
      </c>
      <c r="Q3386">
        <f>IF(P3386="","",IFERROR(IF(AND(H3386="W7",OR(F3386="causal",F3386="predictive")),IF(AND(OR(K3386=1,K3386="1"),OR(L3386=1,L3386="1"),OR(M3386=1,M3386="1")),"adequate","partial"),IF(AND(H3386="W4",F3386="predictive",OR(J3386="P2",J3386="P3",J3386="P4")),IF(OR(U3386=1,U3386="1"),"adequate","partial"),INDEX(Fit_Matrix!$B:$B,MATCH(P3386,Fit_Matrix!$A:$A,0)))),"CHECK KEY"))</f>
        <v/>
      </c>
      <c r="U3386" s="10" t="n"/>
      <c r="V3386" s="10" t="n"/>
      <c r="W3386" s="10" t="n"/>
      <c r="X3386" s="10" t="n"/>
      <c r="Y3386" s="10" t="n"/>
      <c r="Z3386" s="10" t="n"/>
      <c r="AA3386" s="11">
        <f>IF(A3386="","",IF(AND(J3386="P4",F3386="causal"),"P4-CAUSAL",""))</f>
        <v/>
      </c>
    </row>
    <row r="3387" ht="15" customHeight="1" s="1">
      <c r="P3387">
        <f>IF(OR(F3387="",H3387="",J3387=""),"",J3387&amp;"|"&amp;F3387&amp;"|"&amp;IF(H3387="W3","W3_"&amp;IF(I3387="","unknown",I3387),H3387))</f>
        <v/>
      </c>
      <c r="Q3387">
        <f>IF(P3387="","",IFERROR(IF(AND(H3387="W7",OR(F3387="causal",F3387="predictive")),IF(AND(OR(K3387=1,K3387="1"),OR(L3387=1,L3387="1"),OR(M3387=1,M3387="1")),"adequate","partial"),IF(AND(H3387="W4",F3387="predictive",OR(J3387="P2",J3387="P3",J3387="P4")),IF(OR(U3387=1,U3387="1"),"adequate","partial"),INDEX(Fit_Matrix!$B:$B,MATCH(P3387,Fit_Matrix!$A:$A,0)))),"CHECK KEY"))</f>
        <v/>
      </c>
      <c r="U3387" s="10" t="n"/>
      <c r="V3387" s="10" t="n"/>
      <c r="W3387" s="10" t="n"/>
      <c r="X3387" s="10" t="n"/>
      <c r="Y3387" s="10" t="n"/>
      <c r="Z3387" s="10" t="n"/>
      <c r="AA3387" s="11">
        <f>IF(A3387="","",IF(AND(J3387="P4",F3387="causal"),"P4-CAUSAL",""))</f>
        <v/>
      </c>
    </row>
    <row r="3388" ht="15" customHeight="1" s="1">
      <c r="P3388">
        <f>IF(OR(F3388="",H3388="",J3388=""),"",J3388&amp;"|"&amp;F3388&amp;"|"&amp;IF(H3388="W3","W3_"&amp;IF(I3388="","unknown",I3388),H3388))</f>
        <v/>
      </c>
      <c r="Q3388">
        <f>IF(P3388="","",IFERROR(IF(AND(H3388="W7",OR(F3388="causal",F3388="predictive")),IF(AND(OR(K3388=1,K3388="1"),OR(L3388=1,L3388="1"),OR(M3388=1,M3388="1")),"adequate","partial"),IF(AND(H3388="W4",F3388="predictive",OR(J3388="P2",J3388="P3",J3388="P4")),IF(OR(U3388=1,U3388="1"),"adequate","partial"),INDEX(Fit_Matrix!$B:$B,MATCH(P3388,Fit_Matrix!$A:$A,0)))),"CHECK KEY"))</f>
        <v/>
      </c>
      <c r="U3388" s="10" t="n"/>
      <c r="V3388" s="10" t="n"/>
      <c r="W3388" s="10" t="n"/>
      <c r="X3388" s="10" t="n"/>
      <c r="Y3388" s="10" t="n"/>
      <c r="Z3388" s="10" t="n"/>
      <c r="AA3388" s="11">
        <f>IF(A3388="","",IF(AND(J3388="P4",F3388="causal"),"P4-CAUSAL",""))</f>
        <v/>
      </c>
    </row>
    <row r="3389" ht="15" customHeight="1" s="1">
      <c r="P3389">
        <f>IF(OR(F3389="",H3389="",J3389=""),"",J3389&amp;"|"&amp;F3389&amp;"|"&amp;IF(H3389="W3","W3_"&amp;IF(I3389="","unknown",I3389),H3389))</f>
        <v/>
      </c>
      <c r="Q3389">
        <f>IF(P3389="","",IFERROR(IF(AND(H3389="W7",OR(F3389="causal",F3389="predictive")),IF(AND(OR(K3389=1,K3389="1"),OR(L3389=1,L3389="1"),OR(M3389=1,M3389="1")),"adequate","partial"),IF(AND(H3389="W4",F3389="predictive",OR(J3389="P2",J3389="P3",J3389="P4")),IF(OR(U3389=1,U3389="1"),"adequate","partial"),INDEX(Fit_Matrix!$B:$B,MATCH(P3389,Fit_Matrix!$A:$A,0)))),"CHECK KEY"))</f>
        <v/>
      </c>
      <c r="U3389" s="10" t="n"/>
      <c r="V3389" s="10" t="n"/>
      <c r="W3389" s="10" t="n"/>
      <c r="X3389" s="10" t="n"/>
      <c r="Y3389" s="10" t="n"/>
      <c r="Z3389" s="10" t="n"/>
      <c r="AA3389" s="11">
        <f>IF(A3389="","",IF(AND(J3389="P4",F3389="causal"),"P4-CAUSAL",""))</f>
        <v/>
      </c>
    </row>
    <row r="3390" ht="15" customHeight="1" s="1">
      <c r="P3390">
        <f>IF(OR(F3390="",H3390="",J3390=""),"",J3390&amp;"|"&amp;F3390&amp;"|"&amp;IF(H3390="W3","W3_"&amp;IF(I3390="","unknown",I3390),H3390))</f>
        <v/>
      </c>
      <c r="Q3390">
        <f>IF(P3390="","",IFERROR(IF(AND(H3390="W7",OR(F3390="causal",F3390="predictive")),IF(AND(OR(K3390=1,K3390="1"),OR(L3390=1,L3390="1"),OR(M3390=1,M3390="1")),"adequate","partial"),IF(AND(H3390="W4",F3390="predictive",OR(J3390="P2",J3390="P3",J3390="P4")),IF(OR(U3390=1,U3390="1"),"adequate","partial"),INDEX(Fit_Matrix!$B:$B,MATCH(P3390,Fit_Matrix!$A:$A,0)))),"CHECK KEY"))</f>
        <v/>
      </c>
      <c r="U3390" s="10" t="n"/>
      <c r="V3390" s="10" t="n"/>
      <c r="W3390" s="10" t="n"/>
      <c r="X3390" s="10" t="n"/>
      <c r="Y3390" s="10" t="n"/>
      <c r="Z3390" s="10" t="n"/>
      <c r="AA3390" s="11">
        <f>IF(A3390="","",IF(AND(J3390="P4",F3390="causal"),"P4-CAUSAL",""))</f>
        <v/>
      </c>
    </row>
    <row r="3391" ht="15" customHeight="1" s="1">
      <c r="P3391">
        <f>IF(OR(F3391="",H3391="",J3391=""),"",J3391&amp;"|"&amp;F3391&amp;"|"&amp;IF(H3391="W3","W3_"&amp;IF(I3391="","unknown",I3391),H3391))</f>
        <v/>
      </c>
      <c r="Q3391">
        <f>IF(P3391="","",IFERROR(IF(AND(H3391="W7",OR(F3391="causal",F3391="predictive")),IF(AND(OR(K3391=1,K3391="1"),OR(L3391=1,L3391="1"),OR(M3391=1,M3391="1")),"adequate","partial"),IF(AND(H3391="W4",F3391="predictive",OR(J3391="P2",J3391="P3",J3391="P4")),IF(OR(U3391=1,U3391="1"),"adequate","partial"),INDEX(Fit_Matrix!$B:$B,MATCH(P3391,Fit_Matrix!$A:$A,0)))),"CHECK KEY"))</f>
        <v/>
      </c>
      <c r="U3391" s="10" t="n"/>
      <c r="V3391" s="10" t="n"/>
      <c r="W3391" s="10" t="n"/>
      <c r="X3391" s="10" t="n"/>
      <c r="Y3391" s="10" t="n"/>
      <c r="Z3391" s="10" t="n"/>
      <c r="AA3391" s="11">
        <f>IF(A3391="","",IF(AND(J3391="P4",F3391="causal"),"P4-CAUSAL",""))</f>
        <v/>
      </c>
    </row>
    <row r="3392" ht="15" customHeight="1" s="1">
      <c r="P3392">
        <f>IF(OR(F3392="",H3392="",J3392=""),"",J3392&amp;"|"&amp;F3392&amp;"|"&amp;IF(H3392="W3","W3_"&amp;IF(I3392="","unknown",I3392),H3392))</f>
        <v/>
      </c>
      <c r="Q3392">
        <f>IF(P3392="","",IFERROR(IF(AND(H3392="W7",OR(F3392="causal",F3392="predictive")),IF(AND(OR(K3392=1,K3392="1"),OR(L3392=1,L3392="1"),OR(M3392=1,M3392="1")),"adequate","partial"),IF(AND(H3392="W4",F3392="predictive",OR(J3392="P2",J3392="P3",J3392="P4")),IF(OR(U3392=1,U3392="1"),"adequate","partial"),INDEX(Fit_Matrix!$B:$B,MATCH(P3392,Fit_Matrix!$A:$A,0)))),"CHECK KEY"))</f>
        <v/>
      </c>
      <c r="U3392" s="10" t="n"/>
      <c r="V3392" s="10" t="n"/>
      <c r="W3392" s="10" t="n"/>
      <c r="X3392" s="10" t="n"/>
      <c r="Y3392" s="10" t="n"/>
      <c r="Z3392" s="10" t="n"/>
      <c r="AA3392" s="11">
        <f>IF(A3392="","",IF(AND(J3392="P4",F3392="causal"),"P4-CAUSAL",""))</f>
        <v/>
      </c>
    </row>
    <row r="3393" ht="15" customHeight="1" s="1">
      <c r="P3393">
        <f>IF(OR(F3393="",H3393="",J3393=""),"",J3393&amp;"|"&amp;F3393&amp;"|"&amp;IF(H3393="W3","W3_"&amp;IF(I3393="","unknown",I3393),H3393))</f>
        <v/>
      </c>
      <c r="Q3393">
        <f>IF(P3393="","",IFERROR(IF(AND(H3393="W7",OR(F3393="causal",F3393="predictive")),IF(AND(OR(K3393=1,K3393="1"),OR(L3393=1,L3393="1"),OR(M3393=1,M3393="1")),"adequate","partial"),IF(AND(H3393="W4",F3393="predictive",OR(J3393="P2",J3393="P3",J3393="P4")),IF(OR(U3393=1,U3393="1"),"adequate","partial"),INDEX(Fit_Matrix!$B:$B,MATCH(P3393,Fit_Matrix!$A:$A,0)))),"CHECK KEY"))</f>
        <v/>
      </c>
      <c r="U3393" s="10" t="n"/>
      <c r="V3393" s="10" t="n"/>
      <c r="W3393" s="10" t="n"/>
      <c r="X3393" s="10" t="n"/>
      <c r="Y3393" s="10" t="n"/>
      <c r="Z3393" s="10" t="n"/>
      <c r="AA3393" s="11">
        <f>IF(A3393="","",IF(AND(J3393="P4",F3393="causal"),"P4-CAUSAL",""))</f>
        <v/>
      </c>
    </row>
    <row r="3394" ht="15" customHeight="1" s="1">
      <c r="P3394">
        <f>IF(OR(F3394="",H3394="",J3394=""),"",J3394&amp;"|"&amp;F3394&amp;"|"&amp;IF(H3394="W3","W3_"&amp;IF(I3394="","unknown",I3394),H3394))</f>
        <v/>
      </c>
      <c r="Q3394">
        <f>IF(P3394="","",IFERROR(IF(AND(H3394="W7",OR(F3394="causal",F3394="predictive")),IF(AND(OR(K3394=1,K3394="1"),OR(L3394=1,L3394="1"),OR(M3394=1,M3394="1")),"adequate","partial"),IF(AND(H3394="W4",F3394="predictive",OR(J3394="P2",J3394="P3",J3394="P4")),IF(OR(U3394=1,U3394="1"),"adequate","partial"),INDEX(Fit_Matrix!$B:$B,MATCH(P3394,Fit_Matrix!$A:$A,0)))),"CHECK KEY"))</f>
        <v/>
      </c>
      <c r="U3394" s="10" t="n"/>
      <c r="V3394" s="10" t="n"/>
      <c r="W3394" s="10" t="n"/>
      <c r="X3394" s="10" t="n"/>
      <c r="Y3394" s="10" t="n"/>
      <c r="Z3394" s="10" t="n"/>
      <c r="AA3394" s="11">
        <f>IF(A3394="","",IF(AND(J3394="P4",F3394="causal"),"P4-CAUSAL",""))</f>
        <v/>
      </c>
    </row>
    <row r="3395" ht="15" customHeight="1" s="1">
      <c r="P3395">
        <f>IF(OR(F3395="",H3395="",J3395=""),"",J3395&amp;"|"&amp;F3395&amp;"|"&amp;IF(H3395="W3","W3_"&amp;IF(I3395="","unknown",I3395),H3395))</f>
        <v/>
      </c>
      <c r="Q3395">
        <f>IF(P3395="","",IFERROR(IF(AND(H3395="W7",OR(F3395="causal",F3395="predictive")),IF(AND(OR(K3395=1,K3395="1"),OR(L3395=1,L3395="1"),OR(M3395=1,M3395="1")),"adequate","partial"),IF(AND(H3395="W4",F3395="predictive",OR(J3395="P2",J3395="P3",J3395="P4")),IF(OR(U3395=1,U3395="1"),"adequate","partial"),INDEX(Fit_Matrix!$B:$B,MATCH(P3395,Fit_Matrix!$A:$A,0)))),"CHECK KEY"))</f>
        <v/>
      </c>
      <c r="U3395" s="10" t="n"/>
      <c r="V3395" s="10" t="n"/>
      <c r="W3395" s="10" t="n"/>
      <c r="X3395" s="10" t="n"/>
      <c r="Y3395" s="10" t="n"/>
      <c r="Z3395" s="10" t="n"/>
      <c r="AA3395" s="11">
        <f>IF(A3395="","",IF(AND(J3395="P4",F3395="causal"),"P4-CAUSAL",""))</f>
        <v/>
      </c>
    </row>
    <row r="3396" ht="15" customHeight="1" s="1">
      <c r="P3396">
        <f>IF(OR(F3396="",H3396="",J3396=""),"",J3396&amp;"|"&amp;F3396&amp;"|"&amp;IF(H3396="W3","W3_"&amp;IF(I3396="","unknown",I3396),H3396))</f>
        <v/>
      </c>
      <c r="Q3396">
        <f>IF(P3396="","",IFERROR(IF(AND(H3396="W7",OR(F3396="causal",F3396="predictive")),IF(AND(OR(K3396=1,K3396="1"),OR(L3396=1,L3396="1"),OR(M3396=1,M3396="1")),"adequate","partial"),IF(AND(H3396="W4",F3396="predictive",OR(J3396="P2",J3396="P3",J3396="P4")),IF(OR(U3396=1,U3396="1"),"adequate","partial"),INDEX(Fit_Matrix!$B:$B,MATCH(P3396,Fit_Matrix!$A:$A,0)))),"CHECK KEY"))</f>
        <v/>
      </c>
      <c r="U3396" s="10" t="n"/>
      <c r="V3396" s="10" t="n"/>
      <c r="W3396" s="10" t="n"/>
      <c r="X3396" s="10" t="n"/>
      <c r="Y3396" s="10" t="n"/>
      <c r="Z3396" s="10" t="n"/>
      <c r="AA3396" s="11">
        <f>IF(A3396="","",IF(AND(J3396="P4",F3396="causal"),"P4-CAUSAL",""))</f>
        <v/>
      </c>
    </row>
    <row r="3397" ht="15" customHeight="1" s="1">
      <c r="P3397">
        <f>IF(OR(F3397="",H3397="",J3397=""),"",J3397&amp;"|"&amp;F3397&amp;"|"&amp;IF(H3397="W3","W3_"&amp;IF(I3397="","unknown",I3397),H3397))</f>
        <v/>
      </c>
      <c r="Q3397">
        <f>IF(P3397="","",IFERROR(IF(AND(H3397="W7",OR(F3397="causal",F3397="predictive")),IF(AND(OR(K3397=1,K3397="1"),OR(L3397=1,L3397="1"),OR(M3397=1,M3397="1")),"adequate","partial"),IF(AND(H3397="W4",F3397="predictive",OR(J3397="P2",J3397="P3",J3397="P4")),IF(OR(U3397=1,U3397="1"),"adequate","partial"),INDEX(Fit_Matrix!$B:$B,MATCH(P3397,Fit_Matrix!$A:$A,0)))),"CHECK KEY"))</f>
        <v/>
      </c>
      <c r="U3397" s="10" t="n"/>
      <c r="V3397" s="10" t="n"/>
      <c r="W3397" s="10" t="n"/>
      <c r="X3397" s="10" t="n"/>
      <c r="Y3397" s="10" t="n"/>
      <c r="Z3397" s="10" t="n"/>
      <c r="AA3397" s="11">
        <f>IF(A3397="","",IF(AND(J3397="P4",F3397="causal"),"P4-CAUSAL",""))</f>
        <v/>
      </c>
    </row>
    <row r="3398" ht="15" customHeight="1" s="1">
      <c r="P3398">
        <f>IF(OR(F3398="",H3398="",J3398=""),"",J3398&amp;"|"&amp;F3398&amp;"|"&amp;IF(H3398="W3","W3_"&amp;IF(I3398="","unknown",I3398),H3398))</f>
        <v/>
      </c>
      <c r="Q3398">
        <f>IF(P3398="","",IFERROR(IF(AND(H3398="W7",OR(F3398="causal",F3398="predictive")),IF(AND(OR(K3398=1,K3398="1"),OR(L3398=1,L3398="1"),OR(M3398=1,M3398="1")),"adequate","partial"),IF(AND(H3398="W4",F3398="predictive",OR(J3398="P2",J3398="P3",J3398="P4")),IF(OR(U3398=1,U3398="1"),"adequate","partial"),INDEX(Fit_Matrix!$B:$B,MATCH(P3398,Fit_Matrix!$A:$A,0)))),"CHECK KEY"))</f>
        <v/>
      </c>
      <c r="U3398" s="10" t="n"/>
      <c r="V3398" s="10" t="n"/>
      <c r="W3398" s="10" t="n"/>
      <c r="X3398" s="10" t="n"/>
      <c r="Y3398" s="10" t="n"/>
      <c r="Z3398" s="10" t="n"/>
      <c r="AA3398" s="11">
        <f>IF(A3398="","",IF(AND(J3398="P4",F3398="causal"),"P4-CAUSAL",""))</f>
        <v/>
      </c>
    </row>
    <row r="3399" ht="15" customHeight="1" s="1">
      <c r="P3399">
        <f>IF(OR(F3399="",H3399="",J3399=""),"",J3399&amp;"|"&amp;F3399&amp;"|"&amp;IF(H3399="W3","W3_"&amp;IF(I3399="","unknown",I3399),H3399))</f>
        <v/>
      </c>
      <c r="Q3399">
        <f>IF(P3399="","",IFERROR(IF(AND(H3399="W7",OR(F3399="causal",F3399="predictive")),IF(AND(OR(K3399=1,K3399="1"),OR(L3399=1,L3399="1"),OR(M3399=1,M3399="1")),"adequate","partial"),IF(AND(H3399="W4",F3399="predictive",OR(J3399="P2",J3399="P3",J3399="P4")),IF(OR(U3399=1,U3399="1"),"adequate","partial"),INDEX(Fit_Matrix!$B:$B,MATCH(P3399,Fit_Matrix!$A:$A,0)))),"CHECK KEY"))</f>
        <v/>
      </c>
      <c r="U3399" s="10" t="n"/>
      <c r="V3399" s="10" t="n"/>
      <c r="W3399" s="10" t="n"/>
      <c r="X3399" s="10" t="n"/>
      <c r="Y3399" s="10" t="n"/>
      <c r="Z3399" s="10" t="n"/>
      <c r="AA3399" s="11">
        <f>IF(A3399="","",IF(AND(J3399="P4",F3399="causal"),"P4-CAUSAL",""))</f>
        <v/>
      </c>
    </row>
    <row r="3400" ht="15" customHeight="1" s="1">
      <c r="P3400">
        <f>IF(OR(F3400="",H3400="",J3400=""),"",J3400&amp;"|"&amp;F3400&amp;"|"&amp;IF(H3400="W3","W3_"&amp;IF(I3400="","unknown",I3400),H3400))</f>
        <v/>
      </c>
      <c r="Q3400">
        <f>IF(P3400="","",IFERROR(IF(AND(H3400="W7",OR(F3400="causal",F3400="predictive")),IF(AND(OR(K3400=1,K3400="1"),OR(L3400=1,L3400="1"),OR(M3400=1,M3400="1")),"adequate","partial"),IF(AND(H3400="W4",F3400="predictive",OR(J3400="P2",J3400="P3",J3400="P4")),IF(OR(U3400=1,U3400="1"),"adequate","partial"),INDEX(Fit_Matrix!$B:$B,MATCH(P3400,Fit_Matrix!$A:$A,0)))),"CHECK KEY"))</f>
        <v/>
      </c>
      <c r="U3400" s="10" t="n"/>
      <c r="V3400" s="10" t="n"/>
      <c r="W3400" s="10" t="n"/>
      <c r="X3400" s="10" t="n"/>
      <c r="Y3400" s="10" t="n"/>
      <c r="Z3400" s="10" t="n"/>
      <c r="AA3400" s="11">
        <f>IF(A3400="","",IF(AND(J3400="P4",F3400="causal"),"P4-CAUSAL",""))</f>
        <v/>
      </c>
    </row>
    <row r="3401" ht="15" customHeight="1" s="1">
      <c r="P3401">
        <f>IF(OR(F3401="",H3401="",J3401=""),"",J3401&amp;"|"&amp;F3401&amp;"|"&amp;IF(H3401="W3","W3_"&amp;IF(I3401="","unknown",I3401),H3401))</f>
        <v/>
      </c>
      <c r="Q3401">
        <f>IF(P3401="","",IFERROR(IF(AND(H3401="W7",OR(F3401="causal",F3401="predictive")),IF(AND(OR(K3401=1,K3401="1"),OR(L3401=1,L3401="1"),OR(M3401=1,M3401="1")),"adequate","partial"),IF(AND(H3401="W4",F3401="predictive",OR(J3401="P2",J3401="P3",J3401="P4")),IF(OR(U3401=1,U3401="1"),"adequate","partial"),INDEX(Fit_Matrix!$B:$B,MATCH(P3401,Fit_Matrix!$A:$A,0)))),"CHECK KEY"))</f>
        <v/>
      </c>
      <c r="U3401" s="10" t="n"/>
      <c r="V3401" s="10" t="n"/>
      <c r="W3401" s="10" t="n"/>
      <c r="X3401" s="10" t="n"/>
      <c r="Y3401" s="10" t="n"/>
      <c r="Z3401" s="10" t="n"/>
      <c r="AA3401" s="11">
        <f>IF(A3401="","",IF(AND(J3401="P4",F3401="causal"),"P4-CAUSAL",""))</f>
        <v/>
      </c>
    </row>
    <row r="3402" ht="15" customHeight="1" s="1">
      <c r="P3402">
        <f>IF(OR(F3402="",H3402="",J3402=""),"",J3402&amp;"|"&amp;F3402&amp;"|"&amp;IF(H3402="W3","W3_"&amp;IF(I3402="","unknown",I3402),H3402))</f>
        <v/>
      </c>
      <c r="Q3402">
        <f>IF(P3402="","",IFERROR(IF(AND(H3402="W7",OR(F3402="causal",F3402="predictive")),IF(AND(OR(K3402=1,K3402="1"),OR(L3402=1,L3402="1"),OR(M3402=1,M3402="1")),"adequate","partial"),IF(AND(H3402="W4",F3402="predictive",OR(J3402="P2",J3402="P3",J3402="P4")),IF(OR(U3402=1,U3402="1"),"adequate","partial"),INDEX(Fit_Matrix!$B:$B,MATCH(P3402,Fit_Matrix!$A:$A,0)))),"CHECK KEY"))</f>
        <v/>
      </c>
      <c r="U3402" s="10" t="n"/>
      <c r="V3402" s="10" t="n"/>
      <c r="W3402" s="10" t="n"/>
      <c r="X3402" s="10" t="n"/>
      <c r="Y3402" s="10" t="n"/>
      <c r="Z3402" s="10" t="n"/>
      <c r="AA3402" s="11">
        <f>IF(A3402="","",IF(AND(J3402="P4",F3402="causal"),"P4-CAUSAL",""))</f>
        <v/>
      </c>
    </row>
    <row r="3403" ht="15" customHeight="1" s="1">
      <c r="P3403">
        <f>IF(OR(F3403="",H3403="",J3403=""),"",J3403&amp;"|"&amp;F3403&amp;"|"&amp;IF(H3403="W3","W3_"&amp;IF(I3403="","unknown",I3403),H3403))</f>
        <v/>
      </c>
      <c r="Q3403">
        <f>IF(P3403="","",IFERROR(IF(AND(H3403="W7",OR(F3403="causal",F3403="predictive")),IF(AND(OR(K3403=1,K3403="1"),OR(L3403=1,L3403="1"),OR(M3403=1,M3403="1")),"adequate","partial"),IF(AND(H3403="W4",F3403="predictive",OR(J3403="P2",J3403="P3",J3403="P4")),IF(OR(U3403=1,U3403="1"),"adequate","partial"),INDEX(Fit_Matrix!$B:$B,MATCH(P3403,Fit_Matrix!$A:$A,0)))),"CHECK KEY"))</f>
        <v/>
      </c>
      <c r="U3403" s="10" t="n"/>
      <c r="V3403" s="10" t="n"/>
      <c r="W3403" s="10" t="n"/>
      <c r="X3403" s="10" t="n"/>
      <c r="Y3403" s="10" t="n"/>
      <c r="Z3403" s="10" t="n"/>
      <c r="AA3403" s="11">
        <f>IF(A3403="","",IF(AND(J3403="P4",F3403="causal"),"P4-CAUSAL",""))</f>
        <v/>
      </c>
    </row>
    <row r="3404" ht="15" customHeight="1" s="1">
      <c r="P3404">
        <f>IF(OR(F3404="",H3404="",J3404=""),"",J3404&amp;"|"&amp;F3404&amp;"|"&amp;IF(H3404="W3","W3_"&amp;IF(I3404="","unknown",I3404),H3404))</f>
        <v/>
      </c>
      <c r="Q3404">
        <f>IF(P3404="","",IFERROR(IF(AND(H3404="W7",OR(F3404="causal",F3404="predictive")),IF(AND(OR(K3404=1,K3404="1"),OR(L3404=1,L3404="1"),OR(M3404=1,M3404="1")),"adequate","partial"),IF(AND(H3404="W4",F3404="predictive",OR(J3404="P2",J3404="P3",J3404="P4")),IF(OR(U3404=1,U3404="1"),"adequate","partial"),INDEX(Fit_Matrix!$B:$B,MATCH(P3404,Fit_Matrix!$A:$A,0)))),"CHECK KEY"))</f>
        <v/>
      </c>
      <c r="U3404" s="10" t="n"/>
      <c r="V3404" s="10" t="n"/>
      <c r="W3404" s="10" t="n"/>
      <c r="X3404" s="10" t="n"/>
      <c r="Y3404" s="10" t="n"/>
      <c r="Z3404" s="10" t="n"/>
      <c r="AA3404" s="11">
        <f>IF(A3404="","",IF(AND(J3404="P4",F3404="causal"),"P4-CAUSAL",""))</f>
        <v/>
      </c>
    </row>
    <row r="3405" ht="15" customHeight="1" s="1">
      <c r="P3405">
        <f>IF(OR(F3405="",H3405="",J3405=""),"",J3405&amp;"|"&amp;F3405&amp;"|"&amp;IF(H3405="W3","W3_"&amp;IF(I3405="","unknown",I3405),H3405))</f>
        <v/>
      </c>
      <c r="Q3405">
        <f>IF(P3405="","",IFERROR(IF(AND(H3405="W7",OR(F3405="causal",F3405="predictive")),IF(AND(OR(K3405=1,K3405="1"),OR(L3405=1,L3405="1"),OR(M3405=1,M3405="1")),"adequate","partial"),IF(AND(H3405="W4",F3405="predictive",OR(J3405="P2",J3405="P3",J3405="P4")),IF(OR(U3405=1,U3405="1"),"adequate","partial"),INDEX(Fit_Matrix!$B:$B,MATCH(P3405,Fit_Matrix!$A:$A,0)))),"CHECK KEY"))</f>
        <v/>
      </c>
      <c r="U3405" s="10" t="n"/>
      <c r="V3405" s="10" t="n"/>
      <c r="W3405" s="10" t="n"/>
      <c r="X3405" s="10" t="n"/>
      <c r="Y3405" s="10" t="n"/>
      <c r="Z3405" s="10" t="n"/>
      <c r="AA3405" s="11">
        <f>IF(A3405="","",IF(AND(J3405="P4",F3405="causal"),"P4-CAUSAL",""))</f>
        <v/>
      </c>
    </row>
    <row r="3406" ht="15" customHeight="1" s="1">
      <c r="P3406">
        <f>IF(OR(F3406="",H3406="",J3406=""),"",J3406&amp;"|"&amp;F3406&amp;"|"&amp;IF(H3406="W3","W3_"&amp;IF(I3406="","unknown",I3406),H3406))</f>
        <v/>
      </c>
      <c r="Q3406">
        <f>IF(P3406="","",IFERROR(IF(AND(H3406="W7",OR(F3406="causal",F3406="predictive")),IF(AND(OR(K3406=1,K3406="1"),OR(L3406=1,L3406="1"),OR(M3406=1,M3406="1")),"adequate","partial"),IF(AND(H3406="W4",F3406="predictive",OR(J3406="P2",J3406="P3",J3406="P4")),IF(OR(U3406=1,U3406="1"),"adequate","partial"),INDEX(Fit_Matrix!$B:$B,MATCH(P3406,Fit_Matrix!$A:$A,0)))),"CHECK KEY"))</f>
        <v/>
      </c>
      <c r="U3406" s="10" t="n"/>
      <c r="V3406" s="10" t="n"/>
      <c r="W3406" s="10" t="n"/>
      <c r="X3406" s="10" t="n"/>
      <c r="Y3406" s="10" t="n"/>
      <c r="Z3406" s="10" t="n"/>
      <c r="AA3406" s="11">
        <f>IF(A3406="","",IF(AND(J3406="P4",F3406="causal"),"P4-CAUSAL",""))</f>
        <v/>
      </c>
    </row>
    <row r="3407" ht="15" customHeight="1" s="1">
      <c r="P3407">
        <f>IF(OR(F3407="",H3407="",J3407=""),"",J3407&amp;"|"&amp;F3407&amp;"|"&amp;IF(H3407="W3","W3_"&amp;IF(I3407="","unknown",I3407),H3407))</f>
        <v/>
      </c>
      <c r="Q3407">
        <f>IF(P3407="","",IFERROR(IF(AND(H3407="W7",OR(F3407="causal",F3407="predictive")),IF(AND(OR(K3407=1,K3407="1"),OR(L3407=1,L3407="1"),OR(M3407=1,M3407="1")),"adequate","partial"),IF(AND(H3407="W4",F3407="predictive",OR(J3407="P2",J3407="P3",J3407="P4")),IF(OR(U3407=1,U3407="1"),"adequate","partial"),INDEX(Fit_Matrix!$B:$B,MATCH(P3407,Fit_Matrix!$A:$A,0)))),"CHECK KEY"))</f>
        <v/>
      </c>
      <c r="U3407" s="10" t="n"/>
      <c r="V3407" s="10" t="n"/>
      <c r="W3407" s="10" t="n"/>
      <c r="X3407" s="10" t="n"/>
      <c r="Y3407" s="10" t="n"/>
      <c r="Z3407" s="10" t="n"/>
      <c r="AA3407" s="11">
        <f>IF(A3407="","",IF(AND(J3407="P4",F3407="causal"),"P4-CAUSAL",""))</f>
        <v/>
      </c>
    </row>
    <row r="3408" ht="15" customHeight="1" s="1">
      <c r="P3408">
        <f>IF(OR(F3408="",H3408="",J3408=""),"",J3408&amp;"|"&amp;F3408&amp;"|"&amp;IF(H3408="W3","W3_"&amp;IF(I3408="","unknown",I3408),H3408))</f>
        <v/>
      </c>
      <c r="Q3408">
        <f>IF(P3408="","",IFERROR(IF(AND(H3408="W7",OR(F3408="causal",F3408="predictive")),IF(AND(OR(K3408=1,K3408="1"),OR(L3408=1,L3408="1"),OR(M3408=1,M3408="1")),"adequate","partial"),IF(AND(H3408="W4",F3408="predictive",OR(J3408="P2",J3408="P3",J3408="P4")),IF(OR(U3408=1,U3408="1"),"adequate","partial"),INDEX(Fit_Matrix!$B:$B,MATCH(P3408,Fit_Matrix!$A:$A,0)))),"CHECK KEY"))</f>
        <v/>
      </c>
      <c r="U3408" s="10" t="n"/>
      <c r="V3408" s="10" t="n"/>
      <c r="W3408" s="10" t="n"/>
      <c r="X3408" s="10" t="n"/>
      <c r="Y3408" s="10" t="n"/>
      <c r="Z3408" s="10" t="n"/>
      <c r="AA3408" s="11">
        <f>IF(A3408="","",IF(AND(J3408="P4",F3408="causal"),"P4-CAUSAL",""))</f>
        <v/>
      </c>
    </row>
    <row r="3409" ht="15" customHeight="1" s="1">
      <c r="P3409">
        <f>IF(OR(F3409="",H3409="",J3409=""),"",J3409&amp;"|"&amp;F3409&amp;"|"&amp;IF(H3409="W3","W3_"&amp;IF(I3409="","unknown",I3409),H3409))</f>
        <v/>
      </c>
      <c r="Q3409">
        <f>IF(P3409="","",IFERROR(IF(AND(H3409="W7",OR(F3409="causal",F3409="predictive")),IF(AND(OR(K3409=1,K3409="1"),OR(L3409=1,L3409="1"),OR(M3409=1,M3409="1")),"adequate","partial"),IF(AND(H3409="W4",F3409="predictive",OR(J3409="P2",J3409="P3",J3409="P4")),IF(OR(U3409=1,U3409="1"),"adequate","partial"),INDEX(Fit_Matrix!$B:$B,MATCH(P3409,Fit_Matrix!$A:$A,0)))),"CHECK KEY"))</f>
        <v/>
      </c>
      <c r="U3409" s="10" t="n"/>
      <c r="V3409" s="10" t="n"/>
      <c r="W3409" s="10" t="n"/>
      <c r="X3409" s="10" t="n"/>
      <c r="Y3409" s="10" t="n"/>
      <c r="Z3409" s="10" t="n"/>
      <c r="AA3409" s="11">
        <f>IF(A3409="","",IF(AND(J3409="P4",F3409="causal"),"P4-CAUSAL",""))</f>
        <v/>
      </c>
    </row>
    <row r="3410" ht="15" customHeight="1" s="1">
      <c r="P3410">
        <f>IF(OR(F3410="",H3410="",J3410=""),"",J3410&amp;"|"&amp;F3410&amp;"|"&amp;IF(H3410="W3","W3_"&amp;IF(I3410="","unknown",I3410),H3410))</f>
        <v/>
      </c>
      <c r="Q3410">
        <f>IF(P3410="","",IFERROR(IF(AND(H3410="W7",OR(F3410="causal",F3410="predictive")),IF(AND(OR(K3410=1,K3410="1"),OR(L3410=1,L3410="1"),OR(M3410=1,M3410="1")),"adequate","partial"),IF(AND(H3410="W4",F3410="predictive",OR(J3410="P2",J3410="P3",J3410="P4")),IF(OR(U3410=1,U3410="1"),"adequate","partial"),INDEX(Fit_Matrix!$B:$B,MATCH(P3410,Fit_Matrix!$A:$A,0)))),"CHECK KEY"))</f>
        <v/>
      </c>
      <c r="U3410" s="10" t="n"/>
      <c r="V3410" s="10" t="n"/>
      <c r="W3410" s="10" t="n"/>
      <c r="X3410" s="10" t="n"/>
      <c r="Y3410" s="10" t="n"/>
      <c r="Z3410" s="10" t="n"/>
      <c r="AA3410" s="11">
        <f>IF(A3410="","",IF(AND(J3410="P4",F3410="causal"),"P4-CAUSAL",""))</f>
        <v/>
      </c>
    </row>
    <row r="3411" ht="15" customHeight="1" s="1">
      <c r="P3411">
        <f>IF(OR(F3411="",H3411="",J3411=""),"",J3411&amp;"|"&amp;F3411&amp;"|"&amp;IF(H3411="W3","W3_"&amp;IF(I3411="","unknown",I3411),H3411))</f>
        <v/>
      </c>
      <c r="Q3411">
        <f>IF(P3411="","",IFERROR(IF(AND(H3411="W7",OR(F3411="causal",F3411="predictive")),IF(AND(OR(K3411=1,K3411="1"),OR(L3411=1,L3411="1"),OR(M3411=1,M3411="1")),"adequate","partial"),IF(AND(H3411="W4",F3411="predictive",OR(J3411="P2",J3411="P3",J3411="P4")),IF(OR(U3411=1,U3411="1"),"adequate","partial"),INDEX(Fit_Matrix!$B:$B,MATCH(P3411,Fit_Matrix!$A:$A,0)))),"CHECK KEY"))</f>
        <v/>
      </c>
      <c r="U3411" s="10" t="n"/>
      <c r="V3411" s="10" t="n"/>
      <c r="W3411" s="10" t="n"/>
      <c r="X3411" s="10" t="n"/>
      <c r="Y3411" s="10" t="n"/>
      <c r="Z3411" s="10" t="n"/>
      <c r="AA3411" s="11">
        <f>IF(A3411="","",IF(AND(J3411="P4",F3411="causal"),"P4-CAUSAL",""))</f>
        <v/>
      </c>
    </row>
    <row r="3412" ht="15" customHeight="1" s="1">
      <c r="P3412">
        <f>IF(OR(F3412="",H3412="",J3412=""),"",J3412&amp;"|"&amp;F3412&amp;"|"&amp;IF(H3412="W3","W3_"&amp;IF(I3412="","unknown",I3412),H3412))</f>
        <v/>
      </c>
      <c r="Q3412">
        <f>IF(P3412="","",IFERROR(IF(AND(H3412="W7",OR(F3412="causal",F3412="predictive")),IF(AND(OR(K3412=1,K3412="1"),OR(L3412=1,L3412="1"),OR(M3412=1,M3412="1")),"adequate","partial"),IF(AND(H3412="W4",F3412="predictive",OR(J3412="P2",J3412="P3",J3412="P4")),IF(OR(U3412=1,U3412="1"),"adequate","partial"),INDEX(Fit_Matrix!$B:$B,MATCH(P3412,Fit_Matrix!$A:$A,0)))),"CHECK KEY"))</f>
        <v/>
      </c>
      <c r="U3412" s="10" t="n"/>
      <c r="V3412" s="10" t="n"/>
      <c r="W3412" s="10" t="n"/>
      <c r="X3412" s="10" t="n"/>
      <c r="Y3412" s="10" t="n"/>
      <c r="Z3412" s="10" t="n"/>
      <c r="AA3412" s="11">
        <f>IF(A3412="","",IF(AND(J3412="P4",F3412="causal"),"P4-CAUSAL",""))</f>
        <v/>
      </c>
    </row>
    <row r="3413" ht="15" customHeight="1" s="1">
      <c r="P3413">
        <f>IF(OR(F3413="",H3413="",J3413=""),"",J3413&amp;"|"&amp;F3413&amp;"|"&amp;IF(H3413="W3","W3_"&amp;IF(I3413="","unknown",I3413),H3413))</f>
        <v/>
      </c>
      <c r="Q3413">
        <f>IF(P3413="","",IFERROR(IF(AND(H3413="W7",OR(F3413="causal",F3413="predictive")),IF(AND(OR(K3413=1,K3413="1"),OR(L3413=1,L3413="1"),OR(M3413=1,M3413="1")),"adequate","partial"),IF(AND(H3413="W4",F3413="predictive",OR(J3413="P2",J3413="P3",J3413="P4")),IF(OR(U3413=1,U3413="1"),"adequate","partial"),INDEX(Fit_Matrix!$B:$B,MATCH(P3413,Fit_Matrix!$A:$A,0)))),"CHECK KEY"))</f>
        <v/>
      </c>
      <c r="U3413" s="10" t="n"/>
      <c r="V3413" s="10" t="n"/>
      <c r="W3413" s="10" t="n"/>
      <c r="X3413" s="10" t="n"/>
      <c r="Y3413" s="10" t="n"/>
      <c r="Z3413" s="10" t="n"/>
      <c r="AA3413" s="11">
        <f>IF(A3413="","",IF(AND(J3413="P4",F3413="causal"),"P4-CAUSAL",""))</f>
        <v/>
      </c>
    </row>
    <row r="3414" ht="15" customHeight="1" s="1">
      <c r="P3414">
        <f>IF(OR(F3414="",H3414="",J3414=""),"",J3414&amp;"|"&amp;F3414&amp;"|"&amp;IF(H3414="W3","W3_"&amp;IF(I3414="","unknown",I3414),H3414))</f>
        <v/>
      </c>
      <c r="Q3414">
        <f>IF(P3414="","",IFERROR(IF(AND(H3414="W7",OR(F3414="causal",F3414="predictive")),IF(AND(OR(K3414=1,K3414="1"),OR(L3414=1,L3414="1"),OR(M3414=1,M3414="1")),"adequate","partial"),IF(AND(H3414="W4",F3414="predictive",OR(J3414="P2",J3414="P3",J3414="P4")),IF(OR(U3414=1,U3414="1"),"adequate","partial"),INDEX(Fit_Matrix!$B:$B,MATCH(P3414,Fit_Matrix!$A:$A,0)))),"CHECK KEY"))</f>
        <v/>
      </c>
      <c r="U3414" s="10" t="n"/>
      <c r="V3414" s="10" t="n"/>
      <c r="W3414" s="10" t="n"/>
      <c r="X3414" s="10" t="n"/>
      <c r="Y3414" s="10" t="n"/>
      <c r="Z3414" s="10" t="n"/>
      <c r="AA3414" s="11">
        <f>IF(A3414="","",IF(AND(J3414="P4",F3414="causal"),"P4-CAUSAL",""))</f>
        <v/>
      </c>
    </row>
    <row r="3415" ht="15" customHeight="1" s="1">
      <c r="P3415">
        <f>IF(OR(F3415="",H3415="",J3415=""),"",J3415&amp;"|"&amp;F3415&amp;"|"&amp;IF(H3415="W3","W3_"&amp;IF(I3415="","unknown",I3415),H3415))</f>
        <v/>
      </c>
      <c r="Q3415">
        <f>IF(P3415="","",IFERROR(IF(AND(H3415="W7",OR(F3415="causal",F3415="predictive")),IF(AND(OR(K3415=1,K3415="1"),OR(L3415=1,L3415="1"),OR(M3415=1,M3415="1")),"adequate","partial"),IF(AND(H3415="W4",F3415="predictive",OR(J3415="P2",J3415="P3",J3415="P4")),IF(OR(U3415=1,U3415="1"),"adequate","partial"),INDEX(Fit_Matrix!$B:$B,MATCH(P3415,Fit_Matrix!$A:$A,0)))),"CHECK KEY"))</f>
        <v/>
      </c>
      <c r="U3415" s="10" t="n"/>
      <c r="V3415" s="10" t="n"/>
      <c r="W3415" s="10" t="n"/>
      <c r="X3415" s="10" t="n"/>
      <c r="Y3415" s="10" t="n"/>
      <c r="Z3415" s="10" t="n"/>
      <c r="AA3415" s="11">
        <f>IF(A3415="","",IF(AND(J3415="P4",F3415="causal"),"P4-CAUSAL",""))</f>
        <v/>
      </c>
    </row>
    <row r="3416" ht="15" customHeight="1" s="1">
      <c r="P3416">
        <f>IF(OR(F3416="",H3416="",J3416=""),"",J3416&amp;"|"&amp;F3416&amp;"|"&amp;IF(H3416="W3","W3_"&amp;IF(I3416="","unknown",I3416),H3416))</f>
        <v/>
      </c>
      <c r="Q3416">
        <f>IF(P3416="","",IFERROR(IF(AND(H3416="W7",OR(F3416="causal",F3416="predictive")),IF(AND(OR(K3416=1,K3416="1"),OR(L3416=1,L3416="1"),OR(M3416=1,M3416="1")),"adequate","partial"),IF(AND(H3416="W4",F3416="predictive",OR(J3416="P2",J3416="P3",J3416="P4")),IF(OR(U3416=1,U3416="1"),"adequate","partial"),INDEX(Fit_Matrix!$B:$B,MATCH(P3416,Fit_Matrix!$A:$A,0)))),"CHECK KEY"))</f>
        <v/>
      </c>
      <c r="U3416" s="10" t="n"/>
      <c r="V3416" s="10" t="n"/>
      <c r="W3416" s="10" t="n"/>
      <c r="X3416" s="10" t="n"/>
      <c r="Y3416" s="10" t="n"/>
      <c r="Z3416" s="10" t="n"/>
      <c r="AA3416" s="11">
        <f>IF(A3416="","",IF(AND(J3416="P4",F3416="causal"),"P4-CAUSAL",""))</f>
        <v/>
      </c>
    </row>
    <row r="3417" ht="15" customHeight="1" s="1">
      <c r="P3417">
        <f>IF(OR(F3417="",H3417="",J3417=""),"",J3417&amp;"|"&amp;F3417&amp;"|"&amp;IF(H3417="W3","W3_"&amp;IF(I3417="","unknown",I3417),H3417))</f>
        <v/>
      </c>
      <c r="Q3417">
        <f>IF(P3417="","",IFERROR(IF(AND(H3417="W7",OR(F3417="causal",F3417="predictive")),IF(AND(OR(K3417=1,K3417="1"),OR(L3417=1,L3417="1"),OR(M3417=1,M3417="1")),"adequate","partial"),IF(AND(H3417="W4",F3417="predictive",OR(J3417="P2",J3417="P3",J3417="P4")),IF(OR(U3417=1,U3417="1"),"adequate","partial"),INDEX(Fit_Matrix!$B:$B,MATCH(P3417,Fit_Matrix!$A:$A,0)))),"CHECK KEY"))</f>
        <v/>
      </c>
      <c r="U3417" s="10" t="n"/>
      <c r="V3417" s="10" t="n"/>
      <c r="W3417" s="10" t="n"/>
      <c r="X3417" s="10" t="n"/>
      <c r="Y3417" s="10" t="n"/>
      <c r="Z3417" s="10" t="n"/>
      <c r="AA3417" s="11">
        <f>IF(A3417="","",IF(AND(J3417="P4",F3417="causal"),"P4-CAUSAL",""))</f>
        <v/>
      </c>
    </row>
    <row r="3418" ht="15" customHeight="1" s="1">
      <c r="P3418">
        <f>IF(OR(F3418="",H3418="",J3418=""),"",J3418&amp;"|"&amp;F3418&amp;"|"&amp;IF(H3418="W3","W3_"&amp;IF(I3418="","unknown",I3418),H3418))</f>
        <v/>
      </c>
      <c r="Q3418">
        <f>IF(P3418="","",IFERROR(IF(AND(H3418="W7",OR(F3418="causal",F3418="predictive")),IF(AND(OR(K3418=1,K3418="1"),OR(L3418=1,L3418="1"),OR(M3418=1,M3418="1")),"adequate","partial"),IF(AND(H3418="W4",F3418="predictive",OR(J3418="P2",J3418="P3",J3418="P4")),IF(OR(U3418=1,U3418="1"),"adequate","partial"),INDEX(Fit_Matrix!$B:$B,MATCH(P3418,Fit_Matrix!$A:$A,0)))),"CHECK KEY"))</f>
        <v/>
      </c>
      <c r="U3418" s="10" t="n"/>
      <c r="V3418" s="10" t="n"/>
      <c r="W3418" s="10" t="n"/>
      <c r="X3418" s="10" t="n"/>
      <c r="Y3418" s="10" t="n"/>
      <c r="Z3418" s="10" t="n"/>
      <c r="AA3418" s="11">
        <f>IF(A3418="","",IF(AND(J3418="P4",F3418="causal"),"P4-CAUSAL",""))</f>
        <v/>
      </c>
    </row>
    <row r="3419" ht="15" customHeight="1" s="1">
      <c r="P3419">
        <f>IF(OR(F3419="",H3419="",J3419=""),"",J3419&amp;"|"&amp;F3419&amp;"|"&amp;IF(H3419="W3","W3_"&amp;IF(I3419="","unknown",I3419),H3419))</f>
        <v/>
      </c>
      <c r="Q3419">
        <f>IF(P3419="","",IFERROR(IF(AND(H3419="W7",OR(F3419="causal",F3419="predictive")),IF(AND(OR(K3419=1,K3419="1"),OR(L3419=1,L3419="1"),OR(M3419=1,M3419="1")),"adequate","partial"),IF(AND(H3419="W4",F3419="predictive",OR(J3419="P2",J3419="P3",J3419="P4")),IF(OR(U3419=1,U3419="1"),"adequate","partial"),INDEX(Fit_Matrix!$B:$B,MATCH(P3419,Fit_Matrix!$A:$A,0)))),"CHECK KEY"))</f>
        <v/>
      </c>
      <c r="U3419" s="10" t="n"/>
      <c r="V3419" s="10" t="n"/>
      <c r="W3419" s="10" t="n"/>
      <c r="X3419" s="10" t="n"/>
      <c r="Y3419" s="10" t="n"/>
      <c r="Z3419" s="10" t="n"/>
      <c r="AA3419" s="11">
        <f>IF(A3419="","",IF(AND(J3419="P4",F3419="causal"),"P4-CAUSAL",""))</f>
        <v/>
      </c>
    </row>
    <row r="3420" ht="15" customHeight="1" s="1">
      <c r="P3420">
        <f>IF(OR(F3420="",H3420="",J3420=""),"",J3420&amp;"|"&amp;F3420&amp;"|"&amp;IF(H3420="W3","W3_"&amp;IF(I3420="","unknown",I3420),H3420))</f>
        <v/>
      </c>
      <c r="Q3420">
        <f>IF(P3420="","",IFERROR(IF(AND(H3420="W7",OR(F3420="causal",F3420="predictive")),IF(AND(OR(K3420=1,K3420="1"),OR(L3420=1,L3420="1"),OR(M3420=1,M3420="1")),"adequate","partial"),IF(AND(H3420="W4",F3420="predictive",OR(J3420="P2",J3420="P3",J3420="P4")),IF(OR(U3420=1,U3420="1"),"adequate","partial"),INDEX(Fit_Matrix!$B:$B,MATCH(P3420,Fit_Matrix!$A:$A,0)))),"CHECK KEY"))</f>
        <v/>
      </c>
      <c r="U3420" s="10" t="n"/>
      <c r="V3420" s="10" t="n"/>
      <c r="W3420" s="10" t="n"/>
      <c r="X3420" s="10" t="n"/>
      <c r="Y3420" s="10" t="n"/>
      <c r="Z3420" s="10" t="n"/>
      <c r="AA3420" s="11">
        <f>IF(A3420="","",IF(AND(J3420="P4",F3420="causal"),"P4-CAUSAL",""))</f>
        <v/>
      </c>
    </row>
    <row r="3421" ht="15" customHeight="1" s="1">
      <c r="P3421">
        <f>IF(OR(F3421="",H3421="",J3421=""),"",J3421&amp;"|"&amp;F3421&amp;"|"&amp;IF(H3421="W3","W3_"&amp;IF(I3421="","unknown",I3421),H3421))</f>
        <v/>
      </c>
      <c r="Q3421">
        <f>IF(P3421="","",IFERROR(IF(AND(H3421="W7",OR(F3421="causal",F3421="predictive")),IF(AND(OR(K3421=1,K3421="1"),OR(L3421=1,L3421="1"),OR(M3421=1,M3421="1")),"adequate","partial"),IF(AND(H3421="W4",F3421="predictive",OR(J3421="P2",J3421="P3",J3421="P4")),IF(OR(U3421=1,U3421="1"),"adequate","partial"),INDEX(Fit_Matrix!$B:$B,MATCH(P3421,Fit_Matrix!$A:$A,0)))),"CHECK KEY"))</f>
        <v/>
      </c>
      <c r="U3421" s="10" t="n"/>
      <c r="V3421" s="10" t="n"/>
      <c r="W3421" s="10" t="n"/>
      <c r="X3421" s="10" t="n"/>
      <c r="Y3421" s="10" t="n"/>
      <c r="Z3421" s="10" t="n"/>
      <c r="AA3421" s="11">
        <f>IF(A3421="","",IF(AND(J3421="P4",F3421="causal"),"P4-CAUSAL",""))</f>
        <v/>
      </c>
    </row>
    <row r="3422" ht="15" customHeight="1" s="1">
      <c r="P3422">
        <f>IF(OR(F3422="",H3422="",J3422=""),"",J3422&amp;"|"&amp;F3422&amp;"|"&amp;IF(H3422="W3","W3_"&amp;IF(I3422="","unknown",I3422),H3422))</f>
        <v/>
      </c>
      <c r="Q3422">
        <f>IF(P3422="","",IFERROR(IF(AND(H3422="W7",OR(F3422="causal",F3422="predictive")),IF(AND(OR(K3422=1,K3422="1"),OR(L3422=1,L3422="1"),OR(M3422=1,M3422="1")),"adequate","partial"),IF(AND(H3422="W4",F3422="predictive",OR(J3422="P2",J3422="P3",J3422="P4")),IF(OR(U3422=1,U3422="1"),"adequate","partial"),INDEX(Fit_Matrix!$B:$B,MATCH(P3422,Fit_Matrix!$A:$A,0)))),"CHECK KEY"))</f>
        <v/>
      </c>
      <c r="U3422" s="10" t="n"/>
      <c r="V3422" s="10" t="n"/>
      <c r="W3422" s="10" t="n"/>
      <c r="X3422" s="10" t="n"/>
      <c r="Y3422" s="10" t="n"/>
      <c r="Z3422" s="10" t="n"/>
      <c r="AA3422" s="11">
        <f>IF(A3422="","",IF(AND(J3422="P4",F3422="causal"),"P4-CAUSAL",""))</f>
        <v/>
      </c>
    </row>
    <row r="3423" ht="15" customHeight="1" s="1">
      <c r="P3423">
        <f>IF(OR(F3423="",H3423="",J3423=""),"",J3423&amp;"|"&amp;F3423&amp;"|"&amp;IF(H3423="W3","W3_"&amp;IF(I3423="","unknown",I3423),H3423))</f>
        <v/>
      </c>
      <c r="Q3423">
        <f>IF(P3423="","",IFERROR(IF(AND(H3423="W7",OR(F3423="causal",F3423="predictive")),IF(AND(OR(K3423=1,K3423="1"),OR(L3423=1,L3423="1"),OR(M3423=1,M3423="1")),"adequate","partial"),IF(AND(H3423="W4",F3423="predictive",OR(J3423="P2",J3423="P3",J3423="P4")),IF(OR(U3423=1,U3423="1"),"adequate","partial"),INDEX(Fit_Matrix!$B:$B,MATCH(P3423,Fit_Matrix!$A:$A,0)))),"CHECK KEY"))</f>
        <v/>
      </c>
      <c r="U3423" s="10" t="n"/>
      <c r="V3423" s="10" t="n"/>
      <c r="W3423" s="10" t="n"/>
      <c r="X3423" s="10" t="n"/>
      <c r="Y3423" s="10" t="n"/>
      <c r="Z3423" s="10" t="n"/>
      <c r="AA3423" s="11">
        <f>IF(A3423="","",IF(AND(J3423="P4",F3423="causal"),"P4-CAUSAL",""))</f>
        <v/>
      </c>
    </row>
    <row r="3424" ht="15" customHeight="1" s="1">
      <c r="P3424">
        <f>IF(OR(F3424="",H3424="",J3424=""),"",J3424&amp;"|"&amp;F3424&amp;"|"&amp;IF(H3424="W3","W3_"&amp;IF(I3424="","unknown",I3424),H3424))</f>
        <v/>
      </c>
      <c r="Q3424">
        <f>IF(P3424="","",IFERROR(IF(AND(H3424="W7",OR(F3424="causal",F3424="predictive")),IF(AND(OR(K3424=1,K3424="1"),OR(L3424=1,L3424="1"),OR(M3424=1,M3424="1")),"adequate","partial"),IF(AND(H3424="W4",F3424="predictive",OR(J3424="P2",J3424="P3",J3424="P4")),IF(OR(U3424=1,U3424="1"),"adequate","partial"),INDEX(Fit_Matrix!$B:$B,MATCH(P3424,Fit_Matrix!$A:$A,0)))),"CHECK KEY"))</f>
        <v/>
      </c>
      <c r="U3424" s="10" t="n"/>
      <c r="V3424" s="10" t="n"/>
      <c r="W3424" s="10" t="n"/>
      <c r="X3424" s="10" t="n"/>
      <c r="Y3424" s="10" t="n"/>
      <c r="Z3424" s="10" t="n"/>
      <c r="AA3424" s="11">
        <f>IF(A3424="","",IF(AND(J3424="P4",F3424="causal"),"P4-CAUSAL",""))</f>
        <v/>
      </c>
    </row>
    <row r="3425" ht="15" customHeight="1" s="1">
      <c r="P3425">
        <f>IF(OR(F3425="",H3425="",J3425=""),"",J3425&amp;"|"&amp;F3425&amp;"|"&amp;IF(H3425="W3","W3_"&amp;IF(I3425="","unknown",I3425),H3425))</f>
        <v/>
      </c>
      <c r="Q3425">
        <f>IF(P3425="","",IFERROR(IF(AND(H3425="W7",OR(F3425="causal",F3425="predictive")),IF(AND(OR(K3425=1,K3425="1"),OR(L3425=1,L3425="1"),OR(M3425=1,M3425="1")),"adequate","partial"),IF(AND(H3425="W4",F3425="predictive",OR(J3425="P2",J3425="P3",J3425="P4")),IF(OR(U3425=1,U3425="1"),"adequate","partial"),INDEX(Fit_Matrix!$B:$B,MATCH(P3425,Fit_Matrix!$A:$A,0)))),"CHECK KEY"))</f>
        <v/>
      </c>
      <c r="U3425" s="10" t="n"/>
      <c r="V3425" s="10" t="n"/>
      <c r="W3425" s="10" t="n"/>
      <c r="X3425" s="10" t="n"/>
      <c r="Y3425" s="10" t="n"/>
      <c r="Z3425" s="10" t="n"/>
      <c r="AA3425" s="11">
        <f>IF(A3425="","",IF(AND(J3425="P4",F3425="causal"),"P4-CAUSAL",""))</f>
        <v/>
      </c>
    </row>
    <row r="3426" ht="15" customHeight="1" s="1">
      <c r="P3426">
        <f>IF(OR(F3426="",H3426="",J3426=""),"",J3426&amp;"|"&amp;F3426&amp;"|"&amp;IF(H3426="W3","W3_"&amp;IF(I3426="","unknown",I3426),H3426))</f>
        <v/>
      </c>
      <c r="Q3426">
        <f>IF(P3426="","",IFERROR(IF(AND(H3426="W7",OR(F3426="causal",F3426="predictive")),IF(AND(OR(K3426=1,K3426="1"),OR(L3426=1,L3426="1"),OR(M3426=1,M3426="1")),"adequate","partial"),IF(AND(H3426="W4",F3426="predictive",OR(J3426="P2",J3426="P3",J3426="P4")),IF(OR(U3426=1,U3426="1"),"adequate","partial"),INDEX(Fit_Matrix!$B:$B,MATCH(P3426,Fit_Matrix!$A:$A,0)))),"CHECK KEY"))</f>
        <v/>
      </c>
      <c r="U3426" s="10" t="n"/>
      <c r="V3426" s="10" t="n"/>
      <c r="W3426" s="10" t="n"/>
      <c r="X3426" s="10" t="n"/>
      <c r="Y3426" s="10" t="n"/>
      <c r="Z3426" s="10" t="n"/>
      <c r="AA3426" s="11">
        <f>IF(A3426="","",IF(AND(J3426="P4",F3426="causal"),"P4-CAUSAL",""))</f>
        <v/>
      </c>
    </row>
    <row r="3427" ht="15" customHeight="1" s="1">
      <c r="P3427">
        <f>IF(OR(F3427="",H3427="",J3427=""),"",J3427&amp;"|"&amp;F3427&amp;"|"&amp;IF(H3427="W3","W3_"&amp;IF(I3427="","unknown",I3427),H3427))</f>
        <v/>
      </c>
      <c r="Q3427">
        <f>IF(P3427="","",IFERROR(IF(AND(H3427="W7",OR(F3427="causal",F3427="predictive")),IF(AND(OR(K3427=1,K3427="1"),OR(L3427=1,L3427="1"),OR(M3427=1,M3427="1")),"adequate","partial"),IF(AND(H3427="W4",F3427="predictive",OR(J3427="P2",J3427="P3",J3427="P4")),IF(OR(U3427=1,U3427="1"),"adequate","partial"),INDEX(Fit_Matrix!$B:$B,MATCH(P3427,Fit_Matrix!$A:$A,0)))),"CHECK KEY"))</f>
        <v/>
      </c>
      <c r="U3427" s="10" t="n"/>
      <c r="V3427" s="10" t="n"/>
      <c r="W3427" s="10" t="n"/>
      <c r="X3427" s="10" t="n"/>
      <c r="Y3427" s="10" t="n"/>
      <c r="Z3427" s="10" t="n"/>
      <c r="AA3427" s="11">
        <f>IF(A3427="","",IF(AND(J3427="P4",F3427="causal"),"P4-CAUSAL",""))</f>
        <v/>
      </c>
    </row>
    <row r="3428" ht="15" customHeight="1" s="1">
      <c r="P3428">
        <f>IF(OR(F3428="",H3428="",J3428=""),"",J3428&amp;"|"&amp;F3428&amp;"|"&amp;IF(H3428="W3","W3_"&amp;IF(I3428="","unknown",I3428),H3428))</f>
        <v/>
      </c>
      <c r="Q3428">
        <f>IF(P3428="","",IFERROR(IF(AND(H3428="W7",OR(F3428="causal",F3428="predictive")),IF(AND(OR(K3428=1,K3428="1"),OR(L3428=1,L3428="1"),OR(M3428=1,M3428="1")),"adequate","partial"),IF(AND(H3428="W4",F3428="predictive",OR(J3428="P2",J3428="P3",J3428="P4")),IF(OR(U3428=1,U3428="1"),"adequate","partial"),INDEX(Fit_Matrix!$B:$B,MATCH(P3428,Fit_Matrix!$A:$A,0)))),"CHECK KEY"))</f>
        <v/>
      </c>
      <c r="U3428" s="10" t="n"/>
      <c r="V3428" s="10" t="n"/>
      <c r="W3428" s="10" t="n"/>
      <c r="X3428" s="10" t="n"/>
      <c r="Y3428" s="10" t="n"/>
      <c r="Z3428" s="10" t="n"/>
      <c r="AA3428" s="11">
        <f>IF(A3428="","",IF(AND(J3428="P4",F3428="causal"),"P4-CAUSAL",""))</f>
        <v/>
      </c>
    </row>
    <row r="3429" ht="15" customHeight="1" s="1">
      <c r="P3429">
        <f>IF(OR(F3429="",H3429="",J3429=""),"",J3429&amp;"|"&amp;F3429&amp;"|"&amp;IF(H3429="W3","W3_"&amp;IF(I3429="","unknown",I3429),H3429))</f>
        <v/>
      </c>
      <c r="Q3429">
        <f>IF(P3429="","",IFERROR(IF(AND(H3429="W7",OR(F3429="causal",F3429="predictive")),IF(AND(OR(K3429=1,K3429="1"),OR(L3429=1,L3429="1"),OR(M3429=1,M3429="1")),"adequate","partial"),IF(AND(H3429="W4",F3429="predictive",OR(J3429="P2",J3429="P3",J3429="P4")),IF(OR(U3429=1,U3429="1"),"adequate","partial"),INDEX(Fit_Matrix!$B:$B,MATCH(P3429,Fit_Matrix!$A:$A,0)))),"CHECK KEY"))</f>
        <v/>
      </c>
      <c r="U3429" s="10" t="n"/>
      <c r="V3429" s="10" t="n"/>
      <c r="W3429" s="10" t="n"/>
      <c r="X3429" s="10" t="n"/>
      <c r="Y3429" s="10" t="n"/>
      <c r="Z3429" s="10" t="n"/>
      <c r="AA3429" s="11">
        <f>IF(A3429="","",IF(AND(J3429="P4",F3429="causal"),"P4-CAUSAL",""))</f>
        <v/>
      </c>
    </row>
    <row r="3430" ht="15" customHeight="1" s="1">
      <c r="P3430">
        <f>IF(OR(F3430="",H3430="",J3430=""),"",J3430&amp;"|"&amp;F3430&amp;"|"&amp;IF(H3430="W3","W3_"&amp;IF(I3430="","unknown",I3430),H3430))</f>
        <v/>
      </c>
      <c r="Q3430">
        <f>IF(P3430="","",IFERROR(IF(AND(H3430="W7",OR(F3430="causal",F3430="predictive")),IF(AND(OR(K3430=1,K3430="1"),OR(L3430=1,L3430="1"),OR(M3430=1,M3430="1")),"adequate","partial"),IF(AND(H3430="W4",F3430="predictive",OR(J3430="P2",J3430="P3",J3430="P4")),IF(OR(U3430=1,U3430="1"),"adequate","partial"),INDEX(Fit_Matrix!$B:$B,MATCH(P3430,Fit_Matrix!$A:$A,0)))),"CHECK KEY"))</f>
        <v/>
      </c>
      <c r="U3430" s="10" t="n"/>
      <c r="V3430" s="10" t="n"/>
      <c r="W3430" s="10" t="n"/>
      <c r="X3430" s="10" t="n"/>
      <c r="Y3430" s="10" t="n"/>
      <c r="Z3430" s="10" t="n"/>
      <c r="AA3430" s="11">
        <f>IF(A3430="","",IF(AND(J3430="P4",F3430="causal"),"P4-CAUSAL",""))</f>
        <v/>
      </c>
    </row>
    <row r="3431" ht="15" customHeight="1" s="1">
      <c r="P3431">
        <f>IF(OR(F3431="",H3431="",J3431=""),"",J3431&amp;"|"&amp;F3431&amp;"|"&amp;IF(H3431="W3","W3_"&amp;IF(I3431="","unknown",I3431),H3431))</f>
        <v/>
      </c>
      <c r="Q3431">
        <f>IF(P3431="","",IFERROR(IF(AND(H3431="W7",OR(F3431="causal",F3431="predictive")),IF(AND(OR(K3431=1,K3431="1"),OR(L3431=1,L3431="1"),OR(M3431=1,M3431="1")),"adequate","partial"),IF(AND(H3431="W4",F3431="predictive",OR(J3431="P2",J3431="P3",J3431="P4")),IF(OR(U3431=1,U3431="1"),"adequate","partial"),INDEX(Fit_Matrix!$B:$B,MATCH(P3431,Fit_Matrix!$A:$A,0)))),"CHECK KEY"))</f>
        <v/>
      </c>
      <c r="U3431" s="10" t="n"/>
      <c r="V3431" s="10" t="n"/>
      <c r="W3431" s="10" t="n"/>
      <c r="X3431" s="10" t="n"/>
      <c r="Y3431" s="10" t="n"/>
      <c r="Z3431" s="10" t="n"/>
      <c r="AA3431" s="11">
        <f>IF(A3431="","",IF(AND(J3431="P4",F3431="causal"),"P4-CAUSAL",""))</f>
        <v/>
      </c>
    </row>
    <row r="3432" ht="15" customHeight="1" s="1">
      <c r="P3432">
        <f>IF(OR(F3432="",H3432="",J3432=""),"",J3432&amp;"|"&amp;F3432&amp;"|"&amp;IF(H3432="W3","W3_"&amp;IF(I3432="","unknown",I3432),H3432))</f>
        <v/>
      </c>
      <c r="Q3432">
        <f>IF(P3432="","",IFERROR(IF(AND(H3432="W7",OR(F3432="causal",F3432="predictive")),IF(AND(OR(K3432=1,K3432="1"),OR(L3432=1,L3432="1"),OR(M3432=1,M3432="1")),"adequate","partial"),IF(AND(H3432="W4",F3432="predictive",OR(J3432="P2",J3432="P3",J3432="P4")),IF(OR(U3432=1,U3432="1"),"adequate","partial"),INDEX(Fit_Matrix!$B:$B,MATCH(P3432,Fit_Matrix!$A:$A,0)))),"CHECK KEY"))</f>
        <v/>
      </c>
      <c r="U3432" s="10" t="n"/>
      <c r="V3432" s="10" t="n"/>
      <c r="W3432" s="10" t="n"/>
      <c r="X3432" s="10" t="n"/>
      <c r="Y3432" s="10" t="n"/>
      <c r="Z3432" s="10" t="n"/>
      <c r="AA3432" s="11">
        <f>IF(A3432="","",IF(AND(J3432="P4",F3432="causal"),"P4-CAUSAL",""))</f>
        <v/>
      </c>
    </row>
    <row r="3433" ht="15" customHeight="1" s="1">
      <c r="P3433">
        <f>IF(OR(F3433="",H3433="",J3433=""),"",J3433&amp;"|"&amp;F3433&amp;"|"&amp;IF(H3433="W3","W3_"&amp;IF(I3433="","unknown",I3433),H3433))</f>
        <v/>
      </c>
      <c r="Q3433">
        <f>IF(P3433="","",IFERROR(IF(AND(H3433="W7",OR(F3433="causal",F3433="predictive")),IF(AND(OR(K3433=1,K3433="1"),OR(L3433=1,L3433="1"),OR(M3433=1,M3433="1")),"adequate","partial"),IF(AND(H3433="W4",F3433="predictive",OR(J3433="P2",J3433="P3",J3433="P4")),IF(OR(U3433=1,U3433="1"),"adequate","partial"),INDEX(Fit_Matrix!$B:$B,MATCH(P3433,Fit_Matrix!$A:$A,0)))),"CHECK KEY"))</f>
        <v/>
      </c>
      <c r="U3433" s="10" t="n"/>
      <c r="V3433" s="10" t="n"/>
      <c r="W3433" s="10" t="n"/>
      <c r="X3433" s="10" t="n"/>
      <c r="Y3433" s="10" t="n"/>
      <c r="Z3433" s="10" t="n"/>
      <c r="AA3433" s="11">
        <f>IF(A3433="","",IF(AND(J3433="P4",F3433="causal"),"P4-CAUSAL",""))</f>
        <v/>
      </c>
    </row>
    <row r="3434" ht="15" customHeight="1" s="1">
      <c r="P3434">
        <f>IF(OR(F3434="",H3434="",J3434=""),"",J3434&amp;"|"&amp;F3434&amp;"|"&amp;IF(H3434="W3","W3_"&amp;IF(I3434="","unknown",I3434),H3434))</f>
        <v/>
      </c>
      <c r="Q3434">
        <f>IF(P3434="","",IFERROR(IF(AND(H3434="W7",OR(F3434="causal",F3434="predictive")),IF(AND(OR(K3434=1,K3434="1"),OR(L3434=1,L3434="1"),OR(M3434=1,M3434="1")),"adequate","partial"),IF(AND(H3434="W4",F3434="predictive",OR(J3434="P2",J3434="P3",J3434="P4")),IF(OR(U3434=1,U3434="1"),"adequate","partial"),INDEX(Fit_Matrix!$B:$B,MATCH(P3434,Fit_Matrix!$A:$A,0)))),"CHECK KEY"))</f>
        <v/>
      </c>
      <c r="U3434" s="10" t="n"/>
      <c r="V3434" s="10" t="n"/>
      <c r="W3434" s="10" t="n"/>
      <c r="X3434" s="10" t="n"/>
      <c r="Y3434" s="10" t="n"/>
      <c r="Z3434" s="10" t="n"/>
      <c r="AA3434" s="11">
        <f>IF(A3434="","",IF(AND(J3434="P4",F3434="causal"),"P4-CAUSAL",""))</f>
        <v/>
      </c>
    </row>
    <row r="3435" ht="15" customHeight="1" s="1">
      <c r="P3435">
        <f>IF(OR(F3435="",H3435="",J3435=""),"",J3435&amp;"|"&amp;F3435&amp;"|"&amp;IF(H3435="W3","W3_"&amp;IF(I3435="","unknown",I3435),H3435))</f>
        <v/>
      </c>
      <c r="Q3435">
        <f>IF(P3435="","",IFERROR(IF(AND(H3435="W7",OR(F3435="causal",F3435="predictive")),IF(AND(OR(K3435=1,K3435="1"),OR(L3435=1,L3435="1"),OR(M3435=1,M3435="1")),"adequate","partial"),IF(AND(H3435="W4",F3435="predictive",OR(J3435="P2",J3435="P3",J3435="P4")),IF(OR(U3435=1,U3435="1"),"adequate","partial"),INDEX(Fit_Matrix!$B:$B,MATCH(P3435,Fit_Matrix!$A:$A,0)))),"CHECK KEY"))</f>
        <v/>
      </c>
      <c r="U3435" s="10" t="n"/>
      <c r="V3435" s="10" t="n"/>
      <c r="W3435" s="10" t="n"/>
      <c r="X3435" s="10" t="n"/>
      <c r="Y3435" s="10" t="n"/>
      <c r="Z3435" s="10" t="n"/>
      <c r="AA3435" s="11">
        <f>IF(A3435="","",IF(AND(J3435="P4",F3435="causal"),"P4-CAUSAL",""))</f>
        <v/>
      </c>
    </row>
    <row r="3436" ht="15" customHeight="1" s="1">
      <c r="P3436">
        <f>IF(OR(F3436="",H3436="",J3436=""),"",J3436&amp;"|"&amp;F3436&amp;"|"&amp;IF(H3436="W3","W3_"&amp;IF(I3436="","unknown",I3436),H3436))</f>
        <v/>
      </c>
      <c r="Q3436">
        <f>IF(P3436="","",IFERROR(IF(AND(H3436="W7",OR(F3436="causal",F3436="predictive")),IF(AND(OR(K3436=1,K3436="1"),OR(L3436=1,L3436="1"),OR(M3436=1,M3436="1")),"adequate","partial"),IF(AND(H3436="W4",F3436="predictive",OR(J3436="P2",J3436="P3",J3436="P4")),IF(OR(U3436=1,U3436="1"),"adequate","partial"),INDEX(Fit_Matrix!$B:$B,MATCH(P3436,Fit_Matrix!$A:$A,0)))),"CHECK KEY"))</f>
        <v/>
      </c>
      <c r="U3436" s="10" t="n"/>
      <c r="V3436" s="10" t="n"/>
      <c r="W3436" s="10" t="n"/>
      <c r="X3436" s="10" t="n"/>
      <c r="Y3436" s="10" t="n"/>
      <c r="Z3436" s="10" t="n"/>
      <c r="AA3436" s="11">
        <f>IF(A3436="","",IF(AND(J3436="P4",F3436="causal"),"P4-CAUSAL",""))</f>
        <v/>
      </c>
    </row>
    <row r="3437" ht="15" customHeight="1" s="1">
      <c r="P3437">
        <f>IF(OR(F3437="",H3437="",J3437=""),"",J3437&amp;"|"&amp;F3437&amp;"|"&amp;IF(H3437="W3","W3_"&amp;IF(I3437="","unknown",I3437),H3437))</f>
        <v/>
      </c>
      <c r="Q3437">
        <f>IF(P3437="","",IFERROR(IF(AND(H3437="W7",OR(F3437="causal",F3437="predictive")),IF(AND(OR(K3437=1,K3437="1"),OR(L3437=1,L3437="1"),OR(M3437=1,M3437="1")),"adequate","partial"),IF(AND(H3437="W4",F3437="predictive",OR(J3437="P2",J3437="P3",J3437="P4")),IF(OR(U3437=1,U3437="1"),"adequate","partial"),INDEX(Fit_Matrix!$B:$B,MATCH(P3437,Fit_Matrix!$A:$A,0)))),"CHECK KEY"))</f>
        <v/>
      </c>
      <c r="U3437" s="10" t="n"/>
      <c r="V3437" s="10" t="n"/>
      <c r="W3437" s="10" t="n"/>
      <c r="X3437" s="10" t="n"/>
      <c r="Y3437" s="10" t="n"/>
      <c r="Z3437" s="10" t="n"/>
      <c r="AA3437" s="11">
        <f>IF(A3437="","",IF(AND(J3437="P4",F3437="causal"),"P4-CAUSAL",""))</f>
        <v/>
      </c>
    </row>
    <row r="3438" ht="15" customHeight="1" s="1">
      <c r="P3438">
        <f>IF(OR(F3438="",H3438="",J3438=""),"",J3438&amp;"|"&amp;F3438&amp;"|"&amp;IF(H3438="W3","W3_"&amp;IF(I3438="","unknown",I3438),H3438))</f>
        <v/>
      </c>
      <c r="Q3438">
        <f>IF(P3438="","",IFERROR(IF(AND(H3438="W7",OR(F3438="causal",F3438="predictive")),IF(AND(OR(K3438=1,K3438="1"),OR(L3438=1,L3438="1"),OR(M3438=1,M3438="1")),"adequate","partial"),IF(AND(H3438="W4",F3438="predictive",OR(J3438="P2",J3438="P3",J3438="P4")),IF(OR(U3438=1,U3438="1"),"adequate","partial"),INDEX(Fit_Matrix!$B:$B,MATCH(P3438,Fit_Matrix!$A:$A,0)))),"CHECK KEY"))</f>
        <v/>
      </c>
      <c r="U3438" s="10" t="n"/>
      <c r="V3438" s="10" t="n"/>
      <c r="W3438" s="10" t="n"/>
      <c r="X3438" s="10" t="n"/>
      <c r="Y3438" s="10" t="n"/>
      <c r="Z3438" s="10" t="n"/>
      <c r="AA3438" s="11">
        <f>IF(A3438="","",IF(AND(J3438="P4",F3438="causal"),"P4-CAUSAL",""))</f>
        <v/>
      </c>
    </row>
    <row r="3439" ht="15" customHeight="1" s="1">
      <c r="P3439">
        <f>IF(OR(F3439="",H3439="",J3439=""),"",J3439&amp;"|"&amp;F3439&amp;"|"&amp;IF(H3439="W3","W3_"&amp;IF(I3439="","unknown",I3439),H3439))</f>
        <v/>
      </c>
      <c r="Q3439">
        <f>IF(P3439="","",IFERROR(IF(AND(H3439="W7",OR(F3439="causal",F3439="predictive")),IF(AND(OR(K3439=1,K3439="1"),OR(L3439=1,L3439="1"),OR(M3439=1,M3439="1")),"adequate","partial"),IF(AND(H3439="W4",F3439="predictive",OR(J3439="P2",J3439="P3",J3439="P4")),IF(OR(U3439=1,U3439="1"),"adequate","partial"),INDEX(Fit_Matrix!$B:$B,MATCH(P3439,Fit_Matrix!$A:$A,0)))),"CHECK KEY"))</f>
        <v/>
      </c>
      <c r="U3439" s="10" t="n"/>
      <c r="V3439" s="10" t="n"/>
      <c r="W3439" s="10" t="n"/>
      <c r="X3439" s="10" t="n"/>
      <c r="Y3439" s="10" t="n"/>
      <c r="Z3439" s="10" t="n"/>
      <c r="AA3439" s="11">
        <f>IF(A3439="","",IF(AND(J3439="P4",F3439="causal"),"P4-CAUSAL",""))</f>
        <v/>
      </c>
    </row>
    <row r="3440" ht="15" customHeight="1" s="1">
      <c r="P3440">
        <f>IF(OR(F3440="",H3440="",J3440=""),"",J3440&amp;"|"&amp;F3440&amp;"|"&amp;IF(H3440="W3","W3_"&amp;IF(I3440="","unknown",I3440),H3440))</f>
        <v/>
      </c>
      <c r="Q3440">
        <f>IF(P3440="","",IFERROR(IF(AND(H3440="W7",OR(F3440="causal",F3440="predictive")),IF(AND(OR(K3440=1,K3440="1"),OR(L3440=1,L3440="1"),OR(M3440=1,M3440="1")),"adequate","partial"),IF(AND(H3440="W4",F3440="predictive",OR(J3440="P2",J3440="P3",J3440="P4")),IF(OR(U3440=1,U3440="1"),"adequate","partial"),INDEX(Fit_Matrix!$B:$B,MATCH(P3440,Fit_Matrix!$A:$A,0)))),"CHECK KEY"))</f>
        <v/>
      </c>
      <c r="U3440" s="10" t="n"/>
      <c r="V3440" s="10" t="n"/>
      <c r="W3440" s="10" t="n"/>
      <c r="X3440" s="10" t="n"/>
      <c r="Y3440" s="10" t="n"/>
      <c r="Z3440" s="10" t="n"/>
      <c r="AA3440" s="11">
        <f>IF(A3440="","",IF(AND(J3440="P4",F3440="causal"),"P4-CAUSAL",""))</f>
        <v/>
      </c>
    </row>
    <row r="3441" ht="15" customHeight="1" s="1">
      <c r="P3441">
        <f>IF(OR(F3441="",H3441="",J3441=""),"",J3441&amp;"|"&amp;F3441&amp;"|"&amp;IF(H3441="W3","W3_"&amp;IF(I3441="","unknown",I3441),H3441))</f>
        <v/>
      </c>
      <c r="Q3441">
        <f>IF(P3441="","",IFERROR(IF(AND(H3441="W7",OR(F3441="causal",F3441="predictive")),IF(AND(OR(K3441=1,K3441="1"),OR(L3441=1,L3441="1"),OR(M3441=1,M3441="1")),"adequate","partial"),IF(AND(H3441="W4",F3441="predictive",OR(J3441="P2",J3441="P3",J3441="P4")),IF(OR(U3441=1,U3441="1"),"adequate","partial"),INDEX(Fit_Matrix!$B:$B,MATCH(P3441,Fit_Matrix!$A:$A,0)))),"CHECK KEY"))</f>
        <v/>
      </c>
      <c r="U3441" s="10" t="n"/>
      <c r="V3441" s="10" t="n"/>
      <c r="W3441" s="10" t="n"/>
      <c r="X3441" s="10" t="n"/>
      <c r="Y3441" s="10" t="n"/>
      <c r="Z3441" s="10" t="n"/>
      <c r="AA3441" s="11">
        <f>IF(A3441="","",IF(AND(J3441="P4",F3441="causal"),"P4-CAUSAL",""))</f>
        <v/>
      </c>
    </row>
    <row r="3442" ht="15" customHeight="1" s="1">
      <c r="P3442">
        <f>IF(OR(F3442="",H3442="",J3442=""),"",J3442&amp;"|"&amp;F3442&amp;"|"&amp;IF(H3442="W3","W3_"&amp;IF(I3442="","unknown",I3442),H3442))</f>
        <v/>
      </c>
      <c r="Q3442">
        <f>IF(P3442="","",IFERROR(IF(AND(H3442="W7",OR(F3442="causal",F3442="predictive")),IF(AND(OR(K3442=1,K3442="1"),OR(L3442=1,L3442="1"),OR(M3442=1,M3442="1")),"adequate","partial"),IF(AND(H3442="W4",F3442="predictive",OR(J3442="P2",J3442="P3",J3442="P4")),IF(OR(U3442=1,U3442="1"),"adequate","partial"),INDEX(Fit_Matrix!$B:$B,MATCH(P3442,Fit_Matrix!$A:$A,0)))),"CHECK KEY"))</f>
        <v/>
      </c>
      <c r="U3442" s="10" t="n"/>
      <c r="V3442" s="10" t="n"/>
      <c r="W3442" s="10" t="n"/>
      <c r="X3442" s="10" t="n"/>
      <c r="Y3442" s="10" t="n"/>
      <c r="Z3442" s="10" t="n"/>
      <c r="AA3442" s="11">
        <f>IF(A3442="","",IF(AND(J3442="P4",F3442="causal"),"P4-CAUSAL",""))</f>
        <v/>
      </c>
    </row>
    <row r="3443" ht="15" customHeight="1" s="1">
      <c r="P3443">
        <f>IF(OR(F3443="",H3443="",J3443=""),"",J3443&amp;"|"&amp;F3443&amp;"|"&amp;IF(H3443="W3","W3_"&amp;IF(I3443="","unknown",I3443),H3443))</f>
        <v/>
      </c>
      <c r="Q3443">
        <f>IF(P3443="","",IFERROR(IF(AND(H3443="W7",OR(F3443="causal",F3443="predictive")),IF(AND(OR(K3443=1,K3443="1"),OR(L3443=1,L3443="1"),OR(M3443=1,M3443="1")),"adequate","partial"),IF(AND(H3443="W4",F3443="predictive",OR(J3443="P2",J3443="P3",J3443="P4")),IF(OR(U3443=1,U3443="1"),"adequate","partial"),INDEX(Fit_Matrix!$B:$B,MATCH(P3443,Fit_Matrix!$A:$A,0)))),"CHECK KEY"))</f>
        <v/>
      </c>
      <c r="U3443" s="10" t="n"/>
      <c r="V3443" s="10" t="n"/>
      <c r="W3443" s="10" t="n"/>
      <c r="X3443" s="10" t="n"/>
      <c r="Y3443" s="10" t="n"/>
      <c r="Z3443" s="10" t="n"/>
      <c r="AA3443" s="11">
        <f>IF(A3443="","",IF(AND(J3443="P4",F3443="causal"),"P4-CAUSAL",""))</f>
        <v/>
      </c>
    </row>
    <row r="3444" ht="15" customHeight="1" s="1">
      <c r="P3444">
        <f>IF(OR(F3444="",H3444="",J3444=""),"",J3444&amp;"|"&amp;F3444&amp;"|"&amp;IF(H3444="W3","W3_"&amp;IF(I3444="","unknown",I3444),H3444))</f>
        <v/>
      </c>
      <c r="Q3444">
        <f>IF(P3444="","",IFERROR(IF(AND(H3444="W7",OR(F3444="causal",F3444="predictive")),IF(AND(OR(K3444=1,K3444="1"),OR(L3444=1,L3444="1"),OR(M3444=1,M3444="1")),"adequate","partial"),IF(AND(H3444="W4",F3444="predictive",OR(J3444="P2",J3444="P3",J3444="P4")),IF(OR(U3444=1,U3444="1"),"adequate","partial"),INDEX(Fit_Matrix!$B:$B,MATCH(P3444,Fit_Matrix!$A:$A,0)))),"CHECK KEY"))</f>
        <v/>
      </c>
      <c r="U3444" s="10" t="n"/>
      <c r="V3444" s="10" t="n"/>
      <c r="W3444" s="10" t="n"/>
      <c r="X3444" s="10" t="n"/>
      <c r="Y3444" s="10" t="n"/>
      <c r="Z3444" s="10" t="n"/>
      <c r="AA3444" s="11">
        <f>IF(A3444="","",IF(AND(J3444="P4",F3444="causal"),"P4-CAUSAL",""))</f>
        <v/>
      </c>
    </row>
    <row r="3445" ht="15" customHeight="1" s="1">
      <c r="P3445">
        <f>IF(OR(F3445="",H3445="",J3445=""),"",J3445&amp;"|"&amp;F3445&amp;"|"&amp;IF(H3445="W3","W3_"&amp;IF(I3445="","unknown",I3445),H3445))</f>
        <v/>
      </c>
      <c r="Q3445">
        <f>IF(P3445="","",IFERROR(IF(AND(H3445="W7",OR(F3445="causal",F3445="predictive")),IF(AND(OR(K3445=1,K3445="1"),OR(L3445=1,L3445="1"),OR(M3445=1,M3445="1")),"adequate","partial"),IF(AND(H3445="W4",F3445="predictive",OR(J3445="P2",J3445="P3",J3445="P4")),IF(OR(U3445=1,U3445="1"),"adequate","partial"),INDEX(Fit_Matrix!$B:$B,MATCH(P3445,Fit_Matrix!$A:$A,0)))),"CHECK KEY"))</f>
        <v/>
      </c>
      <c r="U3445" s="10" t="n"/>
      <c r="V3445" s="10" t="n"/>
      <c r="W3445" s="10" t="n"/>
      <c r="X3445" s="10" t="n"/>
      <c r="Y3445" s="10" t="n"/>
      <c r="Z3445" s="10" t="n"/>
      <c r="AA3445" s="11">
        <f>IF(A3445="","",IF(AND(J3445="P4",F3445="causal"),"P4-CAUSAL",""))</f>
        <v/>
      </c>
    </row>
    <row r="3446" ht="15" customHeight="1" s="1">
      <c r="P3446">
        <f>IF(OR(F3446="",H3446="",J3446=""),"",J3446&amp;"|"&amp;F3446&amp;"|"&amp;IF(H3446="W3","W3_"&amp;IF(I3446="","unknown",I3446),H3446))</f>
        <v/>
      </c>
      <c r="Q3446">
        <f>IF(P3446="","",IFERROR(IF(AND(H3446="W7",OR(F3446="causal",F3446="predictive")),IF(AND(OR(K3446=1,K3446="1"),OR(L3446=1,L3446="1"),OR(M3446=1,M3446="1")),"adequate","partial"),IF(AND(H3446="W4",F3446="predictive",OR(J3446="P2",J3446="P3",J3446="P4")),IF(OR(U3446=1,U3446="1"),"adequate","partial"),INDEX(Fit_Matrix!$B:$B,MATCH(P3446,Fit_Matrix!$A:$A,0)))),"CHECK KEY"))</f>
        <v/>
      </c>
      <c r="U3446" s="10" t="n"/>
      <c r="V3446" s="10" t="n"/>
      <c r="W3446" s="10" t="n"/>
      <c r="X3446" s="10" t="n"/>
      <c r="Y3446" s="10" t="n"/>
      <c r="Z3446" s="10" t="n"/>
      <c r="AA3446" s="11">
        <f>IF(A3446="","",IF(AND(J3446="P4",F3446="causal"),"P4-CAUSAL",""))</f>
        <v/>
      </c>
    </row>
    <row r="3447" ht="15" customHeight="1" s="1">
      <c r="P3447">
        <f>IF(OR(F3447="",H3447="",J3447=""),"",J3447&amp;"|"&amp;F3447&amp;"|"&amp;IF(H3447="W3","W3_"&amp;IF(I3447="","unknown",I3447),H3447))</f>
        <v/>
      </c>
      <c r="Q3447">
        <f>IF(P3447="","",IFERROR(IF(AND(H3447="W7",OR(F3447="causal",F3447="predictive")),IF(AND(OR(K3447=1,K3447="1"),OR(L3447=1,L3447="1"),OR(M3447=1,M3447="1")),"adequate","partial"),IF(AND(H3447="W4",F3447="predictive",OR(J3447="P2",J3447="P3",J3447="P4")),IF(OR(U3447=1,U3447="1"),"adequate","partial"),INDEX(Fit_Matrix!$B:$B,MATCH(P3447,Fit_Matrix!$A:$A,0)))),"CHECK KEY"))</f>
        <v/>
      </c>
      <c r="U3447" s="10" t="n"/>
      <c r="V3447" s="10" t="n"/>
      <c r="W3447" s="10" t="n"/>
      <c r="X3447" s="10" t="n"/>
      <c r="Y3447" s="10" t="n"/>
      <c r="Z3447" s="10" t="n"/>
      <c r="AA3447" s="11">
        <f>IF(A3447="","",IF(AND(J3447="P4",F3447="causal"),"P4-CAUSAL",""))</f>
        <v/>
      </c>
    </row>
    <row r="3448" ht="15" customHeight="1" s="1">
      <c r="P3448">
        <f>IF(OR(F3448="",H3448="",J3448=""),"",J3448&amp;"|"&amp;F3448&amp;"|"&amp;IF(H3448="W3","W3_"&amp;IF(I3448="","unknown",I3448),H3448))</f>
        <v/>
      </c>
      <c r="Q3448">
        <f>IF(P3448="","",IFERROR(IF(AND(H3448="W7",OR(F3448="causal",F3448="predictive")),IF(AND(OR(K3448=1,K3448="1"),OR(L3448=1,L3448="1"),OR(M3448=1,M3448="1")),"adequate","partial"),IF(AND(H3448="W4",F3448="predictive",OR(J3448="P2",J3448="P3",J3448="P4")),IF(OR(U3448=1,U3448="1"),"adequate","partial"),INDEX(Fit_Matrix!$B:$B,MATCH(P3448,Fit_Matrix!$A:$A,0)))),"CHECK KEY"))</f>
        <v/>
      </c>
      <c r="U3448" s="10" t="n"/>
      <c r="V3448" s="10" t="n"/>
      <c r="W3448" s="10" t="n"/>
      <c r="X3448" s="10" t="n"/>
      <c r="Y3448" s="10" t="n"/>
      <c r="Z3448" s="10" t="n"/>
      <c r="AA3448" s="11">
        <f>IF(A3448="","",IF(AND(J3448="P4",F3448="causal"),"P4-CAUSAL",""))</f>
        <v/>
      </c>
    </row>
    <row r="3449" ht="15" customHeight="1" s="1">
      <c r="P3449">
        <f>IF(OR(F3449="",H3449="",J3449=""),"",J3449&amp;"|"&amp;F3449&amp;"|"&amp;IF(H3449="W3","W3_"&amp;IF(I3449="","unknown",I3449),H3449))</f>
        <v/>
      </c>
      <c r="Q3449">
        <f>IF(P3449="","",IFERROR(IF(AND(H3449="W7",OR(F3449="causal",F3449="predictive")),IF(AND(OR(K3449=1,K3449="1"),OR(L3449=1,L3449="1"),OR(M3449=1,M3449="1")),"adequate","partial"),IF(AND(H3449="W4",F3449="predictive",OR(J3449="P2",J3449="P3",J3449="P4")),IF(OR(U3449=1,U3449="1"),"adequate","partial"),INDEX(Fit_Matrix!$B:$B,MATCH(P3449,Fit_Matrix!$A:$A,0)))),"CHECK KEY"))</f>
        <v/>
      </c>
      <c r="U3449" s="10" t="n"/>
      <c r="V3449" s="10" t="n"/>
      <c r="W3449" s="10" t="n"/>
      <c r="X3449" s="10" t="n"/>
      <c r="Y3449" s="10" t="n"/>
      <c r="Z3449" s="10" t="n"/>
      <c r="AA3449" s="11">
        <f>IF(A3449="","",IF(AND(J3449="P4",F3449="causal"),"P4-CAUSAL",""))</f>
        <v/>
      </c>
    </row>
    <row r="3450" ht="15" customHeight="1" s="1">
      <c r="P3450">
        <f>IF(OR(F3450="",H3450="",J3450=""),"",J3450&amp;"|"&amp;F3450&amp;"|"&amp;IF(H3450="W3","W3_"&amp;IF(I3450="","unknown",I3450),H3450))</f>
        <v/>
      </c>
      <c r="Q3450">
        <f>IF(P3450="","",IFERROR(IF(AND(H3450="W7",OR(F3450="causal",F3450="predictive")),IF(AND(OR(K3450=1,K3450="1"),OR(L3450=1,L3450="1"),OR(M3450=1,M3450="1")),"adequate","partial"),IF(AND(H3450="W4",F3450="predictive",OR(J3450="P2",J3450="P3",J3450="P4")),IF(OR(U3450=1,U3450="1"),"adequate","partial"),INDEX(Fit_Matrix!$B:$B,MATCH(P3450,Fit_Matrix!$A:$A,0)))),"CHECK KEY"))</f>
        <v/>
      </c>
      <c r="U3450" s="10" t="n"/>
      <c r="V3450" s="10" t="n"/>
      <c r="W3450" s="10" t="n"/>
      <c r="X3450" s="10" t="n"/>
      <c r="Y3450" s="10" t="n"/>
      <c r="Z3450" s="10" t="n"/>
      <c r="AA3450" s="11">
        <f>IF(A3450="","",IF(AND(J3450="P4",F3450="causal"),"P4-CAUSAL",""))</f>
        <v/>
      </c>
    </row>
    <row r="3451" ht="15" customHeight="1" s="1">
      <c r="P3451">
        <f>IF(OR(F3451="",H3451="",J3451=""),"",J3451&amp;"|"&amp;F3451&amp;"|"&amp;IF(H3451="W3","W3_"&amp;IF(I3451="","unknown",I3451),H3451))</f>
        <v/>
      </c>
      <c r="Q3451">
        <f>IF(P3451="","",IFERROR(IF(AND(H3451="W7",OR(F3451="causal",F3451="predictive")),IF(AND(OR(K3451=1,K3451="1"),OR(L3451=1,L3451="1"),OR(M3451=1,M3451="1")),"adequate","partial"),IF(AND(H3451="W4",F3451="predictive",OR(J3451="P2",J3451="P3",J3451="P4")),IF(OR(U3451=1,U3451="1"),"adequate","partial"),INDEX(Fit_Matrix!$B:$B,MATCH(P3451,Fit_Matrix!$A:$A,0)))),"CHECK KEY"))</f>
        <v/>
      </c>
      <c r="U3451" s="10" t="n"/>
      <c r="V3451" s="10" t="n"/>
      <c r="W3451" s="10" t="n"/>
      <c r="X3451" s="10" t="n"/>
      <c r="Y3451" s="10" t="n"/>
      <c r="Z3451" s="10" t="n"/>
      <c r="AA3451" s="11">
        <f>IF(A3451="","",IF(AND(J3451="P4",F3451="causal"),"P4-CAUSAL",""))</f>
        <v/>
      </c>
    </row>
    <row r="3452" ht="15" customHeight="1" s="1">
      <c r="P3452">
        <f>IF(OR(F3452="",H3452="",J3452=""),"",J3452&amp;"|"&amp;F3452&amp;"|"&amp;IF(H3452="W3","W3_"&amp;IF(I3452="","unknown",I3452),H3452))</f>
        <v/>
      </c>
      <c r="Q3452">
        <f>IF(P3452="","",IFERROR(IF(AND(H3452="W7",OR(F3452="causal",F3452="predictive")),IF(AND(OR(K3452=1,K3452="1"),OR(L3452=1,L3452="1"),OR(M3452=1,M3452="1")),"adequate","partial"),IF(AND(H3452="W4",F3452="predictive",OR(J3452="P2",J3452="P3",J3452="P4")),IF(OR(U3452=1,U3452="1"),"adequate","partial"),INDEX(Fit_Matrix!$B:$B,MATCH(P3452,Fit_Matrix!$A:$A,0)))),"CHECK KEY"))</f>
        <v/>
      </c>
      <c r="U3452" s="10" t="n"/>
      <c r="V3452" s="10" t="n"/>
      <c r="W3452" s="10" t="n"/>
      <c r="X3452" s="10" t="n"/>
      <c r="Y3452" s="10" t="n"/>
      <c r="Z3452" s="10" t="n"/>
      <c r="AA3452" s="11">
        <f>IF(A3452="","",IF(AND(J3452="P4",F3452="causal"),"P4-CAUSAL",""))</f>
        <v/>
      </c>
    </row>
    <row r="3453" ht="15" customHeight="1" s="1">
      <c r="P3453">
        <f>IF(OR(F3453="",H3453="",J3453=""),"",J3453&amp;"|"&amp;F3453&amp;"|"&amp;IF(H3453="W3","W3_"&amp;IF(I3453="","unknown",I3453),H3453))</f>
        <v/>
      </c>
      <c r="Q3453">
        <f>IF(P3453="","",IFERROR(IF(AND(H3453="W7",OR(F3453="causal",F3453="predictive")),IF(AND(OR(K3453=1,K3453="1"),OR(L3453=1,L3453="1"),OR(M3453=1,M3453="1")),"adequate","partial"),IF(AND(H3453="W4",F3453="predictive",OR(J3453="P2",J3453="P3",J3453="P4")),IF(OR(U3453=1,U3453="1"),"adequate","partial"),INDEX(Fit_Matrix!$B:$B,MATCH(P3453,Fit_Matrix!$A:$A,0)))),"CHECK KEY"))</f>
        <v/>
      </c>
      <c r="U3453" s="10" t="n"/>
      <c r="V3453" s="10" t="n"/>
      <c r="W3453" s="10" t="n"/>
      <c r="X3453" s="10" t="n"/>
      <c r="Y3453" s="10" t="n"/>
      <c r="Z3453" s="10" t="n"/>
      <c r="AA3453" s="11">
        <f>IF(A3453="","",IF(AND(J3453="P4",F3453="causal"),"P4-CAUSAL",""))</f>
        <v/>
      </c>
    </row>
    <row r="3454" ht="15" customHeight="1" s="1">
      <c r="P3454">
        <f>IF(OR(F3454="",H3454="",J3454=""),"",J3454&amp;"|"&amp;F3454&amp;"|"&amp;IF(H3454="W3","W3_"&amp;IF(I3454="","unknown",I3454),H3454))</f>
        <v/>
      </c>
      <c r="Q3454">
        <f>IF(P3454="","",IFERROR(IF(AND(H3454="W7",OR(F3454="causal",F3454="predictive")),IF(AND(OR(K3454=1,K3454="1"),OR(L3454=1,L3454="1"),OR(M3454=1,M3454="1")),"adequate","partial"),IF(AND(H3454="W4",F3454="predictive",OR(J3454="P2",J3454="P3",J3454="P4")),IF(OR(U3454=1,U3454="1"),"adequate","partial"),INDEX(Fit_Matrix!$B:$B,MATCH(P3454,Fit_Matrix!$A:$A,0)))),"CHECK KEY"))</f>
        <v/>
      </c>
      <c r="U3454" s="10" t="n"/>
      <c r="V3454" s="10" t="n"/>
      <c r="W3454" s="10" t="n"/>
      <c r="X3454" s="10" t="n"/>
      <c r="Y3454" s="10" t="n"/>
      <c r="Z3454" s="10" t="n"/>
      <c r="AA3454" s="11">
        <f>IF(A3454="","",IF(AND(J3454="P4",F3454="causal"),"P4-CAUSAL",""))</f>
        <v/>
      </c>
    </row>
    <row r="3455" ht="15" customHeight="1" s="1">
      <c r="P3455">
        <f>IF(OR(F3455="",H3455="",J3455=""),"",J3455&amp;"|"&amp;F3455&amp;"|"&amp;IF(H3455="W3","W3_"&amp;IF(I3455="","unknown",I3455),H3455))</f>
        <v/>
      </c>
      <c r="Q3455">
        <f>IF(P3455="","",IFERROR(IF(AND(H3455="W7",OR(F3455="causal",F3455="predictive")),IF(AND(OR(K3455=1,K3455="1"),OR(L3455=1,L3455="1"),OR(M3455=1,M3455="1")),"adequate","partial"),IF(AND(H3455="W4",F3455="predictive",OR(J3455="P2",J3455="P3",J3455="P4")),IF(OR(U3455=1,U3455="1"),"adequate","partial"),INDEX(Fit_Matrix!$B:$B,MATCH(P3455,Fit_Matrix!$A:$A,0)))),"CHECK KEY"))</f>
        <v/>
      </c>
      <c r="U3455" s="10" t="n"/>
      <c r="V3455" s="10" t="n"/>
      <c r="W3455" s="10" t="n"/>
      <c r="X3455" s="10" t="n"/>
      <c r="Y3455" s="10" t="n"/>
      <c r="Z3455" s="10" t="n"/>
      <c r="AA3455" s="11">
        <f>IF(A3455="","",IF(AND(J3455="P4",F3455="causal"),"P4-CAUSAL",""))</f>
        <v/>
      </c>
    </row>
    <row r="3456" ht="15" customHeight="1" s="1">
      <c r="P3456">
        <f>IF(OR(F3456="",H3456="",J3456=""),"",J3456&amp;"|"&amp;F3456&amp;"|"&amp;IF(H3456="W3","W3_"&amp;IF(I3456="","unknown",I3456),H3456))</f>
        <v/>
      </c>
      <c r="Q3456">
        <f>IF(P3456="","",IFERROR(IF(AND(H3456="W7",OR(F3456="causal",F3456="predictive")),IF(AND(OR(K3456=1,K3456="1"),OR(L3456=1,L3456="1"),OR(M3456=1,M3456="1")),"adequate","partial"),IF(AND(H3456="W4",F3456="predictive",OR(J3456="P2",J3456="P3",J3456="P4")),IF(OR(U3456=1,U3456="1"),"adequate","partial"),INDEX(Fit_Matrix!$B:$B,MATCH(P3456,Fit_Matrix!$A:$A,0)))),"CHECK KEY"))</f>
        <v/>
      </c>
      <c r="U3456" s="10" t="n"/>
      <c r="V3456" s="10" t="n"/>
      <c r="W3456" s="10" t="n"/>
      <c r="X3456" s="10" t="n"/>
      <c r="Y3456" s="10" t="n"/>
      <c r="Z3456" s="10" t="n"/>
      <c r="AA3456" s="11">
        <f>IF(A3456="","",IF(AND(J3456="P4",F3456="causal"),"P4-CAUSAL",""))</f>
        <v/>
      </c>
    </row>
    <row r="3457" ht="15" customHeight="1" s="1">
      <c r="P3457">
        <f>IF(OR(F3457="",H3457="",J3457=""),"",J3457&amp;"|"&amp;F3457&amp;"|"&amp;IF(H3457="W3","W3_"&amp;IF(I3457="","unknown",I3457),H3457))</f>
        <v/>
      </c>
      <c r="Q3457">
        <f>IF(P3457="","",IFERROR(IF(AND(H3457="W7",OR(F3457="causal",F3457="predictive")),IF(AND(OR(K3457=1,K3457="1"),OR(L3457=1,L3457="1"),OR(M3457=1,M3457="1")),"adequate","partial"),IF(AND(H3457="W4",F3457="predictive",OR(J3457="P2",J3457="P3",J3457="P4")),IF(OR(U3457=1,U3457="1"),"adequate","partial"),INDEX(Fit_Matrix!$B:$B,MATCH(P3457,Fit_Matrix!$A:$A,0)))),"CHECK KEY"))</f>
        <v/>
      </c>
      <c r="U3457" s="10" t="n"/>
      <c r="V3457" s="10" t="n"/>
      <c r="W3457" s="10" t="n"/>
      <c r="X3457" s="10" t="n"/>
      <c r="Y3457" s="10" t="n"/>
      <c r="Z3457" s="10" t="n"/>
      <c r="AA3457" s="11">
        <f>IF(A3457="","",IF(AND(J3457="P4",F3457="causal"),"P4-CAUSAL",""))</f>
        <v/>
      </c>
    </row>
    <row r="3458" ht="15" customHeight="1" s="1">
      <c r="P3458">
        <f>IF(OR(F3458="",H3458="",J3458=""),"",J3458&amp;"|"&amp;F3458&amp;"|"&amp;IF(H3458="W3","W3_"&amp;IF(I3458="","unknown",I3458),H3458))</f>
        <v/>
      </c>
      <c r="Q3458">
        <f>IF(P3458="","",IFERROR(IF(AND(H3458="W7",OR(F3458="causal",F3458="predictive")),IF(AND(OR(K3458=1,K3458="1"),OR(L3458=1,L3458="1"),OR(M3458=1,M3458="1")),"adequate","partial"),IF(AND(H3458="W4",F3458="predictive",OR(J3458="P2",J3458="P3",J3458="P4")),IF(OR(U3458=1,U3458="1"),"adequate","partial"),INDEX(Fit_Matrix!$B:$B,MATCH(P3458,Fit_Matrix!$A:$A,0)))),"CHECK KEY"))</f>
        <v/>
      </c>
      <c r="U3458" s="10" t="n"/>
      <c r="V3458" s="10" t="n"/>
      <c r="W3458" s="10" t="n"/>
      <c r="X3458" s="10" t="n"/>
      <c r="Y3458" s="10" t="n"/>
      <c r="Z3458" s="10" t="n"/>
      <c r="AA3458" s="11">
        <f>IF(A3458="","",IF(AND(J3458="P4",F3458="causal"),"P4-CAUSAL",""))</f>
        <v/>
      </c>
    </row>
    <row r="3459" ht="15" customHeight="1" s="1">
      <c r="P3459">
        <f>IF(OR(F3459="",H3459="",J3459=""),"",J3459&amp;"|"&amp;F3459&amp;"|"&amp;IF(H3459="W3","W3_"&amp;IF(I3459="","unknown",I3459),H3459))</f>
        <v/>
      </c>
      <c r="Q3459">
        <f>IF(P3459="","",IFERROR(IF(AND(H3459="W7",OR(F3459="causal",F3459="predictive")),IF(AND(OR(K3459=1,K3459="1"),OR(L3459=1,L3459="1"),OR(M3459=1,M3459="1")),"adequate","partial"),IF(AND(H3459="W4",F3459="predictive",OR(J3459="P2",J3459="P3",J3459="P4")),IF(OR(U3459=1,U3459="1"),"adequate","partial"),INDEX(Fit_Matrix!$B:$B,MATCH(P3459,Fit_Matrix!$A:$A,0)))),"CHECK KEY"))</f>
        <v/>
      </c>
      <c r="U3459" s="10" t="n"/>
      <c r="V3459" s="10" t="n"/>
      <c r="W3459" s="10" t="n"/>
      <c r="X3459" s="10" t="n"/>
      <c r="Y3459" s="10" t="n"/>
      <c r="Z3459" s="10" t="n"/>
      <c r="AA3459" s="11">
        <f>IF(A3459="","",IF(AND(J3459="P4",F3459="causal"),"P4-CAUSAL",""))</f>
        <v/>
      </c>
    </row>
    <row r="3460" ht="15" customHeight="1" s="1">
      <c r="P3460">
        <f>IF(OR(F3460="",H3460="",J3460=""),"",J3460&amp;"|"&amp;F3460&amp;"|"&amp;IF(H3460="W3","W3_"&amp;IF(I3460="","unknown",I3460),H3460))</f>
        <v/>
      </c>
      <c r="Q3460">
        <f>IF(P3460="","",IFERROR(IF(AND(H3460="W7",OR(F3460="causal",F3460="predictive")),IF(AND(OR(K3460=1,K3460="1"),OR(L3460=1,L3460="1"),OR(M3460=1,M3460="1")),"adequate","partial"),IF(AND(H3460="W4",F3460="predictive",OR(J3460="P2",J3460="P3",J3460="P4")),IF(OR(U3460=1,U3460="1"),"adequate","partial"),INDEX(Fit_Matrix!$B:$B,MATCH(P3460,Fit_Matrix!$A:$A,0)))),"CHECK KEY"))</f>
        <v/>
      </c>
      <c r="U3460" s="10" t="n"/>
      <c r="V3460" s="10" t="n"/>
      <c r="W3460" s="10" t="n"/>
      <c r="X3460" s="10" t="n"/>
      <c r="Y3460" s="10" t="n"/>
      <c r="Z3460" s="10" t="n"/>
      <c r="AA3460" s="11">
        <f>IF(A3460="","",IF(AND(J3460="P4",F3460="causal"),"P4-CAUSAL",""))</f>
        <v/>
      </c>
    </row>
    <row r="3461" ht="15" customHeight="1" s="1">
      <c r="P3461">
        <f>IF(OR(F3461="",H3461="",J3461=""),"",J3461&amp;"|"&amp;F3461&amp;"|"&amp;IF(H3461="W3","W3_"&amp;IF(I3461="","unknown",I3461),H3461))</f>
        <v/>
      </c>
      <c r="Q3461">
        <f>IF(P3461="","",IFERROR(IF(AND(H3461="W7",OR(F3461="causal",F3461="predictive")),IF(AND(OR(K3461=1,K3461="1"),OR(L3461=1,L3461="1"),OR(M3461=1,M3461="1")),"adequate","partial"),IF(AND(H3461="W4",F3461="predictive",OR(J3461="P2",J3461="P3",J3461="P4")),IF(OR(U3461=1,U3461="1"),"adequate","partial"),INDEX(Fit_Matrix!$B:$B,MATCH(P3461,Fit_Matrix!$A:$A,0)))),"CHECK KEY"))</f>
        <v/>
      </c>
      <c r="U3461" s="10" t="n"/>
      <c r="V3461" s="10" t="n"/>
      <c r="W3461" s="10" t="n"/>
      <c r="X3461" s="10" t="n"/>
      <c r="Y3461" s="10" t="n"/>
      <c r="Z3461" s="10" t="n"/>
      <c r="AA3461" s="11">
        <f>IF(A3461="","",IF(AND(J3461="P4",F3461="causal"),"P4-CAUSAL",""))</f>
        <v/>
      </c>
    </row>
    <row r="3462" ht="15" customHeight="1" s="1">
      <c r="P3462">
        <f>IF(OR(F3462="",H3462="",J3462=""),"",J3462&amp;"|"&amp;F3462&amp;"|"&amp;IF(H3462="W3","W3_"&amp;IF(I3462="","unknown",I3462),H3462))</f>
        <v/>
      </c>
      <c r="Q3462">
        <f>IF(P3462="","",IFERROR(IF(AND(H3462="W7",OR(F3462="causal",F3462="predictive")),IF(AND(OR(K3462=1,K3462="1"),OR(L3462=1,L3462="1"),OR(M3462=1,M3462="1")),"adequate","partial"),IF(AND(H3462="W4",F3462="predictive",OR(J3462="P2",J3462="P3",J3462="P4")),IF(OR(U3462=1,U3462="1"),"adequate","partial"),INDEX(Fit_Matrix!$B:$B,MATCH(P3462,Fit_Matrix!$A:$A,0)))),"CHECK KEY"))</f>
        <v/>
      </c>
      <c r="U3462" s="10" t="n"/>
      <c r="V3462" s="10" t="n"/>
      <c r="W3462" s="10" t="n"/>
      <c r="X3462" s="10" t="n"/>
      <c r="Y3462" s="10" t="n"/>
      <c r="Z3462" s="10" t="n"/>
      <c r="AA3462" s="11">
        <f>IF(A3462="","",IF(AND(J3462="P4",F3462="causal"),"P4-CAUSAL",""))</f>
        <v/>
      </c>
    </row>
    <row r="3463" ht="15" customHeight="1" s="1">
      <c r="P3463">
        <f>IF(OR(F3463="",H3463="",J3463=""),"",J3463&amp;"|"&amp;F3463&amp;"|"&amp;IF(H3463="W3","W3_"&amp;IF(I3463="","unknown",I3463),H3463))</f>
        <v/>
      </c>
      <c r="Q3463">
        <f>IF(P3463="","",IFERROR(IF(AND(H3463="W7",OR(F3463="causal",F3463="predictive")),IF(AND(OR(K3463=1,K3463="1"),OR(L3463=1,L3463="1"),OR(M3463=1,M3463="1")),"adequate","partial"),IF(AND(H3463="W4",F3463="predictive",OR(J3463="P2",J3463="P3",J3463="P4")),IF(OR(U3463=1,U3463="1"),"adequate","partial"),INDEX(Fit_Matrix!$B:$B,MATCH(P3463,Fit_Matrix!$A:$A,0)))),"CHECK KEY"))</f>
        <v/>
      </c>
      <c r="U3463" s="10" t="n"/>
      <c r="V3463" s="10" t="n"/>
      <c r="W3463" s="10" t="n"/>
      <c r="X3463" s="10" t="n"/>
      <c r="Y3463" s="10" t="n"/>
      <c r="Z3463" s="10" t="n"/>
      <c r="AA3463" s="11">
        <f>IF(A3463="","",IF(AND(J3463="P4",F3463="causal"),"P4-CAUSAL",""))</f>
        <v/>
      </c>
    </row>
    <row r="3464" ht="15" customHeight="1" s="1">
      <c r="P3464">
        <f>IF(OR(F3464="",H3464="",J3464=""),"",J3464&amp;"|"&amp;F3464&amp;"|"&amp;IF(H3464="W3","W3_"&amp;IF(I3464="","unknown",I3464),H3464))</f>
        <v/>
      </c>
      <c r="Q3464">
        <f>IF(P3464="","",IFERROR(IF(AND(H3464="W7",OR(F3464="causal",F3464="predictive")),IF(AND(OR(K3464=1,K3464="1"),OR(L3464=1,L3464="1"),OR(M3464=1,M3464="1")),"adequate","partial"),IF(AND(H3464="W4",F3464="predictive",OR(J3464="P2",J3464="P3",J3464="P4")),IF(OR(U3464=1,U3464="1"),"adequate","partial"),INDEX(Fit_Matrix!$B:$B,MATCH(P3464,Fit_Matrix!$A:$A,0)))),"CHECK KEY"))</f>
        <v/>
      </c>
      <c r="U3464" s="10" t="n"/>
      <c r="V3464" s="10" t="n"/>
      <c r="W3464" s="10" t="n"/>
      <c r="X3464" s="10" t="n"/>
      <c r="Y3464" s="10" t="n"/>
      <c r="Z3464" s="10" t="n"/>
      <c r="AA3464" s="11">
        <f>IF(A3464="","",IF(AND(J3464="P4",F3464="causal"),"P4-CAUSAL",""))</f>
        <v/>
      </c>
    </row>
    <row r="3465" ht="15" customHeight="1" s="1">
      <c r="P3465">
        <f>IF(OR(F3465="",H3465="",J3465=""),"",J3465&amp;"|"&amp;F3465&amp;"|"&amp;IF(H3465="W3","W3_"&amp;IF(I3465="","unknown",I3465),H3465))</f>
        <v/>
      </c>
      <c r="Q3465">
        <f>IF(P3465="","",IFERROR(IF(AND(H3465="W7",OR(F3465="causal",F3465="predictive")),IF(AND(OR(K3465=1,K3465="1"),OR(L3465=1,L3465="1"),OR(M3465=1,M3465="1")),"adequate","partial"),IF(AND(H3465="W4",F3465="predictive",OR(J3465="P2",J3465="P3",J3465="P4")),IF(OR(U3465=1,U3465="1"),"adequate","partial"),INDEX(Fit_Matrix!$B:$B,MATCH(P3465,Fit_Matrix!$A:$A,0)))),"CHECK KEY"))</f>
        <v/>
      </c>
      <c r="U3465" s="10" t="n"/>
      <c r="V3465" s="10" t="n"/>
      <c r="W3465" s="10" t="n"/>
      <c r="X3465" s="10" t="n"/>
      <c r="Y3465" s="10" t="n"/>
      <c r="Z3465" s="10" t="n"/>
      <c r="AA3465" s="11">
        <f>IF(A3465="","",IF(AND(J3465="P4",F3465="causal"),"P4-CAUSAL",""))</f>
        <v/>
      </c>
    </row>
    <row r="3466" ht="15" customHeight="1" s="1">
      <c r="P3466">
        <f>IF(OR(F3466="",H3466="",J3466=""),"",J3466&amp;"|"&amp;F3466&amp;"|"&amp;IF(H3466="W3","W3_"&amp;IF(I3466="","unknown",I3466),H3466))</f>
        <v/>
      </c>
      <c r="Q3466">
        <f>IF(P3466="","",IFERROR(IF(AND(H3466="W7",OR(F3466="causal",F3466="predictive")),IF(AND(OR(K3466=1,K3466="1"),OR(L3466=1,L3466="1"),OR(M3466=1,M3466="1")),"adequate","partial"),IF(AND(H3466="W4",F3466="predictive",OR(J3466="P2",J3466="P3",J3466="P4")),IF(OR(U3466=1,U3466="1"),"adequate","partial"),INDEX(Fit_Matrix!$B:$B,MATCH(P3466,Fit_Matrix!$A:$A,0)))),"CHECK KEY"))</f>
        <v/>
      </c>
      <c r="U3466" s="10" t="n"/>
      <c r="V3466" s="10" t="n"/>
      <c r="W3466" s="10" t="n"/>
      <c r="X3466" s="10" t="n"/>
      <c r="Y3466" s="10" t="n"/>
      <c r="Z3466" s="10" t="n"/>
      <c r="AA3466" s="11">
        <f>IF(A3466="","",IF(AND(J3466="P4",F3466="causal"),"P4-CAUSAL",""))</f>
        <v/>
      </c>
    </row>
    <row r="3467" ht="15" customHeight="1" s="1">
      <c r="P3467">
        <f>IF(OR(F3467="",H3467="",J3467=""),"",J3467&amp;"|"&amp;F3467&amp;"|"&amp;IF(H3467="W3","W3_"&amp;IF(I3467="","unknown",I3467),H3467))</f>
        <v/>
      </c>
      <c r="Q3467">
        <f>IF(P3467="","",IFERROR(IF(AND(H3467="W7",OR(F3467="causal",F3467="predictive")),IF(AND(OR(K3467=1,K3467="1"),OR(L3467=1,L3467="1"),OR(M3467=1,M3467="1")),"adequate","partial"),IF(AND(H3467="W4",F3467="predictive",OR(J3467="P2",J3467="P3",J3467="P4")),IF(OR(U3467=1,U3467="1"),"adequate","partial"),INDEX(Fit_Matrix!$B:$B,MATCH(P3467,Fit_Matrix!$A:$A,0)))),"CHECK KEY"))</f>
        <v/>
      </c>
      <c r="U3467" s="10" t="n"/>
      <c r="V3467" s="10" t="n"/>
      <c r="W3467" s="10" t="n"/>
      <c r="X3467" s="10" t="n"/>
      <c r="Y3467" s="10" t="n"/>
      <c r="Z3467" s="10" t="n"/>
      <c r="AA3467" s="11">
        <f>IF(A3467="","",IF(AND(J3467="P4",F3467="causal"),"P4-CAUSAL",""))</f>
        <v/>
      </c>
    </row>
    <row r="3468" ht="15" customHeight="1" s="1">
      <c r="P3468">
        <f>IF(OR(F3468="",H3468="",J3468=""),"",J3468&amp;"|"&amp;F3468&amp;"|"&amp;IF(H3468="W3","W3_"&amp;IF(I3468="","unknown",I3468),H3468))</f>
        <v/>
      </c>
      <c r="Q3468">
        <f>IF(P3468="","",IFERROR(IF(AND(H3468="W7",OR(F3468="causal",F3468="predictive")),IF(AND(OR(K3468=1,K3468="1"),OR(L3468=1,L3468="1"),OR(M3468=1,M3468="1")),"adequate","partial"),IF(AND(H3468="W4",F3468="predictive",OR(J3468="P2",J3468="P3",J3468="P4")),IF(OR(U3468=1,U3468="1"),"adequate","partial"),INDEX(Fit_Matrix!$B:$B,MATCH(P3468,Fit_Matrix!$A:$A,0)))),"CHECK KEY"))</f>
        <v/>
      </c>
      <c r="U3468" s="10" t="n"/>
      <c r="V3468" s="10" t="n"/>
      <c r="W3468" s="10" t="n"/>
      <c r="X3468" s="10" t="n"/>
      <c r="Y3468" s="10" t="n"/>
      <c r="Z3468" s="10" t="n"/>
      <c r="AA3468" s="11">
        <f>IF(A3468="","",IF(AND(J3468="P4",F3468="causal"),"P4-CAUSAL",""))</f>
        <v/>
      </c>
    </row>
    <row r="3469" ht="15" customHeight="1" s="1">
      <c r="P3469">
        <f>IF(OR(F3469="",H3469="",J3469=""),"",J3469&amp;"|"&amp;F3469&amp;"|"&amp;IF(H3469="W3","W3_"&amp;IF(I3469="","unknown",I3469),H3469))</f>
        <v/>
      </c>
      <c r="Q3469">
        <f>IF(P3469="","",IFERROR(IF(AND(H3469="W7",OR(F3469="causal",F3469="predictive")),IF(AND(OR(K3469=1,K3469="1"),OR(L3469=1,L3469="1"),OR(M3469=1,M3469="1")),"adequate","partial"),IF(AND(H3469="W4",F3469="predictive",OR(J3469="P2",J3469="P3",J3469="P4")),IF(OR(U3469=1,U3469="1"),"adequate","partial"),INDEX(Fit_Matrix!$B:$B,MATCH(P3469,Fit_Matrix!$A:$A,0)))),"CHECK KEY"))</f>
        <v/>
      </c>
      <c r="U3469" s="10" t="n"/>
      <c r="V3469" s="10" t="n"/>
      <c r="W3469" s="10" t="n"/>
      <c r="X3469" s="10" t="n"/>
      <c r="Y3469" s="10" t="n"/>
      <c r="Z3469" s="10" t="n"/>
      <c r="AA3469" s="11">
        <f>IF(A3469="","",IF(AND(J3469="P4",F3469="causal"),"P4-CAUSAL",""))</f>
        <v/>
      </c>
    </row>
    <row r="3470" ht="15" customHeight="1" s="1">
      <c r="P3470">
        <f>IF(OR(F3470="",H3470="",J3470=""),"",J3470&amp;"|"&amp;F3470&amp;"|"&amp;IF(H3470="W3","W3_"&amp;IF(I3470="","unknown",I3470),H3470))</f>
        <v/>
      </c>
      <c r="Q3470">
        <f>IF(P3470="","",IFERROR(IF(AND(H3470="W7",OR(F3470="causal",F3470="predictive")),IF(AND(OR(K3470=1,K3470="1"),OR(L3470=1,L3470="1"),OR(M3470=1,M3470="1")),"adequate","partial"),IF(AND(H3470="W4",F3470="predictive",OR(J3470="P2",J3470="P3",J3470="P4")),IF(OR(U3470=1,U3470="1"),"adequate","partial"),INDEX(Fit_Matrix!$B:$B,MATCH(P3470,Fit_Matrix!$A:$A,0)))),"CHECK KEY"))</f>
        <v/>
      </c>
      <c r="U3470" s="10" t="n"/>
      <c r="V3470" s="10" t="n"/>
      <c r="W3470" s="10" t="n"/>
      <c r="X3470" s="10" t="n"/>
      <c r="Y3470" s="10" t="n"/>
      <c r="Z3470" s="10" t="n"/>
      <c r="AA3470" s="11">
        <f>IF(A3470="","",IF(AND(J3470="P4",F3470="causal"),"P4-CAUSAL",""))</f>
        <v/>
      </c>
    </row>
    <row r="3471" ht="15" customHeight="1" s="1">
      <c r="P3471">
        <f>IF(OR(F3471="",H3471="",J3471=""),"",J3471&amp;"|"&amp;F3471&amp;"|"&amp;IF(H3471="W3","W3_"&amp;IF(I3471="","unknown",I3471),H3471))</f>
        <v/>
      </c>
      <c r="Q3471">
        <f>IF(P3471="","",IFERROR(IF(AND(H3471="W7",OR(F3471="causal",F3471="predictive")),IF(AND(OR(K3471=1,K3471="1"),OR(L3471=1,L3471="1"),OR(M3471=1,M3471="1")),"adequate","partial"),IF(AND(H3471="W4",F3471="predictive",OR(J3471="P2",J3471="P3",J3471="P4")),IF(OR(U3471=1,U3471="1"),"adequate","partial"),INDEX(Fit_Matrix!$B:$B,MATCH(P3471,Fit_Matrix!$A:$A,0)))),"CHECK KEY"))</f>
        <v/>
      </c>
      <c r="U3471" s="10" t="n"/>
      <c r="V3471" s="10" t="n"/>
      <c r="W3471" s="10" t="n"/>
      <c r="X3471" s="10" t="n"/>
      <c r="Y3471" s="10" t="n"/>
      <c r="Z3471" s="10" t="n"/>
      <c r="AA3471" s="11">
        <f>IF(A3471="","",IF(AND(J3471="P4",F3471="causal"),"P4-CAUSAL",""))</f>
        <v/>
      </c>
    </row>
    <row r="3472" ht="15" customHeight="1" s="1">
      <c r="P3472">
        <f>IF(OR(F3472="",H3472="",J3472=""),"",J3472&amp;"|"&amp;F3472&amp;"|"&amp;IF(H3472="W3","W3_"&amp;IF(I3472="","unknown",I3472),H3472))</f>
        <v/>
      </c>
      <c r="Q3472">
        <f>IF(P3472="","",IFERROR(IF(AND(H3472="W7",OR(F3472="causal",F3472="predictive")),IF(AND(OR(K3472=1,K3472="1"),OR(L3472=1,L3472="1"),OR(M3472=1,M3472="1")),"adequate","partial"),IF(AND(H3472="W4",F3472="predictive",OR(J3472="P2",J3472="P3",J3472="P4")),IF(OR(U3472=1,U3472="1"),"adequate","partial"),INDEX(Fit_Matrix!$B:$B,MATCH(P3472,Fit_Matrix!$A:$A,0)))),"CHECK KEY"))</f>
        <v/>
      </c>
      <c r="U3472" s="10" t="n"/>
      <c r="V3472" s="10" t="n"/>
      <c r="W3472" s="10" t="n"/>
      <c r="X3472" s="10" t="n"/>
      <c r="Y3472" s="10" t="n"/>
      <c r="Z3472" s="10" t="n"/>
      <c r="AA3472" s="11">
        <f>IF(A3472="","",IF(AND(J3472="P4",F3472="causal"),"P4-CAUSAL",""))</f>
        <v/>
      </c>
    </row>
    <row r="3473" ht="15" customHeight="1" s="1">
      <c r="P3473">
        <f>IF(OR(F3473="",H3473="",J3473=""),"",J3473&amp;"|"&amp;F3473&amp;"|"&amp;IF(H3473="W3","W3_"&amp;IF(I3473="","unknown",I3473),H3473))</f>
        <v/>
      </c>
      <c r="Q3473">
        <f>IF(P3473="","",IFERROR(IF(AND(H3473="W7",OR(F3473="causal",F3473="predictive")),IF(AND(OR(K3473=1,K3473="1"),OR(L3473=1,L3473="1"),OR(M3473=1,M3473="1")),"adequate","partial"),IF(AND(H3473="W4",F3473="predictive",OR(J3473="P2",J3473="P3",J3473="P4")),IF(OR(U3473=1,U3473="1"),"adequate","partial"),INDEX(Fit_Matrix!$B:$B,MATCH(P3473,Fit_Matrix!$A:$A,0)))),"CHECK KEY"))</f>
        <v/>
      </c>
      <c r="U3473" s="10" t="n"/>
      <c r="V3473" s="10" t="n"/>
      <c r="W3473" s="10" t="n"/>
      <c r="X3473" s="10" t="n"/>
      <c r="Y3473" s="10" t="n"/>
      <c r="Z3473" s="10" t="n"/>
      <c r="AA3473" s="11">
        <f>IF(A3473="","",IF(AND(J3473="P4",F3473="causal"),"P4-CAUSAL",""))</f>
        <v/>
      </c>
    </row>
    <row r="3474" ht="15" customHeight="1" s="1">
      <c r="P3474">
        <f>IF(OR(F3474="",H3474="",J3474=""),"",J3474&amp;"|"&amp;F3474&amp;"|"&amp;IF(H3474="W3","W3_"&amp;IF(I3474="","unknown",I3474),H3474))</f>
        <v/>
      </c>
      <c r="Q3474">
        <f>IF(P3474="","",IFERROR(IF(AND(H3474="W7",OR(F3474="causal",F3474="predictive")),IF(AND(OR(K3474=1,K3474="1"),OR(L3474=1,L3474="1"),OR(M3474=1,M3474="1")),"adequate","partial"),IF(AND(H3474="W4",F3474="predictive",OR(J3474="P2",J3474="P3",J3474="P4")),IF(OR(U3474=1,U3474="1"),"adequate","partial"),INDEX(Fit_Matrix!$B:$B,MATCH(P3474,Fit_Matrix!$A:$A,0)))),"CHECK KEY"))</f>
        <v/>
      </c>
      <c r="U3474" s="10" t="n"/>
      <c r="V3474" s="10" t="n"/>
      <c r="W3474" s="10" t="n"/>
      <c r="X3474" s="10" t="n"/>
      <c r="Y3474" s="10" t="n"/>
      <c r="Z3474" s="10" t="n"/>
      <c r="AA3474" s="11">
        <f>IF(A3474="","",IF(AND(J3474="P4",F3474="causal"),"P4-CAUSAL",""))</f>
        <v/>
      </c>
    </row>
    <row r="3475" ht="15" customHeight="1" s="1">
      <c r="P3475">
        <f>IF(OR(F3475="",H3475="",J3475=""),"",J3475&amp;"|"&amp;F3475&amp;"|"&amp;IF(H3475="W3","W3_"&amp;IF(I3475="","unknown",I3475),H3475))</f>
        <v/>
      </c>
      <c r="Q3475">
        <f>IF(P3475="","",IFERROR(IF(AND(H3475="W7",OR(F3475="causal",F3475="predictive")),IF(AND(OR(K3475=1,K3475="1"),OR(L3475=1,L3475="1"),OR(M3475=1,M3475="1")),"adequate","partial"),IF(AND(H3475="W4",F3475="predictive",OR(J3475="P2",J3475="P3",J3475="P4")),IF(OR(U3475=1,U3475="1"),"adequate","partial"),INDEX(Fit_Matrix!$B:$B,MATCH(P3475,Fit_Matrix!$A:$A,0)))),"CHECK KEY"))</f>
        <v/>
      </c>
      <c r="U3475" s="10" t="n"/>
      <c r="V3475" s="10" t="n"/>
      <c r="W3475" s="10" t="n"/>
      <c r="X3475" s="10" t="n"/>
      <c r="Y3475" s="10" t="n"/>
      <c r="Z3475" s="10" t="n"/>
      <c r="AA3475" s="11">
        <f>IF(A3475="","",IF(AND(J3475="P4",F3475="causal"),"P4-CAUSAL",""))</f>
        <v/>
      </c>
    </row>
    <row r="3476" ht="15" customHeight="1" s="1">
      <c r="P3476">
        <f>IF(OR(F3476="",H3476="",J3476=""),"",J3476&amp;"|"&amp;F3476&amp;"|"&amp;IF(H3476="W3","W3_"&amp;IF(I3476="","unknown",I3476),H3476))</f>
        <v/>
      </c>
      <c r="Q3476">
        <f>IF(P3476="","",IFERROR(IF(AND(H3476="W7",OR(F3476="causal",F3476="predictive")),IF(AND(OR(K3476=1,K3476="1"),OR(L3476=1,L3476="1"),OR(M3476=1,M3476="1")),"adequate","partial"),IF(AND(H3476="W4",F3476="predictive",OR(J3476="P2",J3476="P3",J3476="P4")),IF(OR(U3476=1,U3476="1"),"adequate","partial"),INDEX(Fit_Matrix!$B:$B,MATCH(P3476,Fit_Matrix!$A:$A,0)))),"CHECK KEY"))</f>
        <v/>
      </c>
      <c r="U3476" s="10" t="n"/>
      <c r="V3476" s="10" t="n"/>
      <c r="W3476" s="10" t="n"/>
      <c r="X3476" s="10" t="n"/>
      <c r="Y3476" s="10" t="n"/>
      <c r="Z3476" s="10" t="n"/>
      <c r="AA3476" s="11">
        <f>IF(A3476="","",IF(AND(J3476="P4",F3476="causal"),"P4-CAUSAL",""))</f>
        <v/>
      </c>
    </row>
    <row r="3477" ht="15" customHeight="1" s="1">
      <c r="P3477">
        <f>IF(OR(F3477="",H3477="",J3477=""),"",J3477&amp;"|"&amp;F3477&amp;"|"&amp;IF(H3477="W3","W3_"&amp;IF(I3477="","unknown",I3477),H3477))</f>
        <v/>
      </c>
      <c r="Q3477">
        <f>IF(P3477="","",IFERROR(IF(AND(H3477="W7",OR(F3477="causal",F3477="predictive")),IF(AND(OR(K3477=1,K3477="1"),OR(L3477=1,L3477="1"),OR(M3477=1,M3477="1")),"adequate","partial"),IF(AND(H3477="W4",F3477="predictive",OR(J3477="P2",J3477="P3",J3477="P4")),IF(OR(U3477=1,U3477="1"),"adequate","partial"),INDEX(Fit_Matrix!$B:$B,MATCH(P3477,Fit_Matrix!$A:$A,0)))),"CHECK KEY"))</f>
        <v/>
      </c>
      <c r="U3477" s="10" t="n"/>
      <c r="V3477" s="10" t="n"/>
      <c r="W3477" s="10" t="n"/>
      <c r="X3477" s="10" t="n"/>
      <c r="Y3477" s="10" t="n"/>
      <c r="Z3477" s="10" t="n"/>
      <c r="AA3477" s="11">
        <f>IF(A3477="","",IF(AND(J3477="P4",F3477="causal"),"P4-CAUSAL",""))</f>
        <v/>
      </c>
    </row>
    <row r="3478" ht="15" customHeight="1" s="1">
      <c r="P3478">
        <f>IF(OR(F3478="",H3478="",J3478=""),"",J3478&amp;"|"&amp;F3478&amp;"|"&amp;IF(H3478="W3","W3_"&amp;IF(I3478="","unknown",I3478),H3478))</f>
        <v/>
      </c>
      <c r="Q3478">
        <f>IF(P3478="","",IFERROR(IF(AND(H3478="W7",OR(F3478="causal",F3478="predictive")),IF(AND(OR(K3478=1,K3478="1"),OR(L3478=1,L3478="1"),OR(M3478=1,M3478="1")),"adequate","partial"),IF(AND(H3478="W4",F3478="predictive",OR(J3478="P2",J3478="P3",J3478="P4")),IF(OR(U3478=1,U3478="1"),"adequate","partial"),INDEX(Fit_Matrix!$B:$B,MATCH(P3478,Fit_Matrix!$A:$A,0)))),"CHECK KEY"))</f>
        <v/>
      </c>
      <c r="U3478" s="10" t="n"/>
      <c r="V3478" s="10" t="n"/>
      <c r="W3478" s="10" t="n"/>
      <c r="X3478" s="10" t="n"/>
      <c r="Y3478" s="10" t="n"/>
      <c r="Z3478" s="10" t="n"/>
      <c r="AA3478" s="11">
        <f>IF(A3478="","",IF(AND(J3478="P4",F3478="causal"),"P4-CAUSAL",""))</f>
        <v/>
      </c>
    </row>
    <row r="3479" ht="15" customHeight="1" s="1">
      <c r="P3479">
        <f>IF(OR(F3479="",H3479="",J3479=""),"",J3479&amp;"|"&amp;F3479&amp;"|"&amp;IF(H3479="W3","W3_"&amp;IF(I3479="","unknown",I3479),H3479))</f>
        <v/>
      </c>
      <c r="Q3479">
        <f>IF(P3479="","",IFERROR(IF(AND(H3479="W7",OR(F3479="causal",F3479="predictive")),IF(AND(OR(K3479=1,K3479="1"),OR(L3479=1,L3479="1"),OR(M3479=1,M3479="1")),"adequate","partial"),IF(AND(H3479="W4",F3479="predictive",OR(J3479="P2",J3479="P3",J3479="P4")),IF(OR(U3479=1,U3479="1"),"adequate","partial"),INDEX(Fit_Matrix!$B:$B,MATCH(P3479,Fit_Matrix!$A:$A,0)))),"CHECK KEY"))</f>
        <v/>
      </c>
      <c r="U3479" s="10" t="n"/>
      <c r="V3479" s="10" t="n"/>
      <c r="W3479" s="10" t="n"/>
      <c r="X3479" s="10" t="n"/>
      <c r="Y3479" s="10" t="n"/>
      <c r="Z3479" s="10" t="n"/>
      <c r="AA3479" s="11">
        <f>IF(A3479="","",IF(AND(J3479="P4",F3479="causal"),"P4-CAUSAL",""))</f>
        <v/>
      </c>
    </row>
    <row r="3480" ht="15" customHeight="1" s="1">
      <c r="P3480">
        <f>IF(OR(F3480="",H3480="",J3480=""),"",J3480&amp;"|"&amp;F3480&amp;"|"&amp;IF(H3480="W3","W3_"&amp;IF(I3480="","unknown",I3480),H3480))</f>
        <v/>
      </c>
      <c r="Q3480">
        <f>IF(P3480="","",IFERROR(IF(AND(H3480="W7",OR(F3480="causal",F3480="predictive")),IF(AND(OR(K3480=1,K3480="1"),OR(L3480=1,L3480="1"),OR(M3480=1,M3480="1")),"adequate","partial"),IF(AND(H3480="W4",F3480="predictive",OR(J3480="P2",J3480="P3",J3480="P4")),IF(OR(U3480=1,U3480="1"),"adequate","partial"),INDEX(Fit_Matrix!$B:$B,MATCH(P3480,Fit_Matrix!$A:$A,0)))),"CHECK KEY"))</f>
        <v/>
      </c>
      <c r="U3480" s="10" t="n"/>
      <c r="V3480" s="10" t="n"/>
      <c r="W3480" s="10" t="n"/>
      <c r="X3480" s="10" t="n"/>
      <c r="Y3480" s="10" t="n"/>
      <c r="Z3480" s="10" t="n"/>
      <c r="AA3480" s="11">
        <f>IF(A3480="","",IF(AND(J3480="P4",F3480="causal"),"P4-CAUSAL",""))</f>
        <v/>
      </c>
    </row>
    <row r="3481" ht="15" customHeight="1" s="1">
      <c r="P3481">
        <f>IF(OR(F3481="",H3481="",J3481=""),"",J3481&amp;"|"&amp;F3481&amp;"|"&amp;IF(H3481="W3","W3_"&amp;IF(I3481="","unknown",I3481),H3481))</f>
        <v/>
      </c>
      <c r="Q3481">
        <f>IF(P3481="","",IFERROR(IF(AND(H3481="W7",OR(F3481="causal",F3481="predictive")),IF(AND(OR(K3481=1,K3481="1"),OR(L3481=1,L3481="1"),OR(M3481=1,M3481="1")),"adequate","partial"),IF(AND(H3481="W4",F3481="predictive",OR(J3481="P2",J3481="P3",J3481="P4")),IF(OR(U3481=1,U3481="1"),"adequate","partial"),INDEX(Fit_Matrix!$B:$B,MATCH(P3481,Fit_Matrix!$A:$A,0)))),"CHECK KEY"))</f>
        <v/>
      </c>
      <c r="U3481" s="10" t="n"/>
      <c r="V3481" s="10" t="n"/>
      <c r="W3481" s="10" t="n"/>
      <c r="X3481" s="10" t="n"/>
      <c r="Y3481" s="10" t="n"/>
      <c r="Z3481" s="10" t="n"/>
      <c r="AA3481" s="11">
        <f>IF(A3481="","",IF(AND(J3481="P4",F3481="causal"),"P4-CAUSAL",""))</f>
        <v/>
      </c>
    </row>
    <row r="3482" ht="15" customHeight="1" s="1">
      <c r="P3482">
        <f>IF(OR(F3482="",H3482="",J3482=""),"",J3482&amp;"|"&amp;F3482&amp;"|"&amp;IF(H3482="W3","W3_"&amp;IF(I3482="","unknown",I3482),H3482))</f>
        <v/>
      </c>
      <c r="Q3482">
        <f>IF(P3482="","",IFERROR(IF(AND(H3482="W7",OR(F3482="causal",F3482="predictive")),IF(AND(OR(K3482=1,K3482="1"),OR(L3482=1,L3482="1"),OR(M3482=1,M3482="1")),"adequate","partial"),IF(AND(H3482="W4",F3482="predictive",OR(J3482="P2",J3482="P3",J3482="P4")),IF(OR(U3482=1,U3482="1"),"adequate","partial"),INDEX(Fit_Matrix!$B:$B,MATCH(P3482,Fit_Matrix!$A:$A,0)))),"CHECK KEY"))</f>
        <v/>
      </c>
      <c r="U3482" s="10" t="n"/>
      <c r="V3482" s="10" t="n"/>
      <c r="W3482" s="10" t="n"/>
      <c r="X3482" s="10" t="n"/>
      <c r="Y3482" s="10" t="n"/>
      <c r="Z3482" s="10" t="n"/>
      <c r="AA3482" s="11">
        <f>IF(A3482="","",IF(AND(J3482="P4",F3482="causal"),"P4-CAUSAL",""))</f>
        <v/>
      </c>
    </row>
    <row r="3483" ht="15" customHeight="1" s="1">
      <c r="P3483">
        <f>IF(OR(F3483="",H3483="",J3483=""),"",J3483&amp;"|"&amp;F3483&amp;"|"&amp;IF(H3483="W3","W3_"&amp;IF(I3483="","unknown",I3483),H3483))</f>
        <v/>
      </c>
      <c r="Q3483">
        <f>IF(P3483="","",IFERROR(IF(AND(H3483="W7",OR(F3483="causal",F3483="predictive")),IF(AND(OR(K3483=1,K3483="1"),OR(L3483=1,L3483="1"),OR(M3483=1,M3483="1")),"adequate","partial"),IF(AND(H3483="W4",F3483="predictive",OR(J3483="P2",J3483="P3",J3483="P4")),IF(OR(U3483=1,U3483="1"),"adequate","partial"),INDEX(Fit_Matrix!$B:$B,MATCH(P3483,Fit_Matrix!$A:$A,0)))),"CHECK KEY"))</f>
        <v/>
      </c>
      <c r="U3483" s="10" t="n"/>
      <c r="V3483" s="10" t="n"/>
      <c r="W3483" s="10" t="n"/>
      <c r="X3483" s="10" t="n"/>
      <c r="Y3483" s="10" t="n"/>
      <c r="Z3483" s="10" t="n"/>
      <c r="AA3483" s="11">
        <f>IF(A3483="","",IF(AND(J3483="P4",F3483="causal"),"P4-CAUSAL",""))</f>
        <v/>
      </c>
    </row>
    <row r="3484" ht="15" customHeight="1" s="1">
      <c r="P3484">
        <f>IF(OR(F3484="",H3484="",J3484=""),"",J3484&amp;"|"&amp;F3484&amp;"|"&amp;IF(H3484="W3","W3_"&amp;IF(I3484="","unknown",I3484),H3484))</f>
        <v/>
      </c>
      <c r="Q3484">
        <f>IF(P3484="","",IFERROR(IF(AND(H3484="W7",OR(F3484="causal",F3484="predictive")),IF(AND(OR(K3484=1,K3484="1"),OR(L3484=1,L3484="1"),OR(M3484=1,M3484="1")),"adequate","partial"),IF(AND(H3484="W4",F3484="predictive",OR(J3484="P2",J3484="P3",J3484="P4")),IF(OR(U3484=1,U3484="1"),"adequate","partial"),INDEX(Fit_Matrix!$B:$B,MATCH(P3484,Fit_Matrix!$A:$A,0)))),"CHECK KEY"))</f>
        <v/>
      </c>
      <c r="U3484" s="10" t="n"/>
      <c r="V3484" s="10" t="n"/>
      <c r="W3484" s="10" t="n"/>
      <c r="X3484" s="10" t="n"/>
      <c r="Y3484" s="10" t="n"/>
      <c r="Z3484" s="10" t="n"/>
      <c r="AA3484" s="11">
        <f>IF(A3484="","",IF(AND(J3484="P4",F3484="causal"),"P4-CAUSAL",""))</f>
        <v/>
      </c>
    </row>
    <row r="3485" ht="15" customHeight="1" s="1">
      <c r="P3485">
        <f>IF(OR(F3485="",H3485="",J3485=""),"",J3485&amp;"|"&amp;F3485&amp;"|"&amp;IF(H3485="W3","W3_"&amp;IF(I3485="","unknown",I3485),H3485))</f>
        <v/>
      </c>
      <c r="Q3485">
        <f>IF(P3485="","",IFERROR(IF(AND(H3485="W7",OR(F3485="causal",F3485="predictive")),IF(AND(OR(K3485=1,K3485="1"),OR(L3485=1,L3485="1"),OR(M3485=1,M3485="1")),"adequate","partial"),IF(AND(H3485="W4",F3485="predictive",OR(J3485="P2",J3485="P3",J3485="P4")),IF(OR(U3485=1,U3485="1"),"adequate","partial"),INDEX(Fit_Matrix!$B:$B,MATCH(P3485,Fit_Matrix!$A:$A,0)))),"CHECK KEY"))</f>
        <v/>
      </c>
      <c r="U3485" s="10" t="n"/>
      <c r="V3485" s="10" t="n"/>
      <c r="W3485" s="10" t="n"/>
      <c r="X3485" s="10" t="n"/>
      <c r="Y3485" s="10" t="n"/>
      <c r="Z3485" s="10" t="n"/>
      <c r="AA3485" s="11">
        <f>IF(A3485="","",IF(AND(J3485="P4",F3485="causal"),"P4-CAUSAL",""))</f>
        <v/>
      </c>
    </row>
    <row r="3486" ht="15" customHeight="1" s="1">
      <c r="P3486">
        <f>IF(OR(F3486="",H3486="",J3486=""),"",J3486&amp;"|"&amp;F3486&amp;"|"&amp;IF(H3486="W3","W3_"&amp;IF(I3486="","unknown",I3486),H3486))</f>
        <v/>
      </c>
      <c r="Q3486">
        <f>IF(P3486="","",IFERROR(IF(AND(H3486="W7",OR(F3486="causal",F3486="predictive")),IF(AND(OR(K3486=1,K3486="1"),OR(L3486=1,L3486="1"),OR(M3486=1,M3486="1")),"adequate","partial"),IF(AND(H3486="W4",F3486="predictive",OR(J3486="P2",J3486="P3",J3486="P4")),IF(OR(U3486=1,U3486="1"),"adequate","partial"),INDEX(Fit_Matrix!$B:$B,MATCH(P3486,Fit_Matrix!$A:$A,0)))),"CHECK KEY"))</f>
        <v/>
      </c>
      <c r="U3486" s="10" t="n"/>
      <c r="V3486" s="10" t="n"/>
      <c r="W3486" s="10" t="n"/>
      <c r="X3486" s="10" t="n"/>
      <c r="Y3486" s="10" t="n"/>
      <c r="Z3486" s="10" t="n"/>
      <c r="AA3486" s="11">
        <f>IF(A3486="","",IF(AND(J3486="P4",F3486="causal"),"P4-CAUSAL",""))</f>
        <v/>
      </c>
    </row>
    <row r="3487" ht="15" customHeight="1" s="1">
      <c r="P3487">
        <f>IF(OR(F3487="",H3487="",J3487=""),"",J3487&amp;"|"&amp;F3487&amp;"|"&amp;IF(H3487="W3","W3_"&amp;IF(I3487="","unknown",I3487),H3487))</f>
        <v/>
      </c>
      <c r="Q3487">
        <f>IF(P3487="","",IFERROR(IF(AND(H3487="W7",OR(F3487="causal",F3487="predictive")),IF(AND(OR(K3487=1,K3487="1"),OR(L3487=1,L3487="1"),OR(M3487=1,M3487="1")),"adequate","partial"),IF(AND(H3487="W4",F3487="predictive",OR(J3487="P2",J3487="P3",J3487="P4")),IF(OR(U3487=1,U3487="1"),"adequate","partial"),INDEX(Fit_Matrix!$B:$B,MATCH(P3487,Fit_Matrix!$A:$A,0)))),"CHECK KEY"))</f>
        <v/>
      </c>
      <c r="U3487" s="10" t="n"/>
      <c r="V3487" s="10" t="n"/>
      <c r="W3487" s="10" t="n"/>
      <c r="X3487" s="10" t="n"/>
      <c r="Y3487" s="10" t="n"/>
      <c r="Z3487" s="10" t="n"/>
      <c r="AA3487" s="11">
        <f>IF(A3487="","",IF(AND(J3487="P4",F3487="causal"),"P4-CAUSAL",""))</f>
        <v/>
      </c>
    </row>
    <row r="3488" ht="15" customHeight="1" s="1">
      <c r="P3488">
        <f>IF(OR(F3488="",H3488="",J3488=""),"",J3488&amp;"|"&amp;F3488&amp;"|"&amp;IF(H3488="W3","W3_"&amp;IF(I3488="","unknown",I3488),H3488))</f>
        <v/>
      </c>
      <c r="Q3488">
        <f>IF(P3488="","",IFERROR(IF(AND(H3488="W7",OR(F3488="causal",F3488="predictive")),IF(AND(OR(K3488=1,K3488="1"),OR(L3488=1,L3488="1"),OR(M3488=1,M3488="1")),"adequate","partial"),IF(AND(H3488="W4",F3488="predictive",OR(J3488="P2",J3488="P3",J3488="P4")),IF(OR(U3488=1,U3488="1"),"adequate","partial"),INDEX(Fit_Matrix!$B:$B,MATCH(P3488,Fit_Matrix!$A:$A,0)))),"CHECK KEY"))</f>
        <v/>
      </c>
      <c r="U3488" s="10" t="n"/>
      <c r="V3488" s="10" t="n"/>
      <c r="W3488" s="10" t="n"/>
      <c r="X3488" s="10" t="n"/>
      <c r="Y3488" s="10" t="n"/>
      <c r="Z3488" s="10" t="n"/>
      <c r="AA3488" s="11">
        <f>IF(A3488="","",IF(AND(J3488="P4",F3488="causal"),"P4-CAUSAL",""))</f>
        <v/>
      </c>
    </row>
    <row r="3489" ht="15" customHeight="1" s="1">
      <c r="P3489">
        <f>IF(OR(F3489="",H3489="",J3489=""),"",J3489&amp;"|"&amp;F3489&amp;"|"&amp;IF(H3489="W3","W3_"&amp;IF(I3489="","unknown",I3489),H3489))</f>
        <v/>
      </c>
      <c r="Q3489">
        <f>IF(P3489="","",IFERROR(IF(AND(H3489="W7",OR(F3489="causal",F3489="predictive")),IF(AND(OR(K3489=1,K3489="1"),OR(L3489=1,L3489="1"),OR(M3489=1,M3489="1")),"adequate","partial"),IF(AND(H3489="W4",F3489="predictive",OR(J3489="P2",J3489="P3",J3489="P4")),IF(OR(U3489=1,U3489="1"),"adequate","partial"),INDEX(Fit_Matrix!$B:$B,MATCH(P3489,Fit_Matrix!$A:$A,0)))),"CHECK KEY"))</f>
        <v/>
      </c>
      <c r="U3489" s="10" t="n"/>
      <c r="V3489" s="10" t="n"/>
      <c r="W3489" s="10" t="n"/>
      <c r="X3489" s="10" t="n"/>
      <c r="Y3489" s="10" t="n"/>
      <c r="Z3489" s="10" t="n"/>
      <c r="AA3489" s="11">
        <f>IF(A3489="","",IF(AND(J3489="P4",F3489="causal"),"P4-CAUSAL",""))</f>
        <v/>
      </c>
    </row>
    <row r="3490" ht="15" customHeight="1" s="1">
      <c r="P3490">
        <f>IF(OR(F3490="",H3490="",J3490=""),"",J3490&amp;"|"&amp;F3490&amp;"|"&amp;IF(H3490="W3","W3_"&amp;IF(I3490="","unknown",I3490),H3490))</f>
        <v/>
      </c>
      <c r="Q3490">
        <f>IF(P3490="","",IFERROR(IF(AND(H3490="W7",OR(F3490="causal",F3490="predictive")),IF(AND(OR(K3490=1,K3490="1"),OR(L3490=1,L3490="1"),OR(M3490=1,M3490="1")),"adequate","partial"),IF(AND(H3490="W4",F3490="predictive",OR(J3490="P2",J3490="P3",J3490="P4")),IF(OR(U3490=1,U3490="1"),"adequate","partial"),INDEX(Fit_Matrix!$B:$B,MATCH(P3490,Fit_Matrix!$A:$A,0)))),"CHECK KEY"))</f>
        <v/>
      </c>
      <c r="U3490" s="10" t="n"/>
      <c r="V3490" s="10" t="n"/>
      <c r="W3490" s="10" t="n"/>
      <c r="X3490" s="10" t="n"/>
      <c r="Y3490" s="10" t="n"/>
      <c r="Z3490" s="10" t="n"/>
      <c r="AA3490" s="11">
        <f>IF(A3490="","",IF(AND(J3490="P4",F3490="causal"),"P4-CAUSAL",""))</f>
        <v/>
      </c>
    </row>
    <row r="3491" ht="15" customHeight="1" s="1">
      <c r="P3491">
        <f>IF(OR(F3491="",H3491="",J3491=""),"",J3491&amp;"|"&amp;F3491&amp;"|"&amp;IF(H3491="W3","W3_"&amp;IF(I3491="","unknown",I3491),H3491))</f>
        <v/>
      </c>
      <c r="Q3491">
        <f>IF(P3491="","",IFERROR(IF(AND(H3491="W7",OR(F3491="causal",F3491="predictive")),IF(AND(OR(K3491=1,K3491="1"),OR(L3491=1,L3491="1"),OR(M3491=1,M3491="1")),"adequate","partial"),IF(AND(H3491="W4",F3491="predictive",OR(J3491="P2",J3491="P3",J3491="P4")),IF(OR(U3491=1,U3491="1"),"adequate","partial"),INDEX(Fit_Matrix!$B:$B,MATCH(P3491,Fit_Matrix!$A:$A,0)))),"CHECK KEY"))</f>
        <v/>
      </c>
      <c r="U3491" s="10" t="n"/>
      <c r="V3491" s="10" t="n"/>
      <c r="W3491" s="10" t="n"/>
      <c r="X3491" s="10" t="n"/>
      <c r="Y3491" s="10" t="n"/>
      <c r="Z3491" s="10" t="n"/>
      <c r="AA3491" s="11">
        <f>IF(A3491="","",IF(AND(J3491="P4",F3491="causal"),"P4-CAUSAL",""))</f>
        <v/>
      </c>
    </row>
    <row r="3492" ht="15" customHeight="1" s="1">
      <c r="P3492">
        <f>IF(OR(F3492="",H3492="",J3492=""),"",J3492&amp;"|"&amp;F3492&amp;"|"&amp;IF(H3492="W3","W3_"&amp;IF(I3492="","unknown",I3492),H3492))</f>
        <v/>
      </c>
      <c r="Q3492">
        <f>IF(P3492="","",IFERROR(IF(AND(H3492="W7",OR(F3492="causal",F3492="predictive")),IF(AND(OR(K3492=1,K3492="1"),OR(L3492=1,L3492="1"),OR(M3492=1,M3492="1")),"adequate","partial"),IF(AND(H3492="W4",F3492="predictive",OR(J3492="P2",J3492="P3",J3492="P4")),IF(OR(U3492=1,U3492="1"),"adequate","partial"),INDEX(Fit_Matrix!$B:$B,MATCH(P3492,Fit_Matrix!$A:$A,0)))),"CHECK KEY"))</f>
        <v/>
      </c>
      <c r="U3492" s="10" t="n"/>
      <c r="V3492" s="10" t="n"/>
      <c r="W3492" s="10" t="n"/>
      <c r="X3492" s="10" t="n"/>
      <c r="Y3492" s="10" t="n"/>
      <c r="Z3492" s="10" t="n"/>
      <c r="AA3492" s="11">
        <f>IF(A3492="","",IF(AND(J3492="P4",F3492="causal"),"P4-CAUSAL",""))</f>
        <v/>
      </c>
    </row>
    <row r="3493" ht="15" customHeight="1" s="1">
      <c r="P3493">
        <f>IF(OR(F3493="",H3493="",J3493=""),"",J3493&amp;"|"&amp;F3493&amp;"|"&amp;IF(H3493="W3","W3_"&amp;IF(I3493="","unknown",I3493),H3493))</f>
        <v/>
      </c>
      <c r="Q3493">
        <f>IF(P3493="","",IFERROR(IF(AND(H3493="W7",OR(F3493="causal",F3493="predictive")),IF(AND(OR(K3493=1,K3493="1"),OR(L3493=1,L3493="1"),OR(M3493=1,M3493="1")),"adequate","partial"),IF(AND(H3493="W4",F3493="predictive",OR(J3493="P2",J3493="P3",J3493="P4")),IF(OR(U3493=1,U3493="1"),"adequate","partial"),INDEX(Fit_Matrix!$B:$B,MATCH(P3493,Fit_Matrix!$A:$A,0)))),"CHECK KEY"))</f>
        <v/>
      </c>
      <c r="U3493" s="10" t="n"/>
      <c r="V3493" s="10" t="n"/>
      <c r="W3493" s="10" t="n"/>
      <c r="X3493" s="10" t="n"/>
      <c r="Y3493" s="10" t="n"/>
      <c r="Z3493" s="10" t="n"/>
      <c r="AA3493" s="11">
        <f>IF(A3493="","",IF(AND(J3493="P4",F3493="causal"),"P4-CAUSAL",""))</f>
        <v/>
      </c>
    </row>
    <row r="3494" ht="15" customHeight="1" s="1">
      <c r="P3494">
        <f>IF(OR(F3494="",H3494="",J3494=""),"",J3494&amp;"|"&amp;F3494&amp;"|"&amp;IF(H3494="W3","W3_"&amp;IF(I3494="","unknown",I3494),H3494))</f>
        <v/>
      </c>
      <c r="Q3494">
        <f>IF(P3494="","",IFERROR(IF(AND(H3494="W7",OR(F3494="causal",F3494="predictive")),IF(AND(OR(K3494=1,K3494="1"),OR(L3494=1,L3494="1"),OR(M3494=1,M3494="1")),"adequate","partial"),IF(AND(H3494="W4",F3494="predictive",OR(J3494="P2",J3494="P3",J3494="P4")),IF(OR(U3494=1,U3494="1"),"adequate","partial"),INDEX(Fit_Matrix!$B:$B,MATCH(P3494,Fit_Matrix!$A:$A,0)))),"CHECK KEY"))</f>
        <v/>
      </c>
      <c r="U3494" s="10" t="n"/>
      <c r="V3494" s="10" t="n"/>
      <c r="W3494" s="10" t="n"/>
      <c r="X3494" s="10" t="n"/>
      <c r="Y3494" s="10" t="n"/>
      <c r="Z3494" s="10" t="n"/>
      <c r="AA3494" s="11">
        <f>IF(A3494="","",IF(AND(J3494="P4",F3494="causal"),"P4-CAUSAL",""))</f>
        <v/>
      </c>
    </row>
    <row r="3495" ht="15" customHeight="1" s="1">
      <c r="P3495">
        <f>IF(OR(F3495="",H3495="",J3495=""),"",J3495&amp;"|"&amp;F3495&amp;"|"&amp;IF(H3495="W3","W3_"&amp;IF(I3495="","unknown",I3495),H3495))</f>
        <v/>
      </c>
      <c r="Q3495">
        <f>IF(P3495="","",IFERROR(IF(AND(H3495="W7",OR(F3495="causal",F3495="predictive")),IF(AND(OR(K3495=1,K3495="1"),OR(L3495=1,L3495="1"),OR(M3495=1,M3495="1")),"adequate","partial"),IF(AND(H3495="W4",F3495="predictive",OR(J3495="P2",J3495="P3",J3495="P4")),IF(OR(U3495=1,U3495="1"),"adequate","partial"),INDEX(Fit_Matrix!$B:$B,MATCH(P3495,Fit_Matrix!$A:$A,0)))),"CHECK KEY"))</f>
        <v/>
      </c>
      <c r="U3495" s="10" t="n"/>
      <c r="V3495" s="10" t="n"/>
      <c r="W3495" s="10" t="n"/>
      <c r="X3495" s="10" t="n"/>
      <c r="Y3495" s="10" t="n"/>
      <c r="Z3495" s="10" t="n"/>
      <c r="AA3495" s="11">
        <f>IF(A3495="","",IF(AND(J3495="P4",F3495="causal"),"P4-CAUSAL",""))</f>
        <v/>
      </c>
    </row>
    <row r="3496" ht="15" customHeight="1" s="1">
      <c r="P3496">
        <f>IF(OR(F3496="",H3496="",J3496=""),"",J3496&amp;"|"&amp;F3496&amp;"|"&amp;IF(H3496="W3","W3_"&amp;IF(I3496="","unknown",I3496),H3496))</f>
        <v/>
      </c>
      <c r="Q3496">
        <f>IF(P3496="","",IFERROR(IF(AND(H3496="W7",OR(F3496="causal",F3496="predictive")),IF(AND(OR(K3496=1,K3496="1"),OR(L3496=1,L3496="1"),OR(M3496=1,M3496="1")),"adequate","partial"),IF(AND(H3496="W4",F3496="predictive",OR(J3496="P2",J3496="P3",J3496="P4")),IF(OR(U3496=1,U3496="1"),"adequate","partial"),INDEX(Fit_Matrix!$B:$B,MATCH(P3496,Fit_Matrix!$A:$A,0)))),"CHECK KEY"))</f>
        <v/>
      </c>
      <c r="U3496" s="10" t="n"/>
      <c r="V3496" s="10" t="n"/>
      <c r="W3496" s="10" t="n"/>
      <c r="X3496" s="10" t="n"/>
      <c r="Y3496" s="10" t="n"/>
      <c r="Z3496" s="10" t="n"/>
      <c r="AA3496" s="11">
        <f>IF(A3496="","",IF(AND(J3496="P4",F3496="causal"),"P4-CAUSAL",""))</f>
        <v/>
      </c>
    </row>
    <row r="3497" ht="15" customHeight="1" s="1">
      <c r="P3497">
        <f>IF(OR(F3497="",H3497="",J3497=""),"",J3497&amp;"|"&amp;F3497&amp;"|"&amp;IF(H3497="W3","W3_"&amp;IF(I3497="","unknown",I3497),H3497))</f>
        <v/>
      </c>
      <c r="Q3497">
        <f>IF(P3497="","",IFERROR(IF(AND(H3497="W7",OR(F3497="causal",F3497="predictive")),IF(AND(OR(K3497=1,K3497="1"),OR(L3497=1,L3497="1"),OR(M3497=1,M3497="1")),"adequate","partial"),IF(AND(H3497="W4",F3497="predictive",OR(J3497="P2",J3497="P3",J3497="P4")),IF(OR(U3497=1,U3497="1"),"adequate","partial"),INDEX(Fit_Matrix!$B:$B,MATCH(P3497,Fit_Matrix!$A:$A,0)))),"CHECK KEY"))</f>
        <v/>
      </c>
      <c r="U3497" s="10" t="n"/>
      <c r="V3497" s="10" t="n"/>
      <c r="W3497" s="10" t="n"/>
      <c r="X3497" s="10" t="n"/>
      <c r="Y3497" s="10" t="n"/>
      <c r="Z3497" s="10" t="n"/>
      <c r="AA3497" s="11">
        <f>IF(A3497="","",IF(AND(J3497="P4",F3497="causal"),"P4-CAUSAL",""))</f>
        <v/>
      </c>
    </row>
    <row r="3498" ht="15" customHeight="1" s="1">
      <c r="P3498">
        <f>IF(OR(F3498="",H3498="",J3498=""),"",J3498&amp;"|"&amp;F3498&amp;"|"&amp;IF(H3498="W3","W3_"&amp;IF(I3498="","unknown",I3498),H3498))</f>
        <v/>
      </c>
      <c r="Q3498">
        <f>IF(P3498="","",IFERROR(IF(AND(H3498="W7",OR(F3498="causal",F3498="predictive")),IF(AND(OR(K3498=1,K3498="1"),OR(L3498=1,L3498="1"),OR(M3498=1,M3498="1")),"adequate","partial"),IF(AND(H3498="W4",F3498="predictive",OR(J3498="P2",J3498="P3",J3498="P4")),IF(OR(U3498=1,U3498="1"),"adequate","partial"),INDEX(Fit_Matrix!$B:$B,MATCH(P3498,Fit_Matrix!$A:$A,0)))),"CHECK KEY"))</f>
        <v/>
      </c>
      <c r="U3498" s="10" t="n"/>
      <c r="V3498" s="10" t="n"/>
      <c r="W3498" s="10" t="n"/>
      <c r="X3498" s="10" t="n"/>
      <c r="Y3498" s="10" t="n"/>
      <c r="Z3498" s="10" t="n"/>
      <c r="AA3498" s="11">
        <f>IF(A3498="","",IF(AND(J3498="P4",F3498="causal"),"P4-CAUSAL",""))</f>
        <v/>
      </c>
    </row>
    <row r="3499" ht="15" customHeight="1" s="1">
      <c r="P3499">
        <f>IF(OR(F3499="",H3499="",J3499=""),"",J3499&amp;"|"&amp;F3499&amp;"|"&amp;IF(H3499="W3","W3_"&amp;IF(I3499="","unknown",I3499),H3499))</f>
        <v/>
      </c>
      <c r="Q3499">
        <f>IF(P3499="","",IFERROR(IF(AND(H3499="W7",OR(F3499="causal",F3499="predictive")),IF(AND(OR(K3499=1,K3499="1"),OR(L3499=1,L3499="1"),OR(M3499=1,M3499="1")),"adequate","partial"),IF(AND(H3499="W4",F3499="predictive",OR(J3499="P2",J3499="P3",J3499="P4")),IF(OR(U3499=1,U3499="1"),"adequate","partial"),INDEX(Fit_Matrix!$B:$B,MATCH(P3499,Fit_Matrix!$A:$A,0)))),"CHECK KEY"))</f>
        <v/>
      </c>
      <c r="U3499" s="10" t="n"/>
      <c r="V3499" s="10" t="n"/>
      <c r="W3499" s="10" t="n"/>
      <c r="X3499" s="10" t="n"/>
      <c r="Y3499" s="10" t="n"/>
      <c r="Z3499" s="10" t="n"/>
      <c r="AA3499" s="11">
        <f>IF(A3499="","",IF(AND(J3499="P4",F3499="causal"),"P4-CAUSAL",""))</f>
        <v/>
      </c>
    </row>
    <row r="3500" ht="15" customHeight="1" s="1">
      <c r="P3500">
        <f>IF(OR(F3500="",H3500="",J3500=""),"",J3500&amp;"|"&amp;F3500&amp;"|"&amp;IF(H3500="W3","W3_"&amp;IF(I3500="","unknown",I3500),H3500))</f>
        <v/>
      </c>
      <c r="Q3500">
        <f>IF(P3500="","",IFERROR(IF(AND(H3500="W7",OR(F3500="causal",F3500="predictive")),IF(AND(OR(K3500=1,K3500="1"),OR(L3500=1,L3500="1"),OR(M3500=1,M3500="1")),"adequate","partial"),IF(AND(H3500="W4",F3500="predictive",OR(J3500="P2",J3500="P3",J3500="P4")),IF(OR(U3500=1,U3500="1"),"adequate","partial"),INDEX(Fit_Matrix!$B:$B,MATCH(P3500,Fit_Matrix!$A:$A,0)))),"CHECK KEY"))</f>
        <v/>
      </c>
      <c r="U3500" s="10" t="n"/>
      <c r="V3500" s="10" t="n"/>
      <c r="W3500" s="10" t="n"/>
      <c r="X3500" s="10" t="n"/>
      <c r="Y3500" s="10" t="n"/>
      <c r="Z3500" s="10" t="n"/>
      <c r="AA3500" s="11">
        <f>IF(A3500="","",IF(AND(J3500="P4",F3500="causal"),"P4-CAUSAL",""))</f>
        <v/>
      </c>
    </row>
    <row r="3501" ht="15" customHeight="1" s="1">
      <c r="P3501">
        <f>IF(OR(F3501="",H3501="",J3501=""),"",J3501&amp;"|"&amp;F3501&amp;"|"&amp;IF(H3501="W3","W3_"&amp;IF(I3501="","unknown",I3501),H3501))</f>
        <v/>
      </c>
      <c r="Q3501">
        <f>IF(P3501="","",IFERROR(IF(AND(H3501="W7",OR(F3501="causal",F3501="predictive")),IF(AND(OR(K3501=1,K3501="1"),OR(L3501=1,L3501="1"),OR(M3501=1,M3501="1")),"adequate","partial"),IF(AND(H3501="W4",F3501="predictive",OR(J3501="P2",J3501="P3",J3501="P4")),IF(OR(U3501=1,U3501="1"),"adequate","partial"),INDEX(Fit_Matrix!$B:$B,MATCH(P3501,Fit_Matrix!$A:$A,0)))),"CHECK KEY"))</f>
        <v/>
      </c>
      <c r="U3501" s="10" t="n"/>
      <c r="V3501" s="10" t="n"/>
      <c r="W3501" s="10" t="n"/>
      <c r="X3501" s="10" t="n"/>
      <c r="Y3501" s="10" t="n"/>
      <c r="Z3501" s="10" t="n"/>
      <c r="AA3501" s="11">
        <f>IF(A3501="","",IF(AND(J3501="P4",F3501="causal"),"P4-CAUSAL",""))</f>
        <v/>
      </c>
    </row>
    <row r="3502" ht="15" customHeight="1" s="1">
      <c r="P3502">
        <f>IF(OR(F3502="",H3502="",J3502=""),"",J3502&amp;"|"&amp;F3502&amp;"|"&amp;IF(H3502="W3","W3_"&amp;IF(I3502="","unknown",I3502),H3502))</f>
        <v/>
      </c>
      <c r="Q3502">
        <f>IF(P3502="","",IFERROR(IF(AND(H3502="W7",OR(F3502="causal",F3502="predictive")),IF(AND(OR(K3502=1,K3502="1"),OR(L3502=1,L3502="1"),OR(M3502=1,M3502="1")),"adequate","partial"),IF(AND(H3502="W4",F3502="predictive",OR(J3502="P2",J3502="P3",J3502="P4")),IF(OR(U3502=1,U3502="1"),"adequate","partial"),INDEX(Fit_Matrix!$B:$B,MATCH(P3502,Fit_Matrix!$A:$A,0)))),"CHECK KEY"))</f>
        <v/>
      </c>
      <c r="U3502" s="10" t="n"/>
      <c r="V3502" s="10" t="n"/>
      <c r="W3502" s="10" t="n"/>
      <c r="X3502" s="10" t="n"/>
      <c r="Y3502" s="10" t="n"/>
      <c r="Z3502" s="10" t="n"/>
      <c r="AA3502" s="11">
        <f>IF(A3502="","",IF(AND(J3502="P4",F3502="causal"),"P4-CAUSAL",""))</f>
        <v/>
      </c>
    </row>
    <row r="3503" ht="15" customHeight="1" s="1">
      <c r="P3503">
        <f>IF(OR(F3503="",H3503="",J3503=""),"",J3503&amp;"|"&amp;F3503&amp;"|"&amp;IF(H3503="W3","W3_"&amp;IF(I3503="","unknown",I3503),H3503))</f>
        <v/>
      </c>
      <c r="Q3503">
        <f>IF(P3503="","",IFERROR(IF(AND(H3503="W7",OR(F3503="causal",F3503="predictive")),IF(AND(OR(K3503=1,K3503="1"),OR(L3503=1,L3503="1"),OR(M3503=1,M3503="1")),"adequate","partial"),IF(AND(H3503="W4",F3503="predictive",OR(J3503="P2",J3503="P3",J3503="P4")),IF(OR(U3503=1,U3503="1"),"adequate","partial"),INDEX(Fit_Matrix!$B:$B,MATCH(P3503,Fit_Matrix!$A:$A,0)))),"CHECK KEY"))</f>
        <v/>
      </c>
      <c r="U3503" s="10" t="n"/>
      <c r="V3503" s="10" t="n"/>
      <c r="W3503" s="10" t="n"/>
      <c r="X3503" s="10" t="n"/>
      <c r="Y3503" s="10" t="n"/>
      <c r="Z3503" s="10" t="n"/>
      <c r="AA3503" s="11">
        <f>IF(A3503="","",IF(AND(J3503="P4",F3503="causal"),"P4-CAUSAL",""))</f>
        <v/>
      </c>
    </row>
    <row r="3504" ht="15" customHeight="1" s="1">
      <c r="P3504">
        <f>IF(OR(F3504="",H3504="",J3504=""),"",J3504&amp;"|"&amp;F3504&amp;"|"&amp;IF(H3504="W3","W3_"&amp;IF(I3504="","unknown",I3504),H3504))</f>
        <v/>
      </c>
      <c r="Q3504">
        <f>IF(P3504="","",IFERROR(IF(AND(H3504="W7",OR(F3504="causal",F3504="predictive")),IF(AND(OR(K3504=1,K3504="1"),OR(L3504=1,L3504="1"),OR(M3504=1,M3504="1")),"adequate","partial"),IF(AND(H3504="W4",F3504="predictive",OR(J3504="P2",J3504="P3",J3504="P4")),IF(OR(U3504=1,U3504="1"),"adequate","partial"),INDEX(Fit_Matrix!$B:$B,MATCH(P3504,Fit_Matrix!$A:$A,0)))),"CHECK KEY"))</f>
        <v/>
      </c>
      <c r="U3504" s="10" t="n"/>
      <c r="V3504" s="10" t="n"/>
      <c r="W3504" s="10" t="n"/>
      <c r="X3504" s="10" t="n"/>
      <c r="Y3504" s="10" t="n"/>
      <c r="Z3504" s="10" t="n"/>
      <c r="AA3504" s="11">
        <f>IF(A3504="","",IF(AND(J3504="P4",F3504="causal"),"P4-CAUSAL",""))</f>
        <v/>
      </c>
    </row>
    <row r="3505" ht="15" customHeight="1" s="1">
      <c r="P3505">
        <f>IF(OR(F3505="",H3505="",J3505=""),"",J3505&amp;"|"&amp;F3505&amp;"|"&amp;IF(H3505="W3","W3_"&amp;IF(I3505="","unknown",I3505),H3505))</f>
        <v/>
      </c>
      <c r="Q3505">
        <f>IF(P3505="","",IFERROR(IF(AND(H3505="W7",OR(F3505="causal",F3505="predictive")),IF(AND(OR(K3505=1,K3505="1"),OR(L3505=1,L3505="1"),OR(M3505=1,M3505="1")),"adequate","partial"),IF(AND(H3505="W4",F3505="predictive",OR(J3505="P2",J3505="P3",J3505="P4")),IF(OR(U3505=1,U3505="1"),"adequate","partial"),INDEX(Fit_Matrix!$B:$B,MATCH(P3505,Fit_Matrix!$A:$A,0)))),"CHECK KEY"))</f>
        <v/>
      </c>
      <c r="U3505" s="10" t="n"/>
      <c r="V3505" s="10" t="n"/>
      <c r="W3505" s="10" t="n"/>
      <c r="X3505" s="10" t="n"/>
      <c r="Y3505" s="10" t="n"/>
      <c r="Z3505" s="10" t="n"/>
      <c r="AA3505" s="11">
        <f>IF(A3505="","",IF(AND(J3505="P4",F3505="causal"),"P4-CAUSAL",""))</f>
        <v/>
      </c>
    </row>
    <row r="3506" ht="15" customHeight="1" s="1">
      <c r="P3506">
        <f>IF(OR(F3506="",H3506="",J3506=""),"",J3506&amp;"|"&amp;F3506&amp;"|"&amp;IF(H3506="W3","W3_"&amp;IF(I3506="","unknown",I3506),H3506))</f>
        <v/>
      </c>
      <c r="Q3506">
        <f>IF(P3506="","",IFERROR(IF(AND(H3506="W7",OR(F3506="causal",F3506="predictive")),IF(AND(OR(K3506=1,K3506="1"),OR(L3506=1,L3506="1"),OR(M3506=1,M3506="1")),"adequate","partial"),IF(AND(H3506="W4",F3506="predictive",OR(J3506="P2",J3506="P3",J3506="P4")),IF(OR(U3506=1,U3506="1"),"adequate","partial"),INDEX(Fit_Matrix!$B:$B,MATCH(P3506,Fit_Matrix!$A:$A,0)))),"CHECK KEY"))</f>
        <v/>
      </c>
      <c r="U3506" s="10" t="n"/>
      <c r="V3506" s="10" t="n"/>
      <c r="W3506" s="10" t="n"/>
      <c r="X3506" s="10" t="n"/>
      <c r="Y3506" s="10" t="n"/>
      <c r="Z3506" s="10" t="n"/>
      <c r="AA3506" s="11">
        <f>IF(A3506="","",IF(AND(J3506="P4",F3506="causal"),"P4-CAUSAL",""))</f>
        <v/>
      </c>
    </row>
    <row r="3507" ht="15" customHeight="1" s="1">
      <c r="P3507">
        <f>IF(OR(F3507="",H3507="",J3507=""),"",J3507&amp;"|"&amp;F3507&amp;"|"&amp;IF(H3507="W3","W3_"&amp;IF(I3507="","unknown",I3507),H3507))</f>
        <v/>
      </c>
      <c r="Q3507">
        <f>IF(P3507="","",IFERROR(IF(AND(H3507="W7",OR(F3507="causal",F3507="predictive")),IF(AND(OR(K3507=1,K3507="1"),OR(L3507=1,L3507="1"),OR(M3507=1,M3507="1")),"adequate","partial"),IF(AND(H3507="W4",F3507="predictive",OR(J3507="P2",J3507="P3",J3507="P4")),IF(OR(U3507=1,U3507="1"),"adequate","partial"),INDEX(Fit_Matrix!$B:$B,MATCH(P3507,Fit_Matrix!$A:$A,0)))),"CHECK KEY"))</f>
        <v/>
      </c>
      <c r="U3507" s="10" t="n"/>
      <c r="V3507" s="10" t="n"/>
      <c r="W3507" s="10" t="n"/>
      <c r="X3507" s="10" t="n"/>
      <c r="Y3507" s="10" t="n"/>
      <c r="Z3507" s="10" t="n"/>
      <c r="AA3507" s="11">
        <f>IF(A3507="","",IF(AND(J3507="P4",F3507="causal"),"P4-CAUSAL",""))</f>
        <v/>
      </c>
    </row>
    <row r="3508" ht="15" customHeight="1" s="1">
      <c r="P3508">
        <f>IF(OR(F3508="",H3508="",J3508=""),"",J3508&amp;"|"&amp;F3508&amp;"|"&amp;IF(H3508="W3","W3_"&amp;IF(I3508="","unknown",I3508),H3508))</f>
        <v/>
      </c>
      <c r="Q3508">
        <f>IF(P3508="","",IFERROR(IF(AND(H3508="W7",OR(F3508="causal",F3508="predictive")),IF(AND(OR(K3508=1,K3508="1"),OR(L3508=1,L3508="1"),OR(M3508=1,M3508="1")),"adequate","partial"),IF(AND(H3508="W4",F3508="predictive",OR(J3508="P2",J3508="P3",J3508="P4")),IF(OR(U3508=1,U3508="1"),"adequate","partial"),INDEX(Fit_Matrix!$B:$B,MATCH(P3508,Fit_Matrix!$A:$A,0)))),"CHECK KEY"))</f>
        <v/>
      </c>
      <c r="U3508" s="10" t="n"/>
      <c r="V3508" s="10" t="n"/>
      <c r="W3508" s="10" t="n"/>
      <c r="X3508" s="10" t="n"/>
      <c r="Y3508" s="10" t="n"/>
      <c r="Z3508" s="10" t="n"/>
      <c r="AA3508" s="11">
        <f>IF(A3508="","",IF(AND(J3508="P4",F3508="causal"),"P4-CAUSAL",""))</f>
        <v/>
      </c>
    </row>
    <row r="3509" ht="15" customHeight="1" s="1">
      <c r="P3509">
        <f>IF(OR(F3509="",H3509="",J3509=""),"",J3509&amp;"|"&amp;F3509&amp;"|"&amp;IF(H3509="W3","W3_"&amp;IF(I3509="","unknown",I3509),H3509))</f>
        <v/>
      </c>
      <c r="Q3509">
        <f>IF(P3509="","",IFERROR(IF(AND(H3509="W7",OR(F3509="causal",F3509="predictive")),IF(AND(OR(K3509=1,K3509="1"),OR(L3509=1,L3509="1"),OR(M3509=1,M3509="1")),"adequate","partial"),IF(AND(H3509="W4",F3509="predictive",OR(J3509="P2",J3509="P3",J3509="P4")),IF(OR(U3509=1,U3509="1"),"adequate","partial"),INDEX(Fit_Matrix!$B:$B,MATCH(P3509,Fit_Matrix!$A:$A,0)))),"CHECK KEY"))</f>
        <v/>
      </c>
      <c r="U3509" s="10" t="n"/>
      <c r="V3509" s="10" t="n"/>
      <c r="W3509" s="10" t="n"/>
      <c r="X3509" s="10" t="n"/>
      <c r="Y3509" s="10" t="n"/>
      <c r="Z3509" s="10" t="n"/>
      <c r="AA3509" s="11">
        <f>IF(A3509="","",IF(AND(J3509="P4",F3509="causal"),"P4-CAUSAL",""))</f>
        <v/>
      </c>
    </row>
    <row r="3510" ht="15" customHeight="1" s="1">
      <c r="P3510">
        <f>IF(OR(F3510="",H3510="",J3510=""),"",J3510&amp;"|"&amp;F3510&amp;"|"&amp;IF(H3510="W3","W3_"&amp;IF(I3510="","unknown",I3510),H3510))</f>
        <v/>
      </c>
      <c r="Q3510">
        <f>IF(P3510="","",IFERROR(IF(AND(H3510="W7",OR(F3510="causal",F3510="predictive")),IF(AND(OR(K3510=1,K3510="1"),OR(L3510=1,L3510="1"),OR(M3510=1,M3510="1")),"adequate","partial"),IF(AND(H3510="W4",F3510="predictive",OR(J3510="P2",J3510="P3",J3510="P4")),IF(OR(U3510=1,U3510="1"),"adequate","partial"),INDEX(Fit_Matrix!$B:$B,MATCH(P3510,Fit_Matrix!$A:$A,0)))),"CHECK KEY"))</f>
        <v/>
      </c>
      <c r="U3510" s="10" t="n"/>
      <c r="V3510" s="10" t="n"/>
      <c r="W3510" s="10" t="n"/>
      <c r="X3510" s="10" t="n"/>
      <c r="Y3510" s="10" t="n"/>
      <c r="Z3510" s="10" t="n"/>
      <c r="AA3510" s="11">
        <f>IF(A3510="","",IF(AND(J3510="P4",F3510="causal"),"P4-CAUSAL",""))</f>
        <v/>
      </c>
    </row>
    <row r="3511" ht="15" customHeight="1" s="1">
      <c r="P3511">
        <f>IF(OR(F3511="",H3511="",J3511=""),"",J3511&amp;"|"&amp;F3511&amp;"|"&amp;IF(H3511="W3","W3_"&amp;IF(I3511="","unknown",I3511),H3511))</f>
        <v/>
      </c>
      <c r="Q3511">
        <f>IF(P3511="","",IFERROR(IF(AND(H3511="W7",OR(F3511="causal",F3511="predictive")),IF(AND(OR(K3511=1,K3511="1"),OR(L3511=1,L3511="1"),OR(M3511=1,M3511="1")),"adequate","partial"),IF(AND(H3511="W4",F3511="predictive",OR(J3511="P2",J3511="P3",J3511="P4")),IF(OR(U3511=1,U3511="1"),"adequate","partial"),INDEX(Fit_Matrix!$B:$B,MATCH(P3511,Fit_Matrix!$A:$A,0)))),"CHECK KEY"))</f>
        <v/>
      </c>
      <c r="U3511" s="10" t="n"/>
      <c r="V3511" s="10" t="n"/>
      <c r="W3511" s="10" t="n"/>
      <c r="X3511" s="10" t="n"/>
      <c r="Y3511" s="10" t="n"/>
      <c r="Z3511" s="10" t="n"/>
      <c r="AA3511" s="11">
        <f>IF(A3511="","",IF(AND(J3511="P4",F3511="causal"),"P4-CAUSAL",""))</f>
        <v/>
      </c>
    </row>
    <row r="3512" ht="15" customHeight="1" s="1">
      <c r="P3512">
        <f>IF(OR(F3512="",H3512="",J3512=""),"",J3512&amp;"|"&amp;F3512&amp;"|"&amp;IF(H3512="W3","W3_"&amp;IF(I3512="","unknown",I3512),H3512))</f>
        <v/>
      </c>
      <c r="Q3512">
        <f>IF(P3512="","",IFERROR(IF(AND(H3512="W7",OR(F3512="causal",F3512="predictive")),IF(AND(OR(K3512=1,K3512="1"),OR(L3512=1,L3512="1"),OR(M3512=1,M3512="1")),"adequate","partial"),IF(AND(H3512="W4",F3512="predictive",OR(J3512="P2",J3512="P3",J3512="P4")),IF(OR(U3512=1,U3512="1"),"adequate","partial"),INDEX(Fit_Matrix!$B:$B,MATCH(P3512,Fit_Matrix!$A:$A,0)))),"CHECK KEY"))</f>
        <v/>
      </c>
      <c r="U3512" s="10" t="n"/>
      <c r="V3512" s="10" t="n"/>
      <c r="W3512" s="10" t="n"/>
      <c r="X3512" s="10" t="n"/>
      <c r="Y3512" s="10" t="n"/>
      <c r="Z3512" s="10" t="n"/>
      <c r="AA3512" s="11">
        <f>IF(A3512="","",IF(AND(J3512="P4",F3512="causal"),"P4-CAUSAL",""))</f>
        <v/>
      </c>
    </row>
    <row r="3513" ht="15" customHeight="1" s="1">
      <c r="P3513">
        <f>IF(OR(F3513="",H3513="",J3513=""),"",J3513&amp;"|"&amp;F3513&amp;"|"&amp;IF(H3513="W3","W3_"&amp;IF(I3513="","unknown",I3513),H3513))</f>
        <v/>
      </c>
      <c r="Q3513">
        <f>IF(P3513="","",IFERROR(IF(AND(H3513="W7",OR(F3513="causal",F3513="predictive")),IF(AND(OR(K3513=1,K3513="1"),OR(L3513=1,L3513="1"),OR(M3513=1,M3513="1")),"adequate","partial"),IF(AND(H3513="W4",F3513="predictive",OR(J3513="P2",J3513="P3",J3513="P4")),IF(OR(U3513=1,U3513="1"),"adequate","partial"),INDEX(Fit_Matrix!$B:$B,MATCH(P3513,Fit_Matrix!$A:$A,0)))),"CHECK KEY"))</f>
        <v/>
      </c>
      <c r="U3513" s="10" t="n"/>
      <c r="V3513" s="10" t="n"/>
      <c r="W3513" s="10" t="n"/>
      <c r="X3513" s="10" t="n"/>
      <c r="Y3513" s="10" t="n"/>
      <c r="Z3513" s="10" t="n"/>
      <c r="AA3513" s="11">
        <f>IF(A3513="","",IF(AND(J3513="P4",F3513="causal"),"P4-CAUSAL",""))</f>
        <v/>
      </c>
    </row>
    <row r="3514" ht="15" customHeight="1" s="1">
      <c r="P3514">
        <f>IF(OR(F3514="",H3514="",J3514=""),"",J3514&amp;"|"&amp;F3514&amp;"|"&amp;IF(H3514="W3","W3_"&amp;IF(I3514="","unknown",I3514),H3514))</f>
        <v/>
      </c>
      <c r="Q3514">
        <f>IF(P3514="","",IFERROR(IF(AND(H3514="W7",OR(F3514="causal",F3514="predictive")),IF(AND(OR(K3514=1,K3514="1"),OR(L3514=1,L3514="1"),OR(M3514=1,M3514="1")),"adequate","partial"),IF(AND(H3514="W4",F3514="predictive",OR(J3514="P2",J3514="P3",J3514="P4")),IF(OR(U3514=1,U3514="1"),"adequate","partial"),INDEX(Fit_Matrix!$B:$B,MATCH(P3514,Fit_Matrix!$A:$A,0)))),"CHECK KEY"))</f>
        <v/>
      </c>
      <c r="U3514" s="10" t="n"/>
      <c r="V3514" s="10" t="n"/>
      <c r="W3514" s="10" t="n"/>
      <c r="X3514" s="10" t="n"/>
      <c r="Y3514" s="10" t="n"/>
      <c r="Z3514" s="10" t="n"/>
      <c r="AA3514" s="11">
        <f>IF(A3514="","",IF(AND(J3514="P4",F3514="causal"),"P4-CAUSAL",""))</f>
        <v/>
      </c>
    </row>
    <row r="3515" ht="15" customHeight="1" s="1">
      <c r="P3515">
        <f>IF(OR(F3515="",H3515="",J3515=""),"",J3515&amp;"|"&amp;F3515&amp;"|"&amp;IF(H3515="W3","W3_"&amp;IF(I3515="","unknown",I3515),H3515))</f>
        <v/>
      </c>
      <c r="Q3515">
        <f>IF(P3515="","",IFERROR(IF(AND(H3515="W7",OR(F3515="causal",F3515="predictive")),IF(AND(OR(K3515=1,K3515="1"),OR(L3515=1,L3515="1"),OR(M3515=1,M3515="1")),"adequate","partial"),IF(AND(H3515="W4",F3515="predictive",OR(J3515="P2",J3515="P3",J3515="P4")),IF(OR(U3515=1,U3515="1"),"adequate","partial"),INDEX(Fit_Matrix!$B:$B,MATCH(P3515,Fit_Matrix!$A:$A,0)))),"CHECK KEY"))</f>
        <v/>
      </c>
      <c r="U3515" s="10" t="n"/>
      <c r="V3515" s="10" t="n"/>
      <c r="W3515" s="10" t="n"/>
      <c r="X3515" s="10" t="n"/>
      <c r="Y3515" s="10" t="n"/>
      <c r="Z3515" s="10" t="n"/>
      <c r="AA3515" s="11">
        <f>IF(A3515="","",IF(AND(J3515="P4",F3515="causal"),"P4-CAUSAL",""))</f>
        <v/>
      </c>
    </row>
    <row r="3516" ht="15" customHeight="1" s="1">
      <c r="P3516">
        <f>IF(OR(F3516="",H3516="",J3516=""),"",J3516&amp;"|"&amp;F3516&amp;"|"&amp;IF(H3516="W3","W3_"&amp;IF(I3516="","unknown",I3516),H3516))</f>
        <v/>
      </c>
      <c r="Q3516">
        <f>IF(P3516="","",IFERROR(IF(AND(H3516="W7",OR(F3516="causal",F3516="predictive")),IF(AND(OR(K3516=1,K3516="1"),OR(L3516=1,L3516="1"),OR(M3516=1,M3516="1")),"adequate","partial"),IF(AND(H3516="W4",F3516="predictive",OR(J3516="P2",J3516="P3",J3516="P4")),IF(OR(U3516=1,U3516="1"),"adequate","partial"),INDEX(Fit_Matrix!$B:$B,MATCH(P3516,Fit_Matrix!$A:$A,0)))),"CHECK KEY"))</f>
        <v/>
      </c>
      <c r="U3516" s="10" t="n"/>
      <c r="V3516" s="10" t="n"/>
      <c r="W3516" s="10" t="n"/>
      <c r="X3516" s="10" t="n"/>
      <c r="Y3516" s="10" t="n"/>
      <c r="Z3516" s="10" t="n"/>
      <c r="AA3516" s="11">
        <f>IF(A3516="","",IF(AND(J3516="P4",F3516="causal"),"P4-CAUSAL",""))</f>
        <v/>
      </c>
    </row>
    <row r="3517" ht="15" customHeight="1" s="1">
      <c r="P3517">
        <f>IF(OR(F3517="",H3517="",J3517=""),"",J3517&amp;"|"&amp;F3517&amp;"|"&amp;IF(H3517="W3","W3_"&amp;IF(I3517="","unknown",I3517),H3517))</f>
        <v/>
      </c>
      <c r="Q3517">
        <f>IF(P3517="","",IFERROR(IF(AND(H3517="W7",OR(F3517="causal",F3517="predictive")),IF(AND(OR(K3517=1,K3517="1"),OR(L3517=1,L3517="1"),OR(M3517=1,M3517="1")),"adequate","partial"),IF(AND(H3517="W4",F3517="predictive",OR(J3517="P2",J3517="P3",J3517="P4")),IF(OR(U3517=1,U3517="1"),"adequate","partial"),INDEX(Fit_Matrix!$B:$B,MATCH(P3517,Fit_Matrix!$A:$A,0)))),"CHECK KEY"))</f>
        <v/>
      </c>
      <c r="U3517" s="10" t="n"/>
      <c r="V3517" s="10" t="n"/>
      <c r="W3517" s="10" t="n"/>
      <c r="X3517" s="10" t="n"/>
      <c r="Y3517" s="10" t="n"/>
      <c r="Z3517" s="10" t="n"/>
      <c r="AA3517" s="11">
        <f>IF(A3517="","",IF(AND(J3517="P4",F3517="causal"),"P4-CAUSAL",""))</f>
        <v/>
      </c>
    </row>
    <row r="3518" ht="15" customHeight="1" s="1">
      <c r="P3518">
        <f>IF(OR(F3518="",H3518="",J3518=""),"",J3518&amp;"|"&amp;F3518&amp;"|"&amp;IF(H3518="W3","W3_"&amp;IF(I3518="","unknown",I3518),H3518))</f>
        <v/>
      </c>
      <c r="Q3518">
        <f>IF(P3518="","",IFERROR(IF(AND(H3518="W7",OR(F3518="causal",F3518="predictive")),IF(AND(OR(K3518=1,K3518="1"),OR(L3518=1,L3518="1"),OR(M3518=1,M3518="1")),"adequate","partial"),IF(AND(H3518="W4",F3518="predictive",OR(J3518="P2",J3518="P3",J3518="P4")),IF(OR(U3518=1,U3518="1"),"adequate","partial"),INDEX(Fit_Matrix!$B:$B,MATCH(P3518,Fit_Matrix!$A:$A,0)))),"CHECK KEY"))</f>
        <v/>
      </c>
      <c r="U3518" s="10" t="n"/>
      <c r="V3518" s="10" t="n"/>
      <c r="W3518" s="10" t="n"/>
      <c r="X3518" s="10" t="n"/>
      <c r="Y3518" s="10" t="n"/>
      <c r="Z3518" s="10" t="n"/>
      <c r="AA3518" s="11">
        <f>IF(A3518="","",IF(AND(J3518="P4",F3518="causal"),"P4-CAUSAL",""))</f>
        <v/>
      </c>
    </row>
    <row r="3519" ht="15" customHeight="1" s="1">
      <c r="P3519">
        <f>IF(OR(F3519="",H3519="",J3519=""),"",J3519&amp;"|"&amp;F3519&amp;"|"&amp;IF(H3519="W3","W3_"&amp;IF(I3519="","unknown",I3519),H3519))</f>
        <v/>
      </c>
      <c r="Q3519">
        <f>IF(P3519="","",IFERROR(IF(AND(H3519="W7",OR(F3519="causal",F3519="predictive")),IF(AND(OR(K3519=1,K3519="1"),OR(L3519=1,L3519="1"),OR(M3519=1,M3519="1")),"adequate","partial"),IF(AND(H3519="W4",F3519="predictive",OR(J3519="P2",J3519="P3",J3519="P4")),IF(OR(U3519=1,U3519="1"),"adequate","partial"),INDEX(Fit_Matrix!$B:$B,MATCH(P3519,Fit_Matrix!$A:$A,0)))),"CHECK KEY"))</f>
        <v/>
      </c>
      <c r="U3519" s="10" t="n"/>
      <c r="V3519" s="10" t="n"/>
      <c r="W3519" s="10" t="n"/>
      <c r="X3519" s="10" t="n"/>
      <c r="Y3519" s="10" t="n"/>
      <c r="Z3519" s="10" t="n"/>
      <c r="AA3519" s="11">
        <f>IF(A3519="","",IF(AND(J3519="P4",F3519="causal"),"P4-CAUSAL",""))</f>
        <v/>
      </c>
    </row>
    <row r="3520" ht="15" customHeight="1" s="1">
      <c r="P3520">
        <f>IF(OR(F3520="",H3520="",J3520=""),"",J3520&amp;"|"&amp;F3520&amp;"|"&amp;IF(H3520="W3","W3_"&amp;IF(I3520="","unknown",I3520),H3520))</f>
        <v/>
      </c>
      <c r="Q3520">
        <f>IF(P3520="","",IFERROR(IF(AND(H3520="W7",OR(F3520="causal",F3520="predictive")),IF(AND(OR(K3520=1,K3520="1"),OR(L3520=1,L3520="1"),OR(M3520=1,M3520="1")),"adequate","partial"),IF(AND(H3520="W4",F3520="predictive",OR(J3520="P2",J3520="P3",J3520="P4")),IF(OR(U3520=1,U3520="1"),"adequate","partial"),INDEX(Fit_Matrix!$B:$B,MATCH(P3520,Fit_Matrix!$A:$A,0)))),"CHECK KEY"))</f>
        <v/>
      </c>
      <c r="U3520" s="10" t="n"/>
      <c r="V3520" s="10" t="n"/>
      <c r="W3520" s="10" t="n"/>
      <c r="X3520" s="10" t="n"/>
      <c r="Y3520" s="10" t="n"/>
      <c r="Z3520" s="10" t="n"/>
      <c r="AA3520" s="11">
        <f>IF(A3520="","",IF(AND(J3520="P4",F3520="causal"),"P4-CAUSAL",""))</f>
        <v/>
      </c>
    </row>
    <row r="3521" ht="15" customHeight="1" s="1">
      <c r="P3521">
        <f>IF(OR(F3521="",H3521="",J3521=""),"",J3521&amp;"|"&amp;F3521&amp;"|"&amp;IF(H3521="W3","W3_"&amp;IF(I3521="","unknown",I3521),H3521))</f>
        <v/>
      </c>
      <c r="Q3521">
        <f>IF(P3521="","",IFERROR(IF(AND(H3521="W7",OR(F3521="causal",F3521="predictive")),IF(AND(OR(K3521=1,K3521="1"),OR(L3521=1,L3521="1"),OR(M3521=1,M3521="1")),"adequate","partial"),IF(AND(H3521="W4",F3521="predictive",OR(J3521="P2",J3521="P3",J3521="P4")),IF(OR(U3521=1,U3521="1"),"adequate","partial"),INDEX(Fit_Matrix!$B:$B,MATCH(P3521,Fit_Matrix!$A:$A,0)))),"CHECK KEY"))</f>
        <v/>
      </c>
      <c r="U3521" s="10" t="n"/>
      <c r="V3521" s="10" t="n"/>
      <c r="W3521" s="10" t="n"/>
      <c r="X3521" s="10" t="n"/>
      <c r="Y3521" s="10" t="n"/>
      <c r="Z3521" s="10" t="n"/>
      <c r="AA3521" s="11">
        <f>IF(A3521="","",IF(AND(J3521="P4",F3521="causal"),"P4-CAUSAL",""))</f>
        <v/>
      </c>
    </row>
    <row r="3522" ht="15" customHeight="1" s="1">
      <c r="P3522">
        <f>IF(OR(F3522="",H3522="",J3522=""),"",J3522&amp;"|"&amp;F3522&amp;"|"&amp;IF(H3522="W3","W3_"&amp;IF(I3522="","unknown",I3522),H3522))</f>
        <v/>
      </c>
      <c r="Q3522">
        <f>IF(P3522="","",IFERROR(IF(AND(H3522="W7",OR(F3522="causal",F3522="predictive")),IF(AND(OR(K3522=1,K3522="1"),OR(L3522=1,L3522="1"),OR(M3522=1,M3522="1")),"adequate","partial"),IF(AND(H3522="W4",F3522="predictive",OR(J3522="P2",J3522="P3",J3522="P4")),IF(OR(U3522=1,U3522="1"),"adequate","partial"),INDEX(Fit_Matrix!$B:$B,MATCH(P3522,Fit_Matrix!$A:$A,0)))),"CHECK KEY"))</f>
        <v/>
      </c>
      <c r="U3522" s="10" t="n"/>
      <c r="V3522" s="10" t="n"/>
      <c r="W3522" s="10" t="n"/>
      <c r="X3522" s="10" t="n"/>
      <c r="Y3522" s="10" t="n"/>
      <c r="Z3522" s="10" t="n"/>
      <c r="AA3522" s="11">
        <f>IF(A3522="","",IF(AND(J3522="P4",F3522="causal"),"P4-CAUSAL",""))</f>
        <v/>
      </c>
    </row>
    <row r="3523" ht="15" customHeight="1" s="1">
      <c r="P3523">
        <f>IF(OR(F3523="",H3523="",J3523=""),"",J3523&amp;"|"&amp;F3523&amp;"|"&amp;IF(H3523="W3","W3_"&amp;IF(I3523="","unknown",I3523),H3523))</f>
        <v/>
      </c>
      <c r="Q3523">
        <f>IF(P3523="","",IFERROR(IF(AND(H3523="W7",OR(F3523="causal",F3523="predictive")),IF(AND(OR(K3523=1,K3523="1"),OR(L3523=1,L3523="1"),OR(M3523=1,M3523="1")),"adequate","partial"),IF(AND(H3523="W4",F3523="predictive",OR(J3523="P2",J3523="P3",J3523="P4")),IF(OR(U3523=1,U3523="1"),"adequate","partial"),INDEX(Fit_Matrix!$B:$B,MATCH(P3523,Fit_Matrix!$A:$A,0)))),"CHECK KEY"))</f>
        <v/>
      </c>
      <c r="U3523" s="10" t="n"/>
      <c r="V3523" s="10" t="n"/>
      <c r="W3523" s="10" t="n"/>
      <c r="X3523" s="10" t="n"/>
      <c r="Y3523" s="10" t="n"/>
      <c r="Z3523" s="10" t="n"/>
      <c r="AA3523" s="11">
        <f>IF(A3523="","",IF(AND(J3523="P4",F3523="causal"),"P4-CAUSAL",""))</f>
        <v/>
      </c>
    </row>
    <row r="3524" ht="15" customHeight="1" s="1">
      <c r="P3524">
        <f>IF(OR(F3524="",H3524="",J3524=""),"",J3524&amp;"|"&amp;F3524&amp;"|"&amp;IF(H3524="W3","W3_"&amp;IF(I3524="","unknown",I3524),H3524))</f>
        <v/>
      </c>
      <c r="Q3524">
        <f>IF(P3524="","",IFERROR(IF(AND(H3524="W7",OR(F3524="causal",F3524="predictive")),IF(AND(OR(K3524=1,K3524="1"),OR(L3524=1,L3524="1"),OR(M3524=1,M3524="1")),"adequate","partial"),IF(AND(H3524="W4",F3524="predictive",OR(J3524="P2",J3524="P3",J3524="P4")),IF(OR(U3524=1,U3524="1"),"adequate","partial"),INDEX(Fit_Matrix!$B:$B,MATCH(P3524,Fit_Matrix!$A:$A,0)))),"CHECK KEY"))</f>
        <v/>
      </c>
      <c r="U3524" s="10" t="n"/>
      <c r="V3524" s="10" t="n"/>
      <c r="W3524" s="10" t="n"/>
      <c r="X3524" s="10" t="n"/>
      <c r="Y3524" s="10" t="n"/>
      <c r="Z3524" s="10" t="n"/>
      <c r="AA3524" s="11">
        <f>IF(A3524="","",IF(AND(J3524="P4",F3524="causal"),"P4-CAUSAL",""))</f>
        <v/>
      </c>
    </row>
    <row r="3525" ht="15" customHeight="1" s="1">
      <c r="P3525">
        <f>IF(OR(F3525="",H3525="",J3525=""),"",J3525&amp;"|"&amp;F3525&amp;"|"&amp;IF(H3525="W3","W3_"&amp;IF(I3525="","unknown",I3525),H3525))</f>
        <v/>
      </c>
      <c r="Q3525">
        <f>IF(P3525="","",IFERROR(IF(AND(H3525="W7",OR(F3525="causal",F3525="predictive")),IF(AND(OR(K3525=1,K3525="1"),OR(L3525=1,L3525="1"),OR(M3525=1,M3525="1")),"adequate","partial"),IF(AND(H3525="W4",F3525="predictive",OR(J3525="P2",J3525="P3",J3525="P4")),IF(OR(U3525=1,U3525="1"),"adequate","partial"),INDEX(Fit_Matrix!$B:$B,MATCH(P3525,Fit_Matrix!$A:$A,0)))),"CHECK KEY"))</f>
        <v/>
      </c>
      <c r="U3525" s="10" t="n"/>
      <c r="V3525" s="10" t="n"/>
      <c r="W3525" s="10" t="n"/>
      <c r="X3525" s="10" t="n"/>
      <c r="Y3525" s="10" t="n"/>
      <c r="Z3525" s="10" t="n"/>
      <c r="AA3525" s="11">
        <f>IF(A3525="","",IF(AND(J3525="P4",F3525="causal"),"P4-CAUSAL",""))</f>
        <v/>
      </c>
    </row>
    <row r="3526" ht="15" customHeight="1" s="1">
      <c r="P3526">
        <f>IF(OR(F3526="",H3526="",J3526=""),"",J3526&amp;"|"&amp;F3526&amp;"|"&amp;IF(H3526="W3","W3_"&amp;IF(I3526="","unknown",I3526),H3526))</f>
        <v/>
      </c>
      <c r="Q3526">
        <f>IF(P3526="","",IFERROR(IF(AND(H3526="W7",OR(F3526="causal",F3526="predictive")),IF(AND(OR(K3526=1,K3526="1"),OR(L3526=1,L3526="1"),OR(M3526=1,M3526="1")),"adequate","partial"),IF(AND(H3526="W4",F3526="predictive",OR(J3526="P2",J3526="P3",J3526="P4")),IF(OR(U3526=1,U3526="1"),"adequate","partial"),INDEX(Fit_Matrix!$B:$B,MATCH(P3526,Fit_Matrix!$A:$A,0)))),"CHECK KEY"))</f>
        <v/>
      </c>
      <c r="U3526" s="10" t="n"/>
      <c r="V3526" s="10" t="n"/>
      <c r="W3526" s="10" t="n"/>
      <c r="X3526" s="10" t="n"/>
      <c r="Y3526" s="10" t="n"/>
      <c r="Z3526" s="10" t="n"/>
      <c r="AA3526" s="11">
        <f>IF(A3526="","",IF(AND(J3526="P4",F3526="causal"),"P4-CAUSAL",""))</f>
        <v/>
      </c>
    </row>
    <row r="3527" ht="15" customHeight="1" s="1">
      <c r="P3527">
        <f>IF(OR(F3527="",H3527="",J3527=""),"",J3527&amp;"|"&amp;F3527&amp;"|"&amp;IF(H3527="W3","W3_"&amp;IF(I3527="","unknown",I3527),H3527))</f>
        <v/>
      </c>
      <c r="Q3527">
        <f>IF(P3527="","",IFERROR(IF(AND(H3527="W7",OR(F3527="causal",F3527="predictive")),IF(AND(OR(K3527=1,K3527="1"),OR(L3527=1,L3527="1"),OR(M3527=1,M3527="1")),"adequate","partial"),IF(AND(H3527="W4",F3527="predictive",OR(J3527="P2",J3527="P3",J3527="P4")),IF(OR(U3527=1,U3527="1"),"adequate","partial"),INDEX(Fit_Matrix!$B:$B,MATCH(P3527,Fit_Matrix!$A:$A,0)))),"CHECK KEY"))</f>
        <v/>
      </c>
      <c r="U3527" s="10" t="n"/>
      <c r="V3527" s="10" t="n"/>
      <c r="W3527" s="10" t="n"/>
      <c r="X3527" s="10" t="n"/>
      <c r="Y3527" s="10" t="n"/>
      <c r="Z3527" s="10" t="n"/>
      <c r="AA3527" s="11">
        <f>IF(A3527="","",IF(AND(J3527="P4",F3527="causal"),"P4-CAUSAL",""))</f>
        <v/>
      </c>
    </row>
    <row r="3528" ht="15" customHeight="1" s="1">
      <c r="P3528">
        <f>IF(OR(F3528="",H3528="",J3528=""),"",J3528&amp;"|"&amp;F3528&amp;"|"&amp;IF(H3528="W3","W3_"&amp;IF(I3528="","unknown",I3528),H3528))</f>
        <v/>
      </c>
      <c r="Q3528">
        <f>IF(P3528="","",IFERROR(IF(AND(H3528="W7",OR(F3528="causal",F3528="predictive")),IF(AND(OR(K3528=1,K3528="1"),OR(L3528=1,L3528="1"),OR(M3528=1,M3528="1")),"adequate","partial"),IF(AND(H3528="W4",F3528="predictive",OR(J3528="P2",J3528="P3",J3528="P4")),IF(OR(U3528=1,U3528="1"),"adequate","partial"),INDEX(Fit_Matrix!$B:$B,MATCH(P3528,Fit_Matrix!$A:$A,0)))),"CHECK KEY"))</f>
        <v/>
      </c>
      <c r="U3528" s="10" t="n"/>
      <c r="V3528" s="10" t="n"/>
      <c r="W3528" s="10" t="n"/>
      <c r="X3528" s="10" t="n"/>
      <c r="Y3528" s="10" t="n"/>
      <c r="Z3528" s="10" t="n"/>
      <c r="AA3528" s="11">
        <f>IF(A3528="","",IF(AND(J3528="P4",F3528="causal"),"P4-CAUSAL",""))</f>
        <v/>
      </c>
    </row>
    <row r="3529" ht="15" customHeight="1" s="1">
      <c r="P3529">
        <f>IF(OR(F3529="",H3529="",J3529=""),"",J3529&amp;"|"&amp;F3529&amp;"|"&amp;IF(H3529="W3","W3_"&amp;IF(I3529="","unknown",I3529),H3529))</f>
        <v/>
      </c>
      <c r="Q3529">
        <f>IF(P3529="","",IFERROR(IF(AND(H3529="W7",OR(F3529="causal",F3529="predictive")),IF(AND(OR(K3529=1,K3529="1"),OR(L3529=1,L3529="1"),OR(M3529=1,M3529="1")),"adequate","partial"),IF(AND(H3529="W4",F3529="predictive",OR(J3529="P2",J3529="P3",J3529="P4")),IF(OR(U3529=1,U3529="1"),"adequate","partial"),INDEX(Fit_Matrix!$B:$B,MATCH(P3529,Fit_Matrix!$A:$A,0)))),"CHECK KEY"))</f>
        <v/>
      </c>
      <c r="U3529" s="10" t="n"/>
      <c r="V3529" s="10" t="n"/>
      <c r="W3529" s="10" t="n"/>
      <c r="X3529" s="10" t="n"/>
      <c r="Y3529" s="10" t="n"/>
      <c r="Z3529" s="10" t="n"/>
      <c r="AA3529" s="11">
        <f>IF(A3529="","",IF(AND(J3529="P4",F3529="causal"),"P4-CAUSAL",""))</f>
        <v/>
      </c>
    </row>
    <row r="3530" ht="15" customHeight="1" s="1">
      <c r="P3530">
        <f>IF(OR(F3530="",H3530="",J3530=""),"",J3530&amp;"|"&amp;F3530&amp;"|"&amp;IF(H3530="W3","W3_"&amp;IF(I3530="","unknown",I3530),H3530))</f>
        <v/>
      </c>
      <c r="Q3530">
        <f>IF(P3530="","",IFERROR(IF(AND(H3530="W7",OR(F3530="causal",F3530="predictive")),IF(AND(OR(K3530=1,K3530="1"),OR(L3530=1,L3530="1"),OR(M3530=1,M3530="1")),"adequate","partial"),IF(AND(H3530="W4",F3530="predictive",OR(J3530="P2",J3530="P3",J3530="P4")),IF(OR(U3530=1,U3530="1"),"adequate","partial"),INDEX(Fit_Matrix!$B:$B,MATCH(P3530,Fit_Matrix!$A:$A,0)))),"CHECK KEY"))</f>
        <v/>
      </c>
      <c r="U3530" s="10" t="n"/>
      <c r="V3530" s="10" t="n"/>
      <c r="W3530" s="10" t="n"/>
      <c r="X3530" s="10" t="n"/>
      <c r="Y3530" s="10" t="n"/>
      <c r="Z3530" s="10" t="n"/>
      <c r="AA3530" s="11">
        <f>IF(A3530="","",IF(AND(J3530="P4",F3530="causal"),"P4-CAUSAL",""))</f>
        <v/>
      </c>
    </row>
    <row r="3531" ht="15" customHeight="1" s="1">
      <c r="P3531">
        <f>IF(OR(F3531="",H3531="",J3531=""),"",J3531&amp;"|"&amp;F3531&amp;"|"&amp;IF(H3531="W3","W3_"&amp;IF(I3531="","unknown",I3531),H3531))</f>
        <v/>
      </c>
      <c r="Q3531">
        <f>IF(P3531="","",IFERROR(IF(AND(H3531="W7",OR(F3531="causal",F3531="predictive")),IF(AND(OR(K3531=1,K3531="1"),OR(L3531=1,L3531="1"),OR(M3531=1,M3531="1")),"adequate","partial"),IF(AND(H3531="W4",F3531="predictive",OR(J3531="P2",J3531="P3",J3531="P4")),IF(OR(U3531=1,U3531="1"),"adequate","partial"),INDEX(Fit_Matrix!$B:$B,MATCH(P3531,Fit_Matrix!$A:$A,0)))),"CHECK KEY"))</f>
        <v/>
      </c>
      <c r="U3531" s="10" t="n"/>
      <c r="V3531" s="10" t="n"/>
      <c r="W3531" s="10" t="n"/>
      <c r="X3531" s="10" t="n"/>
      <c r="Y3531" s="10" t="n"/>
      <c r="Z3531" s="10" t="n"/>
      <c r="AA3531" s="11">
        <f>IF(A3531="","",IF(AND(J3531="P4",F3531="causal"),"P4-CAUSAL",""))</f>
        <v/>
      </c>
    </row>
    <row r="3532" ht="15" customHeight="1" s="1">
      <c r="P3532">
        <f>IF(OR(F3532="",H3532="",J3532=""),"",J3532&amp;"|"&amp;F3532&amp;"|"&amp;IF(H3532="W3","W3_"&amp;IF(I3532="","unknown",I3532),H3532))</f>
        <v/>
      </c>
      <c r="Q3532">
        <f>IF(P3532="","",IFERROR(IF(AND(H3532="W7",OR(F3532="causal",F3532="predictive")),IF(AND(OR(K3532=1,K3532="1"),OR(L3532=1,L3532="1"),OR(M3532=1,M3532="1")),"adequate","partial"),IF(AND(H3532="W4",F3532="predictive",OR(J3532="P2",J3532="P3",J3532="P4")),IF(OR(U3532=1,U3532="1"),"adequate","partial"),INDEX(Fit_Matrix!$B:$B,MATCH(P3532,Fit_Matrix!$A:$A,0)))),"CHECK KEY"))</f>
        <v/>
      </c>
      <c r="U3532" s="10" t="n"/>
      <c r="V3532" s="10" t="n"/>
      <c r="W3532" s="10" t="n"/>
      <c r="X3532" s="10" t="n"/>
      <c r="Y3532" s="10" t="n"/>
      <c r="Z3532" s="10" t="n"/>
      <c r="AA3532" s="11">
        <f>IF(A3532="","",IF(AND(J3532="P4",F3532="causal"),"P4-CAUSAL",""))</f>
        <v/>
      </c>
    </row>
    <row r="3533" ht="15" customHeight="1" s="1">
      <c r="P3533">
        <f>IF(OR(F3533="",H3533="",J3533=""),"",J3533&amp;"|"&amp;F3533&amp;"|"&amp;IF(H3533="W3","W3_"&amp;IF(I3533="","unknown",I3533),H3533))</f>
        <v/>
      </c>
      <c r="Q3533">
        <f>IF(P3533="","",IFERROR(IF(AND(H3533="W7",OR(F3533="causal",F3533="predictive")),IF(AND(OR(K3533=1,K3533="1"),OR(L3533=1,L3533="1"),OR(M3533=1,M3533="1")),"adequate","partial"),IF(AND(H3533="W4",F3533="predictive",OR(J3533="P2",J3533="P3",J3533="P4")),IF(OR(U3533=1,U3533="1"),"adequate","partial"),INDEX(Fit_Matrix!$B:$B,MATCH(P3533,Fit_Matrix!$A:$A,0)))),"CHECK KEY"))</f>
        <v/>
      </c>
      <c r="U3533" s="10" t="n"/>
      <c r="V3533" s="10" t="n"/>
      <c r="W3533" s="10" t="n"/>
      <c r="X3533" s="10" t="n"/>
      <c r="Y3533" s="10" t="n"/>
      <c r="Z3533" s="10" t="n"/>
      <c r="AA3533" s="11">
        <f>IF(A3533="","",IF(AND(J3533="P4",F3533="causal"),"P4-CAUSAL",""))</f>
        <v/>
      </c>
    </row>
    <row r="3534" ht="15" customHeight="1" s="1">
      <c r="P3534">
        <f>IF(OR(F3534="",H3534="",J3534=""),"",J3534&amp;"|"&amp;F3534&amp;"|"&amp;IF(H3534="W3","W3_"&amp;IF(I3534="","unknown",I3534),H3534))</f>
        <v/>
      </c>
      <c r="Q3534">
        <f>IF(P3534="","",IFERROR(IF(AND(H3534="W7",OR(F3534="causal",F3534="predictive")),IF(AND(OR(K3534=1,K3534="1"),OR(L3534=1,L3534="1"),OR(M3534=1,M3534="1")),"adequate","partial"),IF(AND(H3534="W4",F3534="predictive",OR(J3534="P2",J3534="P3",J3534="P4")),IF(OR(U3534=1,U3534="1"),"adequate","partial"),INDEX(Fit_Matrix!$B:$B,MATCH(P3534,Fit_Matrix!$A:$A,0)))),"CHECK KEY"))</f>
        <v/>
      </c>
      <c r="U3534" s="10" t="n"/>
      <c r="V3534" s="10" t="n"/>
      <c r="W3534" s="10" t="n"/>
      <c r="X3534" s="10" t="n"/>
      <c r="Y3534" s="10" t="n"/>
      <c r="Z3534" s="10" t="n"/>
      <c r="AA3534" s="11">
        <f>IF(A3534="","",IF(AND(J3534="P4",F3534="causal"),"P4-CAUSAL",""))</f>
        <v/>
      </c>
    </row>
    <row r="3535" ht="15" customHeight="1" s="1">
      <c r="P3535">
        <f>IF(OR(F3535="",H3535="",J3535=""),"",J3535&amp;"|"&amp;F3535&amp;"|"&amp;IF(H3535="W3","W3_"&amp;IF(I3535="","unknown",I3535),H3535))</f>
        <v/>
      </c>
      <c r="Q3535">
        <f>IF(P3535="","",IFERROR(IF(AND(H3535="W7",OR(F3535="causal",F3535="predictive")),IF(AND(OR(K3535=1,K3535="1"),OR(L3535=1,L3535="1"),OR(M3535=1,M3535="1")),"adequate","partial"),IF(AND(H3535="W4",F3535="predictive",OR(J3535="P2",J3535="P3",J3535="P4")),IF(OR(U3535=1,U3535="1"),"adequate","partial"),INDEX(Fit_Matrix!$B:$B,MATCH(P3535,Fit_Matrix!$A:$A,0)))),"CHECK KEY"))</f>
        <v/>
      </c>
      <c r="U3535" s="10" t="n"/>
      <c r="V3535" s="10" t="n"/>
      <c r="W3535" s="10" t="n"/>
      <c r="X3535" s="10" t="n"/>
      <c r="Y3535" s="10" t="n"/>
      <c r="Z3535" s="10" t="n"/>
      <c r="AA3535" s="11">
        <f>IF(A3535="","",IF(AND(J3535="P4",F3535="causal"),"P4-CAUSAL",""))</f>
        <v/>
      </c>
    </row>
    <row r="3536" ht="15" customHeight="1" s="1">
      <c r="P3536">
        <f>IF(OR(F3536="",H3536="",J3536=""),"",J3536&amp;"|"&amp;F3536&amp;"|"&amp;IF(H3536="W3","W3_"&amp;IF(I3536="","unknown",I3536),H3536))</f>
        <v/>
      </c>
      <c r="Q3536">
        <f>IF(P3536="","",IFERROR(IF(AND(H3536="W7",OR(F3536="causal",F3536="predictive")),IF(AND(OR(K3536=1,K3536="1"),OR(L3536=1,L3536="1"),OR(M3536=1,M3536="1")),"adequate","partial"),IF(AND(H3536="W4",F3536="predictive",OR(J3536="P2",J3536="P3",J3536="P4")),IF(OR(U3536=1,U3536="1"),"adequate","partial"),INDEX(Fit_Matrix!$B:$B,MATCH(P3536,Fit_Matrix!$A:$A,0)))),"CHECK KEY"))</f>
        <v/>
      </c>
      <c r="U3536" s="10" t="n"/>
      <c r="V3536" s="10" t="n"/>
      <c r="W3536" s="10" t="n"/>
      <c r="X3536" s="10" t="n"/>
      <c r="Y3536" s="10" t="n"/>
      <c r="Z3536" s="10" t="n"/>
      <c r="AA3536" s="11">
        <f>IF(A3536="","",IF(AND(J3536="P4",F3536="causal"),"P4-CAUSAL",""))</f>
        <v/>
      </c>
    </row>
    <row r="3537" ht="15" customHeight="1" s="1">
      <c r="P3537">
        <f>IF(OR(F3537="",H3537="",J3537=""),"",J3537&amp;"|"&amp;F3537&amp;"|"&amp;IF(H3537="W3","W3_"&amp;IF(I3537="","unknown",I3537),H3537))</f>
        <v/>
      </c>
      <c r="Q3537">
        <f>IF(P3537="","",IFERROR(IF(AND(H3537="W7",OR(F3537="causal",F3537="predictive")),IF(AND(OR(K3537=1,K3537="1"),OR(L3537=1,L3537="1"),OR(M3537=1,M3537="1")),"adequate","partial"),IF(AND(H3537="W4",F3537="predictive",OR(J3537="P2",J3537="P3",J3537="P4")),IF(OR(U3537=1,U3537="1"),"adequate","partial"),INDEX(Fit_Matrix!$B:$B,MATCH(P3537,Fit_Matrix!$A:$A,0)))),"CHECK KEY"))</f>
        <v/>
      </c>
      <c r="U3537" s="10" t="n"/>
      <c r="V3537" s="10" t="n"/>
      <c r="W3537" s="10" t="n"/>
      <c r="X3537" s="10" t="n"/>
      <c r="Y3537" s="10" t="n"/>
      <c r="Z3537" s="10" t="n"/>
      <c r="AA3537" s="11">
        <f>IF(A3537="","",IF(AND(J3537="P4",F3537="causal"),"P4-CAUSAL",""))</f>
        <v/>
      </c>
    </row>
    <row r="3538" ht="15" customHeight="1" s="1">
      <c r="P3538">
        <f>IF(OR(F3538="",H3538="",J3538=""),"",J3538&amp;"|"&amp;F3538&amp;"|"&amp;IF(H3538="W3","W3_"&amp;IF(I3538="","unknown",I3538),H3538))</f>
        <v/>
      </c>
      <c r="Q3538">
        <f>IF(P3538="","",IFERROR(IF(AND(H3538="W7",OR(F3538="causal",F3538="predictive")),IF(AND(OR(K3538=1,K3538="1"),OR(L3538=1,L3538="1"),OR(M3538=1,M3538="1")),"adequate","partial"),IF(AND(H3538="W4",F3538="predictive",OR(J3538="P2",J3538="P3",J3538="P4")),IF(OR(U3538=1,U3538="1"),"adequate","partial"),INDEX(Fit_Matrix!$B:$B,MATCH(P3538,Fit_Matrix!$A:$A,0)))),"CHECK KEY"))</f>
        <v/>
      </c>
      <c r="U3538" s="10" t="n"/>
      <c r="V3538" s="10" t="n"/>
      <c r="W3538" s="10" t="n"/>
      <c r="X3538" s="10" t="n"/>
      <c r="Y3538" s="10" t="n"/>
      <c r="Z3538" s="10" t="n"/>
      <c r="AA3538" s="11">
        <f>IF(A3538="","",IF(AND(J3538="P4",F3538="causal"),"P4-CAUSAL",""))</f>
        <v/>
      </c>
    </row>
    <row r="3539" ht="15" customHeight="1" s="1">
      <c r="P3539">
        <f>IF(OR(F3539="",H3539="",J3539=""),"",J3539&amp;"|"&amp;F3539&amp;"|"&amp;IF(H3539="W3","W3_"&amp;IF(I3539="","unknown",I3539),H3539))</f>
        <v/>
      </c>
      <c r="Q3539">
        <f>IF(P3539="","",IFERROR(IF(AND(H3539="W7",OR(F3539="causal",F3539="predictive")),IF(AND(OR(K3539=1,K3539="1"),OR(L3539=1,L3539="1"),OR(M3539=1,M3539="1")),"adequate","partial"),IF(AND(H3539="W4",F3539="predictive",OR(J3539="P2",J3539="P3",J3539="P4")),IF(OR(U3539=1,U3539="1"),"adequate","partial"),INDEX(Fit_Matrix!$B:$B,MATCH(P3539,Fit_Matrix!$A:$A,0)))),"CHECK KEY"))</f>
        <v/>
      </c>
      <c r="U3539" s="10" t="n"/>
      <c r="V3539" s="10" t="n"/>
      <c r="W3539" s="10" t="n"/>
      <c r="X3539" s="10" t="n"/>
      <c r="Y3539" s="10" t="n"/>
      <c r="Z3539" s="10" t="n"/>
      <c r="AA3539" s="11">
        <f>IF(A3539="","",IF(AND(J3539="P4",F3539="causal"),"P4-CAUSAL",""))</f>
        <v/>
      </c>
    </row>
    <row r="3540" ht="15" customHeight="1" s="1">
      <c r="P3540">
        <f>IF(OR(F3540="",H3540="",J3540=""),"",J3540&amp;"|"&amp;F3540&amp;"|"&amp;IF(H3540="W3","W3_"&amp;IF(I3540="","unknown",I3540),H3540))</f>
        <v/>
      </c>
      <c r="Q3540">
        <f>IF(P3540="","",IFERROR(IF(AND(H3540="W7",OR(F3540="causal",F3540="predictive")),IF(AND(OR(K3540=1,K3540="1"),OR(L3540=1,L3540="1"),OR(M3540=1,M3540="1")),"adequate","partial"),IF(AND(H3540="W4",F3540="predictive",OR(J3540="P2",J3540="P3",J3540="P4")),IF(OR(U3540=1,U3540="1"),"adequate","partial"),INDEX(Fit_Matrix!$B:$B,MATCH(P3540,Fit_Matrix!$A:$A,0)))),"CHECK KEY"))</f>
        <v/>
      </c>
      <c r="U3540" s="10" t="n"/>
      <c r="V3540" s="10" t="n"/>
      <c r="W3540" s="10" t="n"/>
      <c r="X3540" s="10" t="n"/>
      <c r="Y3540" s="10" t="n"/>
      <c r="Z3540" s="10" t="n"/>
      <c r="AA3540" s="11">
        <f>IF(A3540="","",IF(AND(J3540="P4",F3540="causal"),"P4-CAUSAL",""))</f>
        <v/>
      </c>
    </row>
    <row r="3541" ht="15" customHeight="1" s="1">
      <c r="P3541">
        <f>IF(OR(F3541="",H3541="",J3541=""),"",J3541&amp;"|"&amp;F3541&amp;"|"&amp;IF(H3541="W3","W3_"&amp;IF(I3541="","unknown",I3541),H3541))</f>
        <v/>
      </c>
      <c r="Q3541">
        <f>IF(P3541="","",IFERROR(IF(AND(H3541="W7",OR(F3541="causal",F3541="predictive")),IF(AND(OR(K3541=1,K3541="1"),OR(L3541=1,L3541="1"),OR(M3541=1,M3541="1")),"adequate","partial"),IF(AND(H3541="W4",F3541="predictive",OR(J3541="P2",J3541="P3",J3541="P4")),IF(OR(U3541=1,U3541="1"),"adequate","partial"),INDEX(Fit_Matrix!$B:$B,MATCH(P3541,Fit_Matrix!$A:$A,0)))),"CHECK KEY"))</f>
        <v/>
      </c>
      <c r="U3541" s="10" t="n"/>
      <c r="V3541" s="10" t="n"/>
      <c r="W3541" s="10" t="n"/>
      <c r="X3541" s="10" t="n"/>
      <c r="Y3541" s="10" t="n"/>
      <c r="Z3541" s="10" t="n"/>
      <c r="AA3541" s="11">
        <f>IF(A3541="","",IF(AND(J3541="P4",F3541="causal"),"P4-CAUSAL",""))</f>
        <v/>
      </c>
    </row>
    <row r="3542" ht="15" customHeight="1" s="1">
      <c r="P3542">
        <f>IF(OR(F3542="",H3542="",J3542=""),"",J3542&amp;"|"&amp;F3542&amp;"|"&amp;IF(H3542="W3","W3_"&amp;IF(I3542="","unknown",I3542),H3542))</f>
        <v/>
      </c>
      <c r="Q3542">
        <f>IF(P3542="","",IFERROR(IF(AND(H3542="W7",OR(F3542="causal",F3542="predictive")),IF(AND(OR(K3542=1,K3542="1"),OR(L3542=1,L3542="1"),OR(M3542=1,M3542="1")),"adequate","partial"),IF(AND(H3542="W4",F3542="predictive",OR(J3542="P2",J3542="P3",J3542="P4")),IF(OR(U3542=1,U3542="1"),"adequate","partial"),INDEX(Fit_Matrix!$B:$B,MATCH(P3542,Fit_Matrix!$A:$A,0)))),"CHECK KEY"))</f>
        <v/>
      </c>
      <c r="U3542" s="10" t="n"/>
      <c r="V3542" s="10" t="n"/>
      <c r="W3542" s="10" t="n"/>
      <c r="X3542" s="10" t="n"/>
      <c r="Y3542" s="10" t="n"/>
      <c r="Z3542" s="10" t="n"/>
      <c r="AA3542" s="11">
        <f>IF(A3542="","",IF(AND(J3542="P4",F3542="causal"),"P4-CAUSAL",""))</f>
        <v/>
      </c>
    </row>
    <row r="3543" ht="15" customHeight="1" s="1">
      <c r="P3543">
        <f>IF(OR(F3543="",H3543="",J3543=""),"",J3543&amp;"|"&amp;F3543&amp;"|"&amp;IF(H3543="W3","W3_"&amp;IF(I3543="","unknown",I3543),H3543))</f>
        <v/>
      </c>
      <c r="Q3543">
        <f>IF(P3543="","",IFERROR(IF(AND(H3543="W7",OR(F3543="causal",F3543="predictive")),IF(AND(OR(K3543=1,K3543="1"),OR(L3543=1,L3543="1"),OR(M3543=1,M3543="1")),"adequate","partial"),IF(AND(H3543="W4",F3543="predictive",OR(J3543="P2",J3543="P3",J3543="P4")),IF(OR(U3543=1,U3543="1"),"adequate","partial"),INDEX(Fit_Matrix!$B:$B,MATCH(P3543,Fit_Matrix!$A:$A,0)))),"CHECK KEY"))</f>
        <v/>
      </c>
      <c r="U3543" s="10" t="n"/>
      <c r="V3543" s="10" t="n"/>
      <c r="W3543" s="10" t="n"/>
      <c r="X3543" s="10" t="n"/>
      <c r="Y3543" s="10" t="n"/>
      <c r="Z3543" s="10" t="n"/>
      <c r="AA3543" s="11">
        <f>IF(A3543="","",IF(AND(J3543="P4",F3543="causal"),"P4-CAUSAL",""))</f>
        <v/>
      </c>
    </row>
    <row r="3544" ht="15" customHeight="1" s="1">
      <c r="P3544">
        <f>IF(OR(F3544="",H3544="",J3544=""),"",J3544&amp;"|"&amp;F3544&amp;"|"&amp;IF(H3544="W3","W3_"&amp;IF(I3544="","unknown",I3544),H3544))</f>
        <v/>
      </c>
      <c r="Q3544">
        <f>IF(P3544="","",IFERROR(IF(AND(H3544="W7",OR(F3544="causal",F3544="predictive")),IF(AND(OR(K3544=1,K3544="1"),OR(L3544=1,L3544="1"),OR(M3544=1,M3544="1")),"adequate","partial"),IF(AND(H3544="W4",F3544="predictive",OR(J3544="P2",J3544="P3",J3544="P4")),IF(OR(U3544=1,U3544="1"),"adequate","partial"),INDEX(Fit_Matrix!$B:$B,MATCH(P3544,Fit_Matrix!$A:$A,0)))),"CHECK KEY"))</f>
        <v/>
      </c>
      <c r="U3544" s="10" t="n"/>
      <c r="V3544" s="10" t="n"/>
      <c r="W3544" s="10" t="n"/>
      <c r="X3544" s="10" t="n"/>
      <c r="Y3544" s="10" t="n"/>
      <c r="Z3544" s="10" t="n"/>
      <c r="AA3544" s="11">
        <f>IF(A3544="","",IF(AND(J3544="P4",F3544="causal"),"P4-CAUSAL",""))</f>
        <v/>
      </c>
    </row>
    <row r="3545" ht="15" customHeight="1" s="1">
      <c r="P3545">
        <f>IF(OR(F3545="",H3545="",J3545=""),"",J3545&amp;"|"&amp;F3545&amp;"|"&amp;IF(H3545="W3","W3_"&amp;IF(I3545="","unknown",I3545),H3545))</f>
        <v/>
      </c>
      <c r="Q3545">
        <f>IF(P3545="","",IFERROR(IF(AND(H3545="W7",OR(F3545="causal",F3545="predictive")),IF(AND(OR(K3545=1,K3545="1"),OR(L3545=1,L3545="1"),OR(M3545=1,M3545="1")),"adequate","partial"),IF(AND(H3545="W4",F3545="predictive",OR(J3545="P2",J3545="P3",J3545="P4")),IF(OR(U3545=1,U3545="1"),"adequate","partial"),INDEX(Fit_Matrix!$B:$B,MATCH(P3545,Fit_Matrix!$A:$A,0)))),"CHECK KEY"))</f>
        <v/>
      </c>
      <c r="U3545" s="10" t="n"/>
      <c r="V3545" s="10" t="n"/>
      <c r="W3545" s="10" t="n"/>
      <c r="X3545" s="10" t="n"/>
      <c r="Y3545" s="10" t="n"/>
      <c r="Z3545" s="10" t="n"/>
      <c r="AA3545" s="11">
        <f>IF(A3545="","",IF(AND(J3545="P4",F3545="causal"),"P4-CAUSAL",""))</f>
        <v/>
      </c>
    </row>
    <row r="3546" ht="15" customHeight="1" s="1">
      <c r="P3546">
        <f>IF(OR(F3546="",H3546="",J3546=""),"",J3546&amp;"|"&amp;F3546&amp;"|"&amp;IF(H3546="W3","W3_"&amp;IF(I3546="","unknown",I3546),H3546))</f>
        <v/>
      </c>
      <c r="Q3546">
        <f>IF(P3546="","",IFERROR(IF(AND(H3546="W7",OR(F3546="causal",F3546="predictive")),IF(AND(OR(K3546=1,K3546="1"),OR(L3546=1,L3546="1"),OR(M3546=1,M3546="1")),"adequate","partial"),IF(AND(H3546="W4",F3546="predictive",OR(J3546="P2",J3546="P3",J3546="P4")),IF(OR(U3546=1,U3546="1"),"adequate","partial"),INDEX(Fit_Matrix!$B:$B,MATCH(P3546,Fit_Matrix!$A:$A,0)))),"CHECK KEY"))</f>
        <v/>
      </c>
      <c r="U3546" s="10" t="n"/>
      <c r="V3546" s="10" t="n"/>
      <c r="W3546" s="10" t="n"/>
      <c r="X3546" s="10" t="n"/>
      <c r="Y3546" s="10" t="n"/>
      <c r="Z3546" s="10" t="n"/>
      <c r="AA3546" s="11">
        <f>IF(A3546="","",IF(AND(J3546="P4",F3546="causal"),"P4-CAUSAL",""))</f>
        <v/>
      </c>
    </row>
    <row r="3547" ht="15" customHeight="1" s="1">
      <c r="P3547">
        <f>IF(OR(F3547="",H3547="",J3547=""),"",J3547&amp;"|"&amp;F3547&amp;"|"&amp;IF(H3547="W3","W3_"&amp;IF(I3547="","unknown",I3547),H3547))</f>
        <v/>
      </c>
      <c r="Q3547">
        <f>IF(P3547="","",IFERROR(IF(AND(H3547="W7",OR(F3547="causal",F3547="predictive")),IF(AND(OR(K3547=1,K3547="1"),OR(L3547=1,L3547="1"),OR(M3547=1,M3547="1")),"adequate","partial"),IF(AND(H3547="W4",F3547="predictive",OR(J3547="P2",J3547="P3",J3547="P4")),IF(OR(U3547=1,U3547="1"),"adequate","partial"),INDEX(Fit_Matrix!$B:$B,MATCH(P3547,Fit_Matrix!$A:$A,0)))),"CHECK KEY"))</f>
        <v/>
      </c>
      <c r="U3547" s="10" t="n"/>
      <c r="V3547" s="10" t="n"/>
      <c r="W3547" s="10" t="n"/>
      <c r="X3547" s="10" t="n"/>
      <c r="Y3547" s="10" t="n"/>
      <c r="Z3547" s="10" t="n"/>
      <c r="AA3547" s="11">
        <f>IF(A3547="","",IF(AND(J3547="P4",F3547="causal"),"P4-CAUSAL",""))</f>
        <v/>
      </c>
    </row>
    <row r="3548" ht="15" customHeight="1" s="1">
      <c r="P3548">
        <f>IF(OR(F3548="",H3548="",J3548=""),"",J3548&amp;"|"&amp;F3548&amp;"|"&amp;IF(H3548="W3","W3_"&amp;IF(I3548="","unknown",I3548),H3548))</f>
        <v/>
      </c>
      <c r="Q3548">
        <f>IF(P3548="","",IFERROR(IF(AND(H3548="W7",OR(F3548="causal",F3548="predictive")),IF(AND(OR(K3548=1,K3548="1"),OR(L3548=1,L3548="1"),OR(M3548=1,M3548="1")),"adequate","partial"),IF(AND(H3548="W4",F3548="predictive",OR(J3548="P2",J3548="P3",J3548="P4")),IF(OR(U3548=1,U3548="1"),"adequate","partial"),INDEX(Fit_Matrix!$B:$B,MATCH(P3548,Fit_Matrix!$A:$A,0)))),"CHECK KEY"))</f>
        <v/>
      </c>
      <c r="U3548" s="10" t="n"/>
      <c r="V3548" s="10" t="n"/>
      <c r="W3548" s="10" t="n"/>
      <c r="X3548" s="10" t="n"/>
      <c r="Y3548" s="10" t="n"/>
      <c r="Z3548" s="10" t="n"/>
      <c r="AA3548" s="11">
        <f>IF(A3548="","",IF(AND(J3548="P4",F3548="causal"),"P4-CAUSAL",""))</f>
        <v/>
      </c>
    </row>
    <row r="3549" ht="15" customHeight="1" s="1">
      <c r="P3549">
        <f>IF(OR(F3549="",H3549="",J3549=""),"",J3549&amp;"|"&amp;F3549&amp;"|"&amp;IF(H3549="W3","W3_"&amp;IF(I3549="","unknown",I3549),H3549))</f>
        <v/>
      </c>
      <c r="Q3549">
        <f>IF(P3549="","",IFERROR(IF(AND(H3549="W7",OR(F3549="causal",F3549="predictive")),IF(AND(OR(K3549=1,K3549="1"),OR(L3549=1,L3549="1"),OR(M3549=1,M3549="1")),"adequate","partial"),IF(AND(H3549="W4",F3549="predictive",OR(J3549="P2",J3549="P3",J3549="P4")),IF(OR(U3549=1,U3549="1"),"adequate","partial"),INDEX(Fit_Matrix!$B:$B,MATCH(P3549,Fit_Matrix!$A:$A,0)))),"CHECK KEY"))</f>
        <v/>
      </c>
      <c r="U3549" s="10" t="n"/>
      <c r="V3549" s="10" t="n"/>
      <c r="W3549" s="10" t="n"/>
      <c r="X3549" s="10" t="n"/>
      <c r="Y3549" s="10" t="n"/>
      <c r="Z3549" s="10" t="n"/>
      <c r="AA3549" s="11">
        <f>IF(A3549="","",IF(AND(J3549="P4",F3549="causal"),"P4-CAUSAL",""))</f>
        <v/>
      </c>
    </row>
    <row r="3550" ht="15" customHeight="1" s="1">
      <c r="P3550">
        <f>IF(OR(F3550="",H3550="",J3550=""),"",J3550&amp;"|"&amp;F3550&amp;"|"&amp;IF(H3550="W3","W3_"&amp;IF(I3550="","unknown",I3550),H3550))</f>
        <v/>
      </c>
      <c r="Q3550">
        <f>IF(P3550="","",IFERROR(IF(AND(H3550="W7",OR(F3550="causal",F3550="predictive")),IF(AND(OR(K3550=1,K3550="1"),OR(L3550=1,L3550="1"),OR(M3550=1,M3550="1")),"adequate","partial"),IF(AND(H3550="W4",F3550="predictive",OR(J3550="P2",J3550="P3",J3550="P4")),IF(OR(U3550=1,U3550="1"),"adequate","partial"),INDEX(Fit_Matrix!$B:$B,MATCH(P3550,Fit_Matrix!$A:$A,0)))),"CHECK KEY"))</f>
        <v/>
      </c>
      <c r="U3550" s="10" t="n"/>
      <c r="V3550" s="10" t="n"/>
      <c r="W3550" s="10" t="n"/>
      <c r="X3550" s="10" t="n"/>
      <c r="Y3550" s="10" t="n"/>
      <c r="Z3550" s="10" t="n"/>
      <c r="AA3550" s="11">
        <f>IF(A3550="","",IF(AND(J3550="P4",F3550="causal"),"P4-CAUSAL",""))</f>
        <v/>
      </c>
    </row>
    <row r="3551" ht="15" customHeight="1" s="1">
      <c r="P3551">
        <f>IF(OR(F3551="",H3551="",J3551=""),"",J3551&amp;"|"&amp;F3551&amp;"|"&amp;IF(H3551="W3","W3_"&amp;IF(I3551="","unknown",I3551),H3551))</f>
        <v/>
      </c>
      <c r="Q3551">
        <f>IF(P3551="","",IFERROR(IF(AND(H3551="W7",OR(F3551="causal",F3551="predictive")),IF(AND(OR(K3551=1,K3551="1"),OR(L3551=1,L3551="1"),OR(M3551=1,M3551="1")),"adequate","partial"),IF(AND(H3551="W4",F3551="predictive",OR(J3551="P2",J3551="P3",J3551="P4")),IF(OR(U3551=1,U3551="1"),"adequate","partial"),INDEX(Fit_Matrix!$B:$B,MATCH(P3551,Fit_Matrix!$A:$A,0)))),"CHECK KEY"))</f>
        <v/>
      </c>
      <c r="U3551" s="10" t="n"/>
      <c r="V3551" s="10" t="n"/>
      <c r="W3551" s="10" t="n"/>
      <c r="X3551" s="10" t="n"/>
      <c r="Y3551" s="10" t="n"/>
      <c r="Z3551" s="10" t="n"/>
      <c r="AA3551" s="11">
        <f>IF(A3551="","",IF(AND(J3551="P4",F3551="causal"),"P4-CAUSAL",""))</f>
        <v/>
      </c>
    </row>
    <row r="3552" ht="15" customHeight="1" s="1">
      <c r="P3552">
        <f>IF(OR(F3552="",H3552="",J3552=""),"",J3552&amp;"|"&amp;F3552&amp;"|"&amp;IF(H3552="W3","W3_"&amp;IF(I3552="","unknown",I3552),H3552))</f>
        <v/>
      </c>
      <c r="Q3552">
        <f>IF(P3552="","",IFERROR(IF(AND(H3552="W7",OR(F3552="causal",F3552="predictive")),IF(AND(OR(K3552=1,K3552="1"),OR(L3552=1,L3552="1"),OR(M3552=1,M3552="1")),"adequate","partial"),IF(AND(H3552="W4",F3552="predictive",OR(J3552="P2",J3552="P3",J3552="P4")),IF(OR(U3552=1,U3552="1"),"adequate","partial"),INDEX(Fit_Matrix!$B:$B,MATCH(P3552,Fit_Matrix!$A:$A,0)))),"CHECK KEY"))</f>
        <v/>
      </c>
      <c r="U3552" s="10" t="n"/>
      <c r="V3552" s="10" t="n"/>
      <c r="W3552" s="10" t="n"/>
      <c r="X3552" s="10" t="n"/>
      <c r="Y3552" s="10" t="n"/>
      <c r="Z3552" s="10" t="n"/>
      <c r="AA3552" s="11">
        <f>IF(A3552="","",IF(AND(J3552="P4",F3552="causal"),"P4-CAUSAL",""))</f>
        <v/>
      </c>
    </row>
    <row r="3553" ht="15" customHeight="1" s="1">
      <c r="P3553">
        <f>IF(OR(F3553="",H3553="",J3553=""),"",J3553&amp;"|"&amp;F3553&amp;"|"&amp;IF(H3553="W3","W3_"&amp;IF(I3553="","unknown",I3553),H3553))</f>
        <v/>
      </c>
      <c r="Q3553">
        <f>IF(P3553="","",IFERROR(IF(AND(H3553="W7",OR(F3553="causal",F3553="predictive")),IF(AND(OR(K3553=1,K3553="1"),OR(L3553=1,L3553="1"),OR(M3553=1,M3553="1")),"adequate","partial"),IF(AND(H3553="W4",F3553="predictive",OR(J3553="P2",J3553="P3",J3553="P4")),IF(OR(U3553=1,U3553="1"),"adequate","partial"),INDEX(Fit_Matrix!$B:$B,MATCH(P3553,Fit_Matrix!$A:$A,0)))),"CHECK KEY"))</f>
        <v/>
      </c>
      <c r="U3553" s="10" t="n"/>
      <c r="V3553" s="10" t="n"/>
      <c r="W3553" s="10" t="n"/>
      <c r="X3553" s="10" t="n"/>
      <c r="Y3553" s="10" t="n"/>
      <c r="Z3553" s="10" t="n"/>
      <c r="AA3553" s="11">
        <f>IF(A3553="","",IF(AND(J3553="P4",F3553="causal"),"P4-CAUSAL",""))</f>
        <v/>
      </c>
    </row>
    <row r="3554" ht="15" customHeight="1" s="1">
      <c r="P3554">
        <f>IF(OR(F3554="",H3554="",J3554=""),"",J3554&amp;"|"&amp;F3554&amp;"|"&amp;IF(H3554="W3","W3_"&amp;IF(I3554="","unknown",I3554),H3554))</f>
        <v/>
      </c>
      <c r="Q3554">
        <f>IF(P3554="","",IFERROR(IF(AND(H3554="W7",OR(F3554="causal",F3554="predictive")),IF(AND(OR(K3554=1,K3554="1"),OR(L3554=1,L3554="1"),OR(M3554=1,M3554="1")),"adequate","partial"),IF(AND(H3554="W4",F3554="predictive",OR(J3554="P2",J3554="P3",J3554="P4")),IF(OR(U3554=1,U3554="1"),"adequate","partial"),INDEX(Fit_Matrix!$B:$B,MATCH(P3554,Fit_Matrix!$A:$A,0)))),"CHECK KEY"))</f>
        <v/>
      </c>
      <c r="U3554" s="10" t="n"/>
      <c r="V3554" s="10" t="n"/>
      <c r="W3554" s="10" t="n"/>
      <c r="X3554" s="10" t="n"/>
      <c r="Y3554" s="10" t="n"/>
      <c r="Z3554" s="10" t="n"/>
      <c r="AA3554" s="11">
        <f>IF(A3554="","",IF(AND(J3554="P4",F3554="causal"),"P4-CAUSAL",""))</f>
        <v/>
      </c>
    </row>
    <row r="3555" ht="15" customHeight="1" s="1">
      <c r="P3555">
        <f>IF(OR(F3555="",H3555="",J3555=""),"",J3555&amp;"|"&amp;F3555&amp;"|"&amp;IF(H3555="W3","W3_"&amp;IF(I3555="","unknown",I3555),H3555))</f>
        <v/>
      </c>
      <c r="Q3555">
        <f>IF(P3555="","",IFERROR(IF(AND(H3555="W7",OR(F3555="causal",F3555="predictive")),IF(AND(OR(K3555=1,K3555="1"),OR(L3555=1,L3555="1"),OR(M3555=1,M3555="1")),"adequate","partial"),IF(AND(H3555="W4",F3555="predictive",OR(J3555="P2",J3555="P3",J3555="P4")),IF(OR(U3555=1,U3555="1"),"adequate","partial"),INDEX(Fit_Matrix!$B:$B,MATCH(P3555,Fit_Matrix!$A:$A,0)))),"CHECK KEY"))</f>
        <v/>
      </c>
      <c r="U3555" s="10" t="n"/>
      <c r="V3555" s="10" t="n"/>
      <c r="W3555" s="10" t="n"/>
      <c r="X3555" s="10" t="n"/>
      <c r="Y3555" s="10" t="n"/>
      <c r="Z3555" s="10" t="n"/>
      <c r="AA3555" s="11">
        <f>IF(A3555="","",IF(AND(J3555="P4",F3555="causal"),"P4-CAUSAL",""))</f>
        <v/>
      </c>
    </row>
    <row r="3556" ht="15" customHeight="1" s="1">
      <c r="P3556">
        <f>IF(OR(F3556="",H3556="",J3556=""),"",J3556&amp;"|"&amp;F3556&amp;"|"&amp;IF(H3556="W3","W3_"&amp;IF(I3556="","unknown",I3556),H3556))</f>
        <v/>
      </c>
      <c r="Q3556">
        <f>IF(P3556="","",IFERROR(IF(AND(H3556="W7",OR(F3556="causal",F3556="predictive")),IF(AND(OR(K3556=1,K3556="1"),OR(L3556=1,L3556="1"),OR(M3556=1,M3556="1")),"adequate","partial"),IF(AND(H3556="W4",F3556="predictive",OR(J3556="P2",J3556="P3",J3556="P4")),IF(OR(U3556=1,U3556="1"),"adequate","partial"),INDEX(Fit_Matrix!$B:$B,MATCH(P3556,Fit_Matrix!$A:$A,0)))),"CHECK KEY"))</f>
        <v/>
      </c>
      <c r="U3556" s="10" t="n"/>
      <c r="V3556" s="10" t="n"/>
      <c r="W3556" s="10" t="n"/>
      <c r="X3556" s="10" t="n"/>
      <c r="Y3556" s="10" t="n"/>
      <c r="Z3556" s="10" t="n"/>
      <c r="AA3556" s="11">
        <f>IF(A3556="","",IF(AND(J3556="P4",F3556="causal"),"P4-CAUSAL",""))</f>
        <v/>
      </c>
    </row>
    <row r="3557" ht="15" customHeight="1" s="1">
      <c r="P3557">
        <f>IF(OR(F3557="",H3557="",J3557=""),"",J3557&amp;"|"&amp;F3557&amp;"|"&amp;IF(H3557="W3","W3_"&amp;IF(I3557="","unknown",I3557),H3557))</f>
        <v/>
      </c>
      <c r="Q3557">
        <f>IF(P3557="","",IFERROR(IF(AND(H3557="W7",OR(F3557="causal",F3557="predictive")),IF(AND(OR(K3557=1,K3557="1"),OR(L3557=1,L3557="1"),OR(M3557=1,M3557="1")),"adequate","partial"),IF(AND(H3557="W4",F3557="predictive",OR(J3557="P2",J3557="P3",J3557="P4")),IF(OR(U3557=1,U3557="1"),"adequate","partial"),INDEX(Fit_Matrix!$B:$B,MATCH(P3557,Fit_Matrix!$A:$A,0)))),"CHECK KEY"))</f>
        <v/>
      </c>
      <c r="U3557" s="10" t="n"/>
      <c r="V3557" s="10" t="n"/>
      <c r="W3557" s="10" t="n"/>
      <c r="X3557" s="10" t="n"/>
      <c r="Y3557" s="10" t="n"/>
      <c r="Z3557" s="10" t="n"/>
      <c r="AA3557" s="11">
        <f>IF(A3557="","",IF(AND(J3557="P4",F3557="causal"),"P4-CAUSAL",""))</f>
        <v/>
      </c>
    </row>
    <row r="3558" ht="15" customHeight="1" s="1">
      <c r="P3558">
        <f>IF(OR(F3558="",H3558="",J3558=""),"",J3558&amp;"|"&amp;F3558&amp;"|"&amp;IF(H3558="W3","W3_"&amp;IF(I3558="","unknown",I3558),H3558))</f>
        <v/>
      </c>
      <c r="Q3558">
        <f>IF(P3558="","",IFERROR(IF(AND(H3558="W7",OR(F3558="causal",F3558="predictive")),IF(AND(OR(K3558=1,K3558="1"),OR(L3558=1,L3558="1"),OR(M3558=1,M3558="1")),"adequate","partial"),IF(AND(H3558="W4",F3558="predictive",OR(J3558="P2",J3558="P3",J3558="P4")),IF(OR(U3558=1,U3558="1"),"adequate","partial"),INDEX(Fit_Matrix!$B:$B,MATCH(P3558,Fit_Matrix!$A:$A,0)))),"CHECK KEY"))</f>
        <v/>
      </c>
      <c r="U3558" s="10" t="n"/>
      <c r="V3558" s="10" t="n"/>
      <c r="W3558" s="10" t="n"/>
      <c r="X3558" s="10" t="n"/>
      <c r="Y3558" s="10" t="n"/>
      <c r="Z3558" s="10" t="n"/>
      <c r="AA3558" s="11">
        <f>IF(A3558="","",IF(AND(J3558="P4",F3558="causal"),"P4-CAUSAL",""))</f>
        <v/>
      </c>
    </row>
    <row r="3559" ht="15" customHeight="1" s="1">
      <c r="P3559">
        <f>IF(OR(F3559="",H3559="",J3559=""),"",J3559&amp;"|"&amp;F3559&amp;"|"&amp;IF(H3559="W3","W3_"&amp;IF(I3559="","unknown",I3559),H3559))</f>
        <v/>
      </c>
      <c r="Q3559">
        <f>IF(P3559="","",IFERROR(IF(AND(H3559="W7",OR(F3559="causal",F3559="predictive")),IF(AND(OR(K3559=1,K3559="1"),OR(L3559=1,L3559="1"),OR(M3559=1,M3559="1")),"adequate","partial"),IF(AND(H3559="W4",F3559="predictive",OR(J3559="P2",J3559="P3",J3559="P4")),IF(OR(U3559=1,U3559="1"),"adequate","partial"),INDEX(Fit_Matrix!$B:$B,MATCH(P3559,Fit_Matrix!$A:$A,0)))),"CHECK KEY"))</f>
        <v/>
      </c>
      <c r="U3559" s="10" t="n"/>
      <c r="V3559" s="10" t="n"/>
      <c r="W3559" s="10" t="n"/>
      <c r="X3559" s="10" t="n"/>
      <c r="Y3559" s="10" t="n"/>
      <c r="Z3559" s="10" t="n"/>
      <c r="AA3559" s="11">
        <f>IF(A3559="","",IF(AND(J3559="P4",F3559="causal"),"P4-CAUSAL",""))</f>
        <v/>
      </c>
    </row>
    <row r="3560" ht="15" customHeight="1" s="1">
      <c r="P3560">
        <f>IF(OR(F3560="",H3560="",J3560=""),"",J3560&amp;"|"&amp;F3560&amp;"|"&amp;IF(H3560="W3","W3_"&amp;IF(I3560="","unknown",I3560),H3560))</f>
        <v/>
      </c>
      <c r="Q3560">
        <f>IF(P3560="","",IFERROR(IF(AND(H3560="W7",OR(F3560="causal",F3560="predictive")),IF(AND(OR(K3560=1,K3560="1"),OR(L3560=1,L3560="1"),OR(M3560=1,M3560="1")),"adequate","partial"),IF(AND(H3560="W4",F3560="predictive",OR(J3560="P2",J3560="P3",J3560="P4")),IF(OR(U3560=1,U3560="1"),"adequate","partial"),INDEX(Fit_Matrix!$B:$B,MATCH(P3560,Fit_Matrix!$A:$A,0)))),"CHECK KEY"))</f>
        <v/>
      </c>
      <c r="U3560" s="10" t="n"/>
      <c r="V3560" s="10" t="n"/>
      <c r="W3560" s="10" t="n"/>
      <c r="X3560" s="10" t="n"/>
      <c r="Y3560" s="10" t="n"/>
      <c r="Z3560" s="10" t="n"/>
      <c r="AA3560" s="11">
        <f>IF(A3560="","",IF(AND(J3560="P4",F3560="causal"),"P4-CAUSAL",""))</f>
        <v/>
      </c>
    </row>
    <row r="3561" ht="15" customHeight="1" s="1">
      <c r="P3561">
        <f>IF(OR(F3561="",H3561="",J3561=""),"",J3561&amp;"|"&amp;F3561&amp;"|"&amp;IF(H3561="W3","W3_"&amp;IF(I3561="","unknown",I3561),H3561))</f>
        <v/>
      </c>
      <c r="Q3561">
        <f>IF(P3561="","",IFERROR(IF(AND(H3561="W7",OR(F3561="causal",F3561="predictive")),IF(AND(OR(K3561=1,K3561="1"),OR(L3561=1,L3561="1"),OR(M3561=1,M3561="1")),"adequate","partial"),IF(AND(H3561="W4",F3561="predictive",OR(J3561="P2",J3561="P3",J3561="P4")),IF(OR(U3561=1,U3561="1"),"adequate","partial"),INDEX(Fit_Matrix!$B:$B,MATCH(P3561,Fit_Matrix!$A:$A,0)))),"CHECK KEY"))</f>
        <v/>
      </c>
      <c r="U3561" s="10" t="n"/>
      <c r="V3561" s="10" t="n"/>
      <c r="W3561" s="10" t="n"/>
      <c r="X3561" s="10" t="n"/>
      <c r="Y3561" s="10" t="n"/>
      <c r="Z3561" s="10" t="n"/>
      <c r="AA3561" s="11">
        <f>IF(A3561="","",IF(AND(J3561="P4",F3561="causal"),"P4-CAUSAL",""))</f>
        <v/>
      </c>
    </row>
    <row r="3562" ht="15" customHeight="1" s="1">
      <c r="P3562">
        <f>IF(OR(F3562="",H3562="",J3562=""),"",J3562&amp;"|"&amp;F3562&amp;"|"&amp;IF(H3562="W3","W3_"&amp;IF(I3562="","unknown",I3562),H3562))</f>
        <v/>
      </c>
      <c r="Q3562">
        <f>IF(P3562="","",IFERROR(IF(AND(H3562="W7",OR(F3562="causal",F3562="predictive")),IF(AND(OR(K3562=1,K3562="1"),OR(L3562=1,L3562="1"),OR(M3562=1,M3562="1")),"adequate","partial"),IF(AND(H3562="W4",F3562="predictive",OR(J3562="P2",J3562="P3",J3562="P4")),IF(OR(U3562=1,U3562="1"),"adequate","partial"),INDEX(Fit_Matrix!$B:$B,MATCH(P3562,Fit_Matrix!$A:$A,0)))),"CHECK KEY"))</f>
        <v/>
      </c>
      <c r="U3562" s="10" t="n"/>
      <c r="V3562" s="10" t="n"/>
      <c r="W3562" s="10" t="n"/>
      <c r="X3562" s="10" t="n"/>
      <c r="Y3562" s="10" t="n"/>
      <c r="Z3562" s="10" t="n"/>
      <c r="AA3562" s="11">
        <f>IF(A3562="","",IF(AND(J3562="P4",F3562="causal"),"P4-CAUSAL",""))</f>
        <v/>
      </c>
    </row>
    <row r="3563" ht="15" customHeight="1" s="1">
      <c r="P3563">
        <f>IF(OR(F3563="",H3563="",J3563=""),"",J3563&amp;"|"&amp;F3563&amp;"|"&amp;IF(H3563="W3","W3_"&amp;IF(I3563="","unknown",I3563),H3563))</f>
        <v/>
      </c>
      <c r="Q3563">
        <f>IF(P3563="","",IFERROR(IF(AND(H3563="W7",OR(F3563="causal",F3563="predictive")),IF(AND(OR(K3563=1,K3563="1"),OR(L3563=1,L3563="1"),OR(M3563=1,M3563="1")),"adequate","partial"),IF(AND(H3563="W4",F3563="predictive",OR(J3563="P2",J3563="P3",J3563="P4")),IF(OR(U3563=1,U3563="1"),"adequate","partial"),INDEX(Fit_Matrix!$B:$B,MATCH(P3563,Fit_Matrix!$A:$A,0)))),"CHECK KEY"))</f>
        <v/>
      </c>
      <c r="U3563" s="10" t="n"/>
      <c r="V3563" s="10" t="n"/>
      <c r="W3563" s="10" t="n"/>
      <c r="X3563" s="10" t="n"/>
      <c r="Y3563" s="10" t="n"/>
      <c r="Z3563" s="10" t="n"/>
      <c r="AA3563" s="11">
        <f>IF(A3563="","",IF(AND(J3563="P4",F3563="causal"),"P4-CAUSAL",""))</f>
        <v/>
      </c>
    </row>
    <row r="3564" ht="15" customHeight="1" s="1">
      <c r="P3564">
        <f>IF(OR(F3564="",H3564="",J3564=""),"",J3564&amp;"|"&amp;F3564&amp;"|"&amp;IF(H3564="W3","W3_"&amp;IF(I3564="","unknown",I3564),H3564))</f>
        <v/>
      </c>
      <c r="Q3564">
        <f>IF(P3564="","",IFERROR(IF(AND(H3564="W7",OR(F3564="causal",F3564="predictive")),IF(AND(OR(K3564=1,K3564="1"),OR(L3564=1,L3564="1"),OR(M3564=1,M3564="1")),"adequate","partial"),IF(AND(H3564="W4",F3564="predictive",OR(J3564="P2",J3564="P3",J3564="P4")),IF(OR(U3564=1,U3564="1"),"adequate","partial"),INDEX(Fit_Matrix!$B:$B,MATCH(P3564,Fit_Matrix!$A:$A,0)))),"CHECK KEY"))</f>
        <v/>
      </c>
      <c r="U3564" s="10" t="n"/>
      <c r="V3564" s="10" t="n"/>
      <c r="W3564" s="10" t="n"/>
      <c r="X3564" s="10" t="n"/>
      <c r="Y3564" s="10" t="n"/>
      <c r="Z3564" s="10" t="n"/>
      <c r="AA3564" s="11">
        <f>IF(A3564="","",IF(AND(J3564="P4",F3564="causal"),"P4-CAUSAL",""))</f>
        <v/>
      </c>
    </row>
    <row r="3565" ht="15" customHeight="1" s="1">
      <c r="P3565">
        <f>IF(OR(F3565="",H3565="",J3565=""),"",J3565&amp;"|"&amp;F3565&amp;"|"&amp;IF(H3565="W3","W3_"&amp;IF(I3565="","unknown",I3565),H3565))</f>
        <v/>
      </c>
      <c r="Q3565">
        <f>IF(P3565="","",IFERROR(IF(AND(H3565="W7",OR(F3565="causal",F3565="predictive")),IF(AND(OR(K3565=1,K3565="1"),OR(L3565=1,L3565="1"),OR(M3565=1,M3565="1")),"adequate","partial"),IF(AND(H3565="W4",F3565="predictive",OR(J3565="P2",J3565="P3",J3565="P4")),IF(OR(U3565=1,U3565="1"),"adequate","partial"),INDEX(Fit_Matrix!$B:$B,MATCH(P3565,Fit_Matrix!$A:$A,0)))),"CHECK KEY"))</f>
        <v/>
      </c>
      <c r="U3565" s="10" t="n"/>
      <c r="V3565" s="10" t="n"/>
      <c r="W3565" s="10" t="n"/>
      <c r="X3565" s="10" t="n"/>
      <c r="Y3565" s="10" t="n"/>
      <c r="Z3565" s="10" t="n"/>
      <c r="AA3565" s="11">
        <f>IF(A3565="","",IF(AND(J3565="P4",F3565="causal"),"P4-CAUSAL",""))</f>
        <v/>
      </c>
    </row>
    <row r="3566" ht="15" customHeight="1" s="1">
      <c r="P3566">
        <f>IF(OR(F3566="",H3566="",J3566=""),"",J3566&amp;"|"&amp;F3566&amp;"|"&amp;IF(H3566="W3","W3_"&amp;IF(I3566="","unknown",I3566),H3566))</f>
        <v/>
      </c>
      <c r="Q3566">
        <f>IF(P3566="","",IFERROR(IF(AND(H3566="W7",OR(F3566="causal",F3566="predictive")),IF(AND(OR(K3566=1,K3566="1"),OR(L3566=1,L3566="1"),OR(M3566=1,M3566="1")),"adequate","partial"),IF(AND(H3566="W4",F3566="predictive",OR(J3566="P2",J3566="P3",J3566="P4")),IF(OR(U3566=1,U3566="1"),"adequate","partial"),INDEX(Fit_Matrix!$B:$B,MATCH(P3566,Fit_Matrix!$A:$A,0)))),"CHECK KEY"))</f>
        <v/>
      </c>
      <c r="U3566" s="10" t="n"/>
      <c r="V3566" s="10" t="n"/>
      <c r="W3566" s="10" t="n"/>
      <c r="X3566" s="10" t="n"/>
      <c r="Y3566" s="10" t="n"/>
      <c r="Z3566" s="10" t="n"/>
      <c r="AA3566" s="11">
        <f>IF(A3566="","",IF(AND(J3566="P4",F3566="causal"),"P4-CAUSAL",""))</f>
        <v/>
      </c>
    </row>
    <row r="3567" ht="15" customHeight="1" s="1">
      <c r="P3567">
        <f>IF(OR(F3567="",H3567="",J3567=""),"",J3567&amp;"|"&amp;F3567&amp;"|"&amp;IF(H3567="W3","W3_"&amp;IF(I3567="","unknown",I3567),H3567))</f>
        <v/>
      </c>
      <c r="Q3567">
        <f>IF(P3567="","",IFERROR(IF(AND(H3567="W7",OR(F3567="causal",F3567="predictive")),IF(AND(OR(K3567=1,K3567="1"),OR(L3567=1,L3567="1"),OR(M3567=1,M3567="1")),"adequate","partial"),IF(AND(H3567="W4",F3567="predictive",OR(J3567="P2",J3567="P3",J3567="P4")),IF(OR(U3567=1,U3567="1"),"adequate","partial"),INDEX(Fit_Matrix!$B:$B,MATCH(P3567,Fit_Matrix!$A:$A,0)))),"CHECK KEY"))</f>
        <v/>
      </c>
      <c r="U3567" s="10" t="n"/>
      <c r="V3567" s="10" t="n"/>
      <c r="W3567" s="10" t="n"/>
      <c r="X3567" s="10" t="n"/>
      <c r="Y3567" s="10" t="n"/>
      <c r="Z3567" s="10" t="n"/>
      <c r="AA3567" s="11">
        <f>IF(A3567="","",IF(AND(J3567="P4",F3567="causal"),"P4-CAUSAL",""))</f>
        <v/>
      </c>
    </row>
    <row r="3568" ht="15" customHeight="1" s="1">
      <c r="P3568">
        <f>IF(OR(F3568="",H3568="",J3568=""),"",J3568&amp;"|"&amp;F3568&amp;"|"&amp;IF(H3568="W3","W3_"&amp;IF(I3568="","unknown",I3568),H3568))</f>
        <v/>
      </c>
      <c r="Q3568">
        <f>IF(P3568="","",IFERROR(IF(AND(H3568="W7",OR(F3568="causal",F3568="predictive")),IF(AND(OR(K3568=1,K3568="1"),OR(L3568=1,L3568="1"),OR(M3568=1,M3568="1")),"adequate","partial"),IF(AND(H3568="W4",F3568="predictive",OR(J3568="P2",J3568="P3",J3568="P4")),IF(OR(U3568=1,U3568="1"),"adequate","partial"),INDEX(Fit_Matrix!$B:$B,MATCH(P3568,Fit_Matrix!$A:$A,0)))),"CHECK KEY"))</f>
        <v/>
      </c>
      <c r="U3568" s="10" t="n"/>
      <c r="V3568" s="10" t="n"/>
      <c r="W3568" s="10" t="n"/>
      <c r="X3568" s="10" t="n"/>
      <c r="Y3568" s="10" t="n"/>
      <c r="Z3568" s="10" t="n"/>
      <c r="AA3568" s="11">
        <f>IF(A3568="","",IF(AND(J3568="P4",F3568="causal"),"P4-CAUSAL",""))</f>
        <v/>
      </c>
    </row>
    <row r="3569" ht="15" customHeight="1" s="1">
      <c r="P3569">
        <f>IF(OR(F3569="",H3569="",J3569=""),"",J3569&amp;"|"&amp;F3569&amp;"|"&amp;IF(H3569="W3","W3_"&amp;IF(I3569="","unknown",I3569),H3569))</f>
        <v/>
      </c>
      <c r="Q3569">
        <f>IF(P3569="","",IFERROR(IF(AND(H3569="W7",OR(F3569="causal",F3569="predictive")),IF(AND(OR(K3569=1,K3569="1"),OR(L3569=1,L3569="1"),OR(M3569=1,M3569="1")),"adequate","partial"),IF(AND(H3569="W4",F3569="predictive",OR(J3569="P2",J3569="P3",J3569="P4")),IF(OR(U3569=1,U3569="1"),"adequate","partial"),INDEX(Fit_Matrix!$B:$B,MATCH(P3569,Fit_Matrix!$A:$A,0)))),"CHECK KEY"))</f>
        <v/>
      </c>
      <c r="U3569" s="10" t="n"/>
      <c r="V3569" s="10" t="n"/>
      <c r="W3569" s="10" t="n"/>
      <c r="X3569" s="10" t="n"/>
      <c r="Y3569" s="10" t="n"/>
      <c r="Z3569" s="10" t="n"/>
      <c r="AA3569" s="11">
        <f>IF(A3569="","",IF(AND(J3569="P4",F3569="causal"),"P4-CAUSAL",""))</f>
        <v/>
      </c>
    </row>
    <row r="3570" ht="15" customHeight="1" s="1">
      <c r="P3570">
        <f>IF(OR(F3570="",H3570="",J3570=""),"",J3570&amp;"|"&amp;F3570&amp;"|"&amp;IF(H3570="W3","W3_"&amp;IF(I3570="","unknown",I3570),H3570))</f>
        <v/>
      </c>
      <c r="Q3570">
        <f>IF(P3570="","",IFERROR(IF(AND(H3570="W7",OR(F3570="causal",F3570="predictive")),IF(AND(OR(K3570=1,K3570="1"),OR(L3570=1,L3570="1"),OR(M3570=1,M3570="1")),"adequate","partial"),IF(AND(H3570="W4",F3570="predictive",OR(J3570="P2",J3570="P3",J3570="P4")),IF(OR(U3570=1,U3570="1"),"adequate","partial"),INDEX(Fit_Matrix!$B:$B,MATCH(P3570,Fit_Matrix!$A:$A,0)))),"CHECK KEY"))</f>
        <v/>
      </c>
      <c r="U3570" s="10" t="n"/>
      <c r="V3570" s="10" t="n"/>
      <c r="W3570" s="10" t="n"/>
      <c r="X3570" s="10" t="n"/>
      <c r="Y3570" s="10" t="n"/>
      <c r="Z3570" s="10" t="n"/>
      <c r="AA3570" s="11">
        <f>IF(A3570="","",IF(AND(J3570="P4",F3570="causal"),"P4-CAUSAL",""))</f>
        <v/>
      </c>
    </row>
    <row r="3571" ht="15" customHeight="1" s="1">
      <c r="P3571">
        <f>IF(OR(F3571="",H3571="",J3571=""),"",J3571&amp;"|"&amp;F3571&amp;"|"&amp;IF(H3571="W3","W3_"&amp;IF(I3571="","unknown",I3571),H3571))</f>
        <v/>
      </c>
      <c r="Q3571">
        <f>IF(P3571="","",IFERROR(IF(AND(H3571="W7",OR(F3571="causal",F3571="predictive")),IF(AND(OR(K3571=1,K3571="1"),OR(L3571=1,L3571="1"),OR(M3571=1,M3571="1")),"adequate","partial"),IF(AND(H3571="W4",F3571="predictive",OR(J3571="P2",J3571="P3",J3571="P4")),IF(OR(U3571=1,U3571="1"),"adequate","partial"),INDEX(Fit_Matrix!$B:$B,MATCH(P3571,Fit_Matrix!$A:$A,0)))),"CHECK KEY"))</f>
        <v/>
      </c>
      <c r="U3571" s="10" t="n"/>
      <c r="V3571" s="10" t="n"/>
      <c r="W3571" s="10" t="n"/>
      <c r="X3571" s="10" t="n"/>
      <c r="Y3571" s="10" t="n"/>
      <c r="Z3571" s="10" t="n"/>
      <c r="AA3571" s="11">
        <f>IF(A3571="","",IF(AND(J3571="P4",F3571="causal"),"P4-CAUSAL",""))</f>
        <v/>
      </c>
    </row>
    <row r="3572" ht="15" customHeight="1" s="1">
      <c r="P3572">
        <f>IF(OR(F3572="",H3572="",J3572=""),"",J3572&amp;"|"&amp;F3572&amp;"|"&amp;IF(H3572="W3","W3_"&amp;IF(I3572="","unknown",I3572),H3572))</f>
        <v/>
      </c>
      <c r="Q3572">
        <f>IF(P3572="","",IFERROR(IF(AND(H3572="W7",OR(F3572="causal",F3572="predictive")),IF(AND(OR(K3572=1,K3572="1"),OR(L3572=1,L3572="1"),OR(M3572=1,M3572="1")),"adequate","partial"),IF(AND(H3572="W4",F3572="predictive",OR(J3572="P2",J3572="P3",J3572="P4")),IF(OR(U3572=1,U3572="1"),"adequate","partial"),INDEX(Fit_Matrix!$B:$B,MATCH(P3572,Fit_Matrix!$A:$A,0)))),"CHECK KEY"))</f>
        <v/>
      </c>
      <c r="U3572" s="10" t="n"/>
      <c r="V3572" s="10" t="n"/>
      <c r="W3572" s="10" t="n"/>
      <c r="X3572" s="10" t="n"/>
      <c r="Y3572" s="10" t="n"/>
      <c r="Z3572" s="10" t="n"/>
      <c r="AA3572" s="11">
        <f>IF(A3572="","",IF(AND(J3572="P4",F3572="causal"),"P4-CAUSAL",""))</f>
        <v/>
      </c>
    </row>
    <row r="3573" ht="15" customHeight="1" s="1">
      <c r="P3573">
        <f>IF(OR(F3573="",H3573="",J3573=""),"",J3573&amp;"|"&amp;F3573&amp;"|"&amp;IF(H3573="W3","W3_"&amp;IF(I3573="","unknown",I3573),H3573))</f>
        <v/>
      </c>
      <c r="Q3573">
        <f>IF(P3573="","",IFERROR(IF(AND(H3573="W7",OR(F3573="causal",F3573="predictive")),IF(AND(OR(K3573=1,K3573="1"),OR(L3573=1,L3573="1"),OR(M3573=1,M3573="1")),"adequate","partial"),IF(AND(H3573="W4",F3573="predictive",OR(J3573="P2",J3573="P3",J3573="P4")),IF(OR(U3573=1,U3573="1"),"adequate","partial"),INDEX(Fit_Matrix!$B:$B,MATCH(P3573,Fit_Matrix!$A:$A,0)))),"CHECK KEY"))</f>
        <v/>
      </c>
      <c r="U3573" s="10" t="n"/>
      <c r="V3573" s="10" t="n"/>
      <c r="W3573" s="10" t="n"/>
      <c r="X3573" s="10" t="n"/>
      <c r="Y3573" s="10" t="n"/>
      <c r="Z3573" s="10" t="n"/>
      <c r="AA3573" s="11">
        <f>IF(A3573="","",IF(AND(J3573="P4",F3573="causal"),"P4-CAUSAL",""))</f>
        <v/>
      </c>
    </row>
    <row r="3574" ht="15" customHeight="1" s="1">
      <c r="P3574">
        <f>IF(OR(F3574="",H3574="",J3574=""),"",J3574&amp;"|"&amp;F3574&amp;"|"&amp;IF(H3574="W3","W3_"&amp;IF(I3574="","unknown",I3574),H3574))</f>
        <v/>
      </c>
      <c r="Q3574">
        <f>IF(P3574="","",IFERROR(IF(AND(H3574="W7",OR(F3574="causal",F3574="predictive")),IF(AND(OR(K3574=1,K3574="1"),OR(L3574=1,L3574="1"),OR(M3574=1,M3574="1")),"adequate","partial"),IF(AND(H3574="W4",F3574="predictive",OR(J3574="P2",J3574="P3",J3574="P4")),IF(OR(U3574=1,U3574="1"),"adequate","partial"),INDEX(Fit_Matrix!$B:$B,MATCH(P3574,Fit_Matrix!$A:$A,0)))),"CHECK KEY"))</f>
        <v/>
      </c>
      <c r="U3574" s="10" t="n"/>
      <c r="V3574" s="10" t="n"/>
      <c r="W3574" s="10" t="n"/>
      <c r="X3574" s="10" t="n"/>
      <c r="Y3574" s="10" t="n"/>
      <c r="Z3574" s="10" t="n"/>
      <c r="AA3574" s="11">
        <f>IF(A3574="","",IF(AND(J3574="P4",F3574="causal"),"P4-CAUSAL",""))</f>
        <v/>
      </c>
    </row>
    <row r="3575" ht="15" customHeight="1" s="1">
      <c r="P3575">
        <f>IF(OR(F3575="",H3575="",J3575=""),"",J3575&amp;"|"&amp;F3575&amp;"|"&amp;IF(H3575="W3","W3_"&amp;IF(I3575="","unknown",I3575),H3575))</f>
        <v/>
      </c>
      <c r="Q3575">
        <f>IF(P3575="","",IFERROR(IF(AND(H3575="W7",OR(F3575="causal",F3575="predictive")),IF(AND(OR(K3575=1,K3575="1"),OR(L3575=1,L3575="1"),OR(M3575=1,M3575="1")),"adequate","partial"),IF(AND(H3575="W4",F3575="predictive",OR(J3575="P2",J3575="P3",J3575="P4")),IF(OR(U3575=1,U3575="1"),"adequate","partial"),INDEX(Fit_Matrix!$B:$B,MATCH(P3575,Fit_Matrix!$A:$A,0)))),"CHECK KEY"))</f>
        <v/>
      </c>
      <c r="U3575" s="10" t="n"/>
      <c r="V3575" s="10" t="n"/>
      <c r="W3575" s="10" t="n"/>
      <c r="X3575" s="10" t="n"/>
      <c r="Y3575" s="10" t="n"/>
      <c r="Z3575" s="10" t="n"/>
      <c r="AA3575" s="11">
        <f>IF(A3575="","",IF(AND(J3575="P4",F3575="causal"),"P4-CAUSAL",""))</f>
        <v/>
      </c>
    </row>
    <row r="3576" ht="15" customHeight="1" s="1">
      <c r="P3576">
        <f>IF(OR(F3576="",H3576="",J3576=""),"",J3576&amp;"|"&amp;F3576&amp;"|"&amp;IF(H3576="W3","W3_"&amp;IF(I3576="","unknown",I3576),H3576))</f>
        <v/>
      </c>
      <c r="Q3576">
        <f>IF(P3576="","",IFERROR(IF(AND(H3576="W7",OR(F3576="causal",F3576="predictive")),IF(AND(OR(K3576=1,K3576="1"),OR(L3576=1,L3576="1"),OR(M3576=1,M3576="1")),"adequate","partial"),IF(AND(H3576="W4",F3576="predictive",OR(J3576="P2",J3576="P3",J3576="P4")),IF(OR(U3576=1,U3576="1"),"adequate","partial"),INDEX(Fit_Matrix!$B:$B,MATCH(P3576,Fit_Matrix!$A:$A,0)))),"CHECK KEY"))</f>
        <v/>
      </c>
      <c r="U3576" s="10" t="n"/>
      <c r="V3576" s="10" t="n"/>
      <c r="W3576" s="10" t="n"/>
      <c r="X3576" s="10" t="n"/>
      <c r="Y3576" s="10" t="n"/>
      <c r="Z3576" s="10" t="n"/>
      <c r="AA3576" s="11">
        <f>IF(A3576="","",IF(AND(J3576="P4",F3576="causal"),"P4-CAUSAL",""))</f>
        <v/>
      </c>
    </row>
    <row r="3577" ht="15" customHeight="1" s="1">
      <c r="P3577">
        <f>IF(OR(F3577="",H3577="",J3577=""),"",J3577&amp;"|"&amp;F3577&amp;"|"&amp;IF(H3577="W3","W3_"&amp;IF(I3577="","unknown",I3577),H3577))</f>
        <v/>
      </c>
      <c r="Q3577">
        <f>IF(P3577="","",IFERROR(IF(AND(H3577="W7",OR(F3577="causal",F3577="predictive")),IF(AND(OR(K3577=1,K3577="1"),OR(L3577=1,L3577="1"),OR(M3577=1,M3577="1")),"adequate","partial"),IF(AND(H3577="W4",F3577="predictive",OR(J3577="P2",J3577="P3",J3577="P4")),IF(OR(U3577=1,U3577="1"),"adequate","partial"),INDEX(Fit_Matrix!$B:$B,MATCH(P3577,Fit_Matrix!$A:$A,0)))),"CHECK KEY"))</f>
        <v/>
      </c>
      <c r="U3577" s="10" t="n"/>
      <c r="V3577" s="10" t="n"/>
      <c r="W3577" s="10" t="n"/>
      <c r="X3577" s="10" t="n"/>
      <c r="Y3577" s="10" t="n"/>
      <c r="Z3577" s="10" t="n"/>
      <c r="AA3577" s="11">
        <f>IF(A3577="","",IF(AND(J3577="P4",F3577="causal"),"P4-CAUSAL",""))</f>
        <v/>
      </c>
    </row>
    <row r="3578" ht="15" customHeight="1" s="1">
      <c r="P3578">
        <f>IF(OR(F3578="",H3578="",J3578=""),"",J3578&amp;"|"&amp;F3578&amp;"|"&amp;IF(H3578="W3","W3_"&amp;IF(I3578="","unknown",I3578),H3578))</f>
        <v/>
      </c>
      <c r="Q3578">
        <f>IF(P3578="","",IFERROR(IF(AND(H3578="W7",OR(F3578="causal",F3578="predictive")),IF(AND(OR(K3578=1,K3578="1"),OR(L3578=1,L3578="1"),OR(M3578=1,M3578="1")),"adequate","partial"),IF(AND(H3578="W4",F3578="predictive",OR(J3578="P2",J3578="P3",J3578="P4")),IF(OR(U3578=1,U3578="1"),"adequate","partial"),INDEX(Fit_Matrix!$B:$B,MATCH(P3578,Fit_Matrix!$A:$A,0)))),"CHECK KEY"))</f>
        <v/>
      </c>
      <c r="U3578" s="10" t="n"/>
      <c r="V3578" s="10" t="n"/>
      <c r="W3578" s="10" t="n"/>
      <c r="X3578" s="10" t="n"/>
      <c r="Y3578" s="10" t="n"/>
      <c r="Z3578" s="10" t="n"/>
      <c r="AA3578" s="11">
        <f>IF(A3578="","",IF(AND(J3578="P4",F3578="causal"),"P4-CAUSAL",""))</f>
        <v/>
      </c>
    </row>
    <row r="3579" ht="15" customHeight="1" s="1">
      <c r="P3579">
        <f>IF(OR(F3579="",H3579="",J3579=""),"",J3579&amp;"|"&amp;F3579&amp;"|"&amp;IF(H3579="W3","W3_"&amp;IF(I3579="","unknown",I3579),H3579))</f>
        <v/>
      </c>
      <c r="Q3579">
        <f>IF(P3579="","",IFERROR(IF(AND(H3579="W7",OR(F3579="causal",F3579="predictive")),IF(AND(OR(K3579=1,K3579="1"),OR(L3579=1,L3579="1"),OR(M3579=1,M3579="1")),"adequate","partial"),IF(AND(H3579="W4",F3579="predictive",OR(J3579="P2",J3579="P3",J3579="P4")),IF(OR(U3579=1,U3579="1"),"adequate","partial"),INDEX(Fit_Matrix!$B:$B,MATCH(P3579,Fit_Matrix!$A:$A,0)))),"CHECK KEY"))</f>
        <v/>
      </c>
      <c r="U3579" s="10" t="n"/>
      <c r="V3579" s="10" t="n"/>
      <c r="W3579" s="10" t="n"/>
      <c r="X3579" s="10" t="n"/>
      <c r="Y3579" s="10" t="n"/>
      <c r="Z3579" s="10" t="n"/>
      <c r="AA3579" s="11">
        <f>IF(A3579="","",IF(AND(J3579="P4",F3579="causal"),"P4-CAUSAL",""))</f>
        <v/>
      </c>
    </row>
    <row r="3580" ht="15" customHeight="1" s="1">
      <c r="P3580">
        <f>IF(OR(F3580="",H3580="",J3580=""),"",J3580&amp;"|"&amp;F3580&amp;"|"&amp;IF(H3580="W3","W3_"&amp;IF(I3580="","unknown",I3580),H3580))</f>
        <v/>
      </c>
      <c r="Q3580">
        <f>IF(P3580="","",IFERROR(IF(AND(H3580="W7",OR(F3580="causal",F3580="predictive")),IF(AND(OR(K3580=1,K3580="1"),OR(L3580=1,L3580="1"),OR(M3580=1,M3580="1")),"adequate","partial"),IF(AND(H3580="W4",F3580="predictive",OR(J3580="P2",J3580="P3",J3580="P4")),IF(OR(U3580=1,U3580="1"),"adequate","partial"),INDEX(Fit_Matrix!$B:$B,MATCH(P3580,Fit_Matrix!$A:$A,0)))),"CHECK KEY"))</f>
        <v/>
      </c>
      <c r="U3580" s="10" t="n"/>
      <c r="V3580" s="10" t="n"/>
      <c r="W3580" s="10" t="n"/>
      <c r="X3580" s="10" t="n"/>
      <c r="Y3580" s="10" t="n"/>
      <c r="Z3580" s="10" t="n"/>
      <c r="AA3580" s="11">
        <f>IF(A3580="","",IF(AND(J3580="P4",F3580="causal"),"P4-CAUSAL",""))</f>
        <v/>
      </c>
    </row>
    <row r="3581" ht="15" customHeight="1" s="1">
      <c r="P3581">
        <f>IF(OR(F3581="",H3581="",J3581=""),"",J3581&amp;"|"&amp;F3581&amp;"|"&amp;IF(H3581="W3","W3_"&amp;IF(I3581="","unknown",I3581),H3581))</f>
        <v/>
      </c>
      <c r="Q3581">
        <f>IF(P3581="","",IFERROR(IF(AND(H3581="W7",OR(F3581="causal",F3581="predictive")),IF(AND(OR(K3581=1,K3581="1"),OR(L3581=1,L3581="1"),OR(M3581=1,M3581="1")),"adequate","partial"),IF(AND(H3581="W4",F3581="predictive",OR(J3581="P2",J3581="P3",J3581="P4")),IF(OR(U3581=1,U3581="1"),"adequate","partial"),INDEX(Fit_Matrix!$B:$B,MATCH(P3581,Fit_Matrix!$A:$A,0)))),"CHECK KEY"))</f>
        <v/>
      </c>
      <c r="U3581" s="10" t="n"/>
      <c r="V3581" s="10" t="n"/>
      <c r="W3581" s="10" t="n"/>
      <c r="X3581" s="10" t="n"/>
      <c r="Y3581" s="10" t="n"/>
      <c r="Z3581" s="10" t="n"/>
      <c r="AA3581" s="11">
        <f>IF(A3581="","",IF(AND(J3581="P4",F3581="causal"),"P4-CAUSAL",""))</f>
        <v/>
      </c>
    </row>
    <row r="3582" ht="15" customHeight="1" s="1">
      <c r="P3582">
        <f>IF(OR(F3582="",H3582="",J3582=""),"",J3582&amp;"|"&amp;F3582&amp;"|"&amp;IF(H3582="W3","W3_"&amp;IF(I3582="","unknown",I3582),H3582))</f>
        <v/>
      </c>
      <c r="Q3582">
        <f>IF(P3582="","",IFERROR(IF(AND(H3582="W7",OR(F3582="causal",F3582="predictive")),IF(AND(OR(K3582=1,K3582="1"),OR(L3582=1,L3582="1"),OR(M3582=1,M3582="1")),"adequate","partial"),IF(AND(H3582="W4",F3582="predictive",OR(J3582="P2",J3582="P3",J3582="P4")),IF(OR(U3582=1,U3582="1"),"adequate","partial"),INDEX(Fit_Matrix!$B:$B,MATCH(P3582,Fit_Matrix!$A:$A,0)))),"CHECK KEY"))</f>
        <v/>
      </c>
      <c r="U3582" s="10" t="n"/>
      <c r="V3582" s="10" t="n"/>
      <c r="W3582" s="10" t="n"/>
      <c r="X3582" s="10" t="n"/>
      <c r="Y3582" s="10" t="n"/>
      <c r="Z3582" s="10" t="n"/>
      <c r="AA3582" s="11">
        <f>IF(A3582="","",IF(AND(J3582="P4",F3582="causal"),"P4-CAUSAL",""))</f>
        <v/>
      </c>
    </row>
    <row r="3583" ht="15" customHeight="1" s="1">
      <c r="P3583">
        <f>IF(OR(F3583="",H3583="",J3583=""),"",J3583&amp;"|"&amp;F3583&amp;"|"&amp;IF(H3583="W3","W3_"&amp;IF(I3583="","unknown",I3583),H3583))</f>
        <v/>
      </c>
      <c r="Q3583">
        <f>IF(P3583="","",IFERROR(IF(AND(H3583="W7",OR(F3583="causal",F3583="predictive")),IF(AND(OR(K3583=1,K3583="1"),OR(L3583=1,L3583="1"),OR(M3583=1,M3583="1")),"adequate","partial"),IF(AND(H3583="W4",F3583="predictive",OR(J3583="P2",J3583="P3",J3583="P4")),IF(OR(U3583=1,U3583="1"),"adequate","partial"),INDEX(Fit_Matrix!$B:$B,MATCH(P3583,Fit_Matrix!$A:$A,0)))),"CHECK KEY"))</f>
        <v/>
      </c>
      <c r="U3583" s="10" t="n"/>
      <c r="V3583" s="10" t="n"/>
      <c r="W3583" s="10" t="n"/>
      <c r="X3583" s="10" t="n"/>
      <c r="Y3583" s="10" t="n"/>
      <c r="Z3583" s="10" t="n"/>
      <c r="AA3583" s="11">
        <f>IF(A3583="","",IF(AND(J3583="P4",F3583="causal"),"P4-CAUSAL",""))</f>
        <v/>
      </c>
    </row>
    <row r="3584" ht="15" customHeight="1" s="1">
      <c r="P3584">
        <f>IF(OR(F3584="",H3584="",J3584=""),"",J3584&amp;"|"&amp;F3584&amp;"|"&amp;IF(H3584="W3","W3_"&amp;IF(I3584="","unknown",I3584),H3584))</f>
        <v/>
      </c>
      <c r="Q3584">
        <f>IF(P3584="","",IFERROR(IF(AND(H3584="W7",OR(F3584="causal",F3584="predictive")),IF(AND(OR(K3584=1,K3584="1"),OR(L3584=1,L3584="1"),OR(M3584=1,M3584="1")),"adequate","partial"),IF(AND(H3584="W4",F3584="predictive",OR(J3584="P2",J3584="P3",J3584="P4")),IF(OR(U3584=1,U3584="1"),"adequate","partial"),INDEX(Fit_Matrix!$B:$B,MATCH(P3584,Fit_Matrix!$A:$A,0)))),"CHECK KEY"))</f>
        <v/>
      </c>
      <c r="U3584" s="10" t="n"/>
      <c r="V3584" s="10" t="n"/>
      <c r="W3584" s="10" t="n"/>
      <c r="X3584" s="10" t="n"/>
      <c r="Y3584" s="10" t="n"/>
      <c r="Z3584" s="10" t="n"/>
      <c r="AA3584" s="11">
        <f>IF(A3584="","",IF(AND(J3584="P4",F3584="causal"),"P4-CAUSAL",""))</f>
        <v/>
      </c>
    </row>
    <row r="3585" ht="15" customHeight="1" s="1">
      <c r="P3585">
        <f>IF(OR(F3585="",H3585="",J3585=""),"",J3585&amp;"|"&amp;F3585&amp;"|"&amp;IF(H3585="W3","W3_"&amp;IF(I3585="","unknown",I3585),H3585))</f>
        <v/>
      </c>
      <c r="Q3585">
        <f>IF(P3585="","",IFERROR(IF(AND(H3585="W7",OR(F3585="causal",F3585="predictive")),IF(AND(OR(K3585=1,K3585="1"),OR(L3585=1,L3585="1"),OR(M3585=1,M3585="1")),"adequate","partial"),IF(AND(H3585="W4",F3585="predictive",OR(J3585="P2",J3585="P3",J3585="P4")),IF(OR(U3585=1,U3585="1"),"adequate","partial"),INDEX(Fit_Matrix!$B:$B,MATCH(P3585,Fit_Matrix!$A:$A,0)))),"CHECK KEY"))</f>
        <v/>
      </c>
      <c r="U3585" s="10" t="n"/>
      <c r="V3585" s="10" t="n"/>
      <c r="W3585" s="10" t="n"/>
      <c r="X3585" s="10" t="n"/>
      <c r="Y3585" s="10" t="n"/>
      <c r="Z3585" s="10" t="n"/>
      <c r="AA3585" s="11">
        <f>IF(A3585="","",IF(AND(J3585="P4",F3585="causal"),"P4-CAUSAL",""))</f>
        <v/>
      </c>
    </row>
    <row r="3586" ht="15" customHeight="1" s="1">
      <c r="P3586">
        <f>IF(OR(F3586="",H3586="",J3586=""),"",J3586&amp;"|"&amp;F3586&amp;"|"&amp;IF(H3586="W3","W3_"&amp;IF(I3586="","unknown",I3586),H3586))</f>
        <v/>
      </c>
      <c r="Q3586">
        <f>IF(P3586="","",IFERROR(IF(AND(H3586="W7",OR(F3586="causal",F3586="predictive")),IF(AND(OR(K3586=1,K3586="1"),OR(L3586=1,L3586="1"),OR(M3586=1,M3586="1")),"adequate","partial"),IF(AND(H3586="W4",F3586="predictive",OR(J3586="P2",J3586="P3",J3586="P4")),IF(OR(U3586=1,U3586="1"),"adequate","partial"),INDEX(Fit_Matrix!$B:$B,MATCH(P3586,Fit_Matrix!$A:$A,0)))),"CHECK KEY"))</f>
        <v/>
      </c>
      <c r="U3586" s="10" t="n"/>
      <c r="V3586" s="10" t="n"/>
      <c r="W3586" s="10" t="n"/>
      <c r="X3586" s="10" t="n"/>
      <c r="Y3586" s="10" t="n"/>
      <c r="Z3586" s="10" t="n"/>
      <c r="AA3586" s="11">
        <f>IF(A3586="","",IF(AND(J3586="P4",F3586="causal"),"P4-CAUSAL",""))</f>
        <v/>
      </c>
    </row>
    <row r="3587" ht="15" customHeight="1" s="1">
      <c r="P3587">
        <f>IF(OR(F3587="",H3587="",J3587=""),"",J3587&amp;"|"&amp;F3587&amp;"|"&amp;IF(H3587="W3","W3_"&amp;IF(I3587="","unknown",I3587),H3587))</f>
        <v/>
      </c>
      <c r="Q3587">
        <f>IF(P3587="","",IFERROR(IF(AND(H3587="W7",OR(F3587="causal",F3587="predictive")),IF(AND(OR(K3587=1,K3587="1"),OR(L3587=1,L3587="1"),OR(M3587=1,M3587="1")),"adequate","partial"),IF(AND(H3587="W4",F3587="predictive",OR(J3587="P2",J3587="P3",J3587="P4")),IF(OR(U3587=1,U3587="1"),"adequate","partial"),INDEX(Fit_Matrix!$B:$B,MATCH(P3587,Fit_Matrix!$A:$A,0)))),"CHECK KEY"))</f>
        <v/>
      </c>
      <c r="U3587" s="10" t="n"/>
      <c r="V3587" s="10" t="n"/>
      <c r="W3587" s="10" t="n"/>
      <c r="X3587" s="10" t="n"/>
      <c r="Y3587" s="10" t="n"/>
      <c r="Z3587" s="10" t="n"/>
      <c r="AA3587" s="11">
        <f>IF(A3587="","",IF(AND(J3587="P4",F3587="causal"),"P4-CAUSAL",""))</f>
        <v/>
      </c>
    </row>
    <row r="3588" ht="15" customHeight="1" s="1">
      <c r="P3588">
        <f>IF(OR(F3588="",H3588="",J3588=""),"",J3588&amp;"|"&amp;F3588&amp;"|"&amp;IF(H3588="W3","W3_"&amp;IF(I3588="","unknown",I3588),H3588))</f>
        <v/>
      </c>
      <c r="Q3588">
        <f>IF(P3588="","",IFERROR(IF(AND(H3588="W7",OR(F3588="causal",F3588="predictive")),IF(AND(OR(K3588=1,K3588="1"),OR(L3588=1,L3588="1"),OR(M3588=1,M3588="1")),"adequate","partial"),IF(AND(H3588="W4",F3588="predictive",OR(J3588="P2",J3588="P3",J3588="P4")),IF(OR(U3588=1,U3588="1"),"adequate","partial"),INDEX(Fit_Matrix!$B:$B,MATCH(P3588,Fit_Matrix!$A:$A,0)))),"CHECK KEY"))</f>
        <v/>
      </c>
      <c r="U3588" s="10" t="n"/>
      <c r="V3588" s="10" t="n"/>
      <c r="W3588" s="10" t="n"/>
      <c r="X3588" s="10" t="n"/>
      <c r="Y3588" s="10" t="n"/>
      <c r="Z3588" s="10" t="n"/>
      <c r="AA3588" s="11">
        <f>IF(A3588="","",IF(AND(J3588="P4",F3588="causal"),"P4-CAUSAL",""))</f>
        <v/>
      </c>
    </row>
    <row r="3589" ht="15" customHeight="1" s="1">
      <c r="P3589">
        <f>IF(OR(F3589="",H3589="",J3589=""),"",J3589&amp;"|"&amp;F3589&amp;"|"&amp;IF(H3589="W3","W3_"&amp;IF(I3589="","unknown",I3589),H3589))</f>
        <v/>
      </c>
      <c r="Q3589">
        <f>IF(P3589="","",IFERROR(IF(AND(H3589="W7",OR(F3589="causal",F3589="predictive")),IF(AND(OR(K3589=1,K3589="1"),OR(L3589=1,L3589="1"),OR(M3589=1,M3589="1")),"adequate","partial"),IF(AND(H3589="W4",F3589="predictive",OR(J3589="P2",J3589="P3",J3589="P4")),IF(OR(U3589=1,U3589="1"),"adequate","partial"),INDEX(Fit_Matrix!$B:$B,MATCH(P3589,Fit_Matrix!$A:$A,0)))),"CHECK KEY"))</f>
        <v/>
      </c>
      <c r="U3589" s="10" t="n"/>
      <c r="V3589" s="10" t="n"/>
      <c r="W3589" s="10" t="n"/>
      <c r="X3589" s="10" t="n"/>
      <c r="Y3589" s="10" t="n"/>
      <c r="Z3589" s="10" t="n"/>
      <c r="AA3589" s="11">
        <f>IF(A3589="","",IF(AND(J3589="P4",F3589="causal"),"P4-CAUSAL",""))</f>
        <v/>
      </c>
    </row>
    <row r="3590" ht="15" customHeight="1" s="1">
      <c r="P3590">
        <f>IF(OR(F3590="",H3590="",J3590=""),"",J3590&amp;"|"&amp;F3590&amp;"|"&amp;IF(H3590="W3","W3_"&amp;IF(I3590="","unknown",I3590),H3590))</f>
        <v/>
      </c>
      <c r="Q3590">
        <f>IF(P3590="","",IFERROR(IF(AND(H3590="W7",OR(F3590="causal",F3590="predictive")),IF(AND(OR(K3590=1,K3590="1"),OR(L3590=1,L3590="1"),OR(M3590=1,M3590="1")),"adequate","partial"),IF(AND(H3590="W4",F3590="predictive",OR(J3590="P2",J3590="P3",J3590="P4")),IF(OR(U3590=1,U3590="1"),"adequate","partial"),INDEX(Fit_Matrix!$B:$B,MATCH(P3590,Fit_Matrix!$A:$A,0)))),"CHECK KEY"))</f>
        <v/>
      </c>
      <c r="U3590" s="10" t="n"/>
      <c r="V3590" s="10" t="n"/>
      <c r="W3590" s="10" t="n"/>
      <c r="X3590" s="10" t="n"/>
      <c r="Y3590" s="10" t="n"/>
      <c r="Z3590" s="10" t="n"/>
      <c r="AA3590" s="11">
        <f>IF(A3590="","",IF(AND(J3590="P4",F3590="causal"),"P4-CAUSAL",""))</f>
        <v/>
      </c>
    </row>
    <row r="3591" ht="15" customHeight="1" s="1">
      <c r="P3591">
        <f>IF(OR(F3591="",H3591="",J3591=""),"",J3591&amp;"|"&amp;F3591&amp;"|"&amp;IF(H3591="W3","W3_"&amp;IF(I3591="","unknown",I3591),H3591))</f>
        <v/>
      </c>
      <c r="Q3591">
        <f>IF(P3591="","",IFERROR(IF(AND(H3591="W7",OR(F3591="causal",F3591="predictive")),IF(AND(OR(K3591=1,K3591="1"),OR(L3591=1,L3591="1"),OR(M3591=1,M3591="1")),"adequate","partial"),IF(AND(H3591="W4",F3591="predictive",OR(J3591="P2",J3591="P3",J3591="P4")),IF(OR(U3591=1,U3591="1"),"adequate","partial"),INDEX(Fit_Matrix!$B:$B,MATCH(P3591,Fit_Matrix!$A:$A,0)))),"CHECK KEY"))</f>
        <v/>
      </c>
      <c r="U3591" s="10" t="n"/>
      <c r="V3591" s="10" t="n"/>
      <c r="W3591" s="10" t="n"/>
      <c r="X3591" s="10" t="n"/>
      <c r="Y3591" s="10" t="n"/>
      <c r="Z3591" s="10" t="n"/>
      <c r="AA3591" s="11">
        <f>IF(A3591="","",IF(AND(J3591="P4",F3591="causal"),"P4-CAUSAL",""))</f>
        <v/>
      </c>
    </row>
    <row r="3592" ht="15" customHeight="1" s="1">
      <c r="P3592">
        <f>IF(OR(F3592="",H3592="",J3592=""),"",J3592&amp;"|"&amp;F3592&amp;"|"&amp;IF(H3592="W3","W3_"&amp;IF(I3592="","unknown",I3592),H3592))</f>
        <v/>
      </c>
      <c r="Q3592">
        <f>IF(P3592="","",IFERROR(IF(AND(H3592="W7",OR(F3592="causal",F3592="predictive")),IF(AND(OR(K3592=1,K3592="1"),OR(L3592=1,L3592="1"),OR(M3592=1,M3592="1")),"adequate","partial"),IF(AND(H3592="W4",F3592="predictive",OR(J3592="P2",J3592="P3",J3592="P4")),IF(OR(U3592=1,U3592="1"),"adequate","partial"),INDEX(Fit_Matrix!$B:$B,MATCH(P3592,Fit_Matrix!$A:$A,0)))),"CHECK KEY"))</f>
        <v/>
      </c>
      <c r="U3592" s="10" t="n"/>
      <c r="V3592" s="10" t="n"/>
      <c r="W3592" s="10" t="n"/>
      <c r="X3592" s="10" t="n"/>
      <c r="Y3592" s="10" t="n"/>
      <c r="Z3592" s="10" t="n"/>
      <c r="AA3592" s="11">
        <f>IF(A3592="","",IF(AND(J3592="P4",F3592="causal"),"P4-CAUSAL",""))</f>
        <v/>
      </c>
    </row>
    <row r="3593" ht="15" customHeight="1" s="1">
      <c r="P3593">
        <f>IF(OR(F3593="",H3593="",J3593=""),"",J3593&amp;"|"&amp;F3593&amp;"|"&amp;IF(H3593="W3","W3_"&amp;IF(I3593="","unknown",I3593),H3593))</f>
        <v/>
      </c>
      <c r="Q3593">
        <f>IF(P3593="","",IFERROR(IF(AND(H3593="W7",OR(F3593="causal",F3593="predictive")),IF(AND(OR(K3593=1,K3593="1"),OR(L3593=1,L3593="1"),OR(M3593=1,M3593="1")),"adequate","partial"),IF(AND(H3593="W4",F3593="predictive",OR(J3593="P2",J3593="P3",J3593="P4")),IF(OR(U3593=1,U3593="1"),"adequate","partial"),INDEX(Fit_Matrix!$B:$B,MATCH(P3593,Fit_Matrix!$A:$A,0)))),"CHECK KEY"))</f>
        <v/>
      </c>
      <c r="U3593" s="10" t="n"/>
      <c r="V3593" s="10" t="n"/>
      <c r="W3593" s="10" t="n"/>
      <c r="X3593" s="10" t="n"/>
      <c r="Y3593" s="10" t="n"/>
      <c r="Z3593" s="10" t="n"/>
      <c r="AA3593" s="11">
        <f>IF(A3593="","",IF(AND(J3593="P4",F3593="causal"),"P4-CAUSAL",""))</f>
        <v/>
      </c>
    </row>
    <row r="3594" ht="15" customHeight="1" s="1">
      <c r="P3594">
        <f>IF(OR(F3594="",H3594="",J3594=""),"",J3594&amp;"|"&amp;F3594&amp;"|"&amp;IF(H3594="W3","W3_"&amp;IF(I3594="","unknown",I3594),H3594))</f>
        <v/>
      </c>
      <c r="Q3594">
        <f>IF(P3594="","",IFERROR(IF(AND(H3594="W7",OR(F3594="causal",F3594="predictive")),IF(AND(OR(K3594=1,K3594="1"),OR(L3594=1,L3594="1"),OR(M3594=1,M3594="1")),"adequate","partial"),IF(AND(H3594="W4",F3594="predictive",OR(J3594="P2",J3594="P3",J3594="P4")),IF(OR(U3594=1,U3594="1"),"adequate","partial"),INDEX(Fit_Matrix!$B:$B,MATCH(P3594,Fit_Matrix!$A:$A,0)))),"CHECK KEY"))</f>
        <v/>
      </c>
      <c r="U3594" s="10" t="n"/>
      <c r="V3594" s="10" t="n"/>
      <c r="W3594" s="10" t="n"/>
      <c r="X3594" s="10" t="n"/>
      <c r="Y3594" s="10" t="n"/>
      <c r="Z3594" s="10" t="n"/>
      <c r="AA3594" s="11">
        <f>IF(A3594="","",IF(AND(J3594="P4",F3594="causal"),"P4-CAUSAL",""))</f>
        <v/>
      </c>
    </row>
    <row r="3595" ht="15" customHeight="1" s="1">
      <c r="P3595">
        <f>IF(OR(F3595="",H3595="",J3595=""),"",J3595&amp;"|"&amp;F3595&amp;"|"&amp;IF(H3595="W3","W3_"&amp;IF(I3595="","unknown",I3595),H3595))</f>
        <v/>
      </c>
      <c r="Q3595">
        <f>IF(P3595="","",IFERROR(IF(AND(H3595="W7",OR(F3595="causal",F3595="predictive")),IF(AND(OR(K3595=1,K3595="1"),OR(L3595=1,L3595="1"),OR(M3595=1,M3595="1")),"adequate","partial"),IF(AND(H3595="W4",F3595="predictive",OR(J3595="P2",J3595="P3",J3595="P4")),IF(OR(U3595=1,U3595="1"),"adequate","partial"),INDEX(Fit_Matrix!$B:$B,MATCH(P3595,Fit_Matrix!$A:$A,0)))),"CHECK KEY"))</f>
        <v/>
      </c>
      <c r="U3595" s="10" t="n"/>
      <c r="V3595" s="10" t="n"/>
      <c r="W3595" s="10" t="n"/>
      <c r="X3595" s="10" t="n"/>
      <c r="Y3595" s="10" t="n"/>
      <c r="Z3595" s="10" t="n"/>
      <c r="AA3595" s="11">
        <f>IF(A3595="","",IF(AND(J3595="P4",F3595="causal"),"P4-CAUSAL",""))</f>
        <v/>
      </c>
    </row>
    <row r="3596" ht="15" customHeight="1" s="1">
      <c r="P3596">
        <f>IF(OR(F3596="",H3596="",J3596=""),"",J3596&amp;"|"&amp;F3596&amp;"|"&amp;IF(H3596="W3","W3_"&amp;IF(I3596="","unknown",I3596),H3596))</f>
        <v/>
      </c>
      <c r="Q3596">
        <f>IF(P3596="","",IFERROR(IF(AND(H3596="W7",OR(F3596="causal",F3596="predictive")),IF(AND(OR(K3596=1,K3596="1"),OR(L3596=1,L3596="1"),OR(M3596=1,M3596="1")),"adequate","partial"),IF(AND(H3596="W4",F3596="predictive",OR(J3596="P2",J3596="P3",J3596="P4")),IF(OR(U3596=1,U3596="1"),"adequate","partial"),INDEX(Fit_Matrix!$B:$B,MATCH(P3596,Fit_Matrix!$A:$A,0)))),"CHECK KEY"))</f>
        <v/>
      </c>
      <c r="U3596" s="10" t="n"/>
      <c r="V3596" s="10" t="n"/>
      <c r="W3596" s="10" t="n"/>
      <c r="X3596" s="10" t="n"/>
      <c r="Y3596" s="10" t="n"/>
      <c r="Z3596" s="10" t="n"/>
      <c r="AA3596" s="11">
        <f>IF(A3596="","",IF(AND(J3596="P4",F3596="causal"),"P4-CAUSAL",""))</f>
        <v/>
      </c>
    </row>
    <row r="3597" ht="15" customHeight="1" s="1">
      <c r="P3597">
        <f>IF(OR(F3597="",H3597="",J3597=""),"",J3597&amp;"|"&amp;F3597&amp;"|"&amp;IF(H3597="W3","W3_"&amp;IF(I3597="","unknown",I3597),H3597))</f>
        <v/>
      </c>
      <c r="Q3597">
        <f>IF(P3597="","",IFERROR(IF(AND(H3597="W7",OR(F3597="causal",F3597="predictive")),IF(AND(OR(K3597=1,K3597="1"),OR(L3597=1,L3597="1"),OR(M3597=1,M3597="1")),"adequate","partial"),IF(AND(H3597="W4",F3597="predictive",OR(J3597="P2",J3597="P3",J3597="P4")),IF(OR(U3597=1,U3597="1"),"adequate","partial"),INDEX(Fit_Matrix!$B:$B,MATCH(P3597,Fit_Matrix!$A:$A,0)))),"CHECK KEY"))</f>
        <v/>
      </c>
      <c r="U3597" s="10" t="n"/>
      <c r="V3597" s="10" t="n"/>
      <c r="W3597" s="10" t="n"/>
      <c r="X3597" s="10" t="n"/>
      <c r="Y3597" s="10" t="n"/>
      <c r="Z3597" s="10" t="n"/>
      <c r="AA3597" s="11">
        <f>IF(A3597="","",IF(AND(J3597="P4",F3597="causal"),"P4-CAUSAL",""))</f>
        <v/>
      </c>
    </row>
    <row r="3598" ht="15" customHeight="1" s="1">
      <c r="P3598">
        <f>IF(OR(F3598="",H3598="",J3598=""),"",J3598&amp;"|"&amp;F3598&amp;"|"&amp;IF(H3598="W3","W3_"&amp;IF(I3598="","unknown",I3598),H3598))</f>
        <v/>
      </c>
      <c r="Q3598">
        <f>IF(P3598="","",IFERROR(IF(AND(H3598="W7",OR(F3598="causal",F3598="predictive")),IF(AND(OR(K3598=1,K3598="1"),OR(L3598=1,L3598="1"),OR(M3598=1,M3598="1")),"adequate","partial"),IF(AND(H3598="W4",F3598="predictive",OR(J3598="P2",J3598="P3",J3598="P4")),IF(OR(U3598=1,U3598="1"),"adequate","partial"),INDEX(Fit_Matrix!$B:$B,MATCH(P3598,Fit_Matrix!$A:$A,0)))),"CHECK KEY"))</f>
        <v/>
      </c>
      <c r="U3598" s="10" t="n"/>
      <c r="V3598" s="10" t="n"/>
      <c r="W3598" s="10" t="n"/>
      <c r="X3598" s="10" t="n"/>
      <c r="Y3598" s="10" t="n"/>
      <c r="Z3598" s="10" t="n"/>
      <c r="AA3598" s="11">
        <f>IF(A3598="","",IF(AND(J3598="P4",F3598="causal"),"P4-CAUSAL",""))</f>
        <v/>
      </c>
    </row>
    <row r="3599" ht="15" customHeight="1" s="1">
      <c r="P3599">
        <f>IF(OR(F3599="",H3599="",J3599=""),"",J3599&amp;"|"&amp;F3599&amp;"|"&amp;IF(H3599="W3","W3_"&amp;IF(I3599="","unknown",I3599),H3599))</f>
        <v/>
      </c>
      <c r="Q3599">
        <f>IF(P3599="","",IFERROR(IF(AND(H3599="W7",OR(F3599="causal",F3599="predictive")),IF(AND(OR(K3599=1,K3599="1"),OR(L3599=1,L3599="1"),OR(M3599=1,M3599="1")),"adequate","partial"),IF(AND(H3599="W4",F3599="predictive",OR(J3599="P2",J3599="P3",J3599="P4")),IF(OR(U3599=1,U3599="1"),"adequate","partial"),INDEX(Fit_Matrix!$B:$B,MATCH(P3599,Fit_Matrix!$A:$A,0)))),"CHECK KEY"))</f>
        <v/>
      </c>
      <c r="U3599" s="10" t="n"/>
      <c r="V3599" s="10" t="n"/>
      <c r="W3599" s="10" t="n"/>
      <c r="X3599" s="10" t="n"/>
      <c r="Y3599" s="10" t="n"/>
      <c r="Z3599" s="10" t="n"/>
      <c r="AA3599" s="11">
        <f>IF(A3599="","",IF(AND(J3599="P4",F3599="causal"),"P4-CAUSAL",""))</f>
        <v/>
      </c>
    </row>
    <row r="3600" ht="15" customHeight="1" s="1">
      <c r="P3600">
        <f>IF(OR(F3600="",H3600="",J3600=""),"",J3600&amp;"|"&amp;F3600&amp;"|"&amp;IF(H3600="W3","W3_"&amp;IF(I3600="","unknown",I3600),H3600))</f>
        <v/>
      </c>
      <c r="Q3600">
        <f>IF(P3600="","",IFERROR(IF(AND(H3600="W7",OR(F3600="causal",F3600="predictive")),IF(AND(OR(K3600=1,K3600="1"),OR(L3600=1,L3600="1"),OR(M3600=1,M3600="1")),"adequate","partial"),IF(AND(H3600="W4",F3600="predictive",OR(J3600="P2",J3600="P3",J3600="P4")),IF(OR(U3600=1,U3600="1"),"adequate","partial"),INDEX(Fit_Matrix!$B:$B,MATCH(P3600,Fit_Matrix!$A:$A,0)))),"CHECK KEY"))</f>
        <v/>
      </c>
      <c r="U3600" s="10" t="n"/>
      <c r="V3600" s="10" t="n"/>
      <c r="W3600" s="10" t="n"/>
      <c r="X3600" s="10" t="n"/>
      <c r="Y3600" s="10" t="n"/>
      <c r="Z3600" s="10" t="n"/>
      <c r="AA3600" s="11">
        <f>IF(A3600="","",IF(AND(J3600="P4",F3600="causal"),"P4-CAUSAL",""))</f>
        <v/>
      </c>
    </row>
    <row r="3601" ht="15" customHeight="1" s="1">
      <c r="P3601">
        <f>IF(OR(F3601="",H3601="",J3601=""),"",J3601&amp;"|"&amp;F3601&amp;"|"&amp;IF(H3601="W3","W3_"&amp;IF(I3601="","unknown",I3601),H3601))</f>
        <v/>
      </c>
      <c r="Q3601">
        <f>IF(P3601="","",IFERROR(IF(AND(H3601="W7",OR(F3601="causal",F3601="predictive")),IF(AND(OR(K3601=1,K3601="1"),OR(L3601=1,L3601="1"),OR(M3601=1,M3601="1")),"adequate","partial"),IF(AND(H3601="W4",F3601="predictive",OR(J3601="P2",J3601="P3",J3601="P4")),IF(OR(U3601=1,U3601="1"),"adequate","partial"),INDEX(Fit_Matrix!$B:$B,MATCH(P3601,Fit_Matrix!$A:$A,0)))),"CHECK KEY"))</f>
        <v/>
      </c>
      <c r="U3601" s="10" t="n"/>
      <c r="V3601" s="10" t="n"/>
      <c r="W3601" s="10" t="n"/>
      <c r="X3601" s="10" t="n"/>
      <c r="Y3601" s="10" t="n"/>
      <c r="Z3601" s="10" t="n"/>
      <c r="AA3601" s="11">
        <f>IF(A3601="","",IF(AND(J3601="P4",F3601="causal"),"P4-CAUSAL",""))</f>
        <v/>
      </c>
    </row>
    <row r="3602" ht="15" customHeight="1" s="1">
      <c r="P3602">
        <f>IF(OR(F3602="",H3602="",J3602=""),"",J3602&amp;"|"&amp;F3602&amp;"|"&amp;IF(H3602="W3","W3_"&amp;IF(I3602="","unknown",I3602),H3602))</f>
        <v/>
      </c>
      <c r="Q3602">
        <f>IF(P3602="","",IFERROR(IF(AND(H3602="W7",OR(F3602="causal",F3602="predictive")),IF(AND(OR(K3602=1,K3602="1"),OR(L3602=1,L3602="1"),OR(M3602=1,M3602="1")),"adequate","partial"),IF(AND(H3602="W4",F3602="predictive",OR(J3602="P2",J3602="P3",J3602="P4")),IF(OR(U3602=1,U3602="1"),"adequate","partial"),INDEX(Fit_Matrix!$B:$B,MATCH(P3602,Fit_Matrix!$A:$A,0)))),"CHECK KEY"))</f>
        <v/>
      </c>
      <c r="U3602" s="10" t="n"/>
      <c r="V3602" s="10" t="n"/>
      <c r="W3602" s="10" t="n"/>
      <c r="X3602" s="10" t="n"/>
      <c r="Y3602" s="10" t="n"/>
      <c r="Z3602" s="10" t="n"/>
      <c r="AA3602" s="11">
        <f>IF(A3602="","",IF(AND(J3602="P4",F3602="causal"),"P4-CAUSAL",""))</f>
        <v/>
      </c>
    </row>
    <row r="3603" ht="15" customHeight="1" s="1">
      <c r="P3603">
        <f>IF(OR(F3603="",H3603="",J3603=""),"",J3603&amp;"|"&amp;F3603&amp;"|"&amp;IF(H3603="W3","W3_"&amp;IF(I3603="","unknown",I3603),H3603))</f>
        <v/>
      </c>
      <c r="Q3603">
        <f>IF(P3603="","",IFERROR(IF(AND(H3603="W7",OR(F3603="causal",F3603="predictive")),IF(AND(OR(K3603=1,K3603="1"),OR(L3603=1,L3603="1"),OR(M3603=1,M3603="1")),"adequate","partial"),IF(AND(H3603="W4",F3603="predictive",OR(J3603="P2",J3603="P3",J3603="P4")),IF(OR(U3603=1,U3603="1"),"adequate","partial"),INDEX(Fit_Matrix!$B:$B,MATCH(P3603,Fit_Matrix!$A:$A,0)))),"CHECK KEY"))</f>
        <v/>
      </c>
      <c r="U3603" s="10" t="n"/>
      <c r="V3603" s="10" t="n"/>
      <c r="W3603" s="10" t="n"/>
      <c r="X3603" s="10" t="n"/>
      <c r="Y3603" s="10" t="n"/>
      <c r="Z3603" s="10" t="n"/>
      <c r="AA3603" s="11">
        <f>IF(A3603="","",IF(AND(J3603="P4",F3603="causal"),"P4-CAUSAL",""))</f>
        <v/>
      </c>
    </row>
    <row r="3604" ht="15" customHeight="1" s="1">
      <c r="P3604">
        <f>IF(OR(F3604="",H3604="",J3604=""),"",J3604&amp;"|"&amp;F3604&amp;"|"&amp;IF(H3604="W3","W3_"&amp;IF(I3604="","unknown",I3604),H3604))</f>
        <v/>
      </c>
      <c r="Q3604">
        <f>IF(P3604="","",IFERROR(IF(AND(H3604="W7",OR(F3604="causal",F3604="predictive")),IF(AND(OR(K3604=1,K3604="1"),OR(L3604=1,L3604="1"),OR(M3604=1,M3604="1")),"adequate","partial"),IF(AND(H3604="W4",F3604="predictive",OR(J3604="P2",J3604="P3",J3604="P4")),IF(OR(U3604=1,U3604="1"),"adequate","partial"),INDEX(Fit_Matrix!$B:$B,MATCH(P3604,Fit_Matrix!$A:$A,0)))),"CHECK KEY"))</f>
        <v/>
      </c>
      <c r="U3604" s="10" t="n"/>
      <c r="V3604" s="10" t="n"/>
      <c r="W3604" s="10" t="n"/>
      <c r="X3604" s="10" t="n"/>
      <c r="Y3604" s="10" t="n"/>
      <c r="Z3604" s="10" t="n"/>
      <c r="AA3604" s="11">
        <f>IF(A3604="","",IF(AND(J3604="P4",F3604="causal"),"P4-CAUSAL",""))</f>
        <v/>
      </c>
    </row>
    <row r="3605" ht="15" customHeight="1" s="1">
      <c r="P3605">
        <f>IF(OR(F3605="",H3605="",J3605=""),"",J3605&amp;"|"&amp;F3605&amp;"|"&amp;IF(H3605="W3","W3_"&amp;IF(I3605="","unknown",I3605),H3605))</f>
        <v/>
      </c>
      <c r="Q3605">
        <f>IF(P3605="","",IFERROR(IF(AND(H3605="W7",OR(F3605="causal",F3605="predictive")),IF(AND(OR(K3605=1,K3605="1"),OR(L3605=1,L3605="1"),OR(M3605=1,M3605="1")),"adequate","partial"),IF(AND(H3605="W4",F3605="predictive",OR(J3605="P2",J3605="P3",J3605="P4")),IF(OR(U3605=1,U3605="1"),"adequate","partial"),INDEX(Fit_Matrix!$B:$B,MATCH(P3605,Fit_Matrix!$A:$A,0)))),"CHECK KEY"))</f>
        <v/>
      </c>
      <c r="U3605" s="10" t="n"/>
      <c r="V3605" s="10" t="n"/>
      <c r="W3605" s="10" t="n"/>
      <c r="X3605" s="10" t="n"/>
      <c r="Y3605" s="10" t="n"/>
      <c r="Z3605" s="10" t="n"/>
      <c r="AA3605" s="11">
        <f>IF(A3605="","",IF(AND(J3605="P4",F3605="causal"),"P4-CAUSAL",""))</f>
        <v/>
      </c>
    </row>
    <row r="3606" ht="15" customHeight="1" s="1">
      <c r="P3606">
        <f>IF(OR(F3606="",H3606="",J3606=""),"",J3606&amp;"|"&amp;F3606&amp;"|"&amp;IF(H3606="W3","W3_"&amp;IF(I3606="","unknown",I3606),H3606))</f>
        <v/>
      </c>
      <c r="Q3606">
        <f>IF(P3606="","",IFERROR(IF(AND(H3606="W7",OR(F3606="causal",F3606="predictive")),IF(AND(OR(K3606=1,K3606="1"),OR(L3606=1,L3606="1"),OR(M3606=1,M3606="1")),"adequate","partial"),IF(AND(H3606="W4",F3606="predictive",OR(J3606="P2",J3606="P3",J3606="P4")),IF(OR(U3606=1,U3606="1"),"adequate","partial"),INDEX(Fit_Matrix!$B:$B,MATCH(P3606,Fit_Matrix!$A:$A,0)))),"CHECK KEY"))</f>
        <v/>
      </c>
      <c r="U3606" s="10" t="n"/>
      <c r="V3606" s="10" t="n"/>
      <c r="W3606" s="10" t="n"/>
      <c r="X3606" s="10" t="n"/>
      <c r="Y3606" s="10" t="n"/>
      <c r="Z3606" s="10" t="n"/>
      <c r="AA3606" s="11">
        <f>IF(A3606="","",IF(AND(J3606="P4",F3606="causal"),"P4-CAUSAL",""))</f>
        <v/>
      </c>
    </row>
    <row r="3607" ht="15" customHeight="1" s="1">
      <c r="P3607">
        <f>IF(OR(F3607="",H3607="",J3607=""),"",J3607&amp;"|"&amp;F3607&amp;"|"&amp;IF(H3607="W3","W3_"&amp;IF(I3607="","unknown",I3607),H3607))</f>
        <v/>
      </c>
      <c r="Q3607">
        <f>IF(P3607="","",IFERROR(IF(AND(H3607="W7",OR(F3607="causal",F3607="predictive")),IF(AND(OR(K3607=1,K3607="1"),OR(L3607=1,L3607="1"),OR(M3607=1,M3607="1")),"adequate","partial"),IF(AND(H3607="W4",F3607="predictive",OR(J3607="P2",J3607="P3",J3607="P4")),IF(OR(U3607=1,U3607="1"),"adequate","partial"),INDEX(Fit_Matrix!$B:$B,MATCH(P3607,Fit_Matrix!$A:$A,0)))),"CHECK KEY"))</f>
        <v/>
      </c>
      <c r="U3607" s="10" t="n"/>
      <c r="V3607" s="10" t="n"/>
      <c r="W3607" s="10" t="n"/>
      <c r="X3607" s="10" t="n"/>
      <c r="Y3607" s="10" t="n"/>
      <c r="Z3607" s="10" t="n"/>
      <c r="AA3607" s="11">
        <f>IF(A3607="","",IF(AND(J3607="P4",F3607="causal"),"P4-CAUSAL",""))</f>
        <v/>
      </c>
    </row>
    <row r="3608" ht="15" customHeight="1" s="1">
      <c r="P3608">
        <f>IF(OR(F3608="",H3608="",J3608=""),"",J3608&amp;"|"&amp;F3608&amp;"|"&amp;IF(H3608="W3","W3_"&amp;IF(I3608="","unknown",I3608),H3608))</f>
        <v/>
      </c>
      <c r="Q3608">
        <f>IF(P3608="","",IFERROR(IF(AND(H3608="W7",OR(F3608="causal",F3608="predictive")),IF(AND(OR(K3608=1,K3608="1"),OR(L3608=1,L3608="1"),OR(M3608=1,M3608="1")),"adequate","partial"),IF(AND(H3608="W4",F3608="predictive",OR(J3608="P2",J3608="P3",J3608="P4")),IF(OR(U3608=1,U3608="1"),"adequate","partial"),INDEX(Fit_Matrix!$B:$B,MATCH(P3608,Fit_Matrix!$A:$A,0)))),"CHECK KEY"))</f>
        <v/>
      </c>
      <c r="U3608" s="10" t="n"/>
      <c r="V3608" s="10" t="n"/>
      <c r="W3608" s="10" t="n"/>
      <c r="X3608" s="10" t="n"/>
      <c r="Y3608" s="10" t="n"/>
      <c r="Z3608" s="10" t="n"/>
      <c r="AA3608" s="11">
        <f>IF(A3608="","",IF(AND(J3608="P4",F3608="causal"),"P4-CAUSAL",""))</f>
        <v/>
      </c>
    </row>
    <row r="3609" ht="15" customHeight="1" s="1">
      <c r="P3609">
        <f>IF(OR(F3609="",H3609="",J3609=""),"",J3609&amp;"|"&amp;F3609&amp;"|"&amp;IF(H3609="W3","W3_"&amp;IF(I3609="","unknown",I3609),H3609))</f>
        <v/>
      </c>
      <c r="Q3609">
        <f>IF(P3609="","",IFERROR(IF(AND(H3609="W7",OR(F3609="causal",F3609="predictive")),IF(AND(OR(K3609=1,K3609="1"),OR(L3609=1,L3609="1"),OR(M3609=1,M3609="1")),"adequate","partial"),IF(AND(H3609="W4",F3609="predictive",OR(J3609="P2",J3609="P3",J3609="P4")),IF(OR(U3609=1,U3609="1"),"adequate","partial"),INDEX(Fit_Matrix!$B:$B,MATCH(P3609,Fit_Matrix!$A:$A,0)))),"CHECK KEY"))</f>
        <v/>
      </c>
      <c r="U3609" s="10" t="n"/>
      <c r="V3609" s="10" t="n"/>
      <c r="W3609" s="10" t="n"/>
      <c r="X3609" s="10" t="n"/>
      <c r="Y3609" s="10" t="n"/>
      <c r="Z3609" s="10" t="n"/>
      <c r="AA3609" s="11">
        <f>IF(A3609="","",IF(AND(J3609="P4",F3609="causal"),"P4-CAUSAL",""))</f>
        <v/>
      </c>
    </row>
    <row r="3610" ht="15" customHeight="1" s="1">
      <c r="P3610">
        <f>IF(OR(F3610="",H3610="",J3610=""),"",J3610&amp;"|"&amp;F3610&amp;"|"&amp;IF(H3610="W3","W3_"&amp;IF(I3610="","unknown",I3610),H3610))</f>
        <v/>
      </c>
      <c r="Q3610">
        <f>IF(P3610="","",IFERROR(IF(AND(H3610="W7",OR(F3610="causal",F3610="predictive")),IF(AND(OR(K3610=1,K3610="1"),OR(L3610=1,L3610="1"),OR(M3610=1,M3610="1")),"adequate","partial"),IF(AND(H3610="W4",F3610="predictive",OR(J3610="P2",J3610="P3",J3610="P4")),IF(OR(U3610=1,U3610="1"),"adequate","partial"),INDEX(Fit_Matrix!$B:$B,MATCH(P3610,Fit_Matrix!$A:$A,0)))),"CHECK KEY"))</f>
        <v/>
      </c>
      <c r="U3610" s="10" t="n"/>
      <c r="V3610" s="10" t="n"/>
      <c r="W3610" s="10" t="n"/>
      <c r="X3610" s="10" t="n"/>
      <c r="Y3610" s="10" t="n"/>
      <c r="Z3610" s="10" t="n"/>
      <c r="AA3610" s="11">
        <f>IF(A3610="","",IF(AND(J3610="P4",F3610="causal"),"P4-CAUSAL",""))</f>
        <v/>
      </c>
    </row>
    <row r="3611" ht="15" customHeight="1" s="1">
      <c r="P3611">
        <f>IF(OR(F3611="",H3611="",J3611=""),"",J3611&amp;"|"&amp;F3611&amp;"|"&amp;IF(H3611="W3","W3_"&amp;IF(I3611="","unknown",I3611),H3611))</f>
        <v/>
      </c>
      <c r="Q3611">
        <f>IF(P3611="","",IFERROR(IF(AND(H3611="W7",OR(F3611="causal",F3611="predictive")),IF(AND(OR(K3611=1,K3611="1"),OR(L3611=1,L3611="1"),OR(M3611=1,M3611="1")),"adequate","partial"),IF(AND(H3611="W4",F3611="predictive",OR(J3611="P2",J3611="P3",J3611="P4")),IF(OR(U3611=1,U3611="1"),"adequate","partial"),INDEX(Fit_Matrix!$B:$B,MATCH(P3611,Fit_Matrix!$A:$A,0)))),"CHECK KEY"))</f>
        <v/>
      </c>
      <c r="U3611" s="10" t="n"/>
      <c r="V3611" s="10" t="n"/>
      <c r="W3611" s="10" t="n"/>
      <c r="X3611" s="10" t="n"/>
      <c r="Y3611" s="10" t="n"/>
      <c r="Z3611" s="10" t="n"/>
      <c r="AA3611" s="11">
        <f>IF(A3611="","",IF(AND(J3611="P4",F3611="causal"),"P4-CAUSAL",""))</f>
        <v/>
      </c>
    </row>
    <row r="3612" ht="15" customHeight="1" s="1">
      <c r="P3612">
        <f>IF(OR(F3612="",H3612="",J3612=""),"",J3612&amp;"|"&amp;F3612&amp;"|"&amp;IF(H3612="W3","W3_"&amp;IF(I3612="","unknown",I3612),H3612))</f>
        <v/>
      </c>
      <c r="Q3612">
        <f>IF(P3612="","",IFERROR(IF(AND(H3612="W7",OR(F3612="causal",F3612="predictive")),IF(AND(OR(K3612=1,K3612="1"),OR(L3612=1,L3612="1"),OR(M3612=1,M3612="1")),"adequate","partial"),IF(AND(H3612="W4",F3612="predictive",OR(J3612="P2",J3612="P3",J3612="P4")),IF(OR(U3612=1,U3612="1"),"adequate","partial"),INDEX(Fit_Matrix!$B:$B,MATCH(P3612,Fit_Matrix!$A:$A,0)))),"CHECK KEY"))</f>
        <v/>
      </c>
      <c r="U3612" s="10" t="n"/>
      <c r="V3612" s="10" t="n"/>
      <c r="W3612" s="10" t="n"/>
      <c r="X3612" s="10" t="n"/>
      <c r="Y3612" s="10" t="n"/>
      <c r="Z3612" s="10" t="n"/>
      <c r="AA3612" s="11">
        <f>IF(A3612="","",IF(AND(J3612="P4",F3612="causal"),"P4-CAUSAL",""))</f>
        <v/>
      </c>
    </row>
    <row r="3613" ht="15" customHeight="1" s="1">
      <c r="P3613">
        <f>IF(OR(F3613="",H3613="",J3613=""),"",J3613&amp;"|"&amp;F3613&amp;"|"&amp;IF(H3613="W3","W3_"&amp;IF(I3613="","unknown",I3613),H3613))</f>
        <v/>
      </c>
      <c r="Q3613">
        <f>IF(P3613="","",IFERROR(IF(AND(H3613="W7",OR(F3613="causal",F3613="predictive")),IF(AND(OR(K3613=1,K3613="1"),OR(L3613=1,L3613="1"),OR(M3613=1,M3613="1")),"adequate","partial"),IF(AND(H3613="W4",F3613="predictive",OR(J3613="P2",J3613="P3",J3613="P4")),IF(OR(U3613=1,U3613="1"),"adequate","partial"),INDEX(Fit_Matrix!$B:$B,MATCH(P3613,Fit_Matrix!$A:$A,0)))),"CHECK KEY"))</f>
        <v/>
      </c>
      <c r="U3613" s="10" t="n"/>
      <c r="V3613" s="10" t="n"/>
      <c r="W3613" s="10" t="n"/>
      <c r="X3613" s="10" t="n"/>
      <c r="Y3613" s="10" t="n"/>
      <c r="Z3613" s="10" t="n"/>
      <c r="AA3613" s="11">
        <f>IF(A3613="","",IF(AND(J3613="P4",F3613="causal"),"P4-CAUSAL",""))</f>
        <v/>
      </c>
    </row>
    <row r="3614" ht="15" customHeight="1" s="1">
      <c r="P3614">
        <f>IF(OR(F3614="",H3614="",J3614=""),"",J3614&amp;"|"&amp;F3614&amp;"|"&amp;IF(H3614="W3","W3_"&amp;IF(I3614="","unknown",I3614),H3614))</f>
        <v/>
      </c>
      <c r="Q3614">
        <f>IF(P3614="","",IFERROR(IF(AND(H3614="W7",OR(F3614="causal",F3614="predictive")),IF(AND(OR(K3614=1,K3614="1"),OR(L3614=1,L3614="1"),OR(M3614=1,M3614="1")),"adequate","partial"),IF(AND(H3614="W4",F3614="predictive",OR(J3614="P2",J3614="P3",J3614="P4")),IF(OR(U3614=1,U3614="1"),"adequate","partial"),INDEX(Fit_Matrix!$B:$B,MATCH(P3614,Fit_Matrix!$A:$A,0)))),"CHECK KEY"))</f>
        <v/>
      </c>
      <c r="U3614" s="10" t="n"/>
      <c r="V3614" s="10" t="n"/>
      <c r="W3614" s="10" t="n"/>
      <c r="X3614" s="10" t="n"/>
      <c r="Y3614" s="10" t="n"/>
      <c r="Z3614" s="10" t="n"/>
      <c r="AA3614" s="11">
        <f>IF(A3614="","",IF(AND(J3614="P4",F3614="causal"),"P4-CAUSAL",""))</f>
        <v/>
      </c>
    </row>
    <row r="3615" ht="15" customHeight="1" s="1">
      <c r="P3615">
        <f>IF(OR(F3615="",H3615="",J3615=""),"",J3615&amp;"|"&amp;F3615&amp;"|"&amp;IF(H3615="W3","W3_"&amp;IF(I3615="","unknown",I3615),H3615))</f>
        <v/>
      </c>
      <c r="Q3615">
        <f>IF(P3615="","",IFERROR(IF(AND(H3615="W7",OR(F3615="causal",F3615="predictive")),IF(AND(OR(K3615=1,K3615="1"),OR(L3615=1,L3615="1"),OR(M3615=1,M3615="1")),"adequate","partial"),IF(AND(H3615="W4",F3615="predictive",OR(J3615="P2",J3615="P3",J3615="P4")),IF(OR(U3615=1,U3615="1"),"adequate","partial"),INDEX(Fit_Matrix!$B:$B,MATCH(P3615,Fit_Matrix!$A:$A,0)))),"CHECK KEY"))</f>
        <v/>
      </c>
      <c r="U3615" s="10" t="n"/>
      <c r="V3615" s="10" t="n"/>
      <c r="W3615" s="10" t="n"/>
      <c r="X3615" s="10" t="n"/>
      <c r="Y3615" s="10" t="n"/>
      <c r="Z3615" s="10" t="n"/>
      <c r="AA3615" s="11">
        <f>IF(A3615="","",IF(AND(J3615="P4",F3615="causal"),"P4-CAUSAL",""))</f>
        <v/>
      </c>
    </row>
    <row r="3616" ht="15" customHeight="1" s="1">
      <c r="P3616">
        <f>IF(OR(F3616="",H3616="",J3616=""),"",J3616&amp;"|"&amp;F3616&amp;"|"&amp;IF(H3616="W3","W3_"&amp;IF(I3616="","unknown",I3616),H3616))</f>
        <v/>
      </c>
      <c r="Q3616">
        <f>IF(P3616="","",IFERROR(IF(AND(H3616="W7",OR(F3616="causal",F3616="predictive")),IF(AND(OR(K3616=1,K3616="1"),OR(L3616=1,L3616="1"),OR(M3616=1,M3616="1")),"adequate","partial"),IF(AND(H3616="W4",F3616="predictive",OR(J3616="P2",J3616="P3",J3616="P4")),IF(OR(U3616=1,U3616="1"),"adequate","partial"),INDEX(Fit_Matrix!$B:$B,MATCH(P3616,Fit_Matrix!$A:$A,0)))),"CHECK KEY"))</f>
        <v/>
      </c>
      <c r="U3616" s="10" t="n"/>
      <c r="V3616" s="10" t="n"/>
      <c r="W3616" s="10" t="n"/>
      <c r="X3616" s="10" t="n"/>
      <c r="Y3616" s="10" t="n"/>
      <c r="Z3616" s="10" t="n"/>
      <c r="AA3616" s="11">
        <f>IF(A3616="","",IF(AND(J3616="P4",F3616="causal"),"P4-CAUSAL",""))</f>
        <v/>
      </c>
    </row>
    <row r="3617" ht="15" customHeight="1" s="1">
      <c r="P3617">
        <f>IF(OR(F3617="",H3617="",J3617=""),"",J3617&amp;"|"&amp;F3617&amp;"|"&amp;IF(H3617="W3","W3_"&amp;IF(I3617="","unknown",I3617),H3617))</f>
        <v/>
      </c>
      <c r="Q3617">
        <f>IF(P3617="","",IFERROR(IF(AND(H3617="W7",OR(F3617="causal",F3617="predictive")),IF(AND(OR(K3617=1,K3617="1"),OR(L3617=1,L3617="1"),OR(M3617=1,M3617="1")),"adequate","partial"),IF(AND(H3617="W4",F3617="predictive",OR(J3617="P2",J3617="P3",J3617="P4")),IF(OR(U3617=1,U3617="1"),"adequate","partial"),INDEX(Fit_Matrix!$B:$B,MATCH(P3617,Fit_Matrix!$A:$A,0)))),"CHECK KEY"))</f>
        <v/>
      </c>
      <c r="U3617" s="10" t="n"/>
      <c r="V3617" s="10" t="n"/>
      <c r="W3617" s="10" t="n"/>
      <c r="X3617" s="10" t="n"/>
      <c r="Y3617" s="10" t="n"/>
      <c r="Z3617" s="10" t="n"/>
      <c r="AA3617" s="11">
        <f>IF(A3617="","",IF(AND(J3617="P4",F3617="causal"),"P4-CAUSAL",""))</f>
        <v/>
      </c>
    </row>
    <row r="3618" ht="15" customHeight="1" s="1">
      <c r="P3618">
        <f>IF(OR(F3618="",H3618="",J3618=""),"",J3618&amp;"|"&amp;F3618&amp;"|"&amp;IF(H3618="W3","W3_"&amp;IF(I3618="","unknown",I3618),H3618))</f>
        <v/>
      </c>
      <c r="Q3618">
        <f>IF(P3618="","",IFERROR(IF(AND(H3618="W7",OR(F3618="causal",F3618="predictive")),IF(AND(OR(K3618=1,K3618="1"),OR(L3618=1,L3618="1"),OR(M3618=1,M3618="1")),"adequate","partial"),IF(AND(H3618="W4",F3618="predictive",OR(J3618="P2",J3618="P3",J3618="P4")),IF(OR(U3618=1,U3618="1"),"adequate","partial"),INDEX(Fit_Matrix!$B:$B,MATCH(P3618,Fit_Matrix!$A:$A,0)))),"CHECK KEY"))</f>
        <v/>
      </c>
      <c r="U3618" s="10" t="n"/>
      <c r="V3618" s="10" t="n"/>
      <c r="W3618" s="10" t="n"/>
      <c r="X3618" s="10" t="n"/>
      <c r="Y3618" s="10" t="n"/>
      <c r="Z3618" s="10" t="n"/>
      <c r="AA3618" s="11">
        <f>IF(A3618="","",IF(AND(J3618="P4",F3618="causal"),"P4-CAUSAL",""))</f>
        <v/>
      </c>
    </row>
    <row r="3619" ht="15" customHeight="1" s="1">
      <c r="P3619">
        <f>IF(OR(F3619="",H3619="",J3619=""),"",J3619&amp;"|"&amp;F3619&amp;"|"&amp;IF(H3619="W3","W3_"&amp;IF(I3619="","unknown",I3619),H3619))</f>
        <v/>
      </c>
      <c r="Q3619">
        <f>IF(P3619="","",IFERROR(IF(AND(H3619="W7",OR(F3619="causal",F3619="predictive")),IF(AND(OR(K3619=1,K3619="1"),OR(L3619=1,L3619="1"),OR(M3619=1,M3619="1")),"adequate","partial"),IF(AND(H3619="W4",F3619="predictive",OR(J3619="P2",J3619="P3",J3619="P4")),IF(OR(U3619=1,U3619="1"),"adequate","partial"),INDEX(Fit_Matrix!$B:$B,MATCH(P3619,Fit_Matrix!$A:$A,0)))),"CHECK KEY"))</f>
        <v/>
      </c>
      <c r="U3619" s="10" t="n"/>
      <c r="V3619" s="10" t="n"/>
      <c r="W3619" s="10" t="n"/>
      <c r="X3619" s="10" t="n"/>
      <c r="Y3619" s="10" t="n"/>
      <c r="Z3619" s="10" t="n"/>
      <c r="AA3619" s="11">
        <f>IF(A3619="","",IF(AND(J3619="P4",F3619="causal"),"P4-CAUSAL",""))</f>
        <v/>
      </c>
    </row>
    <row r="3620" ht="15" customHeight="1" s="1">
      <c r="P3620">
        <f>IF(OR(F3620="",H3620="",J3620=""),"",J3620&amp;"|"&amp;F3620&amp;"|"&amp;IF(H3620="W3","W3_"&amp;IF(I3620="","unknown",I3620),H3620))</f>
        <v/>
      </c>
      <c r="Q3620">
        <f>IF(P3620="","",IFERROR(IF(AND(H3620="W7",OR(F3620="causal",F3620="predictive")),IF(AND(OR(K3620=1,K3620="1"),OR(L3620=1,L3620="1"),OR(M3620=1,M3620="1")),"adequate","partial"),IF(AND(H3620="W4",F3620="predictive",OR(J3620="P2",J3620="P3",J3620="P4")),IF(OR(U3620=1,U3620="1"),"adequate","partial"),INDEX(Fit_Matrix!$B:$B,MATCH(P3620,Fit_Matrix!$A:$A,0)))),"CHECK KEY"))</f>
        <v/>
      </c>
      <c r="U3620" s="10" t="n"/>
      <c r="V3620" s="10" t="n"/>
      <c r="W3620" s="10" t="n"/>
      <c r="X3620" s="10" t="n"/>
      <c r="Y3620" s="10" t="n"/>
      <c r="Z3620" s="10" t="n"/>
      <c r="AA3620" s="11">
        <f>IF(A3620="","",IF(AND(J3620="P4",F3620="causal"),"P4-CAUSAL",""))</f>
        <v/>
      </c>
    </row>
    <row r="3621" ht="15" customHeight="1" s="1">
      <c r="P3621">
        <f>IF(OR(F3621="",H3621="",J3621=""),"",J3621&amp;"|"&amp;F3621&amp;"|"&amp;IF(H3621="W3","W3_"&amp;IF(I3621="","unknown",I3621),H3621))</f>
        <v/>
      </c>
      <c r="Q3621">
        <f>IF(P3621="","",IFERROR(IF(AND(H3621="W7",OR(F3621="causal",F3621="predictive")),IF(AND(OR(K3621=1,K3621="1"),OR(L3621=1,L3621="1"),OR(M3621=1,M3621="1")),"adequate","partial"),IF(AND(H3621="W4",F3621="predictive",OR(J3621="P2",J3621="P3",J3621="P4")),IF(OR(U3621=1,U3621="1"),"adequate","partial"),INDEX(Fit_Matrix!$B:$B,MATCH(P3621,Fit_Matrix!$A:$A,0)))),"CHECK KEY"))</f>
        <v/>
      </c>
      <c r="U3621" s="10" t="n"/>
      <c r="V3621" s="10" t="n"/>
      <c r="W3621" s="10" t="n"/>
      <c r="X3621" s="10" t="n"/>
      <c r="Y3621" s="10" t="n"/>
      <c r="Z3621" s="10" t="n"/>
      <c r="AA3621" s="11">
        <f>IF(A3621="","",IF(AND(J3621="P4",F3621="causal"),"P4-CAUSAL",""))</f>
        <v/>
      </c>
    </row>
    <row r="3622" ht="15" customHeight="1" s="1">
      <c r="P3622">
        <f>IF(OR(F3622="",H3622="",J3622=""),"",J3622&amp;"|"&amp;F3622&amp;"|"&amp;IF(H3622="W3","W3_"&amp;IF(I3622="","unknown",I3622),H3622))</f>
        <v/>
      </c>
      <c r="Q3622">
        <f>IF(P3622="","",IFERROR(IF(AND(H3622="W7",OR(F3622="causal",F3622="predictive")),IF(AND(OR(K3622=1,K3622="1"),OR(L3622=1,L3622="1"),OR(M3622=1,M3622="1")),"adequate","partial"),IF(AND(H3622="W4",F3622="predictive",OR(J3622="P2",J3622="P3",J3622="P4")),IF(OR(U3622=1,U3622="1"),"adequate","partial"),INDEX(Fit_Matrix!$B:$B,MATCH(P3622,Fit_Matrix!$A:$A,0)))),"CHECK KEY"))</f>
        <v/>
      </c>
      <c r="U3622" s="10" t="n"/>
      <c r="V3622" s="10" t="n"/>
      <c r="W3622" s="10" t="n"/>
      <c r="X3622" s="10" t="n"/>
      <c r="Y3622" s="10" t="n"/>
      <c r="Z3622" s="10" t="n"/>
      <c r="AA3622" s="11">
        <f>IF(A3622="","",IF(AND(J3622="P4",F3622="causal"),"P4-CAUSAL",""))</f>
        <v/>
      </c>
    </row>
    <row r="3623" ht="15" customHeight="1" s="1">
      <c r="P3623">
        <f>IF(OR(F3623="",H3623="",J3623=""),"",J3623&amp;"|"&amp;F3623&amp;"|"&amp;IF(H3623="W3","W3_"&amp;IF(I3623="","unknown",I3623),H3623))</f>
        <v/>
      </c>
      <c r="Q3623">
        <f>IF(P3623="","",IFERROR(IF(AND(H3623="W7",OR(F3623="causal",F3623="predictive")),IF(AND(OR(K3623=1,K3623="1"),OR(L3623=1,L3623="1"),OR(M3623=1,M3623="1")),"adequate","partial"),IF(AND(H3623="W4",F3623="predictive",OR(J3623="P2",J3623="P3",J3623="P4")),IF(OR(U3623=1,U3623="1"),"adequate","partial"),INDEX(Fit_Matrix!$B:$B,MATCH(P3623,Fit_Matrix!$A:$A,0)))),"CHECK KEY"))</f>
        <v/>
      </c>
      <c r="U3623" s="10" t="n"/>
      <c r="V3623" s="10" t="n"/>
      <c r="W3623" s="10" t="n"/>
      <c r="X3623" s="10" t="n"/>
      <c r="Y3623" s="10" t="n"/>
      <c r="Z3623" s="10" t="n"/>
      <c r="AA3623" s="11">
        <f>IF(A3623="","",IF(AND(J3623="P4",F3623="causal"),"P4-CAUSAL",""))</f>
        <v/>
      </c>
    </row>
    <row r="3624" ht="15" customHeight="1" s="1">
      <c r="P3624">
        <f>IF(OR(F3624="",H3624="",J3624=""),"",J3624&amp;"|"&amp;F3624&amp;"|"&amp;IF(H3624="W3","W3_"&amp;IF(I3624="","unknown",I3624),H3624))</f>
        <v/>
      </c>
      <c r="Q3624">
        <f>IF(P3624="","",IFERROR(IF(AND(H3624="W7",OR(F3624="causal",F3624="predictive")),IF(AND(OR(K3624=1,K3624="1"),OR(L3624=1,L3624="1"),OR(M3624=1,M3624="1")),"adequate","partial"),IF(AND(H3624="W4",F3624="predictive",OR(J3624="P2",J3624="P3",J3624="P4")),IF(OR(U3624=1,U3624="1"),"adequate","partial"),INDEX(Fit_Matrix!$B:$B,MATCH(P3624,Fit_Matrix!$A:$A,0)))),"CHECK KEY"))</f>
        <v/>
      </c>
      <c r="U3624" s="10" t="n"/>
      <c r="V3624" s="10" t="n"/>
      <c r="W3624" s="10" t="n"/>
      <c r="X3624" s="10" t="n"/>
      <c r="Y3624" s="10" t="n"/>
      <c r="Z3624" s="10" t="n"/>
      <c r="AA3624" s="11">
        <f>IF(A3624="","",IF(AND(J3624="P4",F3624="causal"),"P4-CAUSAL",""))</f>
        <v/>
      </c>
    </row>
    <row r="3625" ht="15" customHeight="1" s="1">
      <c r="P3625">
        <f>IF(OR(F3625="",H3625="",J3625=""),"",J3625&amp;"|"&amp;F3625&amp;"|"&amp;IF(H3625="W3","W3_"&amp;IF(I3625="","unknown",I3625),H3625))</f>
        <v/>
      </c>
      <c r="Q3625">
        <f>IF(P3625="","",IFERROR(IF(AND(H3625="W7",OR(F3625="causal",F3625="predictive")),IF(AND(OR(K3625=1,K3625="1"),OR(L3625=1,L3625="1"),OR(M3625=1,M3625="1")),"adequate","partial"),IF(AND(H3625="W4",F3625="predictive",OR(J3625="P2",J3625="P3",J3625="P4")),IF(OR(U3625=1,U3625="1"),"adequate","partial"),INDEX(Fit_Matrix!$B:$B,MATCH(P3625,Fit_Matrix!$A:$A,0)))),"CHECK KEY"))</f>
        <v/>
      </c>
      <c r="U3625" s="10" t="n"/>
      <c r="V3625" s="10" t="n"/>
      <c r="W3625" s="10" t="n"/>
      <c r="X3625" s="10" t="n"/>
      <c r="Y3625" s="10" t="n"/>
      <c r="Z3625" s="10" t="n"/>
      <c r="AA3625" s="11">
        <f>IF(A3625="","",IF(AND(J3625="P4",F3625="causal"),"P4-CAUSAL",""))</f>
        <v/>
      </c>
    </row>
    <row r="3626" ht="15" customHeight="1" s="1">
      <c r="P3626">
        <f>IF(OR(F3626="",H3626="",J3626=""),"",J3626&amp;"|"&amp;F3626&amp;"|"&amp;IF(H3626="W3","W3_"&amp;IF(I3626="","unknown",I3626),H3626))</f>
        <v/>
      </c>
      <c r="Q3626">
        <f>IF(P3626="","",IFERROR(IF(AND(H3626="W7",OR(F3626="causal",F3626="predictive")),IF(AND(OR(K3626=1,K3626="1"),OR(L3626=1,L3626="1"),OR(M3626=1,M3626="1")),"adequate","partial"),IF(AND(H3626="W4",F3626="predictive",OR(J3626="P2",J3626="P3",J3626="P4")),IF(OR(U3626=1,U3626="1"),"adequate","partial"),INDEX(Fit_Matrix!$B:$B,MATCH(P3626,Fit_Matrix!$A:$A,0)))),"CHECK KEY"))</f>
        <v/>
      </c>
      <c r="U3626" s="10" t="n"/>
      <c r="V3626" s="10" t="n"/>
      <c r="W3626" s="10" t="n"/>
      <c r="X3626" s="10" t="n"/>
      <c r="Y3626" s="10" t="n"/>
      <c r="Z3626" s="10" t="n"/>
      <c r="AA3626" s="11">
        <f>IF(A3626="","",IF(AND(J3626="P4",F3626="causal"),"P4-CAUSAL",""))</f>
        <v/>
      </c>
    </row>
    <row r="3627" ht="15" customHeight="1" s="1">
      <c r="P3627">
        <f>IF(OR(F3627="",H3627="",J3627=""),"",J3627&amp;"|"&amp;F3627&amp;"|"&amp;IF(H3627="W3","W3_"&amp;IF(I3627="","unknown",I3627),H3627))</f>
        <v/>
      </c>
      <c r="Q3627">
        <f>IF(P3627="","",IFERROR(IF(AND(H3627="W7",OR(F3627="causal",F3627="predictive")),IF(AND(OR(K3627=1,K3627="1"),OR(L3627=1,L3627="1"),OR(M3627=1,M3627="1")),"adequate","partial"),IF(AND(H3627="W4",F3627="predictive",OR(J3627="P2",J3627="P3",J3627="P4")),IF(OR(U3627=1,U3627="1"),"adequate","partial"),INDEX(Fit_Matrix!$B:$B,MATCH(P3627,Fit_Matrix!$A:$A,0)))),"CHECK KEY"))</f>
        <v/>
      </c>
      <c r="U3627" s="10" t="n"/>
      <c r="V3627" s="10" t="n"/>
      <c r="W3627" s="10" t="n"/>
      <c r="X3627" s="10" t="n"/>
      <c r="Y3627" s="10" t="n"/>
      <c r="Z3627" s="10" t="n"/>
      <c r="AA3627" s="11">
        <f>IF(A3627="","",IF(AND(J3627="P4",F3627="causal"),"P4-CAUSAL",""))</f>
        <v/>
      </c>
    </row>
    <row r="3628" ht="15" customHeight="1" s="1">
      <c r="P3628">
        <f>IF(OR(F3628="",H3628="",J3628=""),"",J3628&amp;"|"&amp;F3628&amp;"|"&amp;IF(H3628="W3","W3_"&amp;IF(I3628="","unknown",I3628),H3628))</f>
        <v/>
      </c>
      <c r="Q3628">
        <f>IF(P3628="","",IFERROR(IF(AND(H3628="W7",OR(F3628="causal",F3628="predictive")),IF(AND(OR(K3628=1,K3628="1"),OR(L3628=1,L3628="1"),OR(M3628=1,M3628="1")),"adequate","partial"),IF(AND(H3628="W4",F3628="predictive",OR(J3628="P2",J3628="P3",J3628="P4")),IF(OR(U3628=1,U3628="1"),"adequate","partial"),INDEX(Fit_Matrix!$B:$B,MATCH(P3628,Fit_Matrix!$A:$A,0)))),"CHECK KEY"))</f>
        <v/>
      </c>
      <c r="U3628" s="10" t="n"/>
      <c r="V3628" s="10" t="n"/>
      <c r="W3628" s="10" t="n"/>
      <c r="X3628" s="10" t="n"/>
      <c r="Y3628" s="10" t="n"/>
      <c r="Z3628" s="10" t="n"/>
      <c r="AA3628" s="11">
        <f>IF(A3628="","",IF(AND(J3628="P4",F3628="causal"),"P4-CAUSAL",""))</f>
        <v/>
      </c>
    </row>
    <row r="3629" ht="15" customHeight="1" s="1">
      <c r="P3629">
        <f>IF(OR(F3629="",H3629="",J3629=""),"",J3629&amp;"|"&amp;F3629&amp;"|"&amp;IF(H3629="W3","W3_"&amp;IF(I3629="","unknown",I3629),H3629))</f>
        <v/>
      </c>
      <c r="Q3629">
        <f>IF(P3629="","",IFERROR(IF(AND(H3629="W7",OR(F3629="causal",F3629="predictive")),IF(AND(OR(K3629=1,K3629="1"),OR(L3629=1,L3629="1"),OR(M3629=1,M3629="1")),"adequate","partial"),IF(AND(H3629="W4",F3629="predictive",OR(J3629="P2",J3629="P3",J3629="P4")),IF(OR(U3629=1,U3629="1"),"adequate","partial"),INDEX(Fit_Matrix!$B:$B,MATCH(P3629,Fit_Matrix!$A:$A,0)))),"CHECK KEY"))</f>
        <v/>
      </c>
      <c r="U3629" s="10" t="n"/>
      <c r="V3629" s="10" t="n"/>
      <c r="W3629" s="10" t="n"/>
      <c r="X3629" s="10" t="n"/>
      <c r="Y3629" s="10" t="n"/>
      <c r="Z3629" s="10" t="n"/>
      <c r="AA3629" s="11">
        <f>IF(A3629="","",IF(AND(J3629="P4",F3629="causal"),"P4-CAUSAL",""))</f>
        <v/>
      </c>
    </row>
    <row r="3630" ht="15" customHeight="1" s="1">
      <c r="P3630">
        <f>IF(OR(F3630="",H3630="",J3630=""),"",J3630&amp;"|"&amp;F3630&amp;"|"&amp;IF(H3630="W3","W3_"&amp;IF(I3630="","unknown",I3630),H3630))</f>
        <v/>
      </c>
      <c r="Q3630">
        <f>IF(P3630="","",IFERROR(IF(AND(H3630="W7",OR(F3630="causal",F3630="predictive")),IF(AND(OR(K3630=1,K3630="1"),OR(L3630=1,L3630="1"),OR(M3630=1,M3630="1")),"adequate","partial"),IF(AND(H3630="W4",F3630="predictive",OR(J3630="P2",J3630="P3",J3630="P4")),IF(OR(U3630=1,U3630="1"),"adequate","partial"),INDEX(Fit_Matrix!$B:$B,MATCH(P3630,Fit_Matrix!$A:$A,0)))),"CHECK KEY"))</f>
        <v/>
      </c>
      <c r="U3630" s="10" t="n"/>
      <c r="V3630" s="10" t="n"/>
      <c r="W3630" s="10" t="n"/>
      <c r="X3630" s="10" t="n"/>
      <c r="Y3630" s="10" t="n"/>
      <c r="Z3630" s="10" t="n"/>
      <c r="AA3630" s="11">
        <f>IF(A3630="","",IF(AND(J3630="P4",F3630="causal"),"P4-CAUSAL",""))</f>
        <v/>
      </c>
    </row>
    <row r="3631" ht="15" customHeight="1" s="1">
      <c r="P3631">
        <f>IF(OR(F3631="",H3631="",J3631=""),"",J3631&amp;"|"&amp;F3631&amp;"|"&amp;IF(H3631="W3","W3_"&amp;IF(I3631="","unknown",I3631),H3631))</f>
        <v/>
      </c>
      <c r="Q3631">
        <f>IF(P3631="","",IFERROR(IF(AND(H3631="W7",OR(F3631="causal",F3631="predictive")),IF(AND(OR(K3631=1,K3631="1"),OR(L3631=1,L3631="1"),OR(M3631=1,M3631="1")),"adequate","partial"),IF(AND(H3631="W4",F3631="predictive",OR(J3631="P2",J3631="P3",J3631="P4")),IF(OR(U3631=1,U3631="1"),"adequate","partial"),INDEX(Fit_Matrix!$B:$B,MATCH(P3631,Fit_Matrix!$A:$A,0)))),"CHECK KEY"))</f>
        <v/>
      </c>
      <c r="U3631" s="10" t="n"/>
      <c r="V3631" s="10" t="n"/>
      <c r="W3631" s="10" t="n"/>
      <c r="X3631" s="10" t="n"/>
      <c r="Y3631" s="10" t="n"/>
      <c r="Z3631" s="10" t="n"/>
      <c r="AA3631" s="11">
        <f>IF(A3631="","",IF(AND(J3631="P4",F3631="causal"),"P4-CAUSAL",""))</f>
        <v/>
      </c>
    </row>
    <row r="3632" ht="15" customHeight="1" s="1">
      <c r="P3632">
        <f>IF(OR(F3632="",H3632="",J3632=""),"",J3632&amp;"|"&amp;F3632&amp;"|"&amp;IF(H3632="W3","W3_"&amp;IF(I3632="","unknown",I3632),H3632))</f>
        <v/>
      </c>
      <c r="Q3632">
        <f>IF(P3632="","",IFERROR(IF(AND(H3632="W7",OR(F3632="causal",F3632="predictive")),IF(AND(OR(K3632=1,K3632="1"),OR(L3632=1,L3632="1"),OR(M3632=1,M3632="1")),"adequate","partial"),IF(AND(H3632="W4",F3632="predictive",OR(J3632="P2",J3632="P3",J3632="P4")),IF(OR(U3632=1,U3632="1"),"adequate","partial"),INDEX(Fit_Matrix!$B:$B,MATCH(P3632,Fit_Matrix!$A:$A,0)))),"CHECK KEY"))</f>
        <v/>
      </c>
      <c r="U3632" s="10" t="n"/>
      <c r="V3632" s="10" t="n"/>
      <c r="W3632" s="10" t="n"/>
      <c r="X3632" s="10" t="n"/>
      <c r="Y3632" s="10" t="n"/>
      <c r="Z3632" s="10" t="n"/>
      <c r="AA3632" s="11">
        <f>IF(A3632="","",IF(AND(J3632="P4",F3632="causal"),"P4-CAUSAL",""))</f>
        <v/>
      </c>
    </row>
    <row r="3633" ht="15" customHeight="1" s="1">
      <c r="P3633">
        <f>IF(OR(F3633="",H3633="",J3633=""),"",J3633&amp;"|"&amp;F3633&amp;"|"&amp;IF(H3633="W3","W3_"&amp;IF(I3633="","unknown",I3633),H3633))</f>
        <v/>
      </c>
      <c r="Q3633">
        <f>IF(P3633="","",IFERROR(IF(AND(H3633="W7",OR(F3633="causal",F3633="predictive")),IF(AND(OR(K3633=1,K3633="1"),OR(L3633=1,L3633="1"),OR(M3633=1,M3633="1")),"adequate","partial"),IF(AND(H3633="W4",F3633="predictive",OR(J3633="P2",J3633="P3",J3633="P4")),IF(OR(U3633=1,U3633="1"),"adequate","partial"),INDEX(Fit_Matrix!$B:$B,MATCH(P3633,Fit_Matrix!$A:$A,0)))),"CHECK KEY"))</f>
        <v/>
      </c>
      <c r="U3633" s="10" t="n"/>
      <c r="V3633" s="10" t="n"/>
      <c r="W3633" s="10" t="n"/>
      <c r="X3633" s="10" t="n"/>
      <c r="Y3633" s="10" t="n"/>
      <c r="Z3633" s="10" t="n"/>
      <c r="AA3633" s="11">
        <f>IF(A3633="","",IF(AND(J3633="P4",F3633="causal"),"P4-CAUSAL",""))</f>
        <v/>
      </c>
    </row>
    <row r="3634" ht="15" customHeight="1" s="1">
      <c r="P3634">
        <f>IF(OR(F3634="",H3634="",J3634=""),"",J3634&amp;"|"&amp;F3634&amp;"|"&amp;IF(H3634="W3","W3_"&amp;IF(I3634="","unknown",I3634),H3634))</f>
        <v/>
      </c>
      <c r="Q3634">
        <f>IF(P3634="","",IFERROR(IF(AND(H3634="W7",OR(F3634="causal",F3634="predictive")),IF(AND(OR(K3634=1,K3634="1"),OR(L3634=1,L3634="1"),OR(M3634=1,M3634="1")),"adequate","partial"),IF(AND(H3634="W4",F3634="predictive",OR(J3634="P2",J3634="P3",J3634="P4")),IF(OR(U3634=1,U3634="1"),"adequate","partial"),INDEX(Fit_Matrix!$B:$B,MATCH(P3634,Fit_Matrix!$A:$A,0)))),"CHECK KEY"))</f>
        <v/>
      </c>
      <c r="U3634" s="10" t="n"/>
      <c r="V3634" s="10" t="n"/>
      <c r="W3634" s="10" t="n"/>
      <c r="X3634" s="10" t="n"/>
      <c r="Y3634" s="10" t="n"/>
      <c r="Z3634" s="10" t="n"/>
      <c r="AA3634" s="11">
        <f>IF(A3634="","",IF(AND(J3634="P4",F3634="causal"),"P4-CAUSAL",""))</f>
        <v/>
      </c>
    </row>
    <row r="3635" ht="15" customHeight="1" s="1">
      <c r="P3635">
        <f>IF(OR(F3635="",H3635="",J3635=""),"",J3635&amp;"|"&amp;F3635&amp;"|"&amp;IF(H3635="W3","W3_"&amp;IF(I3635="","unknown",I3635),H3635))</f>
        <v/>
      </c>
      <c r="Q3635">
        <f>IF(P3635="","",IFERROR(IF(AND(H3635="W7",OR(F3635="causal",F3635="predictive")),IF(AND(OR(K3635=1,K3635="1"),OR(L3635=1,L3635="1"),OR(M3635=1,M3635="1")),"adequate","partial"),IF(AND(H3635="W4",F3635="predictive",OR(J3635="P2",J3635="P3",J3635="P4")),IF(OR(U3635=1,U3635="1"),"adequate","partial"),INDEX(Fit_Matrix!$B:$B,MATCH(P3635,Fit_Matrix!$A:$A,0)))),"CHECK KEY"))</f>
        <v/>
      </c>
      <c r="U3635" s="10" t="n"/>
      <c r="V3635" s="10" t="n"/>
      <c r="W3635" s="10" t="n"/>
      <c r="X3635" s="10" t="n"/>
      <c r="Y3635" s="10" t="n"/>
      <c r="Z3635" s="10" t="n"/>
      <c r="AA3635" s="11">
        <f>IF(A3635="","",IF(AND(J3635="P4",F3635="causal"),"P4-CAUSAL",""))</f>
        <v/>
      </c>
    </row>
    <row r="3636" ht="15" customHeight="1" s="1">
      <c r="P3636">
        <f>IF(OR(F3636="",H3636="",J3636=""),"",J3636&amp;"|"&amp;F3636&amp;"|"&amp;IF(H3636="W3","W3_"&amp;IF(I3636="","unknown",I3636),H3636))</f>
        <v/>
      </c>
      <c r="Q3636">
        <f>IF(P3636="","",IFERROR(IF(AND(H3636="W7",OR(F3636="causal",F3636="predictive")),IF(AND(OR(K3636=1,K3636="1"),OR(L3636=1,L3636="1"),OR(M3636=1,M3636="1")),"adequate","partial"),IF(AND(H3636="W4",F3636="predictive",OR(J3636="P2",J3636="P3",J3636="P4")),IF(OR(U3636=1,U3636="1"),"adequate","partial"),INDEX(Fit_Matrix!$B:$B,MATCH(P3636,Fit_Matrix!$A:$A,0)))),"CHECK KEY"))</f>
        <v/>
      </c>
      <c r="U3636" s="10" t="n"/>
      <c r="V3636" s="10" t="n"/>
      <c r="W3636" s="10" t="n"/>
      <c r="X3636" s="10" t="n"/>
      <c r="Y3636" s="10" t="n"/>
      <c r="Z3636" s="10" t="n"/>
      <c r="AA3636" s="11">
        <f>IF(A3636="","",IF(AND(J3636="P4",F3636="causal"),"P4-CAUSAL",""))</f>
        <v/>
      </c>
    </row>
    <row r="3637" ht="15" customHeight="1" s="1">
      <c r="P3637">
        <f>IF(OR(F3637="",H3637="",J3637=""),"",J3637&amp;"|"&amp;F3637&amp;"|"&amp;IF(H3637="W3","W3_"&amp;IF(I3637="","unknown",I3637),H3637))</f>
        <v/>
      </c>
      <c r="Q3637">
        <f>IF(P3637="","",IFERROR(IF(AND(H3637="W7",OR(F3637="causal",F3637="predictive")),IF(AND(OR(K3637=1,K3637="1"),OR(L3637=1,L3637="1"),OR(M3637=1,M3637="1")),"adequate","partial"),IF(AND(H3637="W4",F3637="predictive",OR(J3637="P2",J3637="P3",J3637="P4")),IF(OR(U3637=1,U3637="1"),"adequate","partial"),INDEX(Fit_Matrix!$B:$B,MATCH(P3637,Fit_Matrix!$A:$A,0)))),"CHECK KEY"))</f>
        <v/>
      </c>
      <c r="U3637" s="10" t="n"/>
      <c r="V3637" s="10" t="n"/>
      <c r="W3637" s="10" t="n"/>
      <c r="X3637" s="10" t="n"/>
      <c r="Y3637" s="10" t="n"/>
      <c r="Z3637" s="10" t="n"/>
      <c r="AA3637" s="11">
        <f>IF(A3637="","",IF(AND(J3637="P4",F3637="causal"),"P4-CAUSAL",""))</f>
        <v/>
      </c>
    </row>
    <row r="3638" ht="15" customHeight="1" s="1">
      <c r="P3638">
        <f>IF(OR(F3638="",H3638="",J3638=""),"",J3638&amp;"|"&amp;F3638&amp;"|"&amp;IF(H3638="W3","W3_"&amp;IF(I3638="","unknown",I3638),H3638))</f>
        <v/>
      </c>
      <c r="Q3638">
        <f>IF(P3638="","",IFERROR(IF(AND(H3638="W7",OR(F3638="causal",F3638="predictive")),IF(AND(OR(K3638=1,K3638="1"),OR(L3638=1,L3638="1"),OR(M3638=1,M3638="1")),"adequate","partial"),IF(AND(H3638="W4",F3638="predictive",OR(J3638="P2",J3638="P3",J3638="P4")),IF(OR(U3638=1,U3638="1"),"adequate","partial"),INDEX(Fit_Matrix!$B:$B,MATCH(P3638,Fit_Matrix!$A:$A,0)))),"CHECK KEY"))</f>
        <v/>
      </c>
      <c r="U3638" s="10" t="n"/>
      <c r="V3638" s="10" t="n"/>
      <c r="W3638" s="10" t="n"/>
      <c r="X3638" s="10" t="n"/>
      <c r="Y3638" s="10" t="n"/>
      <c r="Z3638" s="10" t="n"/>
      <c r="AA3638" s="11">
        <f>IF(A3638="","",IF(AND(J3638="P4",F3638="causal"),"P4-CAUSAL",""))</f>
        <v/>
      </c>
    </row>
    <row r="3639" ht="15" customHeight="1" s="1">
      <c r="P3639">
        <f>IF(OR(F3639="",H3639="",J3639=""),"",J3639&amp;"|"&amp;F3639&amp;"|"&amp;IF(H3639="W3","W3_"&amp;IF(I3639="","unknown",I3639),H3639))</f>
        <v/>
      </c>
      <c r="Q3639">
        <f>IF(P3639="","",IFERROR(IF(AND(H3639="W7",OR(F3639="causal",F3639="predictive")),IF(AND(OR(K3639=1,K3639="1"),OR(L3639=1,L3639="1"),OR(M3639=1,M3639="1")),"adequate","partial"),IF(AND(H3639="W4",F3639="predictive",OR(J3639="P2",J3639="P3",J3639="P4")),IF(OR(U3639=1,U3639="1"),"adequate","partial"),INDEX(Fit_Matrix!$B:$B,MATCH(P3639,Fit_Matrix!$A:$A,0)))),"CHECK KEY"))</f>
        <v/>
      </c>
      <c r="U3639" s="10" t="n"/>
      <c r="V3639" s="10" t="n"/>
      <c r="W3639" s="10" t="n"/>
      <c r="X3639" s="10" t="n"/>
      <c r="Y3639" s="10" t="n"/>
      <c r="Z3639" s="10" t="n"/>
      <c r="AA3639" s="11">
        <f>IF(A3639="","",IF(AND(J3639="P4",F3639="causal"),"P4-CAUSAL",""))</f>
        <v/>
      </c>
    </row>
    <row r="3640" ht="15" customHeight="1" s="1">
      <c r="P3640">
        <f>IF(OR(F3640="",H3640="",J3640=""),"",J3640&amp;"|"&amp;F3640&amp;"|"&amp;IF(H3640="W3","W3_"&amp;IF(I3640="","unknown",I3640),H3640))</f>
        <v/>
      </c>
      <c r="Q3640">
        <f>IF(P3640="","",IFERROR(IF(AND(H3640="W7",OR(F3640="causal",F3640="predictive")),IF(AND(OR(K3640=1,K3640="1"),OR(L3640=1,L3640="1"),OR(M3640=1,M3640="1")),"adequate","partial"),IF(AND(H3640="W4",F3640="predictive",OR(J3640="P2",J3640="P3",J3640="P4")),IF(OR(U3640=1,U3640="1"),"adequate","partial"),INDEX(Fit_Matrix!$B:$B,MATCH(P3640,Fit_Matrix!$A:$A,0)))),"CHECK KEY"))</f>
        <v/>
      </c>
      <c r="U3640" s="10" t="n"/>
      <c r="V3640" s="10" t="n"/>
      <c r="W3640" s="10" t="n"/>
      <c r="X3640" s="10" t="n"/>
      <c r="Y3640" s="10" t="n"/>
      <c r="Z3640" s="10" t="n"/>
      <c r="AA3640" s="11">
        <f>IF(A3640="","",IF(AND(J3640="P4",F3640="causal"),"P4-CAUSAL",""))</f>
        <v/>
      </c>
    </row>
    <row r="3641" ht="15" customHeight="1" s="1">
      <c r="P3641">
        <f>IF(OR(F3641="",H3641="",J3641=""),"",J3641&amp;"|"&amp;F3641&amp;"|"&amp;IF(H3641="W3","W3_"&amp;IF(I3641="","unknown",I3641),H3641))</f>
        <v/>
      </c>
      <c r="Q3641">
        <f>IF(P3641="","",IFERROR(IF(AND(H3641="W7",OR(F3641="causal",F3641="predictive")),IF(AND(OR(K3641=1,K3641="1"),OR(L3641=1,L3641="1"),OR(M3641=1,M3641="1")),"adequate","partial"),IF(AND(H3641="W4",F3641="predictive",OR(J3641="P2",J3641="P3",J3641="P4")),IF(OR(U3641=1,U3641="1"),"adequate","partial"),INDEX(Fit_Matrix!$B:$B,MATCH(P3641,Fit_Matrix!$A:$A,0)))),"CHECK KEY"))</f>
        <v/>
      </c>
      <c r="U3641" s="10" t="n"/>
      <c r="V3641" s="10" t="n"/>
      <c r="W3641" s="10" t="n"/>
      <c r="X3641" s="10" t="n"/>
      <c r="Y3641" s="10" t="n"/>
      <c r="Z3641" s="10" t="n"/>
      <c r="AA3641" s="11">
        <f>IF(A3641="","",IF(AND(J3641="P4",F3641="causal"),"P4-CAUSAL",""))</f>
        <v/>
      </c>
    </row>
    <row r="3642" ht="15" customHeight="1" s="1">
      <c r="P3642">
        <f>IF(OR(F3642="",H3642="",J3642=""),"",J3642&amp;"|"&amp;F3642&amp;"|"&amp;IF(H3642="W3","W3_"&amp;IF(I3642="","unknown",I3642),H3642))</f>
        <v/>
      </c>
      <c r="Q3642">
        <f>IF(P3642="","",IFERROR(IF(AND(H3642="W7",OR(F3642="causal",F3642="predictive")),IF(AND(OR(K3642=1,K3642="1"),OR(L3642=1,L3642="1"),OR(M3642=1,M3642="1")),"adequate","partial"),IF(AND(H3642="W4",F3642="predictive",OR(J3642="P2",J3642="P3",J3642="P4")),IF(OR(U3642=1,U3642="1"),"adequate","partial"),INDEX(Fit_Matrix!$B:$B,MATCH(P3642,Fit_Matrix!$A:$A,0)))),"CHECK KEY"))</f>
        <v/>
      </c>
      <c r="U3642" s="10" t="n"/>
      <c r="V3642" s="10" t="n"/>
      <c r="W3642" s="10" t="n"/>
      <c r="X3642" s="10" t="n"/>
      <c r="Y3642" s="10" t="n"/>
      <c r="Z3642" s="10" t="n"/>
      <c r="AA3642" s="11">
        <f>IF(A3642="","",IF(AND(J3642="P4",F3642="causal"),"P4-CAUSAL",""))</f>
        <v/>
      </c>
    </row>
    <row r="3643" ht="15" customHeight="1" s="1">
      <c r="P3643">
        <f>IF(OR(F3643="",H3643="",J3643=""),"",J3643&amp;"|"&amp;F3643&amp;"|"&amp;IF(H3643="W3","W3_"&amp;IF(I3643="","unknown",I3643),H3643))</f>
        <v/>
      </c>
      <c r="Q3643">
        <f>IF(P3643="","",IFERROR(IF(AND(H3643="W7",OR(F3643="causal",F3643="predictive")),IF(AND(OR(K3643=1,K3643="1"),OR(L3643=1,L3643="1"),OR(M3643=1,M3643="1")),"adequate","partial"),IF(AND(H3643="W4",F3643="predictive",OR(J3643="P2",J3643="P3",J3643="P4")),IF(OR(U3643=1,U3643="1"),"adequate","partial"),INDEX(Fit_Matrix!$B:$B,MATCH(P3643,Fit_Matrix!$A:$A,0)))),"CHECK KEY"))</f>
        <v/>
      </c>
      <c r="U3643" s="10" t="n"/>
      <c r="V3643" s="10" t="n"/>
      <c r="W3643" s="10" t="n"/>
      <c r="X3643" s="10" t="n"/>
      <c r="Y3643" s="10" t="n"/>
      <c r="Z3643" s="10" t="n"/>
      <c r="AA3643" s="11">
        <f>IF(A3643="","",IF(AND(J3643="P4",F3643="causal"),"P4-CAUSAL",""))</f>
        <v/>
      </c>
    </row>
    <row r="3644" ht="15" customHeight="1" s="1">
      <c r="P3644">
        <f>IF(OR(F3644="",H3644="",J3644=""),"",J3644&amp;"|"&amp;F3644&amp;"|"&amp;IF(H3644="W3","W3_"&amp;IF(I3644="","unknown",I3644),H3644))</f>
        <v/>
      </c>
      <c r="Q3644">
        <f>IF(P3644="","",IFERROR(IF(AND(H3644="W7",OR(F3644="causal",F3644="predictive")),IF(AND(OR(K3644=1,K3644="1"),OR(L3644=1,L3644="1"),OR(M3644=1,M3644="1")),"adequate","partial"),IF(AND(H3644="W4",F3644="predictive",OR(J3644="P2",J3644="P3",J3644="P4")),IF(OR(U3644=1,U3644="1"),"adequate","partial"),INDEX(Fit_Matrix!$B:$B,MATCH(P3644,Fit_Matrix!$A:$A,0)))),"CHECK KEY"))</f>
        <v/>
      </c>
      <c r="U3644" s="10" t="n"/>
      <c r="V3644" s="10" t="n"/>
      <c r="W3644" s="10" t="n"/>
      <c r="X3644" s="10" t="n"/>
      <c r="Y3644" s="10" t="n"/>
      <c r="Z3644" s="10" t="n"/>
      <c r="AA3644" s="11">
        <f>IF(A3644="","",IF(AND(J3644="P4",F3644="causal"),"P4-CAUSAL",""))</f>
        <v/>
      </c>
    </row>
    <row r="3645" ht="15" customHeight="1" s="1">
      <c r="P3645">
        <f>IF(OR(F3645="",H3645="",J3645=""),"",J3645&amp;"|"&amp;F3645&amp;"|"&amp;IF(H3645="W3","W3_"&amp;IF(I3645="","unknown",I3645),H3645))</f>
        <v/>
      </c>
      <c r="Q3645">
        <f>IF(P3645="","",IFERROR(IF(AND(H3645="W7",OR(F3645="causal",F3645="predictive")),IF(AND(OR(K3645=1,K3645="1"),OR(L3645=1,L3645="1"),OR(M3645=1,M3645="1")),"adequate","partial"),IF(AND(H3645="W4",F3645="predictive",OR(J3645="P2",J3645="P3",J3645="P4")),IF(OR(U3645=1,U3645="1"),"adequate","partial"),INDEX(Fit_Matrix!$B:$B,MATCH(P3645,Fit_Matrix!$A:$A,0)))),"CHECK KEY"))</f>
        <v/>
      </c>
      <c r="U3645" s="10" t="n"/>
      <c r="V3645" s="10" t="n"/>
      <c r="W3645" s="10" t="n"/>
      <c r="X3645" s="10" t="n"/>
      <c r="Y3645" s="10" t="n"/>
      <c r="Z3645" s="10" t="n"/>
      <c r="AA3645" s="11">
        <f>IF(A3645="","",IF(AND(J3645="P4",F3645="causal"),"P4-CAUSAL",""))</f>
        <v/>
      </c>
    </row>
    <row r="3646" ht="15" customHeight="1" s="1">
      <c r="P3646">
        <f>IF(OR(F3646="",H3646="",J3646=""),"",J3646&amp;"|"&amp;F3646&amp;"|"&amp;IF(H3646="W3","W3_"&amp;IF(I3646="","unknown",I3646),H3646))</f>
        <v/>
      </c>
      <c r="Q3646">
        <f>IF(P3646="","",IFERROR(IF(AND(H3646="W7",OR(F3646="causal",F3646="predictive")),IF(AND(OR(K3646=1,K3646="1"),OR(L3646=1,L3646="1"),OR(M3646=1,M3646="1")),"adequate","partial"),IF(AND(H3646="W4",F3646="predictive",OR(J3646="P2",J3646="P3",J3646="P4")),IF(OR(U3646=1,U3646="1"),"adequate","partial"),INDEX(Fit_Matrix!$B:$B,MATCH(P3646,Fit_Matrix!$A:$A,0)))),"CHECK KEY"))</f>
        <v/>
      </c>
      <c r="U3646" s="10" t="n"/>
      <c r="V3646" s="10" t="n"/>
      <c r="W3646" s="10" t="n"/>
      <c r="X3646" s="10" t="n"/>
      <c r="Y3646" s="10" t="n"/>
      <c r="Z3646" s="10" t="n"/>
      <c r="AA3646" s="11">
        <f>IF(A3646="","",IF(AND(J3646="P4",F3646="causal"),"P4-CAUSAL",""))</f>
        <v/>
      </c>
    </row>
    <row r="3647" ht="15" customHeight="1" s="1">
      <c r="P3647">
        <f>IF(OR(F3647="",H3647="",J3647=""),"",J3647&amp;"|"&amp;F3647&amp;"|"&amp;IF(H3647="W3","W3_"&amp;IF(I3647="","unknown",I3647),H3647))</f>
        <v/>
      </c>
      <c r="Q3647">
        <f>IF(P3647="","",IFERROR(IF(AND(H3647="W7",OR(F3647="causal",F3647="predictive")),IF(AND(OR(K3647=1,K3647="1"),OR(L3647=1,L3647="1"),OR(M3647=1,M3647="1")),"adequate","partial"),IF(AND(H3647="W4",F3647="predictive",OR(J3647="P2",J3647="P3",J3647="P4")),IF(OR(U3647=1,U3647="1"),"adequate","partial"),INDEX(Fit_Matrix!$B:$B,MATCH(P3647,Fit_Matrix!$A:$A,0)))),"CHECK KEY"))</f>
        <v/>
      </c>
      <c r="U3647" s="10" t="n"/>
      <c r="V3647" s="10" t="n"/>
      <c r="W3647" s="10" t="n"/>
      <c r="X3647" s="10" t="n"/>
      <c r="Y3647" s="10" t="n"/>
      <c r="Z3647" s="10" t="n"/>
      <c r="AA3647" s="11">
        <f>IF(A3647="","",IF(AND(J3647="P4",F3647="causal"),"P4-CAUSAL",""))</f>
        <v/>
      </c>
    </row>
    <row r="3648" ht="15" customHeight="1" s="1">
      <c r="P3648">
        <f>IF(OR(F3648="",H3648="",J3648=""),"",J3648&amp;"|"&amp;F3648&amp;"|"&amp;IF(H3648="W3","W3_"&amp;IF(I3648="","unknown",I3648),H3648))</f>
        <v/>
      </c>
      <c r="Q3648">
        <f>IF(P3648="","",IFERROR(IF(AND(H3648="W7",OR(F3648="causal",F3648="predictive")),IF(AND(OR(K3648=1,K3648="1"),OR(L3648=1,L3648="1"),OR(M3648=1,M3648="1")),"adequate","partial"),IF(AND(H3648="W4",F3648="predictive",OR(J3648="P2",J3648="P3",J3648="P4")),IF(OR(U3648=1,U3648="1"),"adequate","partial"),INDEX(Fit_Matrix!$B:$B,MATCH(P3648,Fit_Matrix!$A:$A,0)))),"CHECK KEY"))</f>
        <v/>
      </c>
      <c r="U3648" s="10" t="n"/>
      <c r="V3648" s="10" t="n"/>
      <c r="W3648" s="10" t="n"/>
      <c r="X3648" s="10" t="n"/>
      <c r="Y3648" s="10" t="n"/>
      <c r="Z3648" s="10" t="n"/>
      <c r="AA3648" s="11">
        <f>IF(A3648="","",IF(AND(J3648="P4",F3648="causal"),"P4-CAUSAL",""))</f>
        <v/>
      </c>
    </row>
    <row r="3649" ht="15" customHeight="1" s="1">
      <c r="P3649">
        <f>IF(OR(F3649="",H3649="",J3649=""),"",J3649&amp;"|"&amp;F3649&amp;"|"&amp;IF(H3649="W3","W3_"&amp;IF(I3649="","unknown",I3649),H3649))</f>
        <v/>
      </c>
      <c r="Q3649">
        <f>IF(P3649="","",IFERROR(IF(AND(H3649="W7",OR(F3649="causal",F3649="predictive")),IF(AND(OR(K3649=1,K3649="1"),OR(L3649=1,L3649="1"),OR(M3649=1,M3649="1")),"adequate","partial"),IF(AND(H3649="W4",F3649="predictive",OR(J3649="P2",J3649="P3",J3649="P4")),IF(OR(U3649=1,U3649="1"),"adequate","partial"),INDEX(Fit_Matrix!$B:$B,MATCH(P3649,Fit_Matrix!$A:$A,0)))),"CHECK KEY"))</f>
        <v/>
      </c>
      <c r="U3649" s="10" t="n"/>
      <c r="V3649" s="10" t="n"/>
      <c r="W3649" s="10" t="n"/>
      <c r="X3649" s="10" t="n"/>
      <c r="Y3649" s="10" t="n"/>
      <c r="Z3649" s="10" t="n"/>
      <c r="AA3649" s="11">
        <f>IF(A3649="","",IF(AND(J3649="P4",F3649="causal"),"P4-CAUSAL",""))</f>
        <v/>
      </c>
    </row>
    <row r="3650" ht="15" customHeight="1" s="1">
      <c r="P3650">
        <f>IF(OR(F3650="",H3650="",J3650=""),"",J3650&amp;"|"&amp;F3650&amp;"|"&amp;IF(H3650="W3","W3_"&amp;IF(I3650="","unknown",I3650),H3650))</f>
        <v/>
      </c>
      <c r="Q3650">
        <f>IF(P3650="","",IFERROR(IF(AND(H3650="W7",OR(F3650="causal",F3650="predictive")),IF(AND(OR(K3650=1,K3650="1"),OR(L3650=1,L3650="1"),OR(M3650=1,M3650="1")),"adequate","partial"),IF(AND(H3650="W4",F3650="predictive",OR(J3650="P2",J3650="P3",J3650="P4")),IF(OR(U3650=1,U3650="1"),"adequate","partial"),INDEX(Fit_Matrix!$B:$B,MATCH(P3650,Fit_Matrix!$A:$A,0)))),"CHECK KEY"))</f>
        <v/>
      </c>
      <c r="U3650" s="10" t="n"/>
      <c r="V3650" s="10" t="n"/>
      <c r="W3650" s="10" t="n"/>
      <c r="X3650" s="10" t="n"/>
      <c r="Y3650" s="10" t="n"/>
      <c r="Z3650" s="10" t="n"/>
      <c r="AA3650" s="11">
        <f>IF(A3650="","",IF(AND(J3650="P4",F3650="causal"),"P4-CAUSAL",""))</f>
        <v/>
      </c>
    </row>
    <row r="3651" ht="15" customHeight="1" s="1">
      <c r="P3651">
        <f>IF(OR(F3651="",H3651="",J3651=""),"",J3651&amp;"|"&amp;F3651&amp;"|"&amp;IF(H3651="W3","W3_"&amp;IF(I3651="","unknown",I3651),H3651))</f>
        <v/>
      </c>
      <c r="Q3651">
        <f>IF(P3651="","",IFERROR(IF(AND(H3651="W7",OR(F3651="causal",F3651="predictive")),IF(AND(OR(K3651=1,K3651="1"),OR(L3651=1,L3651="1"),OR(M3651=1,M3651="1")),"adequate","partial"),IF(AND(H3651="W4",F3651="predictive",OR(J3651="P2",J3651="P3",J3651="P4")),IF(OR(U3651=1,U3651="1"),"adequate","partial"),INDEX(Fit_Matrix!$B:$B,MATCH(P3651,Fit_Matrix!$A:$A,0)))),"CHECK KEY"))</f>
        <v/>
      </c>
      <c r="U3651" s="10" t="n"/>
      <c r="V3651" s="10" t="n"/>
      <c r="W3651" s="10" t="n"/>
      <c r="X3651" s="10" t="n"/>
      <c r="Y3651" s="10" t="n"/>
      <c r="Z3651" s="10" t="n"/>
      <c r="AA3651" s="11">
        <f>IF(A3651="","",IF(AND(J3651="P4",F3651="causal"),"P4-CAUSAL",""))</f>
        <v/>
      </c>
    </row>
    <row r="3652" ht="15" customHeight="1" s="1">
      <c r="P3652">
        <f>IF(OR(F3652="",H3652="",J3652=""),"",J3652&amp;"|"&amp;F3652&amp;"|"&amp;IF(H3652="W3","W3_"&amp;IF(I3652="","unknown",I3652),H3652))</f>
        <v/>
      </c>
      <c r="Q3652">
        <f>IF(P3652="","",IFERROR(IF(AND(H3652="W7",OR(F3652="causal",F3652="predictive")),IF(AND(OR(K3652=1,K3652="1"),OR(L3652=1,L3652="1"),OR(M3652=1,M3652="1")),"adequate","partial"),IF(AND(H3652="W4",F3652="predictive",OR(J3652="P2",J3652="P3",J3652="P4")),IF(OR(U3652=1,U3652="1"),"adequate","partial"),INDEX(Fit_Matrix!$B:$B,MATCH(P3652,Fit_Matrix!$A:$A,0)))),"CHECK KEY"))</f>
        <v/>
      </c>
      <c r="U3652" s="10" t="n"/>
      <c r="V3652" s="10" t="n"/>
      <c r="W3652" s="10" t="n"/>
      <c r="X3652" s="10" t="n"/>
      <c r="Y3652" s="10" t="n"/>
      <c r="Z3652" s="10" t="n"/>
      <c r="AA3652" s="11">
        <f>IF(A3652="","",IF(AND(J3652="P4",F3652="causal"),"P4-CAUSAL",""))</f>
        <v/>
      </c>
    </row>
    <row r="3653" ht="15" customHeight="1" s="1">
      <c r="P3653">
        <f>IF(OR(F3653="",H3653="",J3653=""),"",J3653&amp;"|"&amp;F3653&amp;"|"&amp;IF(H3653="W3","W3_"&amp;IF(I3653="","unknown",I3653),H3653))</f>
        <v/>
      </c>
      <c r="Q3653">
        <f>IF(P3653="","",IFERROR(IF(AND(H3653="W7",OR(F3653="causal",F3653="predictive")),IF(AND(OR(K3653=1,K3653="1"),OR(L3653=1,L3653="1"),OR(M3653=1,M3653="1")),"adequate","partial"),IF(AND(H3653="W4",F3653="predictive",OR(J3653="P2",J3653="P3",J3653="P4")),IF(OR(U3653=1,U3653="1"),"adequate","partial"),INDEX(Fit_Matrix!$B:$B,MATCH(P3653,Fit_Matrix!$A:$A,0)))),"CHECK KEY"))</f>
        <v/>
      </c>
      <c r="U3653" s="10" t="n"/>
      <c r="V3653" s="10" t="n"/>
      <c r="W3653" s="10" t="n"/>
      <c r="X3653" s="10" t="n"/>
      <c r="Y3653" s="10" t="n"/>
      <c r="Z3653" s="10" t="n"/>
      <c r="AA3653" s="11">
        <f>IF(A3653="","",IF(AND(J3653="P4",F3653="causal"),"P4-CAUSAL",""))</f>
        <v/>
      </c>
    </row>
    <row r="3654" ht="15" customHeight="1" s="1">
      <c r="P3654">
        <f>IF(OR(F3654="",H3654="",J3654=""),"",J3654&amp;"|"&amp;F3654&amp;"|"&amp;IF(H3654="W3","W3_"&amp;IF(I3654="","unknown",I3654),H3654))</f>
        <v/>
      </c>
      <c r="Q3654">
        <f>IF(P3654="","",IFERROR(IF(AND(H3654="W7",OR(F3654="causal",F3654="predictive")),IF(AND(OR(K3654=1,K3654="1"),OR(L3654=1,L3654="1"),OR(M3654=1,M3654="1")),"adequate","partial"),IF(AND(H3654="W4",F3654="predictive",OR(J3654="P2",J3654="P3",J3654="P4")),IF(OR(U3654=1,U3654="1"),"adequate","partial"),INDEX(Fit_Matrix!$B:$B,MATCH(P3654,Fit_Matrix!$A:$A,0)))),"CHECK KEY"))</f>
        <v/>
      </c>
      <c r="U3654" s="10" t="n"/>
      <c r="V3654" s="10" t="n"/>
      <c r="W3654" s="10" t="n"/>
      <c r="X3654" s="10" t="n"/>
      <c r="Y3654" s="10" t="n"/>
      <c r="Z3654" s="10" t="n"/>
      <c r="AA3654" s="11">
        <f>IF(A3654="","",IF(AND(J3654="P4",F3654="causal"),"P4-CAUSAL",""))</f>
        <v/>
      </c>
    </row>
    <row r="3655" ht="15" customHeight="1" s="1">
      <c r="P3655">
        <f>IF(OR(F3655="",H3655="",J3655=""),"",J3655&amp;"|"&amp;F3655&amp;"|"&amp;IF(H3655="W3","W3_"&amp;IF(I3655="","unknown",I3655),H3655))</f>
        <v/>
      </c>
      <c r="Q3655">
        <f>IF(P3655="","",IFERROR(IF(AND(H3655="W7",OR(F3655="causal",F3655="predictive")),IF(AND(OR(K3655=1,K3655="1"),OR(L3655=1,L3655="1"),OR(M3655=1,M3655="1")),"adequate","partial"),IF(AND(H3655="W4",F3655="predictive",OR(J3655="P2",J3655="P3",J3655="P4")),IF(OR(U3655=1,U3655="1"),"adequate","partial"),INDEX(Fit_Matrix!$B:$B,MATCH(P3655,Fit_Matrix!$A:$A,0)))),"CHECK KEY"))</f>
        <v/>
      </c>
      <c r="U3655" s="10" t="n"/>
      <c r="V3655" s="10" t="n"/>
      <c r="W3655" s="10" t="n"/>
      <c r="X3655" s="10" t="n"/>
      <c r="Y3655" s="10" t="n"/>
      <c r="Z3655" s="10" t="n"/>
      <c r="AA3655" s="11">
        <f>IF(A3655="","",IF(AND(J3655="P4",F3655="causal"),"P4-CAUSAL",""))</f>
        <v/>
      </c>
    </row>
    <row r="3656" ht="15" customHeight="1" s="1">
      <c r="P3656">
        <f>IF(OR(F3656="",H3656="",J3656=""),"",J3656&amp;"|"&amp;F3656&amp;"|"&amp;IF(H3656="W3","W3_"&amp;IF(I3656="","unknown",I3656),H3656))</f>
        <v/>
      </c>
      <c r="Q3656">
        <f>IF(P3656="","",IFERROR(IF(AND(H3656="W7",OR(F3656="causal",F3656="predictive")),IF(AND(OR(K3656=1,K3656="1"),OR(L3656=1,L3656="1"),OR(M3656=1,M3656="1")),"adequate","partial"),IF(AND(H3656="W4",F3656="predictive",OR(J3656="P2",J3656="P3",J3656="P4")),IF(OR(U3656=1,U3656="1"),"adequate","partial"),INDEX(Fit_Matrix!$B:$B,MATCH(P3656,Fit_Matrix!$A:$A,0)))),"CHECK KEY"))</f>
        <v/>
      </c>
      <c r="U3656" s="10" t="n"/>
      <c r="V3656" s="10" t="n"/>
      <c r="W3656" s="10" t="n"/>
      <c r="X3656" s="10" t="n"/>
      <c r="Y3656" s="10" t="n"/>
      <c r="Z3656" s="10" t="n"/>
      <c r="AA3656" s="11">
        <f>IF(A3656="","",IF(AND(J3656="P4",F3656="causal"),"P4-CAUSAL",""))</f>
        <v/>
      </c>
    </row>
    <row r="3657" ht="15" customHeight="1" s="1">
      <c r="P3657">
        <f>IF(OR(F3657="",H3657="",J3657=""),"",J3657&amp;"|"&amp;F3657&amp;"|"&amp;IF(H3657="W3","W3_"&amp;IF(I3657="","unknown",I3657),H3657))</f>
        <v/>
      </c>
      <c r="Q3657">
        <f>IF(P3657="","",IFERROR(IF(AND(H3657="W7",OR(F3657="causal",F3657="predictive")),IF(AND(OR(K3657=1,K3657="1"),OR(L3657=1,L3657="1"),OR(M3657=1,M3657="1")),"adequate","partial"),IF(AND(H3657="W4",F3657="predictive",OR(J3657="P2",J3657="P3",J3657="P4")),IF(OR(U3657=1,U3657="1"),"adequate","partial"),INDEX(Fit_Matrix!$B:$B,MATCH(P3657,Fit_Matrix!$A:$A,0)))),"CHECK KEY"))</f>
        <v/>
      </c>
      <c r="U3657" s="10" t="n"/>
      <c r="V3657" s="10" t="n"/>
      <c r="W3657" s="10" t="n"/>
      <c r="X3657" s="10" t="n"/>
      <c r="Y3657" s="10" t="n"/>
      <c r="Z3657" s="10" t="n"/>
      <c r="AA3657" s="11">
        <f>IF(A3657="","",IF(AND(J3657="P4",F3657="causal"),"P4-CAUSAL",""))</f>
        <v/>
      </c>
    </row>
    <row r="3658" ht="15" customHeight="1" s="1">
      <c r="P3658">
        <f>IF(OR(F3658="",H3658="",J3658=""),"",J3658&amp;"|"&amp;F3658&amp;"|"&amp;IF(H3658="W3","W3_"&amp;IF(I3658="","unknown",I3658),H3658))</f>
        <v/>
      </c>
      <c r="Q3658">
        <f>IF(P3658="","",IFERROR(IF(AND(H3658="W7",OR(F3658="causal",F3658="predictive")),IF(AND(OR(K3658=1,K3658="1"),OR(L3658=1,L3658="1"),OR(M3658=1,M3658="1")),"adequate","partial"),IF(AND(H3658="W4",F3658="predictive",OR(J3658="P2",J3658="P3",J3658="P4")),IF(OR(U3658=1,U3658="1"),"adequate","partial"),INDEX(Fit_Matrix!$B:$B,MATCH(P3658,Fit_Matrix!$A:$A,0)))),"CHECK KEY"))</f>
        <v/>
      </c>
      <c r="U3658" s="10" t="n"/>
      <c r="V3658" s="10" t="n"/>
      <c r="W3658" s="10" t="n"/>
      <c r="X3658" s="10" t="n"/>
      <c r="Y3658" s="10" t="n"/>
      <c r="Z3658" s="10" t="n"/>
      <c r="AA3658" s="11">
        <f>IF(A3658="","",IF(AND(J3658="P4",F3658="causal"),"P4-CAUSAL",""))</f>
        <v/>
      </c>
    </row>
    <row r="3659" ht="15" customHeight="1" s="1">
      <c r="P3659">
        <f>IF(OR(F3659="",H3659="",J3659=""),"",J3659&amp;"|"&amp;F3659&amp;"|"&amp;IF(H3659="W3","W3_"&amp;IF(I3659="","unknown",I3659),H3659))</f>
        <v/>
      </c>
      <c r="Q3659">
        <f>IF(P3659="","",IFERROR(IF(AND(H3659="W7",OR(F3659="causal",F3659="predictive")),IF(AND(OR(K3659=1,K3659="1"),OR(L3659=1,L3659="1"),OR(M3659=1,M3659="1")),"adequate","partial"),IF(AND(H3659="W4",F3659="predictive",OR(J3659="P2",J3659="P3",J3659="P4")),IF(OR(U3659=1,U3659="1"),"adequate","partial"),INDEX(Fit_Matrix!$B:$B,MATCH(P3659,Fit_Matrix!$A:$A,0)))),"CHECK KEY"))</f>
        <v/>
      </c>
      <c r="U3659" s="10" t="n"/>
      <c r="V3659" s="10" t="n"/>
      <c r="W3659" s="10" t="n"/>
      <c r="X3659" s="10" t="n"/>
      <c r="Y3659" s="10" t="n"/>
      <c r="Z3659" s="10" t="n"/>
      <c r="AA3659" s="11">
        <f>IF(A3659="","",IF(AND(J3659="P4",F3659="causal"),"P4-CAUSAL",""))</f>
        <v/>
      </c>
    </row>
    <row r="3660" ht="15" customHeight="1" s="1">
      <c r="P3660">
        <f>IF(OR(F3660="",H3660="",J3660=""),"",J3660&amp;"|"&amp;F3660&amp;"|"&amp;IF(H3660="W3","W3_"&amp;IF(I3660="","unknown",I3660),H3660))</f>
        <v/>
      </c>
      <c r="Q3660">
        <f>IF(P3660="","",IFERROR(IF(AND(H3660="W7",OR(F3660="causal",F3660="predictive")),IF(AND(OR(K3660=1,K3660="1"),OR(L3660=1,L3660="1"),OR(M3660=1,M3660="1")),"adequate","partial"),IF(AND(H3660="W4",F3660="predictive",OR(J3660="P2",J3660="P3",J3660="P4")),IF(OR(U3660=1,U3660="1"),"adequate","partial"),INDEX(Fit_Matrix!$B:$B,MATCH(P3660,Fit_Matrix!$A:$A,0)))),"CHECK KEY"))</f>
        <v/>
      </c>
      <c r="U3660" s="10" t="n"/>
      <c r="V3660" s="10" t="n"/>
      <c r="W3660" s="10" t="n"/>
      <c r="X3660" s="10" t="n"/>
      <c r="Y3660" s="10" t="n"/>
      <c r="Z3660" s="10" t="n"/>
      <c r="AA3660" s="11">
        <f>IF(A3660="","",IF(AND(J3660="P4",F3660="causal"),"P4-CAUSAL",""))</f>
        <v/>
      </c>
    </row>
    <row r="3661" ht="15" customHeight="1" s="1">
      <c r="P3661">
        <f>IF(OR(F3661="",H3661="",J3661=""),"",J3661&amp;"|"&amp;F3661&amp;"|"&amp;IF(H3661="W3","W3_"&amp;IF(I3661="","unknown",I3661),H3661))</f>
        <v/>
      </c>
      <c r="Q3661">
        <f>IF(P3661="","",IFERROR(IF(AND(H3661="W7",OR(F3661="causal",F3661="predictive")),IF(AND(OR(K3661=1,K3661="1"),OR(L3661=1,L3661="1"),OR(M3661=1,M3661="1")),"adequate","partial"),IF(AND(H3661="W4",F3661="predictive",OR(J3661="P2",J3661="P3",J3661="P4")),IF(OR(U3661=1,U3661="1"),"adequate","partial"),INDEX(Fit_Matrix!$B:$B,MATCH(P3661,Fit_Matrix!$A:$A,0)))),"CHECK KEY"))</f>
        <v/>
      </c>
      <c r="U3661" s="10" t="n"/>
      <c r="V3661" s="10" t="n"/>
      <c r="W3661" s="10" t="n"/>
      <c r="X3661" s="10" t="n"/>
      <c r="Y3661" s="10" t="n"/>
      <c r="Z3661" s="10" t="n"/>
      <c r="AA3661" s="11">
        <f>IF(A3661="","",IF(AND(J3661="P4",F3661="causal"),"P4-CAUSAL",""))</f>
        <v/>
      </c>
    </row>
    <row r="3662" ht="15" customHeight="1" s="1">
      <c r="P3662">
        <f>IF(OR(F3662="",H3662="",J3662=""),"",J3662&amp;"|"&amp;F3662&amp;"|"&amp;IF(H3662="W3","W3_"&amp;IF(I3662="","unknown",I3662),H3662))</f>
        <v/>
      </c>
      <c r="Q3662">
        <f>IF(P3662="","",IFERROR(IF(AND(H3662="W7",OR(F3662="causal",F3662="predictive")),IF(AND(OR(K3662=1,K3662="1"),OR(L3662=1,L3662="1"),OR(M3662=1,M3662="1")),"adequate","partial"),IF(AND(H3662="W4",F3662="predictive",OR(J3662="P2",J3662="P3",J3662="P4")),IF(OR(U3662=1,U3662="1"),"adequate","partial"),INDEX(Fit_Matrix!$B:$B,MATCH(P3662,Fit_Matrix!$A:$A,0)))),"CHECK KEY"))</f>
        <v/>
      </c>
      <c r="U3662" s="10" t="n"/>
      <c r="V3662" s="10" t="n"/>
      <c r="W3662" s="10" t="n"/>
      <c r="X3662" s="10" t="n"/>
      <c r="Y3662" s="10" t="n"/>
      <c r="Z3662" s="10" t="n"/>
      <c r="AA3662" s="11">
        <f>IF(A3662="","",IF(AND(J3662="P4",F3662="causal"),"P4-CAUSAL",""))</f>
        <v/>
      </c>
    </row>
    <row r="3663" ht="15" customHeight="1" s="1">
      <c r="P3663">
        <f>IF(OR(F3663="",H3663="",J3663=""),"",J3663&amp;"|"&amp;F3663&amp;"|"&amp;IF(H3663="W3","W3_"&amp;IF(I3663="","unknown",I3663),H3663))</f>
        <v/>
      </c>
      <c r="Q3663">
        <f>IF(P3663="","",IFERROR(IF(AND(H3663="W7",OR(F3663="causal",F3663="predictive")),IF(AND(OR(K3663=1,K3663="1"),OR(L3663=1,L3663="1"),OR(M3663=1,M3663="1")),"adequate","partial"),IF(AND(H3663="W4",F3663="predictive",OR(J3663="P2",J3663="P3",J3663="P4")),IF(OR(U3663=1,U3663="1"),"adequate","partial"),INDEX(Fit_Matrix!$B:$B,MATCH(P3663,Fit_Matrix!$A:$A,0)))),"CHECK KEY"))</f>
        <v/>
      </c>
      <c r="U3663" s="10" t="n"/>
      <c r="V3663" s="10" t="n"/>
      <c r="W3663" s="10" t="n"/>
      <c r="X3663" s="10" t="n"/>
      <c r="Y3663" s="10" t="n"/>
      <c r="Z3663" s="10" t="n"/>
      <c r="AA3663" s="11">
        <f>IF(A3663="","",IF(AND(J3663="P4",F3663="causal"),"P4-CAUSAL",""))</f>
        <v/>
      </c>
    </row>
    <row r="3664" ht="15" customHeight="1" s="1">
      <c r="P3664">
        <f>IF(OR(F3664="",H3664="",J3664=""),"",J3664&amp;"|"&amp;F3664&amp;"|"&amp;IF(H3664="W3","W3_"&amp;IF(I3664="","unknown",I3664),H3664))</f>
        <v/>
      </c>
      <c r="Q3664">
        <f>IF(P3664="","",IFERROR(IF(AND(H3664="W7",OR(F3664="causal",F3664="predictive")),IF(AND(OR(K3664=1,K3664="1"),OR(L3664=1,L3664="1"),OR(M3664=1,M3664="1")),"adequate","partial"),IF(AND(H3664="W4",F3664="predictive",OR(J3664="P2",J3664="P3",J3664="P4")),IF(OR(U3664=1,U3664="1"),"adequate","partial"),INDEX(Fit_Matrix!$B:$B,MATCH(P3664,Fit_Matrix!$A:$A,0)))),"CHECK KEY"))</f>
        <v/>
      </c>
      <c r="U3664" s="10" t="n"/>
      <c r="V3664" s="10" t="n"/>
      <c r="W3664" s="10" t="n"/>
      <c r="X3664" s="10" t="n"/>
      <c r="Y3664" s="10" t="n"/>
      <c r="Z3664" s="10" t="n"/>
      <c r="AA3664" s="11">
        <f>IF(A3664="","",IF(AND(J3664="P4",F3664="causal"),"P4-CAUSAL",""))</f>
        <v/>
      </c>
    </row>
    <row r="3665" ht="15" customHeight="1" s="1">
      <c r="P3665">
        <f>IF(OR(F3665="",H3665="",J3665=""),"",J3665&amp;"|"&amp;F3665&amp;"|"&amp;IF(H3665="W3","W3_"&amp;IF(I3665="","unknown",I3665),H3665))</f>
        <v/>
      </c>
      <c r="Q3665">
        <f>IF(P3665="","",IFERROR(IF(AND(H3665="W7",OR(F3665="causal",F3665="predictive")),IF(AND(OR(K3665=1,K3665="1"),OR(L3665=1,L3665="1"),OR(M3665=1,M3665="1")),"adequate","partial"),IF(AND(H3665="W4",F3665="predictive",OR(J3665="P2",J3665="P3",J3665="P4")),IF(OR(U3665=1,U3665="1"),"adequate","partial"),INDEX(Fit_Matrix!$B:$B,MATCH(P3665,Fit_Matrix!$A:$A,0)))),"CHECK KEY"))</f>
        <v/>
      </c>
      <c r="U3665" s="10" t="n"/>
      <c r="V3665" s="10" t="n"/>
      <c r="W3665" s="10" t="n"/>
      <c r="X3665" s="10" t="n"/>
      <c r="Y3665" s="10" t="n"/>
      <c r="Z3665" s="10" t="n"/>
      <c r="AA3665" s="11">
        <f>IF(A3665="","",IF(AND(J3665="P4",F3665="causal"),"P4-CAUSAL",""))</f>
        <v/>
      </c>
    </row>
    <row r="3666" ht="15" customHeight="1" s="1">
      <c r="P3666">
        <f>IF(OR(F3666="",H3666="",J3666=""),"",J3666&amp;"|"&amp;F3666&amp;"|"&amp;IF(H3666="W3","W3_"&amp;IF(I3666="","unknown",I3666),H3666))</f>
        <v/>
      </c>
      <c r="Q3666">
        <f>IF(P3666="","",IFERROR(IF(AND(H3666="W7",OR(F3666="causal",F3666="predictive")),IF(AND(OR(K3666=1,K3666="1"),OR(L3666=1,L3666="1"),OR(M3666=1,M3666="1")),"adequate","partial"),IF(AND(H3666="W4",F3666="predictive",OR(J3666="P2",J3666="P3",J3666="P4")),IF(OR(U3666=1,U3666="1"),"adequate","partial"),INDEX(Fit_Matrix!$B:$B,MATCH(P3666,Fit_Matrix!$A:$A,0)))),"CHECK KEY"))</f>
        <v/>
      </c>
      <c r="U3666" s="10" t="n"/>
      <c r="V3666" s="10" t="n"/>
      <c r="W3666" s="10" t="n"/>
      <c r="X3666" s="10" t="n"/>
      <c r="Y3666" s="10" t="n"/>
      <c r="Z3666" s="10" t="n"/>
      <c r="AA3666" s="11">
        <f>IF(A3666="","",IF(AND(J3666="P4",F3666="causal"),"P4-CAUSAL",""))</f>
        <v/>
      </c>
    </row>
    <row r="3667" ht="15" customHeight="1" s="1">
      <c r="P3667">
        <f>IF(OR(F3667="",H3667="",J3667=""),"",J3667&amp;"|"&amp;F3667&amp;"|"&amp;IF(H3667="W3","W3_"&amp;IF(I3667="","unknown",I3667),H3667))</f>
        <v/>
      </c>
      <c r="Q3667">
        <f>IF(P3667="","",IFERROR(IF(AND(H3667="W7",OR(F3667="causal",F3667="predictive")),IF(AND(OR(K3667=1,K3667="1"),OR(L3667=1,L3667="1"),OR(M3667=1,M3667="1")),"adequate","partial"),IF(AND(H3667="W4",F3667="predictive",OR(J3667="P2",J3667="P3",J3667="P4")),IF(OR(U3667=1,U3667="1"),"adequate","partial"),INDEX(Fit_Matrix!$B:$B,MATCH(P3667,Fit_Matrix!$A:$A,0)))),"CHECK KEY"))</f>
        <v/>
      </c>
      <c r="U3667" s="10" t="n"/>
      <c r="V3667" s="10" t="n"/>
      <c r="W3667" s="10" t="n"/>
      <c r="X3667" s="10" t="n"/>
      <c r="Y3667" s="10" t="n"/>
      <c r="Z3667" s="10" t="n"/>
      <c r="AA3667" s="11">
        <f>IF(A3667="","",IF(AND(J3667="P4",F3667="causal"),"P4-CAUSAL",""))</f>
        <v/>
      </c>
    </row>
    <row r="3668" ht="15" customHeight="1" s="1">
      <c r="P3668">
        <f>IF(OR(F3668="",H3668="",J3668=""),"",J3668&amp;"|"&amp;F3668&amp;"|"&amp;IF(H3668="W3","W3_"&amp;IF(I3668="","unknown",I3668),H3668))</f>
        <v/>
      </c>
      <c r="Q3668">
        <f>IF(P3668="","",IFERROR(IF(AND(H3668="W7",OR(F3668="causal",F3668="predictive")),IF(AND(OR(K3668=1,K3668="1"),OR(L3668=1,L3668="1"),OR(M3668=1,M3668="1")),"adequate","partial"),IF(AND(H3668="W4",F3668="predictive",OR(J3668="P2",J3668="P3",J3668="P4")),IF(OR(U3668=1,U3668="1"),"adequate","partial"),INDEX(Fit_Matrix!$B:$B,MATCH(P3668,Fit_Matrix!$A:$A,0)))),"CHECK KEY"))</f>
        <v/>
      </c>
      <c r="U3668" s="10" t="n"/>
      <c r="V3668" s="10" t="n"/>
      <c r="W3668" s="10" t="n"/>
      <c r="X3668" s="10" t="n"/>
      <c r="Y3668" s="10" t="n"/>
      <c r="Z3668" s="10" t="n"/>
      <c r="AA3668" s="11">
        <f>IF(A3668="","",IF(AND(J3668="P4",F3668="causal"),"P4-CAUSAL",""))</f>
        <v/>
      </c>
    </row>
    <row r="3669" ht="15" customHeight="1" s="1">
      <c r="P3669">
        <f>IF(OR(F3669="",H3669="",J3669=""),"",J3669&amp;"|"&amp;F3669&amp;"|"&amp;IF(H3669="W3","W3_"&amp;IF(I3669="","unknown",I3669),H3669))</f>
        <v/>
      </c>
      <c r="Q3669">
        <f>IF(P3669="","",IFERROR(IF(AND(H3669="W7",OR(F3669="causal",F3669="predictive")),IF(AND(OR(K3669=1,K3669="1"),OR(L3669=1,L3669="1"),OR(M3669=1,M3669="1")),"adequate","partial"),IF(AND(H3669="W4",F3669="predictive",OR(J3669="P2",J3669="P3",J3669="P4")),IF(OR(U3669=1,U3669="1"),"adequate","partial"),INDEX(Fit_Matrix!$B:$B,MATCH(P3669,Fit_Matrix!$A:$A,0)))),"CHECK KEY"))</f>
        <v/>
      </c>
      <c r="U3669" s="10" t="n"/>
      <c r="V3669" s="10" t="n"/>
      <c r="W3669" s="10" t="n"/>
      <c r="X3669" s="10" t="n"/>
      <c r="Y3669" s="10" t="n"/>
      <c r="Z3669" s="10" t="n"/>
      <c r="AA3669" s="11">
        <f>IF(A3669="","",IF(AND(J3669="P4",F3669="causal"),"P4-CAUSAL",""))</f>
        <v/>
      </c>
    </row>
    <row r="3670" ht="15" customHeight="1" s="1">
      <c r="P3670">
        <f>IF(OR(F3670="",H3670="",J3670=""),"",J3670&amp;"|"&amp;F3670&amp;"|"&amp;IF(H3670="W3","W3_"&amp;IF(I3670="","unknown",I3670),H3670))</f>
        <v/>
      </c>
      <c r="Q3670">
        <f>IF(P3670="","",IFERROR(IF(AND(H3670="W7",OR(F3670="causal",F3670="predictive")),IF(AND(OR(K3670=1,K3670="1"),OR(L3670=1,L3670="1"),OR(M3670=1,M3670="1")),"adequate","partial"),IF(AND(H3670="W4",F3670="predictive",OR(J3670="P2",J3670="P3",J3670="P4")),IF(OR(U3670=1,U3670="1"),"adequate","partial"),INDEX(Fit_Matrix!$B:$B,MATCH(P3670,Fit_Matrix!$A:$A,0)))),"CHECK KEY"))</f>
        <v/>
      </c>
      <c r="U3670" s="10" t="n"/>
      <c r="V3670" s="10" t="n"/>
      <c r="W3670" s="10" t="n"/>
      <c r="X3670" s="10" t="n"/>
      <c r="Y3670" s="10" t="n"/>
      <c r="Z3670" s="10" t="n"/>
      <c r="AA3670" s="11">
        <f>IF(A3670="","",IF(AND(J3670="P4",F3670="causal"),"P4-CAUSAL",""))</f>
        <v/>
      </c>
    </row>
    <row r="3671" ht="15" customHeight="1" s="1">
      <c r="P3671">
        <f>IF(OR(F3671="",H3671="",J3671=""),"",J3671&amp;"|"&amp;F3671&amp;"|"&amp;IF(H3671="W3","W3_"&amp;IF(I3671="","unknown",I3671),H3671))</f>
        <v/>
      </c>
      <c r="Q3671">
        <f>IF(P3671="","",IFERROR(IF(AND(H3671="W7",OR(F3671="causal",F3671="predictive")),IF(AND(OR(K3671=1,K3671="1"),OR(L3671=1,L3671="1"),OR(M3671=1,M3671="1")),"adequate","partial"),IF(AND(H3671="W4",F3671="predictive",OR(J3671="P2",J3671="P3",J3671="P4")),IF(OR(U3671=1,U3671="1"),"adequate","partial"),INDEX(Fit_Matrix!$B:$B,MATCH(P3671,Fit_Matrix!$A:$A,0)))),"CHECK KEY"))</f>
        <v/>
      </c>
      <c r="U3671" s="10" t="n"/>
      <c r="V3671" s="10" t="n"/>
      <c r="W3671" s="10" t="n"/>
      <c r="X3671" s="10" t="n"/>
      <c r="Y3671" s="10" t="n"/>
      <c r="Z3671" s="10" t="n"/>
      <c r="AA3671" s="11">
        <f>IF(A3671="","",IF(AND(J3671="P4",F3671="causal"),"P4-CAUSAL",""))</f>
        <v/>
      </c>
    </row>
    <row r="3672" ht="15" customHeight="1" s="1">
      <c r="P3672">
        <f>IF(OR(F3672="",H3672="",J3672=""),"",J3672&amp;"|"&amp;F3672&amp;"|"&amp;IF(H3672="W3","W3_"&amp;IF(I3672="","unknown",I3672),H3672))</f>
        <v/>
      </c>
      <c r="Q3672">
        <f>IF(P3672="","",IFERROR(IF(AND(H3672="W7",OR(F3672="causal",F3672="predictive")),IF(AND(OR(K3672=1,K3672="1"),OR(L3672=1,L3672="1"),OR(M3672=1,M3672="1")),"adequate","partial"),IF(AND(H3672="W4",F3672="predictive",OR(J3672="P2",J3672="P3",J3672="P4")),IF(OR(U3672=1,U3672="1"),"adequate","partial"),INDEX(Fit_Matrix!$B:$B,MATCH(P3672,Fit_Matrix!$A:$A,0)))),"CHECK KEY"))</f>
        <v/>
      </c>
      <c r="U3672" s="10" t="n"/>
      <c r="V3672" s="10" t="n"/>
      <c r="W3672" s="10" t="n"/>
      <c r="X3672" s="10" t="n"/>
      <c r="Y3672" s="10" t="n"/>
      <c r="Z3672" s="10" t="n"/>
      <c r="AA3672" s="11">
        <f>IF(A3672="","",IF(AND(J3672="P4",F3672="causal"),"P4-CAUSAL",""))</f>
        <v/>
      </c>
    </row>
    <row r="3673" ht="15" customHeight="1" s="1">
      <c r="P3673">
        <f>IF(OR(F3673="",H3673="",J3673=""),"",J3673&amp;"|"&amp;F3673&amp;"|"&amp;IF(H3673="W3","W3_"&amp;IF(I3673="","unknown",I3673),H3673))</f>
        <v/>
      </c>
      <c r="Q3673">
        <f>IF(P3673="","",IFERROR(IF(AND(H3673="W7",OR(F3673="causal",F3673="predictive")),IF(AND(OR(K3673=1,K3673="1"),OR(L3673=1,L3673="1"),OR(M3673=1,M3673="1")),"adequate","partial"),IF(AND(H3673="W4",F3673="predictive",OR(J3673="P2",J3673="P3",J3673="P4")),IF(OR(U3673=1,U3673="1"),"adequate","partial"),INDEX(Fit_Matrix!$B:$B,MATCH(P3673,Fit_Matrix!$A:$A,0)))),"CHECK KEY"))</f>
        <v/>
      </c>
      <c r="U3673" s="10" t="n"/>
      <c r="V3673" s="10" t="n"/>
      <c r="W3673" s="10" t="n"/>
      <c r="X3673" s="10" t="n"/>
      <c r="Y3673" s="10" t="n"/>
      <c r="Z3673" s="10" t="n"/>
      <c r="AA3673" s="11">
        <f>IF(A3673="","",IF(AND(J3673="P4",F3673="causal"),"P4-CAUSAL",""))</f>
        <v/>
      </c>
    </row>
    <row r="3674" ht="15" customHeight="1" s="1">
      <c r="P3674">
        <f>IF(OR(F3674="",H3674="",J3674=""),"",J3674&amp;"|"&amp;F3674&amp;"|"&amp;IF(H3674="W3","W3_"&amp;IF(I3674="","unknown",I3674),H3674))</f>
        <v/>
      </c>
      <c r="Q3674">
        <f>IF(P3674="","",IFERROR(IF(AND(H3674="W7",OR(F3674="causal",F3674="predictive")),IF(AND(OR(K3674=1,K3674="1"),OR(L3674=1,L3674="1"),OR(M3674=1,M3674="1")),"adequate","partial"),IF(AND(H3674="W4",F3674="predictive",OR(J3674="P2",J3674="P3",J3674="P4")),IF(OR(U3674=1,U3674="1"),"adequate","partial"),INDEX(Fit_Matrix!$B:$B,MATCH(P3674,Fit_Matrix!$A:$A,0)))),"CHECK KEY"))</f>
        <v/>
      </c>
      <c r="U3674" s="10" t="n"/>
      <c r="V3674" s="10" t="n"/>
      <c r="W3674" s="10" t="n"/>
      <c r="X3674" s="10" t="n"/>
      <c r="Y3674" s="10" t="n"/>
      <c r="Z3674" s="10" t="n"/>
      <c r="AA3674" s="11">
        <f>IF(A3674="","",IF(AND(J3674="P4",F3674="causal"),"P4-CAUSAL",""))</f>
        <v/>
      </c>
    </row>
    <row r="3675" ht="15" customHeight="1" s="1">
      <c r="P3675">
        <f>IF(OR(F3675="",H3675="",J3675=""),"",J3675&amp;"|"&amp;F3675&amp;"|"&amp;IF(H3675="W3","W3_"&amp;IF(I3675="","unknown",I3675),H3675))</f>
        <v/>
      </c>
      <c r="Q3675">
        <f>IF(P3675="","",IFERROR(IF(AND(H3675="W7",OR(F3675="causal",F3675="predictive")),IF(AND(OR(K3675=1,K3675="1"),OR(L3675=1,L3675="1"),OR(M3675=1,M3675="1")),"adequate","partial"),IF(AND(H3675="W4",F3675="predictive",OR(J3675="P2",J3675="P3",J3675="P4")),IF(OR(U3675=1,U3675="1"),"adequate","partial"),INDEX(Fit_Matrix!$B:$B,MATCH(P3675,Fit_Matrix!$A:$A,0)))),"CHECK KEY"))</f>
        <v/>
      </c>
      <c r="U3675" s="10" t="n"/>
      <c r="V3675" s="10" t="n"/>
      <c r="W3675" s="10" t="n"/>
      <c r="X3675" s="10" t="n"/>
      <c r="Y3675" s="10" t="n"/>
      <c r="Z3675" s="10" t="n"/>
      <c r="AA3675" s="11">
        <f>IF(A3675="","",IF(AND(J3675="P4",F3675="causal"),"P4-CAUSAL",""))</f>
        <v/>
      </c>
    </row>
    <row r="3676" ht="15" customHeight="1" s="1">
      <c r="P3676">
        <f>IF(OR(F3676="",H3676="",J3676=""),"",J3676&amp;"|"&amp;F3676&amp;"|"&amp;IF(H3676="W3","W3_"&amp;IF(I3676="","unknown",I3676),H3676))</f>
        <v/>
      </c>
      <c r="Q3676">
        <f>IF(P3676="","",IFERROR(IF(AND(H3676="W7",OR(F3676="causal",F3676="predictive")),IF(AND(OR(K3676=1,K3676="1"),OR(L3676=1,L3676="1"),OR(M3676=1,M3676="1")),"adequate","partial"),IF(AND(H3676="W4",F3676="predictive",OR(J3676="P2",J3676="P3",J3676="P4")),IF(OR(U3676=1,U3676="1"),"adequate","partial"),INDEX(Fit_Matrix!$B:$B,MATCH(P3676,Fit_Matrix!$A:$A,0)))),"CHECK KEY"))</f>
        <v/>
      </c>
      <c r="U3676" s="10" t="n"/>
      <c r="V3676" s="10" t="n"/>
      <c r="W3676" s="10" t="n"/>
      <c r="X3676" s="10" t="n"/>
      <c r="Y3676" s="10" t="n"/>
      <c r="Z3676" s="10" t="n"/>
      <c r="AA3676" s="11">
        <f>IF(A3676="","",IF(AND(J3676="P4",F3676="causal"),"P4-CAUSAL",""))</f>
        <v/>
      </c>
    </row>
    <row r="3677" ht="15" customHeight="1" s="1">
      <c r="P3677">
        <f>IF(OR(F3677="",H3677="",J3677=""),"",J3677&amp;"|"&amp;F3677&amp;"|"&amp;IF(H3677="W3","W3_"&amp;IF(I3677="","unknown",I3677),H3677))</f>
        <v/>
      </c>
      <c r="Q3677">
        <f>IF(P3677="","",IFERROR(IF(AND(H3677="W7",OR(F3677="causal",F3677="predictive")),IF(AND(OR(K3677=1,K3677="1"),OR(L3677=1,L3677="1"),OR(M3677=1,M3677="1")),"adequate","partial"),IF(AND(H3677="W4",F3677="predictive",OR(J3677="P2",J3677="P3",J3677="P4")),IF(OR(U3677=1,U3677="1"),"adequate","partial"),INDEX(Fit_Matrix!$B:$B,MATCH(P3677,Fit_Matrix!$A:$A,0)))),"CHECK KEY"))</f>
        <v/>
      </c>
      <c r="U3677" s="10" t="n"/>
      <c r="V3677" s="10" t="n"/>
      <c r="W3677" s="10" t="n"/>
      <c r="X3677" s="10" t="n"/>
      <c r="Y3677" s="10" t="n"/>
      <c r="Z3677" s="10" t="n"/>
      <c r="AA3677" s="11">
        <f>IF(A3677="","",IF(AND(J3677="P4",F3677="causal"),"P4-CAUSAL",""))</f>
        <v/>
      </c>
    </row>
    <row r="3678" ht="15" customHeight="1" s="1">
      <c r="P3678">
        <f>IF(OR(F3678="",H3678="",J3678=""),"",J3678&amp;"|"&amp;F3678&amp;"|"&amp;IF(H3678="W3","W3_"&amp;IF(I3678="","unknown",I3678),H3678))</f>
        <v/>
      </c>
      <c r="Q3678">
        <f>IF(P3678="","",IFERROR(IF(AND(H3678="W7",OR(F3678="causal",F3678="predictive")),IF(AND(OR(K3678=1,K3678="1"),OR(L3678=1,L3678="1"),OR(M3678=1,M3678="1")),"adequate","partial"),IF(AND(H3678="W4",F3678="predictive",OR(J3678="P2",J3678="P3",J3678="P4")),IF(OR(U3678=1,U3678="1"),"adequate","partial"),INDEX(Fit_Matrix!$B:$B,MATCH(P3678,Fit_Matrix!$A:$A,0)))),"CHECK KEY"))</f>
        <v/>
      </c>
      <c r="U3678" s="10" t="n"/>
      <c r="V3678" s="10" t="n"/>
      <c r="W3678" s="10" t="n"/>
      <c r="X3678" s="10" t="n"/>
      <c r="Y3678" s="10" t="n"/>
      <c r="Z3678" s="10" t="n"/>
      <c r="AA3678" s="11">
        <f>IF(A3678="","",IF(AND(J3678="P4",F3678="causal"),"P4-CAUSAL",""))</f>
        <v/>
      </c>
    </row>
    <row r="3679" ht="15" customHeight="1" s="1">
      <c r="P3679">
        <f>IF(OR(F3679="",H3679="",J3679=""),"",J3679&amp;"|"&amp;F3679&amp;"|"&amp;IF(H3679="W3","W3_"&amp;IF(I3679="","unknown",I3679),H3679))</f>
        <v/>
      </c>
      <c r="Q3679">
        <f>IF(P3679="","",IFERROR(IF(AND(H3679="W7",OR(F3679="causal",F3679="predictive")),IF(AND(OR(K3679=1,K3679="1"),OR(L3679=1,L3679="1"),OR(M3679=1,M3679="1")),"adequate","partial"),IF(AND(H3679="W4",F3679="predictive",OR(J3679="P2",J3679="P3",J3679="P4")),IF(OR(U3679=1,U3679="1"),"adequate","partial"),INDEX(Fit_Matrix!$B:$B,MATCH(P3679,Fit_Matrix!$A:$A,0)))),"CHECK KEY"))</f>
        <v/>
      </c>
      <c r="U3679" s="10" t="n"/>
      <c r="V3679" s="10" t="n"/>
      <c r="W3679" s="10" t="n"/>
      <c r="X3679" s="10" t="n"/>
      <c r="Y3679" s="10" t="n"/>
      <c r="Z3679" s="10" t="n"/>
      <c r="AA3679" s="11">
        <f>IF(A3679="","",IF(AND(J3679="P4",F3679="causal"),"P4-CAUSAL",""))</f>
        <v/>
      </c>
    </row>
    <row r="3680" ht="15" customHeight="1" s="1">
      <c r="P3680">
        <f>IF(OR(F3680="",H3680="",J3680=""),"",J3680&amp;"|"&amp;F3680&amp;"|"&amp;IF(H3680="W3","W3_"&amp;IF(I3680="","unknown",I3680),H3680))</f>
        <v/>
      </c>
      <c r="Q3680">
        <f>IF(P3680="","",IFERROR(IF(AND(H3680="W7",OR(F3680="causal",F3680="predictive")),IF(AND(OR(K3680=1,K3680="1"),OR(L3680=1,L3680="1"),OR(M3680=1,M3680="1")),"adequate","partial"),IF(AND(H3680="W4",F3680="predictive",OR(J3680="P2",J3680="P3",J3680="P4")),IF(OR(U3680=1,U3680="1"),"adequate","partial"),INDEX(Fit_Matrix!$B:$B,MATCH(P3680,Fit_Matrix!$A:$A,0)))),"CHECK KEY"))</f>
        <v/>
      </c>
      <c r="U3680" s="10" t="n"/>
      <c r="V3680" s="10" t="n"/>
      <c r="W3680" s="10" t="n"/>
      <c r="X3680" s="10" t="n"/>
      <c r="Y3680" s="10" t="n"/>
      <c r="Z3680" s="10" t="n"/>
      <c r="AA3680" s="11">
        <f>IF(A3680="","",IF(AND(J3680="P4",F3680="causal"),"P4-CAUSAL",""))</f>
        <v/>
      </c>
    </row>
    <row r="3681" ht="15" customHeight="1" s="1">
      <c r="P3681">
        <f>IF(OR(F3681="",H3681="",J3681=""),"",J3681&amp;"|"&amp;F3681&amp;"|"&amp;IF(H3681="W3","W3_"&amp;IF(I3681="","unknown",I3681),H3681))</f>
        <v/>
      </c>
      <c r="Q3681">
        <f>IF(P3681="","",IFERROR(IF(AND(H3681="W7",OR(F3681="causal",F3681="predictive")),IF(AND(OR(K3681=1,K3681="1"),OR(L3681=1,L3681="1"),OR(M3681=1,M3681="1")),"adequate","partial"),IF(AND(H3681="W4",F3681="predictive",OR(J3681="P2",J3681="P3",J3681="P4")),IF(OR(U3681=1,U3681="1"),"adequate","partial"),INDEX(Fit_Matrix!$B:$B,MATCH(P3681,Fit_Matrix!$A:$A,0)))),"CHECK KEY"))</f>
        <v/>
      </c>
      <c r="U3681" s="10" t="n"/>
      <c r="V3681" s="10" t="n"/>
      <c r="W3681" s="10" t="n"/>
      <c r="X3681" s="10" t="n"/>
      <c r="Y3681" s="10" t="n"/>
      <c r="Z3681" s="10" t="n"/>
      <c r="AA3681" s="11">
        <f>IF(A3681="","",IF(AND(J3681="P4",F3681="causal"),"P4-CAUSAL",""))</f>
        <v/>
      </c>
    </row>
    <row r="3682" ht="15" customHeight="1" s="1">
      <c r="P3682">
        <f>IF(OR(F3682="",H3682="",J3682=""),"",J3682&amp;"|"&amp;F3682&amp;"|"&amp;IF(H3682="W3","W3_"&amp;IF(I3682="","unknown",I3682),H3682))</f>
        <v/>
      </c>
      <c r="Q3682">
        <f>IF(P3682="","",IFERROR(IF(AND(H3682="W7",OR(F3682="causal",F3682="predictive")),IF(AND(OR(K3682=1,K3682="1"),OR(L3682=1,L3682="1"),OR(M3682=1,M3682="1")),"adequate","partial"),IF(AND(H3682="W4",F3682="predictive",OR(J3682="P2",J3682="P3",J3682="P4")),IF(OR(U3682=1,U3682="1"),"adequate","partial"),INDEX(Fit_Matrix!$B:$B,MATCH(P3682,Fit_Matrix!$A:$A,0)))),"CHECK KEY"))</f>
        <v/>
      </c>
      <c r="U3682" s="10" t="n"/>
      <c r="V3682" s="10" t="n"/>
      <c r="W3682" s="10" t="n"/>
      <c r="X3682" s="10" t="n"/>
      <c r="Y3682" s="10" t="n"/>
      <c r="Z3682" s="10" t="n"/>
      <c r="AA3682" s="11">
        <f>IF(A3682="","",IF(AND(J3682="P4",F3682="causal"),"P4-CAUSAL",""))</f>
        <v/>
      </c>
    </row>
    <row r="3683" ht="15" customHeight="1" s="1">
      <c r="P3683">
        <f>IF(OR(F3683="",H3683="",J3683=""),"",J3683&amp;"|"&amp;F3683&amp;"|"&amp;IF(H3683="W3","W3_"&amp;IF(I3683="","unknown",I3683),H3683))</f>
        <v/>
      </c>
      <c r="Q3683">
        <f>IF(P3683="","",IFERROR(IF(AND(H3683="W7",OR(F3683="causal",F3683="predictive")),IF(AND(OR(K3683=1,K3683="1"),OR(L3683=1,L3683="1"),OR(M3683=1,M3683="1")),"adequate","partial"),IF(AND(H3683="W4",F3683="predictive",OR(J3683="P2",J3683="P3",J3683="P4")),IF(OR(U3683=1,U3683="1"),"adequate","partial"),INDEX(Fit_Matrix!$B:$B,MATCH(P3683,Fit_Matrix!$A:$A,0)))),"CHECK KEY"))</f>
        <v/>
      </c>
      <c r="U3683" s="10" t="n"/>
      <c r="V3683" s="10" t="n"/>
      <c r="W3683" s="10" t="n"/>
      <c r="X3683" s="10" t="n"/>
      <c r="Y3683" s="10" t="n"/>
      <c r="Z3683" s="10" t="n"/>
      <c r="AA3683" s="11">
        <f>IF(A3683="","",IF(AND(J3683="P4",F3683="causal"),"P4-CAUSAL",""))</f>
        <v/>
      </c>
    </row>
    <row r="3684" ht="15" customHeight="1" s="1">
      <c r="P3684">
        <f>IF(OR(F3684="",H3684="",J3684=""),"",J3684&amp;"|"&amp;F3684&amp;"|"&amp;IF(H3684="W3","W3_"&amp;IF(I3684="","unknown",I3684),H3684))</f>
        <v/>
      </c>
      <c r="Q3684">
        <f>IF(P3684="","",IFERROR(IF(AND(H3684="W7",OR(F3684="causal",F3684="predictive")),IF(AND(OR(K3684=1,K3684="1"),OR(L3684=1,L3684="1"),OR(M3684=1,M3684="1")),"adequate","partial"),IF(AND(H3684="W4",F3684="predictive",OR(J3684="P2",J3684="P3",J3684="P4")),IF(OR(U3684=1,U3684="1"),"adequate","partial"),INDEX(Fit_Matrix!$B:$B,MATCH(P3684,Fit_Matrix!$A:$A,0)))),"CHECK KEY"))</f>
        <v/>
      </c>
      <c r="U3684" s="10" t="n"/>
      <c r="V3684" s="10" t="n"/>
      <c r="W3684" s="10" t="n"/>
      <c r="X3684" s="10" t="n"/>
      <c r="Y3684" s="10" t="n"/>
      <c r="Z3684" s="10" t="n"/>
      <c r="AA3684" s="11">
        <f>IF(A3684="","",IF(AND(J3684="P4",F3684="causal"),"P4-CAUSAL",""))</f>
        <v/>
      </c>
    </row>
    <row r="3685" ht="15" customHeight="1" s="1">
      <c r="P3685">
        <f>IF(OR(F3685="",H3685="",J3685=""),"",J3685&amp;"|"&amp;F3685&amp;"|"&amp;IF(H3685="W3","W3_"&amp;IF(I3685="","unknown",I3685),H3685))</f>
        <v/>
      </c>
      <c r="Q3685">
        <f>IF(P3685="","",IFERROR(IF(AND(H3685="W7",OR(F3685="causal",F3685="predictive")),IF(AND(OR(K3685=1,K3685="1"),OR(L3685=1,L3685="1"),OR(M3685=1,M3685="1")),"adequate","partial"),IF(AND(H3685="W4",F3685="predictive",OR(J3685="P2",J3685="P3",J3685="P4")),IF(OR(U3685=1,U3685="1"),"adequate","partial"),INDEX(Fit_Matrix!$B:$B,MATCH(P3685,Fit_Matrix!$A:$A,0)))),"CHECK KEY"))</f>
        <v/>
      </c>
      <c r="U3685" s="10" t="n"/>
      <c r="V3685" s="10" t="n"/>
      <c r="W3685" s="10" t="n"/>
      <c r="X3685" s="10" t="n"/>
      <c r="Y3685" s="10" t="n"/>
      <c r="Z3685" s="10" t="n"/>
      <c r="AA3685" s="11">
        <f>IF(A3685="","",IF(AND(J3685="P4",F3685="causal"),"P4-CAUSAL",""))</f>
        <v/>
      </c>
    </row>
    <row r="3686" ht="15" customHeight="1" s="1">
      <c r="P3686">
        <f>IF(OR(F3686="",H3686="",J3686=""),"",J3686&amp;"|"&amp;F3686&amp;"|"&amp;IF(H3686="W3","W3_"&amp;IF(I3686="","unknown",I3686),H3686))</f>
        <v/>
      </c>
      <c r="Q3686">
        <f>IF(P3686="","",IFERROR(IF(AND(H3686="W7",OR(F3686="causal",F3686="predictive")),IF(AND(OR(K3686=1,K3686="1"),OR(L3686=1,L3686="1"),OR(M3686=1,M3686="1")),"adequate","partial"),IF(AND(H3686="W4",F3686="predictive",OR(J3686="P2",J3686="P3",J3686="P4")),IF(OR(U3686=1,U3686="1"),"adequate","partial"),INDEX(Fit_Matrix!$B:$B,MATCH(P3686,Fit_Matrix!$A:$A,0)))),"CHECK KEY"))</f>
        <v/>
      </c>
      <c r="U3686" s="10" t="n"/>
      <c r="V3686" s="10" t="n"/>
      <c r="W3686" s="10" t="n"/>
      <c r="X3686" s="10" t="n"/>
      <c r="Y3686" s="10" t="n"/>
      <c r="Z3686" s="10" t="n"/>
      <c r="AA3686" s="11">
        <f>IF(A3686="","",IF(AND(J3686="P4",F3686="causal"),"P4-CAUSAL",""))</f>
        <v/>
      </c>
    </row>
    <row r="3687" ht="15" customHeight="1" s="1">
      <c r="P3687">
        <f>IF(OR(F3687="",H3687="",J3687=""),"",J3687&amp;"|"&amp;F3687&amp;"|"&amp;IF(H3687="W3","W3_"&amp;IF(I3687="","unknown",I3687),H3687))</f>
        <v/>
      </c>
      <c r="Q3687">
        <f>IF(P3687="","",IFERROR(IF(AND(H3687="W7",OR(F3687="causal",F3687="predictive")),IF(AND(OR(K3687=1,K3687="1"),OR(L3687=1,L3687="1"),OR(M3687=1,M3687="1")),"adequate","partial"),IF(AND(H3687="W4",F3687="predictive",OR(J3687="P2",J3687="P3",J3687="P4")),IF(OR(U3687=1,U3687="1"),"adequate","partial"),INDEX(Fit_Matrix!$B:$B,MATCH(P3687,Fit_Matrix!$A:$A,0)))),"CHECK KEY"))</f>
        <v/>
      </c>
      <c r="U3687" s="10" t="n"/>
      <c r="V3687" s="10" t="n"/>
      <c r="W3687" s="10" t="n"/>
      <c r="X3687" s="10" t="n"/>
      <c r="Y3687" s="10" t="n"/>
      <c r="Z3687" s="10" t="n"/>
      <c r="AA3687" s="11">
        <f>IF(A3687="","",IF(AND(J3687="P4",F3687="causal"),"P4-CAUSAL",""))</f>
        <v/>
      </c>
    </row>
    <row r="3688" ht="15" customHeight="1" s="1">
      <c r="P3688">
        <f>IF(OR(F3688="",H3688="",J3688=""),"",J3688&amp;"|"&amp;F3688&amp;"|"&amp;IF(H3688="W3","W3_"&amp;IF(I3688="","unknown",I3688),H3688))</f>
        <v/>
      </c>
      <c r="Q3688">
        <f>IF(P3688="","",IFERROR(IF(AND(H3688="W7",OR(F3688="causal",F3688="predictive")),IF(AND(OR(K3688=1,K3688="1"),OR(L3688=1,L3688="1"),OR(M3688=1,M3688="1")),"adequate","partial"),IF(AND(H3688="W4",F3688="predictive",OR(J3688="P2",J3688="P3",J3688="P4")),IF(OR(U3688=1,U3688="1"),"adequate","partial"),INDEX(Fit_Matrix!$B:$B,MATCH(P3688,Fit_Matrix!$A:$A,0)))),"CHECK KEY"))</f>
        <v/>
      </c>
      <c r="U3688" s="10" t="n"/>
      <c r="V3688" s="10" t="n"/>
      <c r="W3688" s="10" t="n"/>
      <c r="X3688" s="10" t="n"/>
      <c r="Y3688" s="10" t="n"/>
      <c r="Z3688" s="10" t="n"/>
      <c r="AA3688" s="11">
        <f>IF(A3688="","",IF(AND(J3688="P4",F3688="causal"),"P4-CAUSAL",""))</f>
        <v/>
      </c>
    </row>
    <row r="3689" ht="15" customHeight="1" s="1">
      <c r="P3689">
        <f>IF(OR(F3689="",H3689="",J3689=""),"",J3689&amp;"|"&amp;F3689&amp;"|"&amp;IF(H3689="W3","W3_"&amp;IF(I3689="","unknown",I3689),H3689))</f>
        <v/>
      </c>
      <c r="Q3689">
        <f>IF(P3689="","",IFERROR(IF(AND(H3689="W7",OR(F3689="causal",F3689="predictive")),IF(AND(OR(K3689=1,K3689="1"),OR(L3689=1,L3689="1"),OR(M3689=1,M3689="1")),"adequate","partial"),IF(AND(H3689="W4",F3689="predictive",OR(J3689="P2",J3689="P3",J3689="P4")),IF(OR(U3689=1,U3689="1"),"adequate","partial"),INDEX(Fit_Matrix!$B:$B,MATCH(P3689,Fit_Matrix!$A:$A,0)))),"CHECK KEY"))</f>
        <v/>
      </c>
      <c r="U3689" s="10" t="n"/>
      <c r="V3689" s="10" t="n"/>
      <c r="W3689" s="10" t="n"/>
      <c r="X3689" s="10" t="n"/>
      <c r="Y3689" s="10" t="n"/>
      <c r="Z3689" s="10" t="n"/>
      <c r="AA3689" s="11">
        <f>IF(A3689="","",IF(AND(J3689="P4",F3689="causal"),"P4-CAUSAL",""))</f>
        <v/>
      </c>
    </row>
    <row r="3690" ht="15" customHeight="1" s="1">
      <c r="P3690">
        <f>IF(OR(F3690="",H3690="",J3690=""),"",J3690&amp;"|"&amp;F3690&amp;"|"&amp;IF(H3690="W3","W3_"&amp;IF(I3690="","unknown",I3690),H3690))</f>
        <v/>
      </c>
      <c r="Q3690">
        <f>IF(P3690="","",IFERROR(IF(AND(H3690="W7",OR(F3690="causal",F3690="predictive")),IF(AND(OR(K3690=1,K3690="1"),OR(L3690=1,L3690="1"),OR(M3690=1,M3690="1")),"adequate","partial"),IF(AND(H3690="W4",F3690="predictive",OR(J3690="P2",J3690="P3",J3690="P4")),IF(OR(U3690=1,U3690="1"),"adequate","partial"),INDEX(Fit_Matrix!$B:$B,MATCH(P3690,Fit_Matrix!$A:$A,0)))),"CHECK KEY"))</f>
        <v/>
      </c>
      <c r="U3690" s="10" t="n"/>
      <c r="V3690" s="10" t="n"/>
      <c r="W3690" s="10" t="n"/>
      <c r="X3690" s="10" t="n"/>
      <c r="Y3690" s="10" t="n"/>
      <c r="Z3690" s="10" t="n"/>
      <c r="AA3690" s="11">
        <f>IF(A3690="","",IF(AND(J3690="P4",F3690="causal"),"P4-CAUSAL",""))</f>
        <v/>
      </c>
    </row>
    <row r="3691" ht="15" customHeight="1" s="1">
      <c r="P3691">
        <f>IF(OR(F3691="",H3691="",J3691=""),"",J3691&amp;"|"&amp;F3691&amp;"|"&amp;IF(H3691="W3","W3_"&amp;IF(I3691="","unknown",I3691),H3691))</f>
        <v/>
      </c>
      <c r="Q3691">
        <f>IF(P3691="","",IFERROR(IF(AND(H3691="W7",OR(F3691="causal",F3691="predictive")),IF(AND(OR(K3691=1,K3691="1"),OR(L3691=1,L3691="1"),OR(M3691=1,M3691="1")),"adequate","partial"),IF(AND(H3691="W4",F3691="predictive",OR(J3691="P2",J3691="P3",J3691="P4")),IF(OR(U3691=1,U3691="1"),"adequate","partial"),INDEX(Fit_Matrix!$B:$B,MATCH(P3691,Fit_Matrix!$A:$A,0)))),"CHECK KEY"))</f>
        <v/>
      </c>
      <c r="U3691" s="10" t="n"/>
      <c r="V3691" s="10" t="n"/>
      <c r="W3691" s="10" t="n"/>
      <c r="X3691" s="10" t="n"/>
      <c r="Y3691" s="10" t="n"/>
      <c r="Z3691" s="10" t="n"/>
      <c r="AA3691" s="11">
        <f>IF(A3691="","",IF(AND(J3691="P4",F3691="causal"),"P4-CAUSAL",""))</f>
        <v/>
      </c>
    </row>
    <row r="3692" ht="15" customHeight="1" s="1">
      <c r="P3692">
        <f>IF(OR(F3692="",H3692="",J3692=""),"",J3692&amp;"|"&amp;F3692&amp;"|"&amp;IF(H3692="W3","W3_"&amp;IF(I3692="","unknown",I3692),H3692))</f>
        <v/>
      </c>
      <c r="Q3692">
        <f>IF(P3692="","",IFERROR(IF(AND(H3692="W7",OR(F3692="causal",F3692="predictive")),IF(AND(OR(K3692=1,K3692="1"),OR(L3692=1,L3692="1"),OR(M3692=1,M3692="1")),"adequate","partial"),IF(AND(H3692="W4",F3692="predictive",OR(J3692="P2",J3692="P3",J3692="P4")),IF(OR(U3692=1,U3692="1"),"adequate","partial"),INDEX(Fit_Matrix!$B:$B,MATCH(P3692,Fit_Matrix!$A:$A,0)))),"CHECK KEY"))</f>
        <v/>
      </c>
      <c r="U3692" s="10" t="n"/>
      <c r="V3692" s="10" t="n"/>
      <c r="W3692" s="10" t="n"/>
      <c r="X3692" s="10" t="n"/>
      <c r="Y3692" s="10" t="n"/>
      <c r="Z3692" s="10" t="n"/>
      <c r="AA3692" s="11">
        <f>IF(A3692="","",IF(AND(J3692="P4",F3692="causal"),"P4-CAUSAL",""))</f>
        <v/>
      </c>
    </row>
    <row r="3693" ht="15" customHeight="1" s="1">
      <c r="P3693">
        <f>IF(OR(F3693="",H3693="",J3693=""),"",J3693&amp;"|"&amp;F3693&amp;"|"&amp;IF(H3693="W3","W3_"&amp;IF(I3693="","unknown",I3693),H3693))</f>
        <v/>
      </c>
      <c r="Q3693">
        <f>IF(P3693="","",IFERROR(IF(AND(H3693="W7",OR(F3693="causal",F3693="predictive")),IF(AND(OR(K3693=1,K3693="1"),OR(L3693=1,L3693="1"),OR(M3693=1,M3693="1")),"adequate","partial"),IF(AND(H3693="W4",F3693="predictive",OR(J3693="P2",J3693="P3",J3693="P4")),IF(OR(U3693=1,U3693="1"),"adequate","partial"),INDEX(Fit_Matrix!$B:$B,MATCH(P3693,Fit_Matrix!$A:$A,0)))),"CHECK KEY"))</f>
        <v/>
      </c>
      <c r="U3693" s="10" t="n"/>
      <c r="V3693" s="10" t="n"/>
      <c r="W3693" s="10" t="n"/>
      <c r="X3693" s="10" t="n"/>
      <c r="Y3693" s="10" t="n"/>
      <c r="Z3693" s="10" t="n"/>
      <c r="AA3693" s="11">
        <f>IF(A3693="","",IF(AND(J3693="P4",F3693="causal"),"P4-CAUSAL",""))</f>
        <v/>
      </c>
    </row>
    <row r="3694" ht="15" customHeight="1" s="1">
      <c r="P3694">
        <f>IF(OR(F3694="",H3694="",J3694=""),"",J3694&amp;"|"&amp;F3694&amp;"|"&amp;IF(H3694="W3","W3_"&amp;IF(I3694="","unknown",I3694),H3694))</f>
        <v/>
      </c>
      <c r="Q3694">
        <f>IF(P3694="","",IFERROR(IF(AND(H3694="W7",OR(F3694="causal",F3694="predictive")),IF(AND(OR(K3694=1,K3694="1"),OR(L3694=1,L3694="1"),OR(M3694=1,M3694="1")),"adequate","partial"),IF(AND(H3694="W4",F3694="predictive",OR(J3694="P2",J3694="P3",J3694="P4")),IF(OR(U3694=1,U3694="1"),"adequate","partial"),INDEX(Fit_Matrix!$B:$B,MATCH(P3694,Fit_Matrix!$A:$A,0)))),"CHECK KEY"))</f>
        <v/>
      </c>
      <c r="U3694" s="10" t="n"/>
      <c r="V3694" s="10" t="n"/>
      <c r="W3694" s="10" t="n"/>
      <c r="X3694" s="10" t="n"/>
      <c r="Y3694" s="10" t="n"/>
      <c r="Z3694" s="10" t="n"/>
      <c r="AA3694" s="11">
        <f>IF(A3694="","",IF(AND(J3694="P4",F3694="causal"),"P4-CAUSAL",""))</f>
        <v/>
      </c>
    </row>
    <row r="3695" ht="15" customHeight="1" s="1">
      <c r="P3695">
        <f>IF(OR(F3695="",H3695="",J3695=""),"",J3695&amp;"|"&amp;F3695&amp;"|"&amp;IF(H3695="W3","W3_"&amp;IF(I3695="","unknown",I3695),H3695))</f>
        <v/>
      </c>
      <c r="Q3695">
        <f>IF(P3695="","",IFERROR(IF(AND(H3695="W7",OR(F3695="causal",F3695="predictive")),IF(AND(OR(K3695=1,K3695="1"),OR(L3695=1,L3695="1"),OR(M3695=1,M3695="1")),"adequate","partial"),IF(AND(H3695="W4",F3695="predictive",OR(J3695="P2",J3695="P3",J3695="P4")),IF(OR(U3695=1,U3695="1"),"adequate","partial"),INDEX(Fit_Matrix!$B:$B,MATCH(P3695,Fit_Matrix!$A:$A,0)))),"CHECK KEY"))</f>
        <v/>
      </c>
      <c r="U3695" s="10" t="n"/>
      <c r="V3695" s="10" t="n"/>
      <c r="W3695" s="10" t="n"/>
      <c r="X3695" s="10" t="n"/>
      <c r="Y3695" s="10" t="n"/>
      <c r="Z3695" s="10" t="n"/>
      <c r="AA3695" s="11">
        <f>IF(A3695="","",IF(AND(J3695="P4",F3695="causal"),"P4-CAUSAL",""))</f>
        <v/>
      </c>
    </row>
    <row r="3696" ht="15" customHeight="1" s="1">
      <c r="P3696">
        <f>IF(OR(F3696="",H3696="",J3696=""),"",J3696&amp;"|"&amp;F3696&amp;"|"&amp;IF(H3696="W3","W3_"&amp;IF(I3696="","unknown",I3696),H3696))</f>
        <v/>
      </c>
      <c r="Q3696">
        <f>IF(P3696="","",IFERROR(IF(AND(H3696="W7",OR(F3696="causal",F3696="predictive")),IF(AND(OR(K3696=1,K3696="1"),OR(L3696=1,L3696="1"),OR(M3696=1,M3696="1")),"adequate","partial"),IF(AND(H3696="W4",F3696="predictive",OR(J3696="P2",J3696="P3",J3696="P4")),IF(OR(U3696=1,U3696="1"),"adequate","partial"),INDEX(Fit_Matrix!$B:$B,MATCH(P3696,Fit_Matrix!$A:$A,0)))),"CHECK KEY"))</f>
        <v/>
      </c>
      <c r="U3696" s="10" t="n"/>
      <c r="V3696" s="10" t="n"/>
      <c r="W3696" s="10" t="n"/>
      <c r="X3696" s="10" t="n"/>
      <c r="Y3696" s="10" t="n"/>
      <c r="Z3696" s="10" t="n"/>
      <c r="AA3696" s="11">
        <f>IF(A3696="","",IF(AND(J3696="P4",F3696="causal"),"P4-CAUSAL",""))</f>
        <v/>
      </c>
    </row>
    <row r="3697" ht="15" customHeight="1" s="1">
      <c r="P3697">
        <f>IF(OR(F3697="",H3697="",J3697=""),"",J3697&amp;"|"&amp;F3697&amp;"|"&amp;IF(H3697="W3","W3_"&amp;IF(I3697="","unknown",I3697),H3697))</f>
        <v/>
      </c>
      <c r="Q3697">
        <f>IF(P3697="","",IFERROR(IF(AND(H3697="W7",OR(F3697="causal",F3697="predictive")),IF(AND(OR(K3697=1,K3697="1"),OR(L3697=1,L3697="1"),OR(M3697=1,M3697="1")),"adequate","partial"),IF(AND(H3697="W4",F3697="predictive",OR(J3697="P2",J3697="P3",J3697="P4")),IF(OR(U3697=1,U3697="1"),"adequate","partial"),INDEX(Fit_Matrix!$B:$B,MATCH(P3697,Fit_Matrix!$A:$A,0)))),"CHECK KEY"))</f>
        <v/>
      </c>
      <c r="U3697" s="10" t="n"/>
      <c r="V3697" s="10" t="n"/>
      <c r="W3697" s="10" t="n"/>
      <c r="X3697" s="10" t="n"/>
      <c r="Y3697" s="10" t="n"/>
      <c r="Z3697" s="10" t="n"/>
      <c r="AA3697" s="11">
        <f>IF(A3697="","",IF(AND(J3697="P4",F3697="causal"),"P4-CAUSAL",""))</f>
        <v/>
      </c>
    </row>
    <row r="3698" ht="15" customHeight="1" s="1">
      <c r="P3698">
        <f>IF(OR(F3698="",H3698="",J3698=""),"",J3698&amp;"|"&amp;F3698&amp;"|"&amp;IF(H3698="W3","W3_"&amp;IF(I3698="","unknown",I3698),H3698))</f>
        <v/>
      </c>
      <c r="Q3698">
        <f>IF(P3698="","",IFERROR(IF(AND(H3698="W7",OR(F3698="causal",F3698="predictive")),IF(AND(OR(K3698=1,K3698="1"),OR(L3698=1,L3698="1"),OR(M3698=1,M3698="1")),"adequate","partial"),IF(AND(H3698="W4",F3698="predictive",OR(J3698="P2",J3698="P3",J3698="P4")),IF(OR(U3698=1,U3698="1"),"adequate","partial"),INDEX(Fit_Matrix!$B:$B,MATCH(P3698,Fit_Matrix!$A:$A,0)))),"CHECK KEY"))</f>
        <v/>
      </c>
      <c r="U3698" s="10" t="n"/>
      <c r="V3698" s="10" t="n"/>
      <c r="W3698" s="10" t="n"/>
      <c r="X3698" s="10" t="n"/>
      <c r="Y3698" s="10" t="n"/>
      <c r="Z3698" s="10" t="n"/>
      <c r="AA3698" s="11">
        <f>IF(A3698="","",IF(AND(J3698="P4",F3698="causal"),"P4-CAUSAL",""))</f>
        <v/>
      </c>
    </row>
    <row r="3699" ht="15" customHeight="1" s="1">
      <c r="P3699">
        <f>IF(OR(F3699="",H3699="",J3699=""),"",J3699&amp;"|"&amp;F3699&amp;"|"&amp;IF(H3699="W3","W3_"&amp;IF(I3699="","unknown",I3699),H3699))</f>
        <v/>
      </c>
      <c r="Q3699">
        <f>IF(P3699="","",IFERROR(IF(AND(H3699="W7",OR(F3699="causal",F3699="predictive")),IF(AND(OR(K3699=1,K3699="1"),OR(L3699=1,L3699="1"),OR(M3699=1,M3699="1")),"adequate","partial"),IF(AND(H3699="W4",F3699="predictive",OR(J3699="P2",J3699="P3",J3699="P4")),IF(OR(U3699=1,U3699="1"),"adequate","partial"),INDEX(Fit_Matrix!$B:$B,MATCH(P3699,Fit_Matrix!$A:$A,0)))),"CHECK KEY"))</f>
        <v/>
      </c>
      <c r="U3699" s="10" t="n"/>
      <c r="V3699" s="10" t="n"/>
      <c r="W3699" s="10" t="n"/>
      <c r="X3699" s="10" t="n"/>
      <c r="Y3699" s="10" t="n"/>
      <c r="Z3699" s="10" t="n"/>
      <c r="AA3699" s="11">
        <f>IF(A3699="","",IF(AND(J3699="P4",F3699="causal"),"P4-CAUSAL",""))</f>
        <v/>
      </c>
    </row>
    <row r="3700" ht="15" customHeight="1" s="1">
      <c r="P3700">
        <f>IF(OR(F3700="",H3700="",J3700=""),"",J3700&amp;"|"&amp;F3700&amp;"|"&amp;IF(H3700="W3","W3_"&amp;IF(I3700="","unknown",I3700),H3700))</f>
        <v/>
      </c>
      <c r="Q3700">
        <f>IF(P3700="","",IFERROR(IF(AND(H3700="W7",OR(F3700="causal",F3700="predictive")),IF(AND(OR(K3700=1,K3700="1"),OR(L3700=1,L3700="1"),OR(M3700=1,M3700="1")),"adequate","partial"),IF(AND(H3700="W4",F3700="predictive",OR(J3700="P2",J3700="P3",J3700="P4")),IF(OR(U3700=1,U3700="1"),"adequate","partial"),INDEX(Fit_Matrix!$B:$B,MATCH(P3700,Fit_Matrix!$A:$A,0)))),"CHECK KEY"))</f>
        <v/>
      </c>
      <c r="U3700" s="10" t="n"/>
      <c r="V3700" s="10" t="n"/>
      <c r="W3700" s="10" t="n"/>
      <c r="X3700" s="10" t="n"/>
      <c r="Y3700" s="10" t="n"/>
      <c r="Z3700" s="10" t="n"/>
      <c r="AA3700" s="11">
        <f>IF(A3700="","",IF(AND(J3700="P4",F3700="causal"),"P4-CAUSAL",""))</f>
        <v/>
      </c>
    </row>
    <row r="3701" ht="15" customHeight="1" s="1">
      <c r="P3701">
        <f>IF(OR(F3701="",H3701="",J3701=""),"",J3701&amp;"|"&amp;F3701&amp;"|"&amp;IF(H3701="W3","W3_"&amp;IF(I3701="","unknown",I3701),H3701))</f>
        <v/>
      </c>
      <c r="Q3701">
        <f>IF(P3701="","",IFERROR(IF(AND(H3701="W7",OR(F3701="causal",F3701="predictive")),IF(AND(OR(K3701=1,K3701="1"),OR(L3701=1,L3701="1"),OR(M3701=1,M3701="1")),"adequate","partial"),IF(AND(H3701="W4",F3701="predictive",OR(J3701="P2",J3701="P3",J3701="P4")),IF(OR(U3701=1,U3701="1"),"adequate","partial"),INDEX(Fit_Matrix!$B:$B,MATCH(P3701,Fit_Matrix!$A:$A,0)))),"CHECK KEY"))</f>
        <v/>
      </c>
      <c r="U3701" s="10" t="n"/>
      <c r="V3701" s="10" t="n"/>
      <c r="W3701" s="10" t="n"/>
      <c r="X3701" s="10" t="n"/>
      <c r="Y3701" s="10" t="n"/>
      <c r="Z3701" s="10" t="n"/>
      <c r="AA3701" s="11">
        <f>IF(A3701="","",IF(AND(J3701="P4",F3701="causal"),"P4-CAUSAL",""))</f>
        <v/>
      </c>
    </row>
    <row r="3702" ht="15" customHeight="1" s="1">
      <c r="P3702">
        <f>IF(OR(F3702="",H3702="",J3702=""),"",J3702&amp;"|"&amp;F3702&amp;"|"&amp;IF(H3702="W3","W3_"&amp;IF(I3702="","unknown",I3702),H3702))</f>
        <v/>
      </c>
      <c r="Q3702">
        <f>IF(P3702="","",IFERROR(IF(AND(H3702="W7",OR(F3702="causal",F3702="predictive")),IF(AND(OR(K3702=1,K3702="1"),OR(L3702=1,L3702="1"),OR(M3702=1,M3702="1")),"adequate","partial"),IF(AND(H3702="W4",F3702="predictive",OR(J3702="P2",J3702="P3",J3702="P4")),IF(OR(U3702=1,U3702="1"),"adequate","partial"),INDEX(Fit_Matrix!$B:$B,MATCH(P3702,Fit_Matrix!$A:$A,0)))),"CHECK KEY"))</f>
        <v/>
      </c>
      <c r="U3702" s="10" t="n"/>
      <c r="V3702" s="10" t="n"/>
      <c r="W3702" s="10" t="n"/>
      <c r="X3702" s="10" t="n"/>
      <c r="Y3702" s="10" t="n"/>
      <c r="Z3702" s="10" t="n"/>
      <c r="AA3702" s="11">
        <f>IF(A3702="","",IF(AND(J3702="P4",F3702="causal"),"P4-CAUSAL",""))</f>
        <v/>
      </c>
    </row>
    <row r="3703" ht="15" customHeight="1" s="1">
      <c r="P3703">
        <f>IF(OR(F3703="",H3703="",J3703=""),"",J3703&amp;"|"&amp;F3703&amp;"|"&amp;IF(H3703="W3","W3_"&amp;IF(I3703="","unknown",I3703),H3703))</f>
        <v/>
      </c>
      <c r="Q3703">
        <f>IF(P3703="","",IFERROR(IF(AND(H3703="W7",OR(F3703="causal",F3703="predictive")),IF(AND(OR(K3703=1,K3703="1"),OR(L3703=1,L3703="1"),OR(M3703=1,M3703="1")),"adequate","partial"),IF(AND(H3703="W4",F3703="predictive",OR(J3703="P2",J3703="P3",J3703="P4")),IF(OR(U3703=1,U3703="1"),"adequate","partial"),INDEX(Fit_Matrix!$B:$B,MATCH(P3703,Fit_Matrix!$A:$A,0)))),"CHECK KEY"))</f>
        <v/>
      </c>
      <c r="U3703" s="10" t="n"/>
      <c r="V3703" s="10" t="n"/>
      <c r="W3703" s="10" t="n"/>
      <c r="X3703" s="10" t="n"/>
      <c r="Y3703" s="10" t="n"/>
      <c r="Z3703" s="10" t="n"/>
      <c r="AA3703" s="11">
        <f>IF(A3703="","",IF(AND(J3703="P4",F3703="causal"),"P4-CAUSAL",""))</f>
        <v/>
      </c>
    </row>
    <row r="3704" ht="15" customHeight="1" s="1">
      <c r="P3704">
        <f>IF(OR(F3704="",H3704="",J3704=""),"",J3704&amp;"|"&amp;F3704&amp;"|"&amp;IF(H3704="W3","W3_"&amp;IF(I3704="","unknown",I3704),H3704))</f>
        <v/>
      </c>
      <c r="Q3704">
        <f>IF(P3704="","",IFERROR(IF(AND(H3704="W7",OR(F3704="causal",F3704="predictive")),IF(AND(OR(K3704=1,K3704="1"),OR(L3704=1,L3704="1"),OR(M3704=1,M3704="1")),"adequate","partial"),IF(AND(H3704="W4",F3704="predictive",OR(J3704="P2",J3704="P3",J3704="P4")),IF(OR(U3704=1,U3704="1"),"adequate","partial"),INDEX(Fit_Matrix!$B:$B,MATCH(P3704,Fit_Matrix!$A:$A,0)))),"CHECK KEY"))</f>
        <v/>
      </c>
      <c r="U3704" s="10" t="n"/>
      <c r="V3704" s="10" t="n"/>
      <c r="W3704" s="10" t="n"/>
      <c r="X3704" s="10" t="n"/>
      <c r="Y3704" s="10" t="n"/>
      <c r="Z3704" s="10" t="n"/>
      <c r="AA3704" s="11">
        <f>IF(A3704="","",IF(AND(J3704="P4",F3704="causal"),"P4-CAUSAL",""))</f>
        <v/>
      </c>
    </row>
    <row r="3705" ht="15" customHeight="1" s="1">
      <c r="P3705">
        <f>IF(OR(F3705="",H3705="",J3705=""),"",J3705&amp;"|"&amp;F3705&amp;"|"&amp;IF(H3705="W3","W3_"&amp;IF(I3705="","unknown",I3705),H3705))</f>
        <v/>
      </c>
      <c r="Q3705">
        <f>IF(P3705="","",IFERROR(IF(AND(H3705="W7",OR(F3705="causal",F3705="predictive")),IF(AND(OR(K3705=1,K3705="1"),OR(L3705=1,L3705="1"),OR(M3705=1,M3705="1")),"adequate","partial"),IF(AND(H3705="W4",F3705="predictive",OR(J3705="P2",J3705="P3",J3705="P4")),IF(OR(U3705=1,U3705="1"),"adequate","partial"),INDEX(Fit_Matrix!$B:$B,MATCH(P3705,Fit_Matrix!$A:$A,0)))),"CHECK KEY"))</f>
        <v/>
      </c>
      <c r="U3705" s="10" t="n"/>
      <c r="V3705" s="10" t="n"/>
      <c r="W3705" s="10" t="n"/>
      <c r="X3705" s="10" t="n"/>
      <c r="Y3705" s="10" t="n"/>
      <c r="Z3705" s="10" t="n"/>
      <c r="AA3705" s="11">
        <f>IF(A3705="","",IF(AND(J3705="P4",F3705="causal"),"P4-CAUSAL",""))</f>
        <v/>
      </c>
    </row>
    <row r="3706" ht="15" customHeight="1" s="1">
      <c r="P3706">
        <f>IF(OR(F3706="",H3706="",J3706=""),"",J3706&amp;"|"&amp;F3706&amp;"|"&amp;IF(H3706="W3","W3_"&amp;IF(I3706="","unknown",I3706),H3706))</f>
        <v/>
      </c>
      <c r="Q3706">
        <f>IF(P3706="","",IFERROR(IF(AND(H3706="W7",OR(F3706="causal",F3706="predictive")),IF(AND(OR(K3706=1,K3706="1"),OR(L3706=1,L3706="1"),OR(M3706=1,M3706="1")),"adequate","partial"),IF(AND(H3706="W4",F3706="predictive",OR(J3706="P2",J3706="P3",J3706="P4")),IF(OR(U3706=1,U3706="1"),"adequate","partial"),INDEX(Fit_Matrix!$B:$B,MATCH(P3706,Fit_Matrix!$A:$A,0)))),"CHECK KEY"))</f>
        <v/>
      </c>
      <c r="U3706" s="10" t="n"/>
      <c r="V3706" s="10" t="n"/>
      <c r="W3706" s="10" t="n"/>
      <c r="X3706" s="10" t="n"/>
      <c r="Y3706" s="10" t="n"/>
      <c r="Z3706" s="10" t="n"/>
      <c r="AA3706" s="11">
        <f>IF(A3706="","",IF(AND(J3706="P4",F3706="causal"),"P4-CAUSAL",""))</f>
        <v/>
      </c>
    </row>
    <row r="3707" ht="15" customHeight="1" s="1">
      <c r="P3707">
        <f>IF(OR(F3707="",H3707="",J3707=""),"",J3707&amp;"|"&amp;F3707&amp;"|"&amp;IF(H3707="W3","W3_"&amp;IF(I3707="","unknown",I3707),H3707))</f>
        <v/>
      </c>
      <c r="Q3707">
        <f>IF(P3707="","",IFERROR(IF(AND(H3707="W7",OR(F3707="causal",F3707="predictive")),IF(AND(OR(K3707=1,K3707="1"),OR(L3707=1,L3707="1"),OR(M3707=1,M3707="1")),"adequate","partial"),IF(AND(H3707="W4",F3707="predictive",OR(J3707="P2",J3707="P3",J3707="P4")),IF(OR(U3707=1,U3707="1"),"adequate","partial"),INDEX(Fit_Matrix!$B:$B,MATCH(P3707,Fit_Matrix!$A:$A,0)))),"CHECK KEY"))</f>
        <v/>
      </c>
      <c r="U3707" s="10" t="n"/>
      <c r="V3707" s="10" t="n"/>
      <c r="W3707" s="10" t="n"/>
      <c r="X3707" s="10" t="n"/>
      <c r="Y3707" s="10" t="n"/>
      <c r="Z3707" s="10" t="n"/>
      <c r="AA3707" s="11">
        <f>IF(A3707="","",IF(AND(J3707="P4",F3707="causal"),"P4-CAUSAL",""))</f>
        <v/>
      </c>
    </row>
    <row r="3708" ht="15" customHeight="1" s="1">
      <c r="P3708">
        <f>IF(OR(F3708="",H3708="",J3708=""),"",J3708&amp;"|"&amp;F3708&amp;"|"&amp;IF(H3708="W3","W3_"&amp;IF(I3708="","unknown",I3708),H3708))</f>
        <v/>
      </c>
      <c r="Q3708">
        <f>IF(P3708="","",IFERROR(IF(AND(H3708="W7",OR(F3708="causal",F3708="predictive")),IF(AND(OR(K3708=1,K3708="1"),OR(L3708=1,L3708="1"),OR(M3708=1,M3708="1")),"adequate","partial"),IF(AND(H3708="W4",F3708="predictive",OR(J3708="P2",J3708="P3",J3708="P4")),IF(OR(U3708=1,U3708="1"),"adequate","partial"),INDEX(Fit_Matrix!$B:$B,MATCH(P3708,Fit_Matrix!$A:$A,0)))),"CHECK KEY"))</f>
        <v/>
      </c>
      <c r="U3708" s="10" t="n"/>
      <c r="V3708" s="10" t="n"/>
      <c r="W3708" s="10" t="n"/>
      <c r="X3708" s="10" t="n"/>
      <c r="Y3708" s="10" t="n"/>
      <c r="Z3708" s="10" t="n"/>
      <c r="AA3708" s="11">
        <f>IF(A3708="","",IF(AND(J3708="P4",F3708="causal"),"P4-CAUSAL",""))</f>
        <v/>
      </c>
    </row>
    <row r="3709" ht="15" customHeight="1" s="1">
      <c r="P3709">
        <f>IF(OR(F3709="",H3709="",J3709=""),"",J3709&amp;"|"&amp;F3709&amp;"|"&amp;IF(H3709="W3","W3_"&amp;IF(I3709="","unknown",I3709),H3709))</f>
        <v/>
      </c>
      <c r="Q3709">
        <f>IF(P3709="","",IFERROR(IF(AND(H3709="W7",OR(F3709="causal",F3709="predictive")),IF(AND(OR(K3709=1,K3709="1"),OR(L3709=1,L3709="1"),OR(M3709=1,M3709="1")),"adequate","partial"),IF(AND(H3709="W4",F3709="predictive",OR(J3709="P2",J3709="P3",J3709="P4")),IF(OR(U3709=1,U3709="1"),"adequate","partial"),INDEX(Fit_Matrix!$B:$B,MATCH(P3709,Fit_Matrix!$A:$A,0)))),"CHECK KEY"))</f>
        <v/>
      </c>
      <c r="U3709" s="10" t="n"/>
      <c r="V3709" s="10" t="n"/>
      <c r="W3709" s="10" t="n"/>
      <c r="X3709" s="10" t="n"/>
      <c r="Y3709" s="10" t="n"/>
      <c r="Z3709" s="10" t="n"/>
      <c r="AA3709" s="11">
        <f>IF(A3709="","",IF(AND(J3709="P4",F3709="causal"),"P4-CAUSAL",""))</f>
        <v/>
      </c>
    </row>
    <row r="3710" ht="15" customHeight="1" s="1">
      <c r="P3710">
        <f>IF(OR(F3710="",H3710="",J3710=""),"",J3710&amp;"|"&amp;F3710&amp;"|"&amp;IF(H3710="W3","W3_"&amp;IF(I3710="","unknown",I3710),H3710))</f>
        <v/>
      </c>
      <c r="Q3710">
        <f>IF(P3710="","",IFERROR(IF(AND(H3710="W7",OR(F3710="causal",F3710="predictive")),IF(AND(OR(K3710=1,K3710="1"),OR(L3710=1,L3710="1"),OR(M3710=1,M3710="1")),"adequate","partial"),IF(AND(H3710="W4",F3710="predictive",OR(J3710="P2",J3710="P3",J3710="P4")),IF(OR(U3710=1,U3710="1"),"adequate","partial"),INDEX(Fit_Matrix!$B:$B,MATCH(P3710,Fit_Matrix!$A:$A,0)))),"CHECK KEY"))</f>
        <v/>
      </c>
      <c r="U3710" s="10" t="n"/>
      <c r="V3710" s="10" t="n"/>
      <c r="W3710" s="10" t="n"/>
      <c r="X3710" s="10" t="n"/>
      <c r="Y3710" s="10" t="n"/>
      <c r="Z3710" s="10" t="n"/>
      <c r="AA3710" s="11">
        <f>IF(A3710="","",IF(AND(J3710="P4",F3710="causal"),"P4-CAUSAL",""))</f>
        <v/>
      </c>
    </row>
    <row r="3711" ht="15" customHeight="1" s="1">
      <c r="P3711">
        <f>IF(OR(F3711="",H3711="",J3711=""),"",J3711&amp;"|"&amp;F3711&amp;"|"&amp;IF(H3711="W3","W3_"&amp;IF(I3711="","unknown",I3711),H3711))</f>
        <v/>
      </c>
      <c r="Q3711">
        <f>IF(P3711="","",IFERROR(IF(AND(H3711="W7",OR(F3711="causal",F3711="predictive")),IF(AND(OR(K3711=1,K3711="1"),OR(L3711=1,L3711="1"),OR(M3711=1,M3711="1")),"adequate","partial"),IF(AND(H3711="W4",F3711="predictive",OR(J3711="P2",J3711="P3",J3711="P4")),IF(OR(U3711=1,U3711="1"),"adequate","partial"),INDEX(Fit_Matrix!$B:$B,MATCH(P3711,Fit_Matrix!$A:$A,0)))),"CHECK KEY"))</f>
        <v/>
      </c>
      <c r="U3711" s="10" t="n"/>
      <c r="V3711" s="10" t="n"/>
      <c r="W3711" s="10" t="n"/>
      <c r="X3711" s="10" t="n"/>
      <c r="Y3711" s="10" t="n"/>
      <c r="Z3711" s="10" t="n"/>
      <c r="AA3711" s="11">
        <f>IF(A3711="","",IF(AND(J3711="P4",F3711="causal"),"P4-CAUSAL",""))</f>
        <v/>
      </c>
    </row>
    <row r="3712" ht="15" customHeight="1" s="1">
      <c r="P3712">
        <f>IF(OR(F3712="",H3712="",J3712=""),"",J3712&amp;"|"&amp;F3712&amp;"|"&amp;IF(H3712="W3","W3_"&amp;IF(I3712="","unknown",I3712),H3712))</f>
        <v/>
      </c>
      <c r="Q3712">
        <f>IF(P3712="","",IFERROR(IF(AND(H3712="W7",OR(F3712="causal",F3712="predictive")),IF(AND(OR(K3712=1,K3712="1"),OR(L3712=1,L3712="1"),OR(M3712=1,M3712="1")),"adequate","partial"),IF(AND(H3712="W4",F3712="predictive",OR(J3712="P2",J3712="P3",J3712="P4")),IF(OR(U3712=1,U3712="1"),"adequate","partial"),INDEX(Fit_Matrix!$B:$B,MATCH(P3712,Fit_Matrix!$A:$A,0)))),"CHECK KEY"))</f>
        <v/>
      </c>
      <c r="U3712" s="10" t="n"/>
      <c r="V3712" s="10" t="n"/>
      <c r="W3712" s="10" t="n"/>
      <c r="X3712" s="10" t="n"/>
      <c r="Y3712" s="10" t="n"/>
      <c r="Z3712" s="10" t="n"/>
      <c r="AA3712" s="11">
        <f>IF(A3712="","",IF(AND(J3712="P4",F3712="causal"),"P4-CAUSAL",""))</f>
        <v/>
      </c>
    </row>
    <row r="3713" ht="15" customHeight="1" s="1">
      <c r="P3713">
        <f>IF(OR(F3713="",H3713="",J3713=""),"",J3713&amp;"|"&amp;F3713&amp;"|"&amp;IF(H3713="W3","W3_"&amp;IF(I3713="","unknown",I3713),H3713))</f>
        <v/>
      </c>
      <c r="Q3713">
        <f>IF(P3713="","",IFERROR(IF(AND(H3713="W7",OR(F3713="causal",F3713="predictive")),IF(AND(OR(K3713=1,K3713="1"),OR(L3713=1,L3713="1"),OR(M3713=1,M3713="1")),"adequate","partial"),IF(AND(H3713="W4",F3713="predictive",OR(J3713="P2",J3713="P3",J3713="P4")),IF(OR(U3713=1,U3713="1"),"adequate","partial"),INDEX(Fit_Matrix!$B:$B,MATCH(P3713,Fit_Matrix!$A:$A,0)))),"CHECK KEY"))</f>
        <v/>
      </c>
      <c r="U3713" s="10" t="n"/>
      <c r="V3713" s="10" t="n"/>
      <c r="W3713" s="10" t="n"/>
      <c r="X3713" s="10" t="n"/>
      <c r="Y3713" s="10" t="n"/>
      <c r="Z3713" s="10" t="n"/>
      <c r="AA3713" s="11">
        <f>IF(A3713="","",IF(AND(J3713="P4",F3713="causal"),"P4-CAUSAL",""))</f>
        <v/>
      </c>
    </row>
    <row r="3714" ht="15" customHeight="1" s="1">
      <c r="P3714">
        <f>IF(OR(F3714="",H3714="",J3714=""),"",J3714&amp;"|"&amp;F3714&amp;"|"&amp;IF(H3714="W3","W3_"&amp;IF(I3714="","unknown",I3714),H3714))</f>
        <v/>
      </c>
      <c r="Q3714">
        <f>IF(P3714="","",IFERROR(IF(AND(H3714="W7",OR(F3714="causal",F3714="predictive")),IF(AND(OR(K3714=1,K3714="1"),OR(L3714=1,L3714="1"),OR(M3714=1,M3714="1")),"adequate","partial"),IF(AND(H3714="W4",F3714="predictive",OR(J3714="P2",J3714="P3",J3714="P4")),IF(OR(U3714=1,U3714="1"),"adequate","partial"),INDEX(Fit_Matrix!$B:$B,MATCH(P3714,Fit_Matrix!$A:$A,0)))),"CHECK KEY"))</f>
        <v/>
      </c>
      <c r="U3714" s="10" t="n"/>
      <c r="V3714" s="10" t="n"/>
      <c r="W3714" s="10" t="n"/>
      <c r="X3714" s="10" t="n"/>
      <c r="Y3714" s="10" t="n"/>
      <c r="Z3714" s="10" t="n"/>
      <c r="AA3714" s="11">
        <f>IF(A3714="","",IF(AND(J3714="P4",F3714="causal"),"P4-CAUSAL",""))</f>
        <v/>
      </c>
    </row>
    <row r="3715" ht="15" customHeight="1" s="1">
      <c r="P3715">
        <f>IF(OR(F3715="",H3715="",J3715=""),"",J3715&amp;"|"&amp;F3715&amp;"|"&amp;IF(H3715="W3","W3_"&amp;IF(I3715="","unknown",I3715),H3715))</f>
        <v/>
      </c>
      <c r="Q3715">
        <f>IF(P3715="","",IFERROR(IF(AND(H3715="W7",OR(F3715="causal",F3715="predictive")),IF(AND(OR(K3715=1,K3715="1"),OR(L3715=1,L3715="1"),OR(M3715=1,M3715="1")),"adequate","partial"),IF(AND(H3715="W4",F3715="predictive",OR(J3715="P2",J3715="P3",J3715="P4")),IF(OR(U3715=1,U3715="1"),"adequate","partial"),INDEX(Fit_Matrix!$B:$B,MATCH(P3715,Fit_Matrix!$A:$A,0)))),"CHECK KEY"))</f>
        <v/>
      </c>
      <c r="U3715" s="10" t="n"/>
      <c r="V3715" s="10" t="n"/>
      <c r="W3715" s="10" t="n"/>
      <c r="X3715" s="10" t="n"/>
      <c r="Y3715" s="10" t="n"/>
      <c r="Z3715" s="10" t="n"/>
      <c r="AA3715" s="11">
        <f>IF(A3715="","",IF(AND(J3715="P4",F3715="causal"),"P4-CAUSAL",""))</f>
        <v/>
      </c>
    </row>
    <row r="3716" ht="15" customHeight="1" s="1">
      <c r="P3716">
        <f>IF(OR(F3716="",H3716="",J3716=""),"",J3716&amp;"|"&amp;F3716&amp;"|"&amp;IF(H3716="W3","W3_"&amp;IF(I3716="","unknown",I3716),H3716))</f>
        <v/>
      </c>
      <c r="Q3716">
        <f>IF(P3716="","",IFERROR(IF(AND(H3716="W7",OR(F3716="causal",F3716="predictive")),IF(AND(OR(K3716=1,K3716="1"),OR(L3716=1,L3716="1"),OR(M3716=1,M3716="1")),"adequate","partial"),IF(AND(H3716="W4",F3716="predictive",OR(J3716="P2",J3716="P3",J3716="P4")),IF(OR(U3716=1,U3716="1"),"adequate","partial"),INDEX(Fit_Matrix!$B:$B,MATCH(P3716,Fit_Matrix!$A:$A,0)))),"CHECK KEY"))</f>
        <v/>
      </c>
      <c r="U3716" s="10" t="n"/>
      <c r="V3716" s="10" t="n"/>
      <c r="W3716" s="10" t="n"/>
      <c r="X3716" s="10" t="n"/>
      <c r="Y3716" s="10" t="n"/>
      <c r="Z3716" s="10" t="n"/>
      <c r="AA3716" s="11">
        <f>IF(A3716="","",IF(AND(J3716="P4",F3716="causal"),"P4-CAUSAL",""))</f>
        <v/>
      </c>
    </row>
    <row r="3717" ht="15" customHeight="1" s="1">
      <c r="P3717">
        <f>IF(OR(F3717="",H3717="",J3717=""),"",J3717&amp;"|"&amp;F3717&amp;"|"&amp;IF(H3717="W3","W3_"&amp;IF(I3717="","unknown",I3717),H3717))</f>
        <v/>
      </c>
      <c r="Q3717">
        <f>IF(P3717="","",IFERROR(IF(AND(H3717="W7",OR(F3717="causal",F3717="predictive")),IF(AND(OR(K3717=1,K3717="1"),OR(L3717=1,L3717="1"),OR(M3717=1,M3717="1")),"adequate","partial"),IF(AND(H3717="W4",F3717="predictive",OR(J3717="P2",J3717="P3",J3717="P4")),IF(OR(U3717=1,U3717="1"),"adequate","partial"),INDEX(Fit_Matrix!$B:$B,MATCH(P3717,Fit_Matrix!$A:$A,0)))),"CHECK KEY"))</f>
        <v/>
      </c>
      <c r="U3717" s="10" t="n"/>
      <c r="V3717" s="10" t="n"/>
      <c r="W3717" s="10" t="n"/>
      <c r="X3717" s="10" t="n"/>
      <c r="Y3717" s="10" t="n"/>
      <c r="Z3717" s="10" t="n"/>
      <c r="AA3717" s="11">
        <f>IF(A3717="","",IF(AND(J3717="P4",F3717="causal"),"P4-CAUSAL",""))</f>
        <v/>
      </c>
    </row>
    <row r="3718" ht="15" customHeight="1" s="1">
      <c r="P3718">
        <f>IF(OR(F3718="",H3718="",J3718=""),"",J3718&amp;"|"&amp;F3718&amp;"|"&amp;IF(H3718="W3","W3_"&amp;IF(I3718="","unknown",I3718),H3718))</f>
        <v/>
      </c>
      <c r="Q3718">
        <f>IF(P3718="","",IFERROR(IF(AND(H3718="W7",OR(F3718="causal",F3718="predictive")),IF(AND(OR(K3718=1,K3718="1"),OR(L3718=1,L3718="1"),OR(M3718=1,M3718="1")),"adequate","partial"),IF(AND(H3718="W4",F3718="predictive",OR(J3718="P2",J3718="P3",J3718="P4")),IF(OR(U3718=1,U3718="1"),"adequate","partial"),INDEX(Fit_Matrix!$B:$B,MATCH(P3718,Fit_Matrix!$A:$A,0)))),"CHECK KEY"))</f>
        <v/>
      </c>
      <c r="U3718" s="10" t="n"/>
      <c r="V3718" s="10" t="n"/>
      <c r="W3718" s="10" t="n"/>
      <c r="X3718" s="10" t="n"/>
      <c r="Y3718" s="10" t="n"/>
      <c r="Z3718" s="10" t="n"/>
      <c r="AA3718" s="11">
        <f>IF(A3718="","",IF(AND(J3718="P4",F3718="causal"),"P4-CAUSAL",""))</f>
        <v/>
      </c>
    </row>
    <row r="3719" ht="15" customHeight="1" s="1">
      <c r="P3719">
        <f>IF(OR(F3719="",H3719="",J3719=""),"",J3719&amp;"|"&amp;F3719&amp;"|"&amp;IF(H3719="W3","W3_"&amp;IF(I3719="","unknown",I3719),H3719))</f>
        <v/>
      </c>
      <c r="Q3719">
        <f>IF(P3719="","",IFERROR(IF(AND(H3719="W7",OR(F3719="causal",F3719="predictive")),IF(AND(OR(K3719=1,K3719="1"),OR(L3719=1,L3719="1"),OR(M3719=1,M3719="1")),"adequate","partial"),IF(AND(H3719="W4",F3719="predictive",OR(J3719="P2",J3719="P3",J3719="P4")),IF(OR(U3719=1,U3719="1"),"adequate","partial"),INDEX(Fit_Matrix!$B:$B,MATCH(P3719,Fit_Matrix!$A:$A,0)))),"CHECK KEY"))</f>
        <v/>
      </c>
      <c r="U3719" s="10" t="n"/>
      <c r="V3719" s="10" t="n"/>
      <c r="W3719" s="10" t="n"/>
      <c r="X3719" s="10" t="n"/>
      <c r="Y3719" s="10" t="n"/>
      <c r="Z3719" s="10" t="n"/>
      <c r="AA3719" s="11">
        <f>IF(A3719="","",IF(AND(J3719="P4",F3719="causal"),"P4-CAUSAL",""))</f>
        <v/>
      </c>
    </row>
    <row r="3720" ht="15" customHeight="1" s="1">
      <c r="P3720">
        <f>IF(OR(F3720="",H3720="",J3720=""),"",J3720&amp;"|"&amp;F3720&amp;"|"&amp;IF(H3720="W3","W3_"&amp;IF(I3720="","unknown",I3720),H3720))</f>
        <v/>
      </c>
      <c r="Q3720">
        <f>IF(P3720="","",IFERROR(IF(AND(H3720="W7",OR(F3720="causal",F3720="predictive")),IF(AND(OR(K3720=1,K3720="1"),OR(L3720=1,L3720="1"),OR(M3720=1,M3720="1")),"adequate","partial"),IF(AND(H3720="W4",F3720="predictive",OR(J3720="P2",J3720="P3",J3720="P4")),IF(OR(U3720=1,U3720="1"),"adequate","partial"),INDEX(Fit_Matrix!$B:$B,MATCH(P3720,Fit_Matrix!$A:$A,0)))),"CHECK KEY"))</f>
        <v/>
      </c>
      <c r="U3720" s="10" t="n"/>
      <c r="V3720" s="10" t="n"/>
      <c r="W3720" s="10" t="n"/>
      <c r="X3720" s="10" t="n"/>
      <c r="Y3720" s="10" t="n"/>
      <c r="Z3720" s="10" t="n"/>
      <c r="AA3720" s="11">
        <f>IF(A3720="","",IF(AND(J3720="P4",F3720="causal"),"P4-CAUSAL",""))</f>
        <v/>
      </c>
    </row>
    <row r="3721" ht="15" customHeight="1" s="1">
      <c r="P3721">
        <f>IF(OR(F3721="",H3721="",J3721=""),"",J3721&amp;"|"&amp;F3721&amp;"|"&amp;IF(H3721="W3","W3_"&amp;IF(I3721="","unknown",I3721),H3721))</f>
        <v/>
      </c>
      <c r="Q3721">
        <f>IF(P3721="","",IFERROR(IF(AND(H3721="W7",OR(F3721="causal",F3721="predictive")),IF(AND(OR(K3721=1,K3721="1"),OR(L3721=1,L3721="1"),OR(M3721=1,M3721="1")),"adequate","partial"),IF(AND(H3721="W4",F3721="predictive",OR(J3721="P2",J3721="P3",J3721="P4")),IF(OR(U3721=1,U3721="1"),"adequate","partial"),INDEX(Fit_Matrix!$B:$B,MATCH(P3721,Fit_Matrix!$A:$A,0)))),"CHECK KEY"))</f>
        <v/>
      </c>
      <c r="U3721" s="10" t="n"/>
      <c r="V3721" s="10" t="n"/>
      <c r="W3721" s="10" t="n"/>
      <c r="X3721" s="10" t="n"/>
      <c r="Y3721" s="10" t="n"/>
      <c r="Z3721" s="10" t="n"/>
      <c r="AA3721" s="11">
        <f>IF(A3721="","",IF(AND(J3721="P4",F3721="causal"),"P4-CAUSAL",""))</f>
        <v/>
      </c>
    </row>
    <row r="3722" ht="15" customHeight="1" s="1">
      <c r="P3722">
        <f>IF(OR(F3722="",H3722="",J3722=""),"",J3722&amp;"|"&amp;F3722&amp;"|"&amp;IF(H3722="W3","W3_"&amp;IF(I3722="","unknown",I3722),H3722))</f>
        <v/>
      </c>
      <c r="Q3722">
        <f>IF(P3722="","",IFERROR(IF(AND(H3722="W7",OR(F3722="causal",F3722="predictive")),IF(AND(OR(K3722=1,K3722="1"),OR(L3722=1,L3722="1"),OR(M3722=1,M3722="1")),"adequate","partial"),IF(AND(H3722="W4",F3722="predictive",OR(J3722="P2",J3722="P3",J3722="P4")),IF(OR(U3722=1,U3722="1"),"adequate","partial"),INDEX(Fit_Matrix!$B:$B,MATCH(P3722,Fit_Matrix!$A:$A,0)))),"CHECK KEY"))</f>
        <v/>
      </c>
      <c r="U3722" s="10" t="n"/>
      <c r="V3722" s="10" t="n"/>
      <c r="W3722" s="10" t="n"/>
      <c r="X3722" s="10" t="n"/>
      <c r="Y3722" s="10" t="n"/>
      <c r="Z3722" s="10" t="n"/>
      <c r="AA3722" s="11">
        <f>IF(A3722="","",IF(AND(J3722="P4",F3722="causal"),"P4-CAUSAL",""))</f>
        <v/>
      </c>
    </row>
    <row r="3723" ht="15" customHeight="1" s="1">
      <c r="P3723">
        <f>IF(OR(F3723="",H3723="",J3723=""),"",J3723&amp;"|"&amp;F3723&amp;"|"&amp;IF(H3723="W3","W3_"&amp;IF(I3723="","unknown",I3723),H3723))</f>
        <v/>
      </c>
      <c r="Q3723">
        <f>IF(P3723="","",IFERROR(IF(AND(H3723="W7",OR(F3723="causal",F3723="predictive")),IF(AND(OR(K3723=1,K3723="1"),OR(L3723=1,L3723="1"),OR(M3723=1,M3723="1")),"adequate","partial"),IF(AND(H3723="W4",F3723="predictive",OR(J3723="P2",J3723="P3",J3723="P4")),IF(OR(U3723=1,U3723="1"),"adequate","partial"),INDEX(Fit_Matrix!$B:$B,MATCH(P3723,Fit_Matrix!$A:$A,0)))),"CHECK KEY"))</f>
        <v/>
      </c>
      <c r="U3723" s="10" t="n"/>
      <c r="V3723" s="10" t="n"/>
      <c r="W3723" s="10" t="n"/>
      <c r="X3723" s="10" t="n"/>
      <c r="Y3723" s="10" t="n"/>
      <c r="Z3723" s="10" t="n"/>
      <c r="AA3723" s="11">
        <f>IF(A3723="","",IF(AND(J3723="P4",F3723="causal"),"P4-CAUSAL",""))</f>
        <v/>
      </c>
    </row>
    <row r="3724" ht="15" customHeight="1" s="1">
      <c r="P3724">
        <f>IF(OR(F3724="",H3724="",J3724=""),"",J3724&amp;"|"&amp;F3724&amp;"|"&amp;IF(H3724="W3","W3_"&amp;IF(I3724="","unknown",I3724),H3724))</f>
        <v/>
      </c>
      <c r="Q3724">
        <f>IF(P3724="","",IFERROR(IF(AND(H3724="W7",OR(F3724="causal",F3724="predictive")),IF(AND(OR(K3724=1,K3724="1"),OR(L3724=1,L3724="1"),OR(M3724=1,M3724="1")),"adequate","partial"),IF(AND(H3724="W4",F3724="predictive",OR(J3724="P2",J3724="P3",J3724="P4")),IF(OR(U3724=1,U3724="1"),"adequate","partial"),INDEX(Fit_Matrix!$B:$B,MATCH(P3724,Fit_Matrix!$A:$A,0)))),"CHECK KEY"))</f>
        <v/>
      </c>
      <c r="U3724" s="10" t="n"/>
      <c r="V3724" s="10" t="n"/>
      <c r="W3724" s="10" t="n"/>
      <c r="X3724" s="10" t="n"/>
      <c r="Y3724" s="10" t="n"/>
      <c r="Z3724" s="10" t="n"/>
      <c r="AA3724" s="11">
        <f>IF(A3724="","",IF(AND(J3724="P4",F3724="causal"),"P4-CAUSAL",""))</f>
        <v/>
      </c>
    </row>
    <row r="3725" ht="15" customHeight="1" s="1">
      <c r="P3725">
        <f>IF(OR(F3725="",H3725="",J3725=""),"",J3725&amp;"|"&amp;F3725&amp;"|"&amp;IF(H3725="W3","W3_"&amp;IF(I3725="","unknown",I3725),H3725))</f>
        <v/>
      </c>
      <c r="Q3725">
        <f>IF(P3725="","",IFERROR(IF(AND(H3725="W7",OR(F3725="causal",F3725="predictive")),IF(AND(OR(K3725=1,K3725="1"),OR(L3725=1,L3725="1"),OR(M3725=1,M3725="1")),"adequate","partial"),IF(AND(H3725="W4",F3725="predictive",OR(J3725="P2",J3725="P3",J3725="P4")),IF(OR(U3725=1,U3725="1"),"adequate","partial"),INDEX(Fit_Matrix!$B:$B,MATCH(P3725,Fit_Matrix!$A:$A,0)))),"CHECK KEY"))</f>
        <v/>
      </c>
      <c r="U3725" s="10" t="n"/>
      <c r="V3725" s="10" t="n"/>
      <c r="W3725" s="10" t="n"/>
      <c r="X3725" s="10" t="n"/>
      <c r="Y3725" s="10" t="n"/>
      <c r="Z3725" s="10" t="n"/>
      <c r="AA3725" s="11">
        <f>IF(A3725="","",IF(AND(J3725="P4",F3725="causal"),"P4-CAUSAL",""))</f>
        <v/>
      </c>
    </row>
    <row r="3726" ht="15" customHeight="1" s="1">
      <c r="P3726">
        <f>IF(OR(F3726="",H3726="",J3726=""),"",J3726&amp;"|"&amp;F3726&amp;"|"&amp;IF(H3726="W3","W3_"&amp;IF(I3726="","unknown",I3726),H3726))</f>
        <v/>
      </c>
      <c r="Q3726">
        <f>IF(P3726="","",IFERROR(IF(AND(H3726="W7",OR(F3726="causal",F3726="predictive")),IF(AND(OR(K3726=1,K3726="1"),OR(L3726=1,L3726="1"),OR(M3726=1,M3726="1")),"adequate","partial"),IF(AND(H3726="W4",F3726="predictive",OR(J3726="P2",J3726="P3",J3726="P4")),IF(OR(U3726=1,U3726="1"),"adequate","partial"),INDEX(Fit_Matrix!$B:$B,MATCH(P3726,Fit_Matrix!$A:$A,0)))),"CHECK KEY"))</f>
        <v/>
      </c>
      <c r="U3726" s="10" t="n"/>
      <c r="V3726" s="10" t="n"/>
      <c r="W3726" s="10" t="n"/>
      <c r="X3726" s="10" t="n"/>
      <c r="Y3726" s="10" t="n"/>
      <c r="Z3726" s="10" t="n"/>
      <c r="AA3726" s="11">
        <f>IF(A3726="","",IF(AND(J3726="P4",F3726="causal"),"P4-CAUSAL",""))</f>
        <v/>
      </c>
    </row>
    <row r="3727" ht="15" customHeight="1" s="1">
      <c r="P3727">
        <f>IF(OR(F3727="",H3727="",J3727=""),"",J3727&amp;"|"&amp;F3727&amp;"|"&amp;IF(H3727="W3","W3_"&amp;IF(I3727="","unknown",I3727),H3727))</f>
        <v/>
      </c>
      <c r="Q3727">
        <f>IF(P3727="","",IFERROR(IF(AND(H3727="W7",OR(F3727="causal",F3727="predictive")),IF(AND(OR(K3727=1,K3727="1"),OR(L3727=1,L3727="1"),OR(M3727=1,M3727="1")),"adequate","partial"),IF(AND(H3727="W4",F3727="predictive",OR(J3727="P2",J3727="P3",J3727="P4")),IF(OR(U3727=1,U3727="1"),"adequate","partial"),INDEX(Fit_Matrix!$B:$B,MATCH(P3727,Fit_Matrix!$A:$A,0)))),"CHECK KEY"))</f>
        <v/>
      </c>
      <c r="U3727" s="10" t="n"/>
      <c r="V3727" s="10" t="n"/>
      <c r="W3727" s="10" t="n"/>
      <c r="X3727" s="10" t="n"/>
      <c r="Y3727" s="10" t="n"/>
      <c r="Z3727" s="10" t="n"/>
      <c r="AA3727" s="11">
        <f>IF(A3727="","",IF(AND(J3727="P4",F3727="causal"),"P4-CAUSAL",""))</f>
        <v/>
      </c>
    </row>
    <row r="3728" ht="15" customHeight="1" s="1">
      <c r="P3728">
        <f>IF(OR(F3728="",H3728="",J3728=""),"",J3728&amp;"|"&amp;F3728&amp;"|"&amp;IF(H3728="W3","W3_"&amp;IF(I3728="","unknown",I3728),H3728))</f>
        <v/>
      </c>
      <c r="Q3728">
        <f>IF(P3728="","",IFERROR(IF(AND(H3728="W7",OR(F3728="causal",F3728="predictive")),IF(AND(OR(K3728=1,K3728="1"),OR(L3728=1,L3728="1"),OR(M3728=1,M3728="1")),"adequate","partial"),IF(AND(H3728="W4",F3728="predictive",OR(J3728="P2",J3728="P3",J3728="P4")),IF(OR(U3728=1,U3728="1"),"adequate","partial"),INDEX(Fit_Matrix!$B:$B,MATCH(P3728,Fit_Matrix!$A:$A,0)))),"CHECK KEY"))</f>
        <v/>
      </c>
      <c r="U3728" s="10" t="n"/>
      <c r="V3728" s="10" t="n"/>
      <c r="W3728" s="10" t="n"/>
      <c r="X3728" s="10" t="n"/>
      <c r="Y3728" s="10" t="n"/>
      <c r="Z3728" s="10" t="n"/>
      <c r="AA3728" s="11">
        <f>IF(A3728="","",IF(AND(J3728="P4",F3728="causal"),"P4-CAUSAL",""))</f>
        <v/>
      </c>
    </row>
    <row r="3729" ht="15" customHeight="1" s="1">
      <c r="P3729">
        <f>IF(OR(F3729="",H3729="",J3729=""),"",J3729&amp;"|"&amp;F3729&amp;"|"&amp;IF(H3729="W3","W3_"&amp;IF(I3729="","unknown",I3729),H3729))</f>
        <v/>
      </c>
      <c r="Q3729">
        <f>IF(P3729="","",IFERROR(IF(AND(H3729="W7",OR(F3729="causal",F3729="predictive")),IF(AND(OR(K3729=1,K3729="1"),OR(L3729=1,L3729="1"),OR(M3729=1,M3729="1")),"adequate","partial"),IF(AND(H3729="W4",F3729="predictive",OR(J3729="P2",J3729="P3",J3729="P4")),IF(OR(U3729=1,U3729="1"),"adequate","partial"),INDEX(Fit_Matrix!$B:$B,MATCH(P3729,Fit_Matrix!$A:$A,0)))),"CHECK KEY"))</f>
        <v/>
      </c>
      <c r="U3729" s="10" t="n"/>
      <c r="V3729" s="10" t="n"/>
      <c r="W3729" s="10" t="n"/>
      <c r="X3729" s="10" t="n"/>
      <c r="Y3729" s="10" t="n"/>
      <c r="Z3729" s="10" t="n"/>
      <c r="AA3729" s="11">
        <f>IF(A3729="","",IF(AND(J3729="P4",F3729="causal"),"P4-CAUSAL",""))</f>
        <v/>
      </c>
    </row>
    <row r="3730" ht="15" customHeight="1" s="1">
      <c r="P3730">
        <f>IF(OR(F3730="",H3730="",J3730=""),"",J3730&amp;"|"&amp;F3730&amp;"|"&amp;IF(H3730="W3","W3_"&amp;IF(I3730="","unknown",I3730),H3730))</f>
        <v/>
      </c>
      <c r="Q3730">
        <f>IF(P3730="","",IFERROR(IF(AND(H3730="W7",OR(F3730="causal",F3730="predictive")),IF(AND(OR(K3730=1,K3730="1"),OR(L3730=1,L3730="1"),OR(M3730=1,M3730="1")),"adequate","partial"),IF(AND(H3730="W4",F3730="predictive",OR(J3730="P2",J3730="P3",J3730="P4")),IF(OR(U3730=1,U3730="1"),"adequate","partial"),INDEX(Fit_Matrix!$B:$B,MATCH(P3730,Fit_Matrix!$A:$A,0)))),"CHECK KEY"))</f>
        <v/>
      </c>
      <c r="U3730" s="10" t="n"/>
      <c r="V3730" s="10" t="n"/>
      <c r="W3730" s="10" t="n"/>
      <c r="X3730" s="10" t="n"/>
      <c r="Y3730" s="10" t="n"/>
      <c r="Z3730" s="10" t="n"/>
      <c r="AA3730" s="11">
        <f>IF(A3730="","",IF(AND(J3730="P4",F3730="causal"),"P4-CAUSAL",""))</f>
        <v/>
      </c>
    </row>
    <row r="3731" ht="15" customHeight="1" s="1">
      <c r="P3731">
        <f>IF(OR(F3731="",H3731="",J3731=""),"",J3731&amp;"|"&amp;F3731&amp;"|"&amp;IF(H3731="W3","W3_"&amp;IF(I3731="","unknown",I3731),H3731))</f>
        <v/>
      </c>
      <c r="Q3731">
        <f>IF(P3731="","",IFERROR(IF(AND(H3731="W7",OR(F3731="causal",F3731="predictive")),IF(AND(OR(K3731=1,K3731="1"),OR(L3731=1,L3731="1"),OR(M3731=1,M3731="1")),"adequate","partial"),IF(AND(H3731="W4",F3731="predictive",OR(J3731="P2",J3731="P3",J3731="P4")),IF(OR(U3731=1,U3731="1"),"adequate","partial"),INDEX(Fit_Matrix!$B:$B,MATCH(P3731,Fit_Matrix!$A:$A,0)))),"CHECK KEY"))</f>
        <v/>
      </c>
      <c r="U3731" s="10" t="n"/>
      <c r="V3731" s="10" t="n"/>
      <c r="W3731" s="10" t="n"/>
      <c r="X3731" s="10" t="n"/>
      <c r="Y3731" s="10" t="n"/>
      <c r="Z3731" s="10" t="n"/>
      <c r="AA3731" s="11">
        <f>IF(A3731="","",IF(AND(J3731="P4",F3731="causal"),"P4-CAUSAL",""))</f>
        <v/>
      </c>
    </row>
    <row r="3732" ht="15" customHeight="1" s="1">
      <c r="P3732">
        <f>IF(OR(F3732="",H3732="",J3732=""),"",J3732&amp;"|"&amp;F3732&amp;"|"&amp;IF(H3732="W3","W3_"&amp;IF(I3732="","unknown",I3732),H3732))</f>
        <v/>
      </c>
      <c r="Q3732">
        <f>IF(P3732="","",IFERROR(IF(AND(H3732="W7",OR(F3732="causal",F3732="predictive")),IF(AND(OR(K3732=1,K3732="1"),OR(L3732=1,L3732="1"),OR(M3732=1,M3732="1")),"adequate","partial"),IF(AND(H3732="W4",F3732="predictive",OR(J3732="P2",J3732="P3",J3732="P4")),IF(OR(U3732=1,U3732="1"),"adequate","partial"),INDEX(Fit_Matrix!$B:$B,MATCH(P3732,Fit_Matrix!$A:$A,0)))),"CHECK KEY"))</f>
        <v/>
      </c>
      <c r="U3732" s="10" t="n"/>
      <c r="V3732" s="10" t="n"/>
      <c r="W3732" s="10" t="n"/>
      <c r="X3732" s="10" t="n"/>
      <c r="Y3732" s="10" t="n"/>
      <c r="Z3732" s="10" t="n"/>
      <c r="AA3732" s="11">
        <f>IF(A3732="","",IF(AND(J3732="P4",F3732="causal"),"P4-CAUSAL",""))</f>
        <v/>
      </c>
    </row>
    <row r="3733" ht="15" customHeight="1" s="1">
      <c r="P3733">
        <f>IF(OR(F3733="",H3733="",J3733=""),"",J3733&amp;"|"&amp;F3733&amp;"|"&amp;IF(H3733="W3","W3_"&amp;IF(I3733="","unknown",I3733),H3733))</f>
        <v/>
      </c>
      <c r="Q3733">
        <f>IF(P3733="","",IFERROR(IF(AND(H3733="W7",OR(F3733="causal",F3733="predictive")),IF(AND(OR(K3733=1,K3733="1"),OR(L3733=1,L3733="1"),OR(M3733=1,M3733="1")),"adequate","partial"),IF(AND(H3733="W4",F3733="predictive",OR(J3733="P2",J3733="P3",J3733="P4")),IF(OR(U3733=1,U3733="1"),"adequate","partial"),INDEX(Fit_Matrix!$B:$B,MATCH(P3733,Fit_Matrix!$A:$A,0)))),"CHECK KEY"))</f>
        <v/>
      </c>
      <c r="U3733" s="10" t="n"/>
      <c r="V3733" s="10" t="n"/>
      <c r="W3733" s="10" t="n"/>
      <c r="X3733" s="10" t="n"/>
      <c r="Y3733" s="10" t="n"/>
      <c r="Z3733" s="10" t="n"/>
      <c r="AA3733" s="11">
        <f>IF(A3733="","",IF(AND(J3733="P4",F3733="causal"),"P4-CAUSAL",""))</f>
        <v/>
      </c>
    </row>
    <row r="3734" ht="15" customHeight="1" s="1">
      <c r="P3734">
        <f>IF(OR(F3734="",H3734="",J3734=""),"",J3734&amp;"|"&amp;F3734&amp;"|"&amp;IF(H3734="W3","W3_"&amp;IF(I3734="","unknown",I3734),H3734))</f>
        <v/>
      </c>
      <c r="Q3734">
        <f>IF(P3734="","",IFERROR(IF(AND(H3734="W7",OR(F3734="causal",F3734="predictive")),IF(AND(OR(K3734=1,K3734="1"),OR(L3734=1,L3734="1"),OR(M3734=1,M3734="1")),"adequate","partial"),IF(AND(H3734="W4",F3734="predictive",OR(J3734="P2",J3734="P3",J3734="P4")),IF(OR(U3734=1,U3734="1"),"adequate","partial"),INDEX(Fit_Matrix!$B:$B,MATCH(P3734,Fit_Matrix!$A:$A,0)))),"CHECK KEY"))</f>
        <v/>
      </c>
      <c r="U3734" s="10" t="n"/>
      <c r="V3734" s="10" t="n"/>
      <c r="W3734" s="10" t="n"/>
      <c r="X3734" s="10" t="n"/>
      <c r="Y3734" s="10" t="n"/>
      <c r="Z3734" s="10" t="n"/>
      <c r="AA3734" s="11">
        <f>IF(A3734="","",IF(AND(J3734="P4",F3734="causal"),"P4-CAUSAL",""))</f>
        <v/>
      </c>
    </row>
    <row r="3735" ht="15" customHeight="1" s="1">
      <c r="P3735">
        <f>IF(OR(F3735="",H3735="",J3735=""),"",J3735&amp;"|"&amp;F3735&amp;"|"&amp;IF(H3735="W3","W3_"&amp;IF(I3735="","unknown",I3735),H3735))</f>
        <v/>
      </c>
      <c r="Q3735">
        <f>IF(P3735="","",IFERROR(IF(AND(H3735="W7",OR(F3735="causal",F3735="predictive")),IF(AND(OR(K3735=1,K3735="1"),OR(L3735=1,L3735="1"),OR(M3735=1,M3735="1")),"adequate","partial"),IF(AND(H3735="W4",F3735="predictive",OR(J3735="P2",J3735="P3",J3735="P4")),IF(OR(U3735=1,U3735="1"),"adequate","partial"),INDEX(Fit_Matrix!$B:$B,MATCH(P3735,Fit_Matrix!$A:$A,0)))),"CHECK KEY"))</f>
        <v/>
      </c>
      <c r="U3735" s="10" t="n"/>
      <c r="V3735" s="10" t="n"/>
      <c r="W3735" s="10" t="n"/>
      <c r="X3735" s="10" t="n"/>
      <c r="Y3735" s="10" t="n"/>
      <c r="Z3735" s="10" t="n"/>
      <c r="AA3735" s="11">
        <f>IF(A3735="","",IF(AND(J3735="P4",F3735="causal"),"P4-CAUSAL",""))</f>
        <v/>
      </c>
    </row>
    <row r="3736" ht="15" customHeight="1" s="1">
      <c r="P3736">
        <f>IF(OR(F3736="",H3736="",J3736=""),"",J3736&amp;"|"&amp;F3736&amp;"|"&amp;IF(H3736="W3","W3_"&amp;IF(I3736="","unknown",I3736),H3736))</f>
        <v/>
      </c>
      <c r="Q3736">
        <f>IF(P3736="","",IFERROR(IF(AND(H3736="W7",OR(F3736="causal",F3736="predictive")),IF(AND(OR(K3736=1,K3736="1"),OR(L3736=1,L3736="1"),OR(M3736=1,M3736="1")),"adequate","partial"),IF(AND(H3736="W4",F3736="predictive",OR(J3736="P2",J3736="P3",J3736="P4")),IF(OR(U3736=1,U3736="1"),"adequate","partial"),INDEX(Fit_Matrix!$B:$B,MATCH(P3736,Fit_Matrix!$A:$A,0)))),"CHECK KEY"))</f>
        <v/>
      </c>
      <c r="U3736" s="10" t="n"/>
      <c r="V3736" s="10" t="n"/>
      <c r="W3736" s="10" t="n"/>
      <c r="X3736" s="10" t="n"/>
      <c r="Y3736" s="10" t="n"/>
      <c r="Z3736" s="10" t="n"/>
      <c r="AA3736" s="11">
        <f>IF(A3736="","",IF(AND(J3736="P4",F3736="causal"),"P4-CAUSAL",""))</f>
        <v/>
      </c>
    </row>
    <row r="3737" ht="15" customHeight="1" s="1">
      <c r="P3737">
        <f>IF(OR(F3737="",H3737="",J3737=""),"",J3737&amp;"|"&amp;F3737&amp;"|"&amp;IF(H3737="W3","W3_"&amp;IF(I3737="","unknown",I3737),H3737))</f>
        <v/>
      </c>
      <c r="Q3737">
        <f>IF(P3737="","",IFERROR(IF(AND(H3737="W7",OR(F3737="causal",F3737="predictive")),IF(AND(OR(K3737=1,K3737="1"),OR(L3737=1,L3737="1"),OR(M3737=1,M3737="1")),"adequate","partial"),IF(AND(H3737="W4",F3737="predictive",OR(J3737="P2",J3737="P3",J3737="P4")),IF(OR(U3737=1,U3737="1"),"adequate","partial"),INDEX(Fit_Matrix!$B:$B,MATCH(P3737,Fit_Matrix!$A:$A,0)))),"CHECK KEY"))</f>
        <v/>
      </c>
      <c r="U3737" s="10" t="n"/>
      <c r="V3737" s="10" t="n"/>
      <c r="W3737" s="10" t="n"/>
      <c r="X3737" s="10" t="n"/>
      <c r="Y3737" s="10" t="n"/>
      <c r="Z3737" s="10" t="n"/>
      <c r="AA3737" s="11">
        <f>IF(A3737="","",IF(AND(J3737="P4",F3737="causal"),"P4-CAUSAL",""))</f>
        <v/>
      </c>
    </row>
    <row r="3738" ht="15" customHeight="1" s="1">
      <c r="P3738">
        <f>IF(OR(F3738="",H3738="",J3738=""),"",J3738&amp;"|"&amp;F3738&amp;"|"&amp;IF(H3738="W3","W3_"&amp;IF(I3738="","unknown",I3738),H3738))</f>
        <v/>
      </c>
      <c r="Q3738">
        <f>IF(P3738="","",IFERROR(IF(AND(H3738="W7",OR(F3738="causal",F3738="predictive")),IF(AND(OR(K3738=1,K3738="1"),OR(L3738=1,L3738="1"),OR(M3738=1,M3738="1")),"adequate","partial"),IF(AND(H3738="W4",F3738="predictive",OR(J3738="P2",J3738="P3",J3738="P4")),IF(OR(U3738=1,U3738="1"),"adequate","partial"),INDEX(Fit_Matrix!$B:$B,MATCH(P3738,Fit_Matrix!$A:$A,0)))),"CHECK KEY"))</f>
        <v/>
      </c>
      <c r="U3738" s="10" t="n"/>
      <c r="V3738" s="10" t="n"/>
      <c r="W3738" s="10" t="n"/>
      <c r="X3738" s="10" t="n"/>
      <c r="Y3738" s="10" t="n"/>
      <c r="Z3738" s="10" t="n"/>
      <c r="AA3738" s="11">
        <f>IF(A3738="","",IF(AND(J3738="P4",F3738="causal"),"P4-CAUSAL",""))</f>
        <v/>
      </c>
    </row>
    <row r="3739" ht="15" customHeight="1" s="1">
      <c r="P3739">
        <f>IF(OR(F3739="",H3739="",J3739=""),"",J3739&amp;"|"&amp;F3739&amp;"|"&amp;IF(H3739="W3","W3_"&amp;IF(I3739="","unknown",I3739),H3739))</f>
        <v/>
      </c>
      <c r="Q3739">
        <f>IF(P3739="","",IFERROR(IF(AND(H3739="W7",OR(F3739="causal",F3739="predictive")),IF(AND(OR(K3739=1,K3739="1"),OR(L3739=1,L3739="1"),OR(M3739=1,M3739="1")),"adequate","partial"),IF(AND(H3739="W4",F3739="predictive",OR(J3739="P2",J3739="P3",J3739="P4")),IF(OR(U3739=1,U3739="1"),"adequate","partial"),INDEX(Fit_Matrix!$B:$B,MATCH(P3739,Fit_Matrix!$A:$A,0)))),"CHECK KEY"))</f>
        <v/>
      </c>
      <c r="U3739" s="10" t="n"/>
      <c r="V3739" s="10" t="n"/>
      <c r="W3739" s="10" t="n"/>
      <c r="X3739" s="10" t="n"/>
      <c r="Y3739" s="10" t="n"/>
      <c r="Z3739" s="10" t="n"/>
      <c r="AA3739" s="11">
        <f>IF(A3739="","",IF(AND(J3739="P4",F3739="causal"),"P4-CAUSAL",""))</f>
        <v/>
      </c>
    </row>
    <row r="3740" ht="15" customHeight="1" s="1">
      <c r="P3740">
        <f>IF(OR(F3740="",H3740="",J3740=""),"",J3740&amp;"|"&amp;F3740&amp;"|"&amp;IF(H3740="W3","W3_"&amp;IF(I3740="","unknown",I3740),H3740))</f>
        <v/>
      </c>
      <c r="Q3740">
        <f>IF(P3740="","",IFERROR(IF(AND(H3740="W7",OR(F3740="causal",F3740="predictive")),IF(AND(OR(K3740=1,K3740="1"),OR(L3740=1,L3740="1"),OR(M3740=1,M3740="1")),"adequate","partial"),IF(AND(H3740="W4",F3740="predictive",OR(J3740="P2",J3740="P3",J3740="P4")),IF(OR(U3740=1,U3740="1"),"adequate","partial"),INDEX(Fit_Matrix!$B:$B,MATCH(P3740,Fit_Matrix!$A:$A,0)))),"CHECK KEY"))</f>
        <v/>
      </c>
      <c r="U3740" s="10" t="n"/>
      <c r="V3740" s="10" t="n"/>
      <c r="W3740" s="10" t="n"/>
      <c r="X3740" s="10" t="n"/>
      <c r="Y3740" s="10" t="n"/>
      <c r="Z3740" s="10" t="n"/>
      <c r="AA3740" s="11">
        <f>IF(A3740="","",IF(AND(J3740="P4",F3740="causal"),"P4-CAUSAL",""))</f>
        <v/>
      </c>
    </row>
    <row r="3741" ht="15" customHeight="1" s="1">
      <c r="P3741">
        <f>IF(OR(F3741="",H3741="",J3741=""),"",J3741&amp;"|"&amp;F3741&amp;"|"&amp;IF(H3741="W3","W3_"&amp;IF(I3741="","unknown",I3741),H3741))</f>
        <v/>
      </c>
      <c r="Q3741">
        <f>IF(P3741="","",IFERROR(IF(AND(H3741="W7",OR(F3741="causal",F3741="predictive")),IF(AND(OR(K3741=1,K3741="1"),OR(L3741=1,L3741="1"),OR(M3741=1,M3741="1")),"adequate","partial"),IF(AND(H3741="W4",F3741="predictive",OR(J3741="P2",J3741="P3",J3741="P4")),IF(OR(U3741=1,U3741="1"),"adequate","partial"),INDEX(Fit_Matrix!$B:$B,MATCH(P3741,Fit_Matrix!$A:$A,0)))),"CHECK KEY"))</f>
        <v/>
      </c>
      <c r="U3741" s="10" t="n"/>
      <c r="V3741" s="10" t="n"/>
      <c r="W3741" s="10" t="n"/>
      <c r="X3741" s="10" t="n"/>
      <c r="Y3741" s="10" t="n"/>
      <c r="Z3741" s="10" t="n"/>
      <c r="AA3741" s="11">
        <f>IF(A3741="","",IF(AND(J3741="P4",F3741="causal"),"P4-CAUSAL",""))</f>
        <v/>
      </c>
    </row>
    <row r="3742" ht="15" customHeight="1" s="1">
      <c r="P3742">
        <f>IF(OR(F3742="",H3742="",J3742=""),"",J3742&amp;"|"&amp;F3742&amp;"|"&amp;IF(H3742="W3","W3_"&amp;IF(I3742="","unknown",I3742),H3742))</f>
        <v/>
      </c>
      <c r="Q3742">
        <f>IF(P3742="","",IFERROR(IF(AND(H3742="W7",OR(F3742="causal",F3742="predictive")),IF(AND(OR(K3742=1,K3742="1"),OR(L3742=1,L3742="1"),OR(M3742=1,M3742="1")),"adequate","partial"),IF(AND(H3742="W4",F3742="predictive",OR(J3742="P2",J3742="P3",J3742="P4")),IF(OR(U3742=1,U3742="1"),"adequate","partial"),INDEX(Fit_Matrix!$B:$B,MATCH(P3742,Fit_Matrix!$A:$A,0)))),"CHECK KEY"))</f>
        <v/>
      </c>
      <c r="U3742" s="10" t="n"/>
      <c r="V3742" s="10" t="n"/>
      <c r="W3742" s="10" t="n"/>
      <c r="X3742" s="10" t="n"/>
      <c r="Y3742" s="10" t="n"/>
      <c r="Z3742" s="10" t="n"/>
      <c r="AA3742" s="11">
        <f>IF(A3742="","",IF(AND(J3742="P4",F3742="causal"),"P4-CAUSAL",""))</f>
        <v/>
      </c>
    </row>
    <row r="3743" ht="15" customHeight="1" s="1">
      <c r="P3743">
        <f>IF(OR(F3743="",H3743="",J3743=""),"",J3743&amp;"|"&amp;F3743&amp;"|"&amp;IF(H3743="W3","W3_"&amp;IF(I3743="","unknown",I3743),H3743))</f>
        <v/>
      </c>
      <c r="Q3743">
        <f>IF(P3743="","",IFERROR(IF(AND(H3743="W7",OR(F3743="causal",F3743="predictive")),IF(AND(OR(K3743=1,K3743="1"),OR(L3743=1,L3743="1"),OR(M3743=1,M3743="1")),"adequate","partial"),IF(AND(H3743="W4",F3743="predictive",OR(J3743="P2",J3743="P3",J3743="P4")),IF(OR(U3743=1,U3743="1"),"adequate","partial"),INDEX(Fit_Matrix!$B:$B,MATCH(P3743,Fit_Matrix!$A:$A,0)))),"CHECK KEY"))</f>
        <v/>
      </c>
      <c r="U3743" s="10" t="n"/>
      <c r="V3743" s="10" t="n"/>
      <c r="W3743" s="10" t="n"/>
      <c r="X3743" s="10" t="n"/>
      <c r="Y3743" s="10" t="n"/>
      <c r="Z3743" s="10" t="n"/>
      <c r="AA3743" s="11">
        <f>IF(A3743="","",IF(AND(J3743="P4",F3743="causal"),"P4-CAUSAL",""))</f>
        <v/>
      </c>
    </row>
    <row r="3744" ht="15" customHeight="1" s="1">
      <c r="P3744">
        <f>IF(OR(F3744="",H3744="",J3744=""),"",J3744&amp;"|"&amp;F3744&amp;"|"&amp;IF(H3744="W3","W3_"&amp;IF(I3744="","unknown",I3744),H3744))</f>
        <v/>
      </c>
      <c r="Q3744">
        <f>IF(P3744="","",IFERROR(IF(AND(H3744="W7",OR(F3744="causal",F3744="predictive")),IF(AND(OR(K3744=1,K3744="1"),OR(L3744=1,L3744="1"),OR(M3744=1,M3744="1")),"adequate","partial"),IF(AND(H3744="W4",F3744="predictive",OR(J3744="P2",J3744="P3",J3744="P4")),IF(OR(U3744=1,U3744="1"),"adequate","partial"),INDEX(Fit_Matrix!$B:$B,MATCH(P3744,Fit_Matrix!$A:$A,0)))),"CHECK KEY"))</f>
        <v/>
      </c>
      <c r="U3744" s="10" t="n"/>
      <c r="V3744" s="10" t="n"/>
      <c r="W3744" s="10" t="n"/>
      <c r="X3744" s="10" t="n"/>
      <c r="Y3744" s="10" t="n"/>
      <c r="Z3744" s="10" t="n"/>
      <c r="AA3744" s="11">
        <f>IF(A3744="","",IF(AND(J3744="P4",F3744="causal"),"P4-CAUSAL",""))</f>
        <v/>
      </c>
    </row>
    <row r="3745" ht="15" customHeight="1" s="1">
      <c r="P3745">
        <f>IF(OR(F3745="",H3745="",J3745=""),"",J3745&amp;"|"&amp;F3745&amp;"|"&amp;IF(H3745="W3","W3_"&amp;IF(I3745="","unknown",I3745),H3745))</f>
        <v/>
      </c>
      <c r="Q3745">
        <f>IF(P3745="","",IFERROR(IF(AND(H3745="W7",OR(F3745="causal",F3745="predictive")),IF(AND(OR(K3745=1,K3745="1"),OR(L3745=1,L3745="1"),OR(M3745=1,M3745="1")),"adequate","partial"),IF(AND(H3745="W4",F3745="predictive",OR(J3745="P2",J3745="P3",J3745="P4")),IF(OR(U3745=1,U3745="1"),"adequate","partial"),INDEX(Fit_Matrix!$B:$B,MATCH(P3745,Fit_Matrix!$A:$A,0)))),"CHECK KEY"))</f>
        <v/>
      </c>
      <c r="U3745" s="10" t="n"/>
      <c r="V3745" s="10" t="n"/>
      <c r="W3745" s="10" t="n"/>
      <c r="X3745" s="10" t="n"/>
      <c r="Y3745" s="10" t="n"/>
      <c r="Z3745" s="10" t="n"/>
      <c r="AA3745" s="11">
        <f>IF(A3745="","",IF(AND(J3745="P4",F3745="causal"),"P4-CAUSAL",""))</f>
        <v/>
      </c>
    </row>
    <row r="3746" ht="15" customHeight="1" s="1">
      <c r="P3746">
        <f>IF(OR(F3746="",H3746="",J3746=""),"",J3746&amp;"|"&amp;F3746&amp;"|"&amp;IF(H3746="W3","W3_"&amp;IF(I3746="","unknown",I3746),H3746))</f>
        <v/>
      </c>
      <c r="Q3746">
        <f>IF(P3746="","",IFERROR(IF(AND(H3746="W7",OR(F3746="causal",F3746="predictive")),IF(AND(OR(K3746=1,K3746="1"),OR(L3746=1,L3746="1"),OR(M3746=1,M3746="1")),"adequate","partial"),IF(AND(H3746="W4",F3746="predictive",OR(J3746="P2",J3746="P3",J3746="P4")),IF(OR(U3746=1,U3746="1"),"adequate","partial"),INDEX(Fit_Matrix!$B:$B,MATCH(P3746,Fit_Matrix!$A:$A,0)))),"CHECK KEY"))</f>
        <v/>
      </c>
      <c r="U3746" s="10" t="n"/>
      <c r="V3746" s="10" t="n"/>
      <c r="W3746" s="10" t="n"/>
      <c r="X3746" s="10" t="n"/>
      <c r="Y3746" s="10" t="n"/>
      <c r="Z3746" s="10" t="n"/>
      <c r="AA3746" s="11">
        <f>IF(A3746="","",IF(AND(J3746="P4",F3746="causal"),"P4-CAUSAL",""))</f>
        <v/>
      </c>
    </row>
    <row r="3747" ht="15" customHeight="1" s="1">
      <c r="P3747">
        <f>IF(OR(F3747="",H3747="",J3747=""),"",J3747&amp;"|"&amp;F3747&amp;"|"&amp;IF(H3747="W3","W3_"&amp;IF(I3747="","unknown",I3747),H3747))</f>
        <v/>
      </c>
      <c r="Q3747">
        <f>IF(P3747="","",IFERROR(IF(AND(H3747="W7",OR(F3747="causal",F3747="predictive")),IF(AND(OR(K3747=1,K3747="1"),OR(L3747=1,L3747="1"),OR(M3747=1,M3747="1")),"adequate","partial"),IF(AND(H3747="W4",F3747="predictive",OR(J3747="P2",J3747="P3",J3747="P4")),IF(OR(U3747=1,U3747="1"),"adequate","partial"),INDEX(Fit_Matrix!$B:$B,MATCH(P3747,Fit_Matrix!$A:$A,0)))),"CHECK KEY"))</f>
        <v/>
      </c>
      <c r="U3747" s="10" t="n"/>
      <c r="V3747" s="10" t="n"/>
      <c r="W3747" s="10" t="n"/>
      <c r="X3747" s="10" t="n"/>
      <c r="Y3747" s="10" t="n"/>
      <c r="Z3747" s="10" t="n"/>
      <c r="AA3747" s="11">
        <f>IF(A3747="","",IF(AND(J3747="P4",F3747="causal"),"P4-CAUSAL",""))</f>
        <v/>
      </c>
    </row>
    <row r="3748" ht="15" customHeight="1" s="1">
      <c r="P3748">
        <f>IF(OR(F3748="",H3748="",J3748=""),"",J3748&amp;"|"&amp;F3748&amp;"|"&amp;IF(H3748="W3","W3_"&amp;IF(I3748="","unknown",I3748),H3748))</f>
        <v/>
      </c>
      <c r="Q3748">
        <f>IF(P3748="","",IFERROR(IF(AND(H3748="W7",OR(F3748="causal",F3748="predictive")),IF(AND(OR(K3748=1,K3748="1"),OR(L3748=1,L3748="1"),OR(M3748=1,M3748="1")),"adequate","partial"),IF(AND(H3748="W4",F3748="predictive",OR(J3748="P2",J3748="P3",J3748="P4")),IF(OR(U3748=1,U3748="1"),"adequate","partial"),INDEX(Fit_Matrix!$B:$B,MATCH(P3748,Fit_Matrix!$A:$A,0)))),"CHECK KEY"))</f>
        <v/>
      </c>
      <c r="U3748" s="10" t="n"/>
      <c r="V3748" s="10" t="n"/>
      <c r="W3748" s="10" t="n"/>
      <c r="X3748" s="10" t="n"/>
      <c r="Y3748" s="10" t="n"/>
      <c r="Z3748" s="10" t="n"/>
      <c r="AA3748" s="11">
        <f>IF(A3748="","",IF(AND(J3748="P4",F3748="causal"),"P4-CAUSAL",""))</f>
        <v/>
      </c>
    </row>
    <row r="3749" ht="15" customHeight="1" s="1">
      <c r="P3749">
        <f>IF(OR(F3749="",H3749="",J3749=""),"",J3749&amp;"|"&amp;F3749&amp;"|"&amp;IF(H3749="W3","W3_"&amp;IF(I3749="","unknown",I3749),H3749))</f>
        <v/>
      </c>
      <c r="Q3749">
        <f>IF(P3749="","",IFERROR(IF(AND(H3749="W7",OR(F3749="causal",F3749="predictive")),IF(AND(OR(K3749=1,K3749="1"),OR(L3749=1,L3749="1"),OR(M3749=1,M3749="1")),"adequate","partial"),IF(AND(H3749="W4",F3749="predictive",OR(J3749="P2",J3749="P3",J3749="P4")),IF(OR(U3749=1,U3749="1"),"adequate","partial"),INDEX(Fit_Matrix!$B:$B,MATCH(P3749,Fit_Matrix!$A:$A,0)))),"CHECK KEY"))</f>
        <v/>
      </c>
      <c r="U3749" s="10" t="n"/>
      <c r="V3749" s="10" t="n"/>
      <c r="W3749" s="10" t="n"/>
      <c r="X3749" s="10" t="n"/>
      <c r="Y3749" s="10" t="n"/>
      <c r="Z3749" s="10" t="n"/>
      <c r="AA3749" s="11">
        <f>IF(A3749="","",IF(AND(J3749="P4",F3749="causal"),"P4-CAUSAL",""))</f>
        <v/>
      </c>
    </row>
    <row r="3750" ht="15" customHeight="1" s="1">
      <c r="P3750">
        <f>IF(OR(F3750="",H3750="",J3750=""),"",J3750&amp;"|"&amp;F3750&amp;"|"&amp;IF(H3750="W3","W3_"&amp;IF(I3750="","unknown",I3750),H3750))</f>
        <v/>
      </c>
      <c r="Q3750">
        <f>IF(P3750="","",IFERROR(IF(AND(H3750="W7",OR(F3750="causal",F3750="predictive")),IF(AND(OR(K3750=1,K3750="1"),OR(L3750=1,L3750="1"),OR(M3750=1,M3750="1")),"adequate","partial"),IF(AND(H3750="W4",F3750="predictive",OR(J3750="P2",J3750="P3",J3750="P4")),IF(OR(U3750=1,U3750="1"),"adequate","partial"),INDEX(Fit_Matrix!$B:$B,MATCH(P3750,Fit_Matrix!$A:$A,0)))),"CHECK KEY"))</f>
        <v/>
      </c>
      <c r="U3750" s="10" t="n"/>
      <c r="V3750" s="10" t="n"/>
      <c r="W3750" s="10" t="n"/>
      <c r="X3750" s="10" t="n"/>
      <c r="Y3750" s="10" t="n"/>
      <c r="Z3750" s="10" t="n"/>
      <c r="AA3750" s="11">
        <f>IF(A3750="","",IF(AND(J3750="P4",F3750="causal"),"P4-CAUSAL",""))</f>
        <v/>
      </c>
    </row>
    <row r="3751" ht="15" customHeight="1" s="1">
      <c r="P3751">
        <f>IF(OR(F3751="",H3751="",J3751=""),"",J3751&amp;"|"&amp;F3751&amp;"|"&amp;IF(H3751="W3","W3_"&amp;IF(I3751="","unknown",I3751),H3751))</f>
        <v/>
      </c>
      <c r="Q3751">
        <f>IF(P3751="","",IFERROR(IF(AND(H3751="W7",OR(F3751="causal",F3751="predictive")),IF(AND(OR(K3751=1,K3751="1"),OR(L3751=1,L3751="1"),OR(M3751=1,M3751="1")),"adequate","partial"),IF(AND(H3751="W4",F3751="predictive",OR(J3751="P2",J3751="P3",J3751="P4")),IF(OR(U3751=1,U3751="1"),"adequate","partial"),INDEX(Fit_Matrix!$B:$B,MATCH(P3751,Fit_Matrix!$A:$A,0)))),"CHECK KEY"))</f>
        <v/>
      </c>
      <c r="U3751" s="10" t="n"/>
      <c r="V3751" s="10" t="n"/>
      <c r="W3751" s="10" t="n"/>
      <c r="X3751" s="10" t="n"/>
      <c r="Y3751" s="10" t="n"/>
      <c r="Z3751" s="10" t="n"/>
      <c r="AA3751" s="11">
        <f>IF(A3751="","",IF(AND(J3751="P4",F3751="causal"),"P4-CAUSAL",""))</f>
        <v/>
      </c>
    </row>
    <row r="3752" ht="15" customHeight="1" s="1">
      <c r="P3752">
        <f>IF(OR(F3752="",H3752="",J3752=""),"",J3752&amp;"|"&amp;F3752&amp;"|"&amp;IF(H3752="W3","W3_"&amp;IF(I3752="","unknown",I3752),H3752))</f>
        <v/>
      </c>
      <c r="Q3752">
        <f>IF(P3752="","",IFERROR(IF(AND(H3752="W7",OR(F3752="causal",F3752="predictive")),IF(AND(OR(K3752=1,K3752="1"),OR(L3752=1,L3752="1"),OR(M3752=1,M3752="1")),"adequate","partial"),IF(AND(H3752="W4",F3752="predictive",OR(J3752="P2",J3752="P3",J3752="P4")),IF(OR(U3752=1,U3752="1"),"adequate","partial"),INDEX(Fit_Matrix!$B:$B,MATCH(P3752,Fit_Matrix!$A:$A,0)))),"CHECK KEY"))</f>
        <v/>
      </c>
      <c r="U3752" s="10" t="n"/>
      <c r="V3752" s="10" t="n"/>
      <c r="W3752" s="10" t="n"/>
      <c r="X3752" s="10" t="n"/>
      <c r="Y3752" s="10" t="n"/>
      <c r="Z3752" s="10" t="n"/>
      <c r="AA3752" s="11">
        <f>IF(A3752="","",IF(AND(J3752="P4",F3752="causal"),"P4-CAUSAL",""))</f>
        <v/>
      </c>
    </row>
    <row r="3753" ht="15" customHeight="1" s="1">
      <c r="P3753">
        <f>IF(OR(F3753="",H3753="",J3753=""),"",J3753&amp;"|"&amp;F3753&amp;"|"&amp;IF(H3753="W3","W3_"&amp;IF(I3753="","unknown",I3753),H3753))</f>
        <v/>
      </c>
      <c r="Q3753">
        <f>IF(P3753="","",IFERROR(IF(AND(H3753="W7",OR(F3753="causal",F3753="predictive")),IF(AND(OR(K3753=1,K3753="1"),OR(L3753=1,L3753="1"),OR(M3753=1,M3753="1")),"adequate","partial"),IF(AND(H3753="W4",F3753="predictive",OR(J3753="P2",J3753="P3",J3753="P4")),IF(OR(U3753=1,U3753="1"),"adequate","partial"),INDEX(Fit_Matrix!$B:$B,MATCH(P3753,Fit_Matrix!$A:$A,0)))),"CHECK KEY"))</f>
        <v/>
      </c>
      <c r="U3753" s="10" t="n"/>
      <c r="V3753" s="10" t="n"/>
      <c r="W3753" s="10" t="n"/>
      <c r="X3753" s="10" t="n"/>
      <c r="Y3753" s="10" t="n"/>
      <c r="Z3753" s="10" t="n"/>
      <c r="AA3753" s="11">
        <f>IF(A3753="","",IF(AND(J3753="P4",F3753="causal"),"P4-CAUSAL",""))</f>
        <v/>
      </c>
    </row>
    <row r="3754" ht="15" customHeight="1" s="1">
      <c r="P3754">
        <f>IF(OR(F3754="",H3754="",J3754=""),"",J3754&amp;"|"&amp;F3754&amp;"|"&amp;IF(H3754="W3","W3_"&amp;IF(I3754="","unknown",I3754),H3754))</f>
        <v/>
      </c>
      <c r="Q3754">
        <f>IF(P3754="","",IFERROR(IF(AND(H3754="W7",OR(F3754="causal",F3754="predictive")),IF(AND(OR(K3754=1,K3754="1"),OR(L3754=1,L3754="1"),OR(M3754=1,M3754="1")),"adequate","partial"),IF(AND(H3754="W4",F3754="predictive",OR(J3754="P2",J3754="P3",J3754="P4")),IF(OR(U3754=1,U3754="1"),"adequate","partial"),INDEX(Fit_Matrix!$B:$B,MATCH(P3754,Fit_Matrix!$A:$A,0)))),"CHECK KEY"))</f>
        <v/>
      </c>
      <c r="U3754" s="10" t="n"/>
      <c r="V3754" s="10" t="n"/>
      <c r="W3754" s="10" t="n"/>
      <c r="X3754" s="10" t="n"/>
      <c r="Y3754" s="10" t="n"/>
      <c r="Z3754" s="10" t="n"/>
      <c r="AA3754" s="11">
        <f>IF(A3754="","",IF(AND(J3754="P4",F3754="causal"),"P4-CAUSAL",""))</f>
        <v/>
      </c>
    </row>
    <row r="3755" ht="15" customHeight="1" s="1">
      <c r="P3755">
        <f>IF(OR(F3755="",H3755="",J3755=""),"",J3755&amp;"|"&amp;F3755&amp;"|"&amp;IF(H3755="W3","W3_"&amp;IF(I3755="","unknown",I3755),H3755))</f>
        <v/>
      </c>
      <c r="Q3755">
        <f>IF(P3755="","",IFERROR(IF(AND(H3755="W7",OR(F3755="causal",F3755="predictive")),IF(AND(OR(K3755=1,K3755="1"),OR(L3755=1,L3755="1"),OR(M3755=1,M3755="1")),"adequate","partial"),IF(AND(H3755="W4",F3755="predictive",OR(J3755="P2",J3755="P3",J3755="P4")),IF(OR(U3755=1,U3755="1"),"adequate","partial"),INDEX(Fit_Matrix!$B:$B,MATCH(P3755,Fit_Matrix!$A:$A,0)))),"CHECK KEY"))</f>
        <v/>
      </c>
      <c r="U3755" s="10" t="n"/>
      <c r="V3755" s="10" t="n"/>
      <c r="W3755" s="10" t="n"/>
      <c r="X3755" s="10" t="n"/>
      <c r="Y3755" s="10" t="n"/>
      <c r="Z3755" s="10" t="n"/>
      <c r="AA3755" s="11">
        <f>IF(A3755="","",IF(AND(J3755="P4",F3755="causal"),"P4-CAUSAL",""))</f>
        <v/>
      </c>
    </row>
    <row r="3756" ht="15" customHeight="1" s="1">
      <c r="P3756">
        <f>IF(OR(F3756="",H3756="",J3756=""),"",J3756&amp;"|"&amp;F3756&amp;"|"&amp;IF(H3756="W3","W3_"&amp;IF(I3756="","unknown",I3756),H3756))</f>
        <v/>
      </c>
      <c r="Q3756">
        <f>IF(P3756="","",IFERROR(IF(AND(H3756="W7",OR(F3756="causal",F3756="predictive")),IF(AND(OR(K3756=1,K3756="1"),OR(L3756=1,L3756="1"),OR(M3756=1,M3756="1")),"adequate","partial"),IF(AND(H3756="W4",F3756="predictive",OR(J3756="P2",J3756="P3",J3756="P4")),IF(OR(U3756=1,U3756="1"),"adequate","partial"),INDEX(Fit_Matrix!$B:$B,MATCH(P3756,Fit_Matrix!$A:$A,0)))),"CHECK KEY"))</f>
        <v/>
      </c>
      <c r="U3756" s="10" t="n"/>
      <c r="V3756" s="10" t="n"/>
      <c r="W3756" s="10" t="n"/>
      <c r="X3756" s="10" t="n"/>
      <c r="Y3756" s="10" t="n"/>
      <c r="Z3756" s="10" t="n"/>
      <c r="AA3756" s="11">
        <f>IF(A3756="","",IF(AND(J3756="P4",F3756="causal"),"P4-CAUSAL",""))</f>
        <v/>
      </c>
    </row>
    <row r="3757" ht="15" customHeight="1" s="1">
      <c r="P3757">
        <f>IF(OR(F3757="",H3757="",J3757=""),"",J3757&amp;"|"&amp;F3757&amp;"|"&amp;IF(H3757="W3","W3_"&amp;IF(I3757="","unknown",I3757),H3757))</f>
        <v/>
      </c>
      <c r="Q3757">
        <f>IF(P3757="","",IFERROR(IF(AND(H3757="W7",OR(F3757="causal",F3757="predictive")),IF(AND(OR(K3757=1,K3757="1"),OR(L3757=1,L3757="1"),OR(M3757=1,M3757="1")),"adequate","partial"),IF(AND(H3757="W4",F3757="predictive",OR(J3757="P2",J3757="P3",J3757="P4")),IF(OR(U3757=1,U3757="1"),"adequate","partial"),INDEX(Fit_Matrix!$B:$B,MATCH(P3757,Fit_Matrix!$A:$A,0)))),"CHECK KEY"))</f>
        <v/>
      </c>
      <c r="U3757" s="10" t="n"/>
      <c r="V3757" s="10" t="n"/>
      <c r="W3757" s="10" t="n"/>
      <c r="X3757" s="10" t="n"/>
      <c r="Y3757" s="10" t="n"/>
      <c r="Z3757" s="10" t="n"/>
      <c r="AA3757" s="11">
        <f>IF(A3757="","",IF(AND(J3757="P4",F3757="causal"),"P4-CAUSAL",""))</f>
        <v/>
      </c>
    </row>
    <row r="3758" ht="15" customHeight="1" s="1">
      <c r="P3758">
        <f>IF(OR(F3758="",H3758="",J3758=""),"",J3758&amp;"|"&amp;F3758&amp;"|"&amp;IF(H3758="W3","W3_"&amp;IF(I3758="","unknown",I3758),H3758))</f>
        <v/>
      </c>
      <c r="Q3758">
        <f>IF(P3758="","",IFERROR(IF(AND(H3758="W7",OR(F3758="causal",F3758="predictive")),IF(AND(OR(K3758=1,K3758="1"),OR(L3758=1,L3758="1"),OR(M3758=1,M3758="1")),"adequate","partial"),IF(AND(H3758="W4",F3758="predictive",OR(J3758="P2",J3758="P3",J3758="P4")),IF(OR(U3758=1,U3758="1"),"adequate","partial"),INDEX(Fit_Matrix!$B:$B,MATCH(P3758,Fit_Matrix!$A:$A,0)))),"CHECK KEY"))</f>
        <v/>
      </c>
      <c r="U3758" s="10" t="n"/>
      <c r="V3758" s="10" t="n"/>
      <c r="W3758" s="10" t="n"/>
      <c r="X3758" s="10" t="n"/>
      <c r="Y3758" s="10" t="n"/>
      <c r="Z3758" s="10" t="n"/>
      <c r="AA3758" s="11">
        <f>IF(A3758="","",IF(AND(J3758="P4",F3758="causal"),"P4-CAUSAL",""))</f>
        <v/>
      </c>
    </row>
    <row r="3759" ht="15" customHeight="1" s="1">
      <c r="P3759">
        <f>IF(OR(F3759="",H3759="",J3759=""),"",J3759&amp;"|"&amp;F3759&amp;"|"&amp;IF(H3759="W3","W3_"&amp;IF(I3759="","unknown",I3759),H3759))</f>
        <v/>
      </c>
      <c r="Q3759">
        <f>IF(P3759="","",IFERROR(IF(AND(H3759="W7",OR(F3759="causal",F3759="predictive")),IF(AND(OR(K3759=1,K3759="1"),OR(L3759=1,L3759="1"),OR(M3759=1,M3759="1")),"adequate","partial"),IF(AND(H3759="W4",F3759="predictive",OR(J3759="P2",J3759="P3",J3759="P4")),IF(OR(U3759=1,U3759="1"),"adequate","partial"),INDEX(Fit_Matrix!$B:$B,MATCH(P3759,Fit_Matrix!$A:$A,0)))),"CHECK KEY"))</f>
        <v/>
      </c>
      <c r="U3759" s="10" t="n"/>
      <c r="V3759" s="10" t="n"/>
      <c r="W3759" s="10" t="n"/>
      <c r="X3759" s="10" t="n"/>
      <c r="Y3759" s="10" t="n"/>
      <c r="Z3759" s="10" t="n"/>
      <c r="AA3759" s="11">
        <f>IF(A3759="","",IF(AND(J3759="P4",F3759="causal"),"P4-CAUSAL",""))</f>
        <v/>
      </c>
    </row>
    <row r="3760" ht="15" customHeight="1" s="1">
      <c r="P3760">
        <f>IF(OR(F3760="",H3760="",J3760=""),"",J3760&amp;"|"&amp;F3760&amp;"|"&amp;IF(H3760="W3","W3_"&amp;IF(I3760="","unknown",I3760),H3760))</f>
        <v/>
      </c>
      <c r="Q3760">
        <f>IF(P3760="","",IFERROR(IF(AND(H3760="W7",OR(F3760="causal",F3760="predictive")),IF(AND(OR(K3760=1,K3760="1"),OR(L3760=1,L3760="1"),OR(M3760=1,M3760="1")),"adequate","partial"),IF(AND(H3760="W4",F3760="predictive",OR(J3760="P2",J3760="P3",J3760="P4")),IF(OR(U3760=1,U3760="1"),"adequate","partial"),INDEX(Fit_Matrix!$B:$B,MATCH(P3760,Fit_Matrix!$A:$A,0)))),"CHECK KEY"))</f>
        <v/>
      </c>
      <c r="U3760" s="10" t="n"/>
      <c r="V3760" s="10" t="n"/>
      <c r="W3760" s="10" t="n"/>
      <c r="X3760" s="10" t="n"/>
      <c r="Y3760" s="10" t="n"/>
      <c r="Z3760" s="10" t="n"/>
      <c r="AA3760" s="11">
        <f>IF(A3760="","",IF(AND(J3760="P4",F3760="causal"),"P4-CAUSAL",""))</f>
        <v/>
      </c>
    </row>
    <row r="3761" ht="15" customHeight="1" s="1">
      <c r="P3761">
        <f>IF(OR(F3761="",H3761="",J3761=""),"",J3761&amp;"|"&amp;F3761&amp;"|"&amp;IF(H3761="W3","W3_"&amp;IF(I3761="","unknown",I3761),H3761))</f>
        <v/>
      </c>
      <c r="Q3761">
        <f>IF(P3761="","",IFERROR(IF(AND(H3761="W7",OR(F3761="causal",F3761="predictive")),IF(AND(OR(K3761=1,K3761="1"),OR(L3761=1,L3761="1"),OR(M3761=1,M3761="1")),"adequate","partial"),IF(AND(H3761="W4",F3761="predictive",OR(J3761="P2",J3761="P3",J3761="P4")),IF(OR(U3761=1,U3761="1"),"adequate","partial"),INDEX(Fit_Matrix!$B:$B,MATCH(P3761,Fit_Matrix!$A:$A,0)))),"CHECK KEY"))</f>
        <v/>
      </c>
      <c r="U3761" s="10" t="n"/>
      <c r="V3761" s="10" t="n"/>
      <c r="W3761" s="10" t="n"/>
      <c r="X3761" s="10" t="n"/>
      <c r="Y3761" s="10" t="n"/>
      <c r="Z3761" s="10" t="n"/>
      <c r="AA3761" s="11">
        <f>IF(A3761="","",IF(AND(J3761="P4",F3761="causal"),"P4-CAUSAL",""))</f>
        <v/>
      </c>
    </row>
    <row r="3762" ht="15" customHeight="1" s="1">
      <c r="P3762">
        <f>IF(OR(F3762="",H3762="",J3762=""),"",J3762&amp;"|"&amp;F3762&amp;"|"&amp;IF(H3762="W3","W3_"&amp;IF(I3762="","unknown",I3762),H3762))</f>
        <v/>
      </c>
      <c r="Q3762">
        <f>IF(P3762="","",IFERROR(IF(AND(H3762="W7",OR(F3762="causal",F3762="predictive")),IF(AND(OR(K3762=1,K3762="1"),OR(L3762=1,L3762="1"),OR(M3762=1,M3762="1")),"adequate","partial"),IF(AND(H3762="W4",F3762="predictive",OR(J3762="P2",J3762="P3",J3762="P4")),IF(OR(U3762=1,U3762="1"),"adequate","partial"),INDEX(Fit_Matrix!$B:$B,MATCH(P3762,Fit_Matrix!$A:$A,0)))),"CHECK KEY"))</f>
        <v/>
      </c>
      <c r="U3762" s="10" t="n"/>
      <c r="V3762" s="10" t="n"/>
      <c r="W3762" s="10" t="n"/>
      <c r="X3762" s="10" t="n"/>
      <c r="Y3762" s="10" t="n"/>
      <c r="Z3762" s="10" t="n"/>
      <c r="AA3762" s="11">
        <f>IF(A3762="","",IF(AND(J3762="P4",F3762="causal"),"P4-CAUSAL",""))</f>
        <v/>
      </c>
    </row>
    <row r="3763" ht="15" customHeight="1" s="1">
      <c r="P3763">
        <f>IF(OR(F3763="",H3763="",J3763=""),"",J3763&amp;"|"&amp;F3763&amp;"|"&amp;IF(H3763="W3","W3_"&amp;IF(I3763="","unknown",I3763),H3763))</f>
        <v/>
      </c>
      <c r="Q3763">
        <f>IF(P3763="","",IFERROR(IF(AND(H3763="W7",OR(F3763="causal",F3763="predictive")),IF(AND(OR(K3763=1,K3763="1"),OR(L3763=1,L3763="1"),OR(M3763=1,M3763="1")),"adequate","partial"),IF(AND(H3763="W4",F3763="predictive",OR(J3763="P2",J3763="P3",J3763="P4")),IF(OR(U3763=1,U3763="1"),"adequate","partial"),INDEX(Fit_Matrix!$B:$B,MATCH(P3763,Fit_Matrix!$A:$A,0)))),"CHECK KEY"))</f>
        <v/>
      </c>
      <c r="U3763" s="10" t="n"/>
      <c r="V3763" s="10" t="n"/>
      <c r="W3763" s="10" t="n"/>
      <c r="X3763" s="10" t="n"/>
      <c r="Y3763" s="10" t="n"/>
      <c r="Z3763" s="10" t="n"/>
      <c r="AA3763" s="11">
        <f>IF(A3763="","",IF(AND(J3763="P4",F3763="causal"),"P4-CAUSAL",""))</f>
        <v/>
      </c>
    </row>
    <row r="3764" ht="15" customHeight="1" s="1">
      <c r="P3764">
        <f>IF(OR(F3764="",H3764="",J3764=""),"",J3764&amp;"|"&amp;F3764&amp;"|"&amp;IF(H3764="W3","W3_"&amp;IF(I3764="","unknown",I3764),H3764))</f>
        <v/>
      </c>
      <c r="Q3764">
        <f>IF(P3764="","",IFERROR(IF(AND(H3764="W7",OR(F3764="causal",F3764="predictive")),IF(AND(OR(K3764=1,K3764="1"),OR(L3764=1,L3764="1"),OR(M3764=1,M3764="1")),"adequate","partial"),IF(AND(H3764="W4",F3764="predictive",OR(J3764="P2",J3764="P3",J3764="P4")),IF(OR(U3764=1,U3764="1"),"adequate","partial"),INDEX(Fit_Matrix!$B:$B,MATCH(P3764,Fit_Matrix!$A:$A,0)))),"CHECK KEY"))</f>
        <v/>
      </c>
      <c r="U3764" s="10" t="n"/>
      <c r="V3764" s="10" t="n"/>
      <c r="W3764" s="10" t="n"/>
      <c r="X3764" s="10" t="n"/>
      <c r="Y3764" s="10" t="n"/>
      <c r="Z3764" s="10" t="n"/>
      <c r="AA3764" s="11">
        <f>IF(A3764="","",IF(AND(J3764="P4",F3764="causal"),"P4-CAUSAL",""))</f>
        <v/>
      </c>
    </row>
    <row r="3765" ht="15" customHeight="1" s="1">
      <c r="P3765">
        <f>IF(OR(F3765="",H3765="",J3765=""),"",J3765&amp;"|"&amp;F3765&amp;"|"&amp;IF(H3765="W3","W3_"&amp;IF(I3765="","unknown",I3765),H3765))</f>
        <v/>
      </c>
      <c r="Q3765">
        <f>IF(P3765="","",IFERROR(IF(AND(H3765="W7",OR(F3765="causal",F3765="predictive")),IF(AND(OR(K3765=1,K3765="1"),OR(L3765=1,L3765="1"),OR(M3765=1,M3765="1")),"adequate","partial"),IF(AND(H3765="W4",F3765="predictive",OR(J3765="P2",J3765="P3",J3765="P4")),IF(OR(U3765=1,U3765="1"),"adequate","partial"),INDEX(Fit_Matrix!$B:$B,MATCH(P3765,Fit_Matrix!$A:$A,0)))),"CHECK KEY"))</f>
        <v/>
      </c>
      <c r="U3765" s="10" t="n"/>
      <c r="V3765" s="10" t="n"/>
      <c r="W3765" s="10" t="n"/>
      <c r="X3765" s="10" t="n"/>
      <c r="Y3765" s="10" t="n"/>
      <c r="Z3765" s="10" t="n"/>
      <c r="AA3765" s="11">
        <f>IF(A3765="","",IF(AND(J3765="P4",F3765="causal"),"P4-CAUSAL",""))</f>
        <v/>
      </c>
    </row>
    <row r="3766" ht="15" customHeight="1" s="1">
      <c r="P3766">
        <f>IF(OR(F3766="",H3766="",J3766=""),"",J3766&amp;"|"&amp;F3766&amp;"|"&amp;IF(H3766="W3","W3_"&amp;IF(I3766="","unknown",I3766),H3766))</f>
        <v/>
      </c>
      <c r="Q3766">
        <f>IF(P3766="","",IFERROR(IF(AND(H3766="W7",OR(F3766="causal",F3766="predictive")),IF(AND(OR(K3766=1,K3766="1"),OR(L3766=1,L3766="1"),OR(M3766=1,M3766="1")),"adequate","partial"),IF(AND(H3766="W4",F3766="predictive",OR(J3766="P2",J3766="P3",J3766="P4")),IF(OR(U3766=1,U3766="1"),"adequate","partial"),INDEX(Fit_Matrix!$B:$B,MATCH(P3766,Fit_Matrix!$A:$A,0)))),"CHECK KEY"))</f>
        <v/>
      </c>
      <c r="U3766" s="10" t="n"/>
      <c r="V3766" s="10" t="n"/>
      <c r="W3766" s="10" t="n"/>
      <c r="X3766" s="10" t="n"/>
      <c r="Y3766" s="10" t="n"/>
      <c r="Z3766" s="10" t="n"/>
      <c r="AA3766" s="11">
        <f>IF(A3766="","",IF(AND(J3766="P4",F3766="causal"),"P4-CAUSAL",""))</f>
        <v/>
      </c>
    </row>
    <row r="3767" ht="15" customHeight="1" s="1">
      <c r="P3767">
        <f>IF(OR(F3767="",H3767="",J3767=""),"",J3767&amp;"|"&amp;F3767&amp;"|"&amp;IF(H3767="W3","W3_"&amp;IF(I3767="","unknown",I3767),H3767))</f>
        <v/>
      </c>
      <c r="Q3767">
        <f>IF(P3767="","",IFERROR(IF(AND(H3767="W7",OR(F3767="causal",F3767="predictive")),IF(AND(OR(K3767=1,K3767="1"),OR(L3767=1,L3767="1"),OR(M3767=1,M3767="1")),"adequate","partial"),IF(AND(H3767="W4",F3767="predictive",OR(J3767="P2",J3767="P3",J3767="P4")),IF(OR(U3767=1,U3767="1"),"adequate","partial"),INDEX(Fit_Matrix!$B:$B,MATCH(P3767,Fit_Matrix!$A:$A,0)))),"CHECK KEY"))</f>
        <v/>
      </c>
      <c r="U3767" s="10" t="n"/>
      <c r="V3767" s="10" t="n"/>
      <c r="W3767" s="10" t="n"/>
      <c r="X3767" s="10" t="n"/>
      <c r="Y3767" s="10" t="n"/>
      <c r="Z3767" s="10" t="n"/>
      <c r="AA3767" s="11">
        <f>IF(A3767="","",IF(AND(J3767="P4",F3767="causal"),"P4-CAUSAL",""))</f>
        <v/>
      </c>
    </row>
    <row r="3768" ht="15" customHeight="1" s="1">
      <c r="P3768">
        <f>IF(OR(F3768="",H3768="",J3768=""),"",J3768&amp;"|"&amp;F3768&amp;"|"&amp;IF(H3768="W3","W3_"&amp;IF(I3768="","unknown",I3768),H3768))</f>
        <v/>
      </c>
      <c r="Q3768">
        <f>IF(P3768="","",IFERROR(IF(AND(H3768="W7",OR(F3768="causal",F3768="predictive")),IF(AND(OR(K3768=1,K3768="1"),OR(L3768=1,L3768="1"),OR(M3768=1,M3768="1")),"adequate","partial"),IF(AND(H3768="W4",F3768="predictive",OR(J3768="P2",J3768="P3",J3768="P4")),IF(OR(U3768=1,U3768="1"),"adequate","partial"),INDEX(Fit_Matrix!$B:$B,MATCH(P3768,Fit_Matrix!$A:$A,0)))),"CHECK KEY"))</f>
        <v/>
      </c>
      <c r="U3768" s="10" t="n"/>
      <c r="V3768" s="10" t="n"/>
      <c r="W3768" s="10" t="n"/>
      <c r="X3768" s="10" t="n"/>
      <c r="Y3768" s="10" t="n"/>
      <c r="Z3768" s="10" t="n"/>
      <c r="AA3768" s="11">
        <f>IF(A3768="","",IF(AND(J3768="P4",F3768="causal"),"P4-CAUSAL",""))</f>
        <v/>
      </c>
    </row>
    <row r="3769" ht="15" customHeight="1" s="1">
      <c r="P3769">
        <f>IF(OR(F3769="",H3769="",J3769=""),"",J3769&amp;"|"&amp;F3769&amp;"|"&amp;IF(H3769="W3","W3_"&amp;IF(I3769="","unknown",I3769),H3769))</f>
        <v/>
      </c>
      <c r="Q3769">
        <f>IF(P3769="","",IFERROR(IF(AND(H3769="W7",OR(F3769="causal",F3769="predictive")),IF(AND(OR(K3769=1,K3769="1"),OR(L3769=1,L3769="1"),OR(M3769=1,M3769="1")),"adequate","partial"),IF(AND(H3769="W4",F3769="predictive",OR(J3769="P2",J3769="P3",J3769="P4")),IF(OR(U3769=1,U3769="1"),"adequate","partial"),INDEX(Fit_Matrix!$B:$B,MATCH(P3769,Fit_Matrix!$A:$A,0)))),"CHECK KEY"))</f>
        <v/>
      </c>
      <c r="U3769" s="10" t="n"/>
      <c r="V3769" s="10" t="n"/>
      <c r="W3769" s="10" t="n"/>
      <c r="X3769" s="10" t="n"/>
      <c r="Y3769" s="10" t="n"/>
      <c r="Z3769" s="10" t="n"/>
      <c r="AA3769" s="11">
        <f>IF(A3769="","",IF(AND(J3769="P4",F3769="causal"),"P4-CAUSAL",""))</f>
        <v/>
      </c>
    </row>
    <row r="3770" ht="15" customHeight="1" s="1">
      <c r="P3770">
        <f>IF(OR(F3770="",H3770="",J3770=""),"",J3770&amp;"|"&amp;F3770&amp;"|"&amp;IF(H3770="W3","W3_"&amp;IF(I3770="","unknown",I3770),H3770))</f>
        <v/>
      </c>
      <c r="Q3770">
        <f>IF(P3770="","",IFERROR(IF(AND(H3770="W7",OR(F3770="causal",F3770="predictive")),IF(AND(OR(K3770=1,K3770="1"),OR(L3770=1,L3770="1"),OR(M3770=1,M3770="1")),"adequate","partial"),IF(AND(H3770="W4",F3770="predictive",OR(J3770="P2",J3770="P3",J3770="P4")),IF(OR(U3770=1,U3770="1"),"adequate","partial"),INDEX(Fit_Matrix!$B:$B,MATCH(P3770,Fit_Matrix!$A:$A,0)))),"CHECK KEY"))</f>
        <v/>
      </c>
      <c r="U3770" s="10" t="n"/>
      <c r="V3770" s="10" t="n"/>
      <c r="W3770" s="10" t="n"/>
      <c r="X3770" s="10" t="n"/>
      <c r="Y3770" s="10" t="n"/>
      <c r="Z3770" s="10" t="n"/>
      <c r="AA3770" s="11">
        <f>IF(A3770="","",IF(AND(J3770="P4",F3770="causal"),"P4-CAUSAL",""))</f>
        <v/>
      </c>
    </row>
    <row r="3771" ht="15" customHeight="1" s="1">
      <c r="P3771">
        <f>IF(OR(F3771="",H3771="",J3771=""),"",J3771&amp;"|"&amp;F3771&amp;"|"&amp;IF(H3771="W3","W3_"&amp;IF(I3771="","unknown",I3771),H3771))</f>
        <v/>
      </c>
      <c r="Q3771">
        <f>IF(P3771="","",IFERROR(IF(AND(H3771="W7",OR(F3771="causal",F3771="predictive")),IF(AND(OR(K3771=1,K3771="1"),OR(L3771=1,L3771="1"),OR(M3771=1,M3771="1")),"adequate","partial"),IF(AND(H3771="W4",F3771="predictive",OR(J3771="P2",J3771="P3",J3771="P4")),IF(OR(U3771=1,U3771="1"),"adequate","partial"),INDEX(Fit_Matrix!$B:$B,MATCH(P3771,Fit_Matrix!$A:$A,0)))),"CHECK KEY"))</f>
        <v/>
      </c>
      <c r="U3771" s="10" t="n"/>
      <c r="V3771" s="10" t="n"/>
      <c r="W3771" s="10" t="n"/>
      <c r="X3771" s="10" t="n"/>
      <c r="Y3771" s="10" t="n"/>
      <c r="Z3771" s="10" t="n"/>
      <c r="AA3771" s="11">
        <f>IF(A3771="","",IF(AND(J3771="P4",F3771="causal"),"P4-CAUSAL",""))</f>
        <v/>
      </c>
    </row>
    <row r="3772" ht="15" customHeight="1" s="1">
      <c r="P3772">
        <f>IF(OR(F3772="",H3772="",J3772=""),"",J3772&amp;"|"&amp;F3772&amp;"|"&amp;IF(H3772="W3","W3_"&amp;IF(I3772="","unknown",I3772),H3772))</f>
        <v/>
      </c>
      <c r="Q3772">
        <f>IF(P3772="","",IFERROR(IF(AND(H3772="W7",OR(F3772="causal",F3772="predictive")),IF(AND(OR(K3772=1,K3772="1"),OR(L3772=1,L3772="1"),OR(M3772=1,M3772="1")),"adequate","partial"),IF(AND(H3772="W4",F3772="predictive",OR(J3772="P2",J3772="P3",J3772="P4")),IF(OR(U3772=1,U3772="1"),"adequate","partial"),INDEX(Fit_Matrix!$B:$B,MATCH(P3772,Fit_Matrix!$A:$A,0)))),"CHECK KEY"))</f>
        <v/>
      </c>
      <c r="U3772" s="10" t="n"/>
      <c r="V3772" s="10" t="n"/>
      <c r="W3772" s="10" t="n"/>
      <c r="X3772" s="10" t="n"/>
      <c r="Y3772" s="10" t="n"/>
      <c r="Z3772" s="10" t="n"/>
      <c r="AA3772" s="11">
        <f>IF(A3772="","",IF(AND(J3772="P4",F3772="causal"),"P4-CAUSAL",""))</f>
        <v/>
      </c>
    </row>
    <row r="3773" ht="15" customHeight="1" s="1">
      <c r="P3773">
        <f>IF(OR(F3773="",H3773="",J3773=""),"",J3773&amp;"|"&amp;F3773&amp;"|"&amp;IF(H3773="W3","W3_"&amp;IF(I3773="","unknown",I3773),H3773))</f>
        <v/>
      </c>
      <c r="Q3773">
        <f>IF(P3773="","",IFERROR(IF(AND(H3773="W7",OR(F3773="causal",F3773="predictive")),IF(AND(OR(K3773=1,K3773="1"),OR(L3773=1,L3773="1"),OR(M3773=1,M3773="1")),"adequate","partial"),IF(AND(H3773="W4",F3773="predictive",OR(J3773="P2",J3773="P3",J3773="P4")),IF(OR(U3773=1,U3773="1"),"adequate","partial"),INDEX(Fit_Matrix!$B:$B,MATCH(P3773,Fit_Matrix!$A:$A,0)))),"CHECK KEY"))</f>
        <v/>
      </c>
      <c r="U3773" s="10" t="n"/>
      <c r="V3773" s="10" t="n"/>
      <c r="W3773" s="10" t="n"/>
      <c r="X3773" s="10" t="n"/>
      <c r="Y3773" s="10" t="n"/>
      <c r="Z3773" s="10" t="n"/>
      <c r="AA3773" s="11">
        <f>IF(A3773="","",IF(AND(J3773="P4",F3773="causal"),"P4-CAUSAL",""))</f>
        <v/>
      </c>
    </row>
    <row r="3774" ht="15" customHeight="1" s="1">
      <c r="P3774">
        <f>IF(OR(F3774="",H3774="",J3774=""),"",J3774&amp;"|"&amp;F3774&amp;"|"&amp;IF(H3774="W3","W3_"&amp;IF(I3774="","unknown",I3774),H3774))</f>
        <v/>
      </c>
      <c r="Q3774">
        <f>IF(P3774="","",IFERROR(IF(AND(H3774="W7",OR(F3774="causal",F3774="predictive")),IF(AND(OR(K3774=1,K3774="1"),OR(L3774=1,L3774="1"),OR(M3774=1,M3774="1")),"adequate","partial"),IF(AND(H3774="W4",F3774="predictive",OR(J3774="P2",J3774="P3",J3774="P4")),IF(OR(U3774=1,U3774="1"),"adequate","partial"),INDEX(Fit_Matrix!$B:$B,MATCH(P3774,Fit_Matrix!$A:$A,0)))),"CHECK KEY"))</f>
        <v/>
      </c>
      <c r="U3774" s="10" t="n"/>
      <c r="V3774" s="10" t="n"/>
      <c r="W3774" s="10" t="n"/>
      <c r="X3774" s="10" t="n"/>
      <c r="Y3774" s="10" t="n"/>
      <c r="Z3774" s="10" t="n"/>
      <c r="AA3774" s="11">
        <f>IF(A3774="","",IF(AND(J3774="P4",F3774="causal"),"P4-CAUSAL",""))</f>
        <v/>
      </c>
    </row>
    <row r="3775" ht="15" customHeight="1" s="1">
      <c r="P3775">
        <f>IF(OR(F3775="",H3775="",J3775=""),"",J3775&amp;"|"&amp;F3775&amp;"|"&amp;IF(H3775="W3","W3_"&amp;IF(I3775="","unknown",I3775),H3775))</f>
        <v/>
      </c>
      <c r="Q3775">
        <f>IF(P3775="","",IFERROR(IF(AND(H3775="W7",OR(F3775="causal",F3775="predictive")),IF(AND(OR(K3775=1,K3775="1"),OR(L3775=1,L3775="1"),OR(M3775=1,M3775="1")),"adequate","partial"),IF(AND(H3775="W4",F3775="predictive",OR(J3775="P2",J3775="P3",J3775="P4")),IF(OR(U3775=1,U3775="1"),"adequate","partial"),INDEX(Fit_Matrix!$B:$B,MATCH(P3775,Fit_Matrix!$A:$A,0)))),"CHECK KEY"))</f>
        <v/>
      </c>
      <c r="U3775" s="10" t="n"/>
      <c r="V3775" s="10" t="n"/>
      <c r="W3775" s="10" t="n"/>
      <c r="X3775" s="10" t="n"/>
      <c r="Y3775" s="10" t="n"/>
      <c r="Z3775" s="10" t="n"/>
      <c r="AA3775" s="11">
        <f>IF(A3775="","",IF(AND(J3775="P4",F3775="causal"),"P4-CAUSAL",""))</f>
        <v/>
      </c>
    </row>
    <row r="3776" ht="15" customHeight="1" s="1">
      <c r="P3776">
        <f>IF(OR(F3776="",H3776="",J3776=""),"",J3776&amp;"|"&amp;F3776&amp;"|"&amp;IF(H3776="W3","W3_"&amp;IF(I3776="","unknown",I3776),H3776))</f>
        <v/>
      </c>
      <c r="Q3776">
        <f>IF(P3776="","",IFERROR(IF(AND(H3776="W7",OR(F3776="causal",F3776="predictive")),IF(AND(OR(K3776=1,K3776="1"),OR(L3776=1,L3776="1"),OR(M3776=1,M3776="1")),"adequate","partial"),IF(AND(H3776="W4",F3776="predictive",OR(J3776="P2",J3776="P3",J3776="P4")),IF(OR(U3776=1,U3776="1"),"adequate","partial"),INDEX(Fit_Matrix!$B:$B,MATCH(P3776,Fit_Matrix!$A:$A,0)))),"CHECK KEY"))</f>
        <v/>
      </c>
      <c r="U3776" s="10" t="n"/>
      <c r="V3776" s="10" t="n"/>
      <c r="W3776" s="10" t="n"/>
      <c r="X3776" s="10" t="n"/>
      <c r="Y3776" s="10" t="n"/>
      <c r="Z3776" s="10" t="n"/>
      <c r="AA3776" s="11">
        <f>IF(A3776="","",IF(AND(J3776="P4",F3776="causal"),"P4-CAUSAL",""))</f>
        <v/>
      </c>
    </row>
    <row r="3777" ht="15" customHeight="1" s="1">
      <c r="P3777">
        <f>IF(OR(F3777="",H3777="",J3777=""),"",J3777&amp;"|"&amp;F3777&amp;"|"&amp;IF(H3777="W3","W3_"&amp;IF(I3777="","unknown",I3777),H3777))</f>
        <v/>
      </c>
      <c r="Q3777">
        <f>IF(P3777="","",IFERROR(IF(AND(H3777="W7",OR(F3777="causal",F3777="predictive")),IF(AND(OR(K3777=1,K3777="1"),OR(L3777=1,L3777="1"),OR(M3777=1,M3777="1")),"adequate","partial"),IF(AND(H3777="W4",F3777="predictive",OR(J3777="P2",J3777="P3",J3777="P4")),IF(OR(U3777=1,U3777="1"),"adequate","partial"),INDEX(Fit_Matrix!$B:$B,MATCH(P3777,Fit_Matrix!$A:$A,0)))),"CHECK KEY"))</f>
        <v/>
      </c>
      <c r="U3777" s="10" t="n"/>
      <c r="V3777" s="10" t="n"/>
      <c r="W3777" s="10" t="n"/>
      <c r="X3777" s="10" t="n"/>
      <c r="Y3777" s="10" t="n"/>
      <c r="Z3777" s="10" t="n"/>
      <c r="AA3777" s="11">
        <f>IF(A3777="","",IF(AND(J3777="P4",F3777="causal"),"P4-CAUSAL",""))</f>
        <v/>
      </c>
    </row>
    <row r="3778" ht="15" customHeight="1" s="1">
      <c r="P3778">
        <f>IF(OR(F3778="",H3778="",J3778=""),"",J3778&amp;"|"&amp;F3778&amp;"|"&amp;IF(H3778="W3","W3_"&amp;IF(I3778="","unknown",I3778),H3778))</f>
        <v/>
      </c>
      <c r="Q3778">
        <f>IF(P3778="","",IFERROR(IF(AND(H3778="W7",OR(F3778="causal",F3778="predictive")),IF(AND(OR(K3778=1,K3778="1"),OR(L3778=1,L3778="1"),OR(M3778=1,M3778="1")),"adequate","partial"),IF(AND(H3778="W4",F3778="predictive",OR(J3778="P2",J3778="P3",J3778="P4")),IF(OR(U3778=1,U3778="1"),"adequate","partial"),INDEX(Fit_Matrix!$B:$B,MATCH(P3778,Fit_Matrix!$A:$A,0)))),"CHECK KEY"))</f>
        <v/>
      </c>
      <c r="U3778" s="10" t="n"/>
      <c r="V3778" s="10" t="n"/>
      <c r="W3778" s="10" t="n"/>
      <c r="X3778" s="10" t="n"/>
      <c r="Y3778" s="10" t="n"/>
      <c r="Z3778" s="10" t="n"/>
      <c r="AA3778" s="11">
        <f>IF(A3778="","",IF(AND(J3778="P4",F3778="causal"),"P4-CAUSAL",""))</f>
        <v/>
      </c>
    </row>
    <row r="3779" ht="15" customHeight="1" s="1">
      <c r="P3779">
        <f>IF(OR(F3779="",H3779="",J3779=""),"",J3779&amp;"|"&amp;F3779&amp;"|"&amp;IF(H3779="W3","W3_"&amp;IF(I3779="","unknown",I3779),H3779))</f>
        <v/>
      </c>
      <c r="Q3779">
        <f>IF(P3779="","",IFERROR(IF(AND(H3779="W7",OR(F3779="causal",F3779="predictive")),IF(AND(OR(K3779=1,K3779="1"),OR(L3779=1,L3779="1"),OR(M3779=1,M3779="1")),"adequate","partial"),IF(AND(H3779="W4",F3779="predictive",OR(J3779="P2",J3779="P3",J3779="P4")),IF(OR(U3779=1,U3779="1"),"adequate","partial"),INDEX(Fit_Matrix!$B:$B,MATCH(P3779,Fit_Matrix!$A:$A,0)))),"CHECK KEY"))</f>
        <v/>
      </c>
      <c r="U3779" s="10" t="n"/>
      <c r="V3779" s="10" t="n"/>
      <c r="W3779" s="10" t="n"/>
      <c r="X3779" s="10" t="n"/>
      <c r="Y3779" s="10" t="n"/>
      <c r="Z3779" s="10" t="n"/>
      <c r="AA3779" s="11">
        <f>IF(A3779="","",IF(AND(J3779="P4",F3779="causal"),"P4-CAUSAL",""))</f>
        <v/>
      </c>
    </row>
    <row r="3780" ht="15" customHeight="1" s="1">
      <c r="P3780">
        <f>IF(OR(F3780="",H3780="",J3780=""),"",J3780&amp;"|"&amp;F3780&amp;"|"&amp;IF(H3780="W3","W3_"&amp;IF(I3780="","unknown",I3780),H3780))</f>
        <v/>
      </c>
      <c r="Q3780">
        <f>IF(P3780="","",IFERROR(IF(AND(H3780="W7",OR(F3780="causal",F3780="predictive")),IF(AND(OR(K3780=1,K3780="1"),OR(L3780=1,L3780="1"),OR(M3780=1,M3780="1")),"adequate","partial"),IF(AND(H3780="W4",F3780="predictive",OR(J3780="P2",J3780="P3",J3780="P4")),IF(OR(U3780=1,U3780="1"),"adequate","partial"),INDEX(Fit_Matrix!$B:$B,MATCH(P3780,Fit_Matrix!$A:$A,0)))),"CHECK KEY"))</f>
        <v/>
      </c>
      <c r="U3780" s="10" t="n"/>
      <c r="V3780" s="10" t="n"/>
      <c r="W3780" s="10" t="n"/>
      <c r="X3780" s="10" t="n"/>
      <c r="Y3780" s="10" t="n"/>
      <c r="Z3780" s="10" t="n"/>
      <c r="AA3780" s="11">
        <f>IF(A3780="","",IF(AND(J3780="P4",F3780="causal"),"P4-CAUSAL",""))</f>
        <v/>
      </c>
    </row>
    <row r="3781" ht="15" customHeight="1" s="1">
      <c r="P3781">
        <f>IF(OR(F3781="",H3781="",J3781=""),"",J3781&amp;"|"&amp;F3781&amp;"|"&amp;IF(H3781="W3","W3_"&amp;IF(I3781="","unknown",I3781),H3781))</f>
        <v/>
      </c>
      <c r="Q3781">
        <f>IF(P3781="","",IFERROR(IF(AND(H3781="W7",OR(F3781="causal",F3781="predictive")),IF(AND(OR(K3781=1,K3781="1"),OR(L3781=1,L3781="1"),OR(M3781=1,M3781="1")),"adequate","partial"),IF(AND(H3781="W4",F3781="predictive",OR(J3781="P2",J3781="P3",J3781="P4")),IF(OR(U3781=1,U3781="1"),"adequate","partial"),INDEX(Fit_Matrix!$B:$B,MATCH(P3781,Fit_Matrix!$A:$A,0)))),"CHECK KEY"))</f>
        <v/>
      </c>
      <c r="U3781" s="10" t="n"/>
      <c r="V3781" s="10" t="n"/>
      <c r="W3781" s="10" t="n"/>
      <c r="X3781" s="10" t="n"/>
      <c r="Y3781" s="10" t="n"/>
      <c r="Z3781" s="10" t="n"/>
      <c r="AA3781" s="11">
        <f>IF(A3781="","",IF(AND(J3781="P4",F3781="causal"),"P4-CAUSAL",""))</f>
        <v/>
      </c>
    </row>
    <row r="3782" ht="15" customHeight="1" s="1">
      <c r="P3782">
        <f>IF(OR(F3782="",H3782="",J3782=""),"",J3782&amp;"|"&amp;F3782&amp;"|"&amp;IF(H3782="W3","W3_"&amp;IF(I3782="","unknown",I3782),H3782))</f>
        <v/>
      </c>
      <c r="Q3782">
        <f>IF(P3782="","",IFERROR(IF(AND(H3782="W7",OR(F3782="causal",F3782="predictive")),IF(AND(OR(K3782=1,K3782="1"),OR(L3782=1,L3782="1"),OR(M3782=1,M3782="1")),"adequate","partial"),IF(AND(H3782="W4",F3782="predictive",OR(J3782="P2",J3782="P3",J3782="P4")),IF(OR(U3782=1,U3782="1"),"adequate","partial"),INDEX(Fit_Matrix!$B:$B,MATCH(P3782,Fit_Matrix!$A:$A,0)))),"CHECK KEY"))</f>
        <v/>
      </c>
      <c r="U3782" s="10" t="n"/>
      <c r="V3782" s="10" t="n"/>
      <c r="W3782" s="10" t="n"/>
      <c r="X3782" s="10" t="n"/>
      <c r="Y3782" s="10" t="n"/>
      <c r="Z3782" s="10" t="n"/>
      <c r="AA3782" s="11">
        <f>IF(A3782="","",IF(AND(J3782="P4",F3782="causal"),"P4-CAUSAL",""))</f>
        <v/>
      </c>
    </row>
    <row r="3783" ht="15" customHeight="1" s="1">
      <c r="P3783">
        <f>IF(OR(F3783="",H3783="",J3783=""),"",J3783&amp;"|"&amp;F3783&amp;"|"&amp;IF(H3783="W3","W3_"&amp;IF(I3783="","unknown",I3783),H3783))</f>
        <v/>
      </c>
      <c r="Q3783">
        <f>IF(P3783="","",IFERROR(IF(AND(H3783="W7",OR(F3783="causal",F3783="predictive")),IF(AND(OR(K3783=1,K3783="1"),OR(L3783=1,L3783="1"),OR(M3783=1,M3783="1")),"adequate","partial"),IF(AND(H3783="W4",F3783="predictive",OR(J3783="P2",J3783="P3",J3783="P4")),IF(OR(U3783=1,U3783="1"),"adequate","partial"),INDEX(Fit_Matrix!$B:$B,MATCH(P3783,Fit_Matrix!$A:$A,0)))),"CHECK KEY"))</f>
        <v/>
      </c>
      <c r="U3783" s="10" t="n"/>
      <c r="V3783" s="10" t="n"/>
      <c r="W3783" s="10" t="n"/>
      <c r="X3783" s="10" t="n"/>
      <c r="Y3783" s="10" t="n"/>
      <c r="Z3783" s="10" t="n"/>
      <c r="AA3783" s="11">
        <f>IF(A3783="","",IF(AND(J3783="P4",F3783="causal"),"P4-CAUSAL",""))</f>
        <v/>
      </c>
    </row>
    <row r="3784" ht="15" customHeight="1" s="1">
      <c r="P3784">
        <f>IF(OR(F3784="",H3784="",J3784=""),"",J3784&amp;"|"&amp;F3784&amp;"|"&amp;IF(H3784="W3","W3_"&amp;IF(I3784="","unknown",I3784),H3784))</f>
        <v/>
      </c>
      <c r="Q3784">
        <f>IF(P3784="","",IFERROR(IF(AND(H3784="W7",OR(F3784="causal",F3784="predictive")),IF(AND(OR(K3784=1,K3784="1"),OR(L3784=1,L3784="1"),OR(M3784=1,M3784="1")),"adequate","partial"),IF(AND(H3784="W4",F3784="predictive",OR(J3784="P2",J3784="P3",J3784="P4")),IF(OR(U3784=1,U3784="1"),"adequate","partial"),INDEX(Fit_Matrix!$B:$B,MATCH(P3784,Fit_Matrix!$A:$A,0)))),"CHECK KEY"))</f>
        <v/>
      </c>
      <c r="U3784" s="10" t="n"/>
      <c r="V3784" s="10" t="n"/>
      <c r="W3784" s="10" t="n"/>
      <c r="X3784" s="10" t="n"/>
      <c r="Y3784" s="10" t="n"/>
      <c r="Z3784" s="10" t="n"/>
      <c r="AA3784" s="11">
        <f>IF(A3784="","",IF(AND(J3784="P4",F3784="causal"),"P4-CAUSAL",""))</f>
        <v/>
      </c>
    </row>
    <row r="3785" ht="15" customHeight="1" s="1">
      <c r="P3785">
        <f>IF(OR(F3785="",H3785="",J3785=""),"",J3785&amp;"|"&amp;F3785&amp;"|"&amp;IF(H3785="W3","W3_"&amp;IF(I3785="","unknown",I3785),H3785))</f>
        <v/>
      </c>
      <c r="Q3785">
        <f>IF(P3785="","",IFERROR(IF(AND(H3785="W7",OR(F3785="causal",F3785="predictive")),IF(AND(OR(K3785=1,K3785="1"),OR(L3785=1,L3785="1"),OR(M3785=1,M3785="1")),"adequate","partial"),IF(AND(H3785="W4",F3785="predictive",OR(J3785="P2",J3785="P3",J3785="P4")),IF(OR(U3785=1,U3785="1"),"adequate","partial"),INDEX(Fit_Matrix!$B:$B,MATCH(P3785,Fit_Matrix!$A:$A,0)))),"CHECK KEY"))</f>
        <v/>
      </c>
      <c r="U3785" s="10" t="n"/>
      <c r="V3785" s="10" t="n"/>
      <c r="W3785" s="10" t="n"/>
      <c r="X3785" s="10" t="n"/>
      <c r="Y3785" s="10" t="n"/>
      <c r="Z3785" s="10" t="n"/>
      <c r="AA3785" s="11">
        <f>IF(A3785="","",IF(AND(J3785="P4",F3785="causal"),"P4-CAUSAL",""))</f>
        <v/>
      </c>
    </row>
    <row r="3786" ht="15" customHeight="1" s="1">
      <c r="P3786">
        <f>IF(OR(F3786="",H3786="",J3786=""),"",J3786&amp;"|"&amp;F3786&amp;"|"&amp;IF(H3786="W3","W3_"&amp;IF(I3786="","unknown",I3786),H3786))</f>
        <v/>
      </c>
      <c r="Q3786">
        <f>IF(P3786="","",IFERROR(IF(AND(H3786="W7",OR(F3786="causal",F3786="predictive")),IF(AND(OR(K3786=1,K3786="1"),OR(L3786=1,L3786="1"),OR(M3786=1,M3786="1")),"adequate","partial"),IF(AND(H3786="W4",F3786="predictive",OR(J3786="P2",J3786="P3",J3786="P4")),IF(OR(U3786=1,U3786="1"),"adequate","partial"),INDEX(Fit_Matrix!$B:$B,MATCH(P3786,Fit_Matrix!$A:$A,0)))),"CHECK KEY"))</f>
        <v/>
      </c>
      <c r="U3786" s="10" t="n"/>
      <c r="V3786" s="10" t="n"/>
      <c r="W3786" s="10" t="n"/>
      <c r="X3786" s="10" t="n"/>
      <c r="Y3786" s="10" t="n"/>
      <c r="Z3786" s="10" t="n"/>
      <c r="AA3786" s="11">
        <f>IF(A3786="","",IF(AND(J3786="P4",F3786="causal"),"P4-CAUSAL",""))</f>
        <v/>
      </c>
    </row>
    <row r="3787" ht="15" customHeight="1" s="1">
      <c r="P3787">
        <f>IF(OR(F3787="",H3787="",J3787=""),"",J3787&amp;"|"&amp;F3787&amp;"|"&amp;IF(H3787="W3","W3_"&amp;IF(I3787="","unknown",I3787),H3787))</f>
        <v/>
      </c>
      <c r="Q3787">
        <f>IF(P3787="","",IFERROR(IF(AND(H3787="W7",OR(F3787="causal",F3787="predictive")),IF(AND(OR(K3787=1,K3787="1"),OR(L3787=1,L3787="1"),OR(M3787=1,M3787="1")),"adequate","partial"),IF(AND(H3787="W4",F3787="predictive",OR(J3787="P2",J3787="P3",J3787="P4")),IF(OR(U3787=1,U3787="1"),"adequate","partial"),INDEX(Fit_Matrix!$B:$B,MATCH(P3787,Fit_Matrix!$A:$A,0)))),"CHECK KEY"))</f>
        <v/>
      </c>
      <c r="U3787" s="10" t="n"/>
      <c r="V3787" s="10" t="n"/>
      <c r="W3787" s="10" t="n"/>
      <c r="X3787" s="10" t="n"/>
      <c r="Y3787" s="10" t="n"/>
      <c r="Z3787" s="10" t="n"/>
      <c r="AA3787" s="11">
        <f>IF(A3787="","",IF(AND(J3787="P4",F3787="causal"),"P4-CAUSAL",""))</f>
        <v/>
      </c>
    </row>
    <row r="3788" ht="15" customHeight="1" s="1">
      <c r="P3788">
        <f>IF(OR(F3788="",H3788="",J3788=""),"",J3788&amp;"|"&amp;F3788&amp;"|"&amp;IF(H3788="W3","W3_"&amp;IF(I3788="","unknown",I3788),H3788))</f>
        <v/>
      </c>
      <c r="Q3788">
        <f>IF(P3788="","",IFERROR(IF(AND(H3788="W7",OR(F3788="causal",F3788="predictive")),IF(AND(OR(K3788=1,K3788="1"),OR(L3788=1,L3788="1"),OR(M3788=1,M3788="1")),"adequate","partial"),IF(AND(H3788="W4",F3788="predictive",OR(J3788="P2",J3788="P3",J3788="P4")),IF(OR(U3788=1,U3788="1"),"adequate","partial"),INDEX(Fit_Matrix!$B:$B,MATCH(P3788,Fit_Matrix!$A:$A,0)))),"CHECK KEY"))</f>
        <v/>
      </c>
      <c r="U3788" s="10" t="n"/>
      <c r="V3788" s="10" t="n"/>
      <c r="W3788" s="10" t="n"/>
      <c r="X3788" s="10" t="n"/>
      <c r="Y3788" s="10" t="n"/>
      <c r="Z3788" s="10" t="n"/>
      <c r="AA3788" s="11">
        <f>IF(A3788="","",IF(AND(J3788="P4",F3788="causal"),"P4-CAUSAL",""))</f>
        <v/>
      </c>
    </row>
    <row r="3789" ht="15" customHeight="1" s="1">
      <c r="P3789">
        <f>IF(OR(F3789="",H3789="",J3789=""),"",J3789&amp;"|"&amp;F3789&amp;"|"&amp;IF(H3789="W3","W3_"&amp;IF(I3789="","unknown",I3789),H3789))</f>
        <v/>
      </c>
      <c r="Q3789">
        <f>IF(P3789="","",IFERROR(IF(AND(H3789="W7",OR(F3789="causal",F3789="predictive")),IF(AND(OR(K3789=1,K3789="1"),OR(L3789=1,L3789="1"),OR(M3789=1,M3789="1")),"adequate","partial"),IF(AND(H3789="W4",F3789="predictive",OR(J3789="P2",J3789="P3",J3789="P4")),IF(OR(U3789=1,U3789="1"),"adequate","partial"),INDEX(Fit_Matrix!$B:$B,MATCH(P3789,Fit_Matrix!$A:$A,0)))),"CHECK KEY"))</f>
        <v/>
      </c>
      <c r="U3789" s="10" t="n"/>
      <c r="V3789" s="10" t="n"/>
      <c r="W3789" s="10" t="n"/>
      <c r="X3789" s="10" t="n"/>
      <c r="Y3789" s="10" t="n"/>
      <c r="Z3789" s="10" t="n"/>
      <c r="AA3789" s="11">
        <f>IF(A3789="","",IF(AND(J3789="P4",F3789="causal"),"P4-CAUSAL",""))</f>
        <v/>
      </c>
    </row>
    <row r="3790" ht="15" customHeight="1" s="1">
      <c r="P3790">
        <f>IF(OR(F3790="",H3790="",J3790=""),"",J3790&amp;"|"&amp;F3790&amp;"|"&amp;IF(H3790="W3","W3_"&amp;IF(I3790="","unknown",I3790),H3790))</f>
        <v/>
      </c>
      <c r="Q3790">
        <f>IF(P3790="","",IFERROR(IF(AND(H3790="W7",OR(F3790="causal",F3790="predictive")),IF(AND(OR(K3790=1,K3790="1"),OR(L3790=1,L3790="1"),OR(M3790=1,M3790="1")),"adequate","partial"),IF(AND(H3790="W4",F3790="predictive",OR(J3790="P2",J3790="P3",J3790="P4")),IF(OR(U3790=1,U3790="1"),"adequate","partial"),INDEX(Fit_Matrix!$B:$B,MATCH(P3790,Fit_Matrix!$A:$A,0)))),"CHECK KEY"))</f>
        <v/>
      </c>
      <c r="U3790" s="10" t="n"/>
      <c r="V3790" s="10" t="n"/>
      <c r="W3790" s="10" t="n"/>
      <c r="X3790" s="10" t="n"/>
      <c r="Y3790" s="10" t="n"/>
      <c r="Z3790" s="10" t="n"/>
      <c r="AA3790" s="11">
        <f>IF(A3790="","",IF(AND(J3790="P4",F3790="causal"),"P4-CAUSAL",""))</f>
        <v/>
      </c>
    </row>
    <row r="3791" ht="15" customHeight="1" s="1">
      <c r="P3791">
        <f>IF(OR(F3791="",H3791="",J3791=""),"",J3791&amp;"|"&amp;F3791&amp;"|"&amp;IF(H3791="W3","W3_"&amp;IF(I3791="","unknown",I3791),H3791))</f>
        <v/>
      </c>
      <c r="Q3791">
        <f>IF(P3791="","",IFERROR(IF(AND(H3791="W7",OR(F3791="causal",F3791="predictive")),IF(AND(OR(K3791=1,K3791="1"),OR(L3791=1,L3791="1"),OR(M3791=1,M3791="1")),"adequate","partial"),IF(AND(H3791="W4",F3791="predictive",OR(J3791="P2",J3791="P3",J3791="P4")),IF(OR(U3791=1,U3791="1"),"adequate","partial"),INDEX(Fit_Matrix!$B:$B,MATCH(P3791,Fit_Matrix!$A:$A,0)))),"CHECK KEY"))</f>
        <v/>
      </c>
      <c r="U3791" s="10" t="n"/>
      <c r="V3791" s="10" t="n"/>
      <c r="W3791" s="10" t="n"/>
      <c r="X3791" s="10" t="n"/>
      <c r="Y3791" s="10" t="n"/>
      <c r="Z3791" s="10" t="n"/>
      <c r="AA3791" s="11">
        <f>IF(A3791="","",IF(AND(J3791="P4",F3791="causal"),"P4-CAUSAL",""))</f>
        <v/>
      </c>
    </row>
    <row r="3792" ht="15" customHeight="1" s="1">
      <c r="P3792">
        <f>IF(OR(F3792="",H3792="",J3792=""),"",J3792&amp;"|"&amp;F3792&amp;"|"&amp;IF(H3792="W3","W3_"&amp;IF(I3792="","unknown",I3792),H3792))</f>
        <v/>
      </c>
      <c r="Q3792">
        <f>IF(P3792="","",IFERROR(IF(AND(H3792="W7",OR(F3792="causal",F3792="predictive")),IF(AND(OR(K3792=1,K3792="1"),OR(L3792=1,L3792="1"),OR(M3792=1,M3792="1")),"adequate","partial"),IF(AND(H3792="W4",F3792="predictive",OR(J3792="P2",J3792="P3",J3792="P4")),IF(OR(U3792=1,U3792="1"),"adequate","partial"),INDEX(Fit_Matrix!$B:$B,MATCH(P3792,Fit_Matrix!$A:$A,0)))),"CHECK KEY"))</f>
        <v/>
      </c>
      <c r="U3792" s="10" t="n"/>
      <c r="V3792" s="10" t="n"/>
      <c r="W3792" s="10" t="n"/>
      <c r="X3792" s="10" t="n"/>
      <c r="Y3792" s="10" t="n"/>
      <c r="Z3792" s="10" t="n"/>
      <c r="AA3792" s="11">
        <f>IF(A3792="","",IF(AND(J3792="P4",F3792="causal"),"P4-CAUSAL",""))</f>
        <v/>
      </c>
    </row>
    <row r="3793" ht="15" customHeight="1" s="1">
      <c r="P3793">
        <f>IF(OR(F3793="",H3793="",J3793=""),"",J3793&amp;"|"&amp;F3793&amp;"|"&amp;IF(H3793="W3","W3_"&amp;IF(I3793="","unknown",I3793),H3793))</f>
        <v/>
      </c>
      <c r="Q3793">
        <f>IF(P3793="","",IFERROR(IF(AND(H3793="W7",OR(F3793="causal",F3793="predictive")),IF(AND(OR(K3793=1,K3793="1"),OR(L3793=1,L3793="1"),OR(M3793=1,M3793="1")),"adequate","partial"),IF(AND(H3793="W4",F3793="predictive",OR(J3793="P2",J3793="P3",J3793="P4")),IF(OR(U3793=1,U3793="1"),"adequate","partial"),INDEX(Fit_Matrix!$B:$B,MATCH(P3793,Fit_Matrix!$A:$A,0)))),"CHECK KEY"))</f>
        <v/>
      </c>
      <c r="U3793" s="10" t="n"/>
      <c r="V3793" s="10" t="n"/>
      <c r="W3793" s="10" t="n"/>
      <c r="X3793" s="10" t="n"/>
      <c r="Y3793" s="10" t="n"/>
      <c r="Z3793" s="10" t="n"/>
      <c r="AA3793" s="11">
        <f>IF(A3793="","",IF(AND(J3793="P4",F3793="causal"),"P4-CAUSAL",""))</f>
        <v/>
      </c>
    </row>
    <row r="3794" ht="15" customHeight="1" s="1">
      <c r="P3794">
        <f>IF(OR(F3794="",H3794="",J3794=""),"",J3794&amp;"|"&amp;F3794&amp;"|"&amp;IF(H3794="W3","W3_"&amp;IF(I3794="","unknown",I3794),H3794))</f>
        <v/>
      </c>
      <c r="Q3794">
        <f>IF(P3794="","",IFERROR(IF(AND(H3794="W7",OR(F3794="causal",F3794="predictive")),IF(AND(OR(K3794=1,K3794="1"),OR(L3794=1,L3794="1"),OR(M3794=1,M3794="1")),"adequate","partial"),IF(AND(H3794="W4",F3794="predictive",OR(J3794="P2",J3794="P3",J3794="P4")),IF(OR(U3794=1,U3794="1"),"adequate","partial"),INDEX(Fit_Matrix!$B:$B,MATCH(P3794,Fit_Matrix!$A:$A,0)))),"CHECK KEY"))</f>
        <v/>
      </c>
      <c r="U3794" s="10" t="n"/>
      <c r="V3794" s="10" t="n"/>
      <c r="W3794" s="10" t="n"/>
      <c r="X3794" s="10" t="n"/>
      <c r="Y3794" s="10" t="n"/>
      <c r="Z3794" s="10" t="n"/>
      <c r="AA3794" s="11">
        <f>IF(A3794="","",IF(AND(J3794="P4",F3794="causal"),"P4-CAUSAL",""))</f>
        <v/>
      </c>
    </row>
    <row r="3795" ht="15" customHeight="1" s="1">
      <c r="P3795">
        <f>IF(OR(F3795="",H3795="",J3795=""),"",J3795&amp;"|"&amp;F3795&amp;"|"&amp;IF(H3795="W3","W3_"&amp;IF(I3795="","unknown",I3795),H3795))</f>
        <v/>
      </c>
      <c r="Q3795">
        <f>IF(P3795="","",IFERROR(IF(AND(H3795="W7",OR(F3795="causal",F3795="predictive")),IF(AND(OR(K3795=1,K3795="1"),OR(L3795=1,L3795="1"),OR(M3795=1,M3795="1")),"adequate","partial"),IF(AND(H3795="W4",F3795="predictive",OR(J3795="P2",J3795="P3",J3795="P4")),IF(OR(U3795=1,U3795="1"),"adequate","partial"),INDEX(Fit_Matrix!$B:$B,MATCH(P3795,Fit_Matrix!$A:$A,0)))),"CHECK KEY"))</f>
        <v/>
      </c>
      <c r="U3795" s="10" t="n"/>
      <c r="V3795" s="10" t="n"/>
      <c r="W3795" s="10" t="n"/>
      <c r="X3795" s="10" t="n"/>
      <c r="Y3795" s="10" t="n"/>
      <c r="Z3795" s="10" t="n"/>
      <c r="AA3795" s="11">
        <f>IF(A3795="","",IF(AND(J3795="P4",F3795="causal"),"P4-CAUSAL",""))</f>
        <v/>
      </c>
    </row>
    <row r="3796" ht="15" customHeight="1" s="1">
      <c r="P3796">
        <f>IF(OR(F3796="",H3796="",J3796=""),"",J3796&amp;"|"&amp;F3796&amp;"|"&amp;IF(H3796="W3","W3_"&amp;IF(I3796="","unknown",I3796),H3796))</f>
        <v/>
      </c>
      <c r="Q3796">
        <f>IF(P3796="","",IFERROR(IF(AND(H3796="W7",OR(F3796="causal",F3796="predictive")),IF(AND(OR(K3796=1,K3796="1"),OR(L3796=1,L3796="1"),OR(M3796=1,M3796="1")),"adequate","partial"),IF(AND(H3796="W4",F3796="predictive",OR(J3796="P2",J3796="P3",J3796="P4")),IF(OR(U3796=1,U3796="1"),"adequate","partial"),INDEX(Fit_Matrix!$B:$B,MATCH(P3796,Fit_Matrix!$A:$A,0)))),"CHECK KEY"))</f>
        <v/>
      </c>
      <c r="U3796" s="10" t="n"/>
      <c r="V3796" s="10" t="n"/>
      <c r="W3796" s="10" t="n"/>
      <c r="X3796" s="10" t="n"/>
      <c r="Y3796" s="10" t="n"/>
      <c r="Z3796" s="10" t="n"/>
      <c r="AA3796" s="11">
        <f>IF(A3796="","",IF(AND(J3796="P4",F3796="causal"),"P4-CAUSAL",""))</f>
        <v/>
      </c>
    </row>
    <row r="3797" ht="15" customHeight="1" s="1">
      <c r="P3797">
        <f>IF(OR(F3797="",H3797="",J3797=""),"",J3797&amp;"|"&amp;F3797&amp;"|"&amp;IF(H3797="W3","W3_"&amp;IF(I3797="","unknown",I3797),H3797))</f>
        <v/>
      </c>
      <c r="Q3797">
        <f>IF(P3797="","",IFERROR(IF(AND(H3797="W7",OR(F3797="causal",F3797="predictive")),IF(AND(OR(K3797=1,K3797="1"),OR(L3797=1,L3797="1"),OR(M3797=1,M3797="1")),"adequate","partial"),IF(AND(H3797="W4",F3797="predictive",OR(J3797="P2",J3797="P3",J3797="P4")),IF(OR(U3797=1,U3797="1"),"adequate","partial"),INDEX(Fit_Matrix!$B:$B,MATCH(P3797,Fit_Matrix!$A:$A,0)))),"CHECK KEY"))</f>
        <v/>
      </c>
      <c r="U3797" s="10" t="n"/>
      <c r="V3797" s="10" t="n"/>
      <c r="W3797" s="10" t="n"/>
      <c r="X3797" s="10" t="n"/>
      <c r="Y3797" s="10" t="n"/>
      <c r="Z3797" s="10" t="n"/>
      <c r="AA3797" s="11">
        <f>IF(A3797="","",IF(AND(J3797="P4",F3797="causal"),"P4-CAUSAL",""))</f>
        <v/>
      </c>
    </row>
    <row r="3798" ht="15" customHeight="1" s="1">
      <c r="P3798">
        <f>IF(OR(F3798="",H3798="",J3798=""),"",J3798&amp;"|"&amp;F3798&amp;"|"&amp;IF(H3798="W3","W3_"&amp;IF(I3798="","unknown",I3798),H3798))</f>
        <v/>
      </c>
      <c r="Q3798">
        <f>IF(P3798="","",IFERROR(IF(AND(H3798="W7",OR(F3798="causal",F3798="predictive")),IF(AND(OR(K3798=1,K3798="1"),OR(L3798=1,L3798="1"),OR(M3798=1,M3798="1")),"adequate","partial"),IF(AND(H3798="W4",F3798="predictive",OR(J3798="P2",J3798="P3",J3798="P4")),IF(OR(U3798=1,U3798="1"),"adequate","partial"),INDEX(Fit_Matrix!$B:$B,MATCH(P3798,Fit_Matrix!$A:$A,0)))),"CHECK KEY"))</f>
        <v/>
      </c>
      <c r="U3798" s="10" t="n"/>
      <c r="V3798" s="10" t="n"/>
      <c r="W3798" s="10" t="n"/>
      <c r="X3798" s="10" t="n"/>
      <c r="Y3798" s="10" t="n"/>
      <c r="Z3798" s="10" t="n"/>
      <c r="AA3798" s="11">
        <f>IF(A3798="","",IF(AND(J3798="P4",F3798="causal"),"P4-CAUSAL",""))</f>
        <v/>
      </c>
    </row>
    <row r="3799" ht="15" customHeight="1" s="1">
      <c r="P3799">
        <f>IF(OR(F3799="",H3799="",J3799=""),"",J3799&amp;"|"&amp;F3799&amp;"|"&amp;IF(H3799="W3","W3_"&amp;IF(I3799="","unknown",I3799),H3799))</f>
        <v/>
      </c>
      <c r="Q3799">
        <f>IF(P3799="","",IFERROR(IF(AND(H3799="W7",OR(F3799="causal",F3799="predictive")),IF(AND(OR(K3799=1,K3799="1"),OR(L3799=1,L3799="1"),OR(M3799=1,M3799="1")),"adequate","partial"),IF(AND(H3799="W4",F3799="predictive",OR(J3799="P2",J3799="P3",J3799="P4")),IF(OR(U3799=1,U3799="1"),"adequate","partial"),INDEX(Fit_Matrix!$B:$B,MATCH(P3799,Fit_Matrix!$A:$A,0)))),"CHECK KEY"))</f>
        <v/>
      </c>
      <c r="U3799" s="10" t="n"/>
      <c r="V3799" s="10" t="n"/>
      <c r="W3799" s="10" t="n"/>
      <c r="X3799" s="10" t="n"/>
      <c r="Y3799" s="10" t="n"/>
      <c r="Z3799" s="10" t="n"/>
      <c r="AA3799" s="11">
        <f>IF(A3799="","",IF(AND(J3799="P4",F3799="causal"),"P4-CAUSAL",""))</f>
        <v/>
      </c>
    </row>
    <row r="3800" ht="15" customHeight="1" s="1">
      <c r="P3800">
        <f>IF(OR(F3800="",H3800="",J3800=""),"",J3800&amp;"|"&amp;F3800&amp;"|"&amp;IF(H3800="W3","W3_"&amp;IF(I3800="","unknown",I3800),H3800))</f>
        <v/>
      </c>
      <c r="Q3800">
        <f>IF(P3800="","",IFERROR(IF(AND(H3800="W7",OR(F3800="causal",F3800="predictive")),IF(AND(OR(K3800=1,K3800="1"),OR(L3800=1,L3800="1"),OR(M3800=1,M3800="1")),"adequate","partial"),IF(AND(H3800="W4",F3800="predictive",OR(J3800="P2",J3800="P3",J3800="P4")),IF(OR(U3800=1,U3800="1"),"adequate","partial"),INDEX(Fit_Matrix!$B:$B,MATCH(P3800,Fit_Matrix!$A:$A,0)))),"CHECK KEY"))</f>
        <v/>
      </c>
      <c r="U3800" s="10" t="n"/>
      <c r="V3800" s="10" t="n"/>
      <c r="W3800" s="10" t="n"/>
      <c r="X3800" s="10" t="n"/>
      <c r="Y3800" s="10" t="n"/>
      <c r="Z3800" s="10" t="n"/>
      <c r="AA3800" s="11">
        <f>IF(A3800="","",IF(AND(J3800="P4",F3800="causal"),"P4-CAUSAL",""))</f>
        <v/>
      </c>
    </row>
    <row r="3801" ht="15" customHeight="1" s="1">
      <c r="P3801">
        <f>IF(OR(F3801="",H3801="",J3801=""),"",J3801&amp;"|"&amp;F3801&amp;"|"&amp;IF(H3801="W3","W3_"&amp;IF(I3801="","unknown",I3801),H3801))</f>
        <v/>
      </c>
      <c r="Q3801">
        <f>IF(P3801="","",IFERROR(IF(AND(H3801="W7",OR(F3801="causal",F3801="predictive")),IF(AND(OR(K3801=1,K3801="1"),OR(L3801=1,L3801="1"),OR(M3801=1,M3801="1")),"adequate","partial"),IF(AND(H3801="W4",F3801="predictive",OR(J3801="P2",J3801="P3",J3801="P4")),IF(OR(U3801=1,U3801="1"),"adequate","partial"),INDEX(Fit_Matrix!$B:$B,MATCH(P3801,Fit_Matrix!$A:$A,0)))),"CHECK KEY"))</f>
        <v/>
      </c>
      <c r="U3801" s="10" t="n"/>
      <c r="V3801" s="10" t="n"/>
      <c r="W3801" s="10" t="n"/>
      <c r="X3801" s="10" t="n"/>
      <c r="Y3801" s="10" t="n"/>
      <c r="Z3801" s="10" t="n"/>
      <c r="AA3801" s="11">
        <f>IF(A3801="","",IF(AND(J3801="P4",F3801="causal"),"P4-CAUSAL",""))</f>
        <v/>
      </c>
    </row>
    <row r="3802" ht="15" customHeight="1" s="1">
      <c r="P3802">
        <f>IF(OR(F3802="",H3802="",J3802=""),"",J3802&amp;"|"&amp;F3802&amp;"|"&amp;IF(H3802="W3","W3_"&amp;IF(I3802="","unknown",I3802),H3802))</f>
        <v/>
      </c>
      <c r="Q3802">
        <f>IF(P3802="","",IFERROR(IF(AND(H3802="W7",OR(F3802="causal",F3802="predictive")),IF(AND(OR(K3802=1,K3802="1"),OR(L3802=1,L3802="1"),OR(M3802=1,M3802="1")),"adequate","partial"),IF(AND(H3802="W4",F3802="predictive",OR(J3802="P2",J3802="P3",J3802="P4")),IF(OR(U3802=1,U3802="1"),"adequate","partial"),INDEX(Fit_Matrix!$B:$B,MATCH(P3802,Fit_Matrix!$A:$A,0)))),"CHECK KEY"))</f>
        <v/>
      </c>
      <c r="U3802" s="10" t="n"/>
      <c r="V3802" s="10" t="n"/>
      <c r="W3802" s="10" t="n"/>
      <c r="X3802" s="10" t="n"/>
      <c r="Y3802" s="10" t="n"/>
      <c r="Z3802" s="10" t="n"/>
      <c r="AA3802" s="11">
        <f>IF(A3802="","",IF(AND(J3802="P4",F3802="causal"),"P4-CAUSAL",""))</f>
        <v/>
      </c>
    </row>
    <row r="3803" ht="15" customHeight="1" s="1">
      <c r="P3803">
        <f>IF(OR(F3803="",H3803="",J3803=""),"",J3803&amp;"|"&amp;F3803&amp;"|"&amp;IF(H3803="W3","W3_"&amp;IF(I3803="","unknown",I3803),H3803))</f>
        <v/>
      </c>
      <c r="Q3803">
        <f>IF(P3803="","",IFERROR(IF(AND(H3803="W7",OR(F3803="causal",F3803="predictive")),IF(AND(OR(K3803=1,K3803="1"),OR(L3803=1,L3803="1"),OR(M3803=1,M3803="1")),"adequate","partial"),IF(AND(H3803="W4",F3803="predictive",OR(J3803="P2",J3803="P3",J3803="P4")),IF(OR(U3803=1,U3803="1"),"adequate","partial"),INDEX(Fit_Matrix!$B:$B,MATCH(P3803,Fit_Matrix!$A:$A,0)))),"CHECK KEY"))</f>
        <v/>
      </c>
      <c r="U3803" s="10" t="n"/>
      <c r="V3803" s="10" t="n"/>
      <c r="W3803" s="10" t="n"/>
      <c r="X3803" s="10" t="n"/>
      <c r="Y3803" s="10" t="n"/>
      <c r="Z3803" s="10" t="n"/>
      <c r="AA3803" s="11">
        <f>IF(A3803="","",IF(AND(J3803="P4",F3803="causal"),"P4-CAUSAL",""))</f>
        <v/>
      </c>
    </row>
    <row r="3804" ht="15" customHeight="1" s="1">
      <c r="P3804">
        <f>IF(OR(F3804="",H3804="",J3804=""),"",J3804&amp;"|"&amp;F3804&amp;"|"&amp;IF(H3804="W3","W3_"&amp;IF(I3804="","unknown",I3804),H3804))</f>
        <v/>
      </c>
      <c r="Q3804">
        <f>IF(P3804="","",IFERROR(IF(AND(H3804="W7",OR(F3804="causal",F3804="predictive")),IF(AND(OR(K3804=1,K3804="1"),OR(L3804=1,L3804="1"),OR(M3804=1,M3804="1")),"adequate","partial"),IF(AND(H3804="W4",F3804="predictive",OR(J3804="P2",J3804="P3",J3804="P4")),IF(OR(U3804=1,U3804="1"),"adequate","partial"),INDEX(Fit_Matrix!$B:$B,MATCH(P3804,Fit_Matrix!$A:$A,0)))),"CHECK KEY"))</f>
        <v/>
      </c>
      <c r="U3804" s="10" t="n"/>
      <c r="V3804" s="10" t="n"/>
      <c r="W3804" s="10" t="n"/>
      <c r="X3804" s="10" t="n"/>
      <c r="Y3804" s="10" t="n"/>
      <c r="Z3804" s="10" t="n"/>
      <c r="AA3804" s="11">
        <f>IF(A3804="","",IF(AND(J3804="P4",F3804="causal"),"P4-CAUSAL",""))</f>
        <v/>
      </c>
    </row>
    <row r="3805" ht="15" customHeight="1" s="1">
      <c r="P3805">
        <f>IF(OR(F3805="",H3805="",J3805=""),"",J3805&amp;"|"&amp;F3805&amp;"|"&amp;IF(H3805="W3","W3_"&amp;IF(I3805="","unknown",I3805),H3805))</f>
        <v/>
      </c>
      <c r="Q3805">
        <f>IF(P3805="","",IFERROR(IF(AND(H3805="W7",OR(F3805="causal",F3805="predictive")),IF(AND(OR(K3805=1,K3805="1"),OR(L3805=1,L3805="1"),OR(M3805=1,M3805="1")),"adequate","partial"),IF(AND(H3805="W4",F3805="predictive",OR(J3805="P2",J3805="P3",J3805="P4")),IF(OR(U3805=1,U3805="1"),"adequate","partial"),INDEX(Fit_Matrix!$B:$B,MATCH(P3805,Fit_Matrix!$A:$A,0)))),"CHECK KEY"))</f>
        <v/>
      </c>
      <c r="U3805" s="10" t="n"/>
      <c r="V3805" s="10" t="n"/>
      <c r="W3805" s="10" t="n"/>
      <c r="X3805" s="10" t="n"/>
      <c r="Y3805" s="10" t="n"/>
      <c r="Z3805" s="10" t="n"/>
      <c r="AA3805" s="11">
        <f>IF(A3805="","",IF(AND(J3805="P4",F3805="causal"),"P4-CAUSAL",""))</f>
        <v/>
      </c>
    </row>
    <row r="3806" ht="15" customHeight="1" s="1">
      <c r="P3806">
        <f>IF(OR(F3806="",H3806="",J3806=""),"",J3806&amp;"|"&amp;F3806&amp;"|"&amp;IF(H3806="W3","W3_"&amp;IF(I3806="","unknown",I3806),H3806))</f>
        <v/>
      </c>
      <c r="Q3806">
        <f>IF(P3806="","",IFERROR(IF(AND(H3806="W7",OR(F3806="causal",F3806="predictive")),IF(AND(OR(K3806=1,K3806="1"),OR(L3806=1,L3806="1"),OR(M3806=1,M3806="1")),"adequate","partial"),IF(AND(H3806="W4",F3806="predictive",OR(J3806="P2",J3806="P3",J3806="P4")),IF(OR(U3806=1,U3806="1"),"adequate","partial"),INDEX(Fit_Matrix!$B:$B,MATCH(P3806,Fit_Matrix!$A:$A,0)))),"CHECK KEY"))</f>
        <v/>
      </c>
      <c r="U3806" s="10" t="n"/>
      <c r="V3806" s="10" t="n"/>
      <c r="W3806" s="10" t="n"/>
      <c r="X3806" s="10" t="n"/>
      <c r="Y3806" s="10" t="n"/>
      <c r="Z3806" s="10" t="n"/>
      <c r="AA3806" s="11">
        <f>IF(A3806="","",IF(AND(J3806="P4",F3806="causal"),"P4-CAUSAL",""))</f>
        <v/>
      </c>
    </row>
    <row r="3807" ht="15" customHeight="1" s="1">
      <c r="P3807">
        <f>IF(OR(F3807="",H3807="",J3807=""),"",J3807&amp;"|"&amp;F3807&amp;"|"&amp;IF(H3807="W3","W3_"&amp;IF(I3807="","unknown",I3807),H3807))</f>
        <v/>
      </c>
      <c r="Q3807">
        <f>IF(P3807="","",IFERROR(IF(AND(H3807="W7",OR(F3807="causal",F3807="predictive")),IF(AND(OR(K3807=1,K3807="1"),OR(L3807=1,L3807="1"),OR(M3807=1,M3807="1")),"adequate","partial"),IF(AND(H3807="W4",F3807="predictive",OR(J3807="P2",J3807="P3",J3807="P4")),IF(OR(U3807=1,U3807="1"),"adequate","partial"),INDEX(Fit_Matrix!$B:$B,MATCH(P3807,Fit_Matrix!$A:$A,0)))),"CHECK KEY"))</f>
        <v/>
      </c>
      <c r="U3807" s="10" t="n"/>
      <c r="V3807" s="10" t="n"/>
      <c r="W3807" s="10" t="n"/>
      <c r="X3807" s="10" t="n"/>
      <c r="Y3807" s="10" t="n"/>
      <c r="Z3807" s="10" t="n"/>
      <c r="AA3807" s="11">
        <f>IF(A3807="","",IF(AND(J3807="P4",F3807="causal"),"P4-CAUSAL",""))</f>
        <v/>
      </c>
    </row>
    <row r="3808" ht="15" customHeight="1" s="1">
      <c r="P3808">
        <f>IF(OR(F3808="",H3808="",J3808=""),"",J3808&amp;"|"&amp;F3808&amp;"|"&amp;IF(H3808="W3","W3_"&amp;IF(I3808="","unknown",I3808),H3808))</f>
        <v/>
      </c>
      <c r="Q3808">
        <f>IF(P3808="","",IFERROR(IF(AND(H3808="W7",OR(F3808="causal",F3808="predictive")),IF(AND(OR(K3808=1,K3808="1"),OR(L3808=1,L3808="1"),OR(M3808=1,M3808="1")),"adequate","partial"),IF(AND(H3808="W4",F3808="predictive",OR(J3808="P2",J3808="P3",J3808="P4")),IF(OR(U3808=1,U3808="1"),"adequate","partial"),INDEX(Fit_Matrix!$B:$B,MATCH(P3808,Fit_Matrix!$A:$A,0)))),"CHECK KEY"))</f>
        <v/>
      </c>
      <c r="U3808" s="10" t="n"/>
      <c r="V3808" s="10" t="n"/>
      <c r="W3808" s="10" t="n"/>
      <c r="X3808" s="10" t="n"/>
      <c r="Y3808" s="10" t="n"/>
      <c r="Z3808" s="10" t="n"/>
      <c r="AA3808" s="11">
        <f>IF(A3808="","",IF(AND(J3808="P4",F3808="causal"),"P4-CAUSAL",""))</f>
        <v/>
      </c>
    </row>
    <row r="3809" ht="15" customHeight="1" s="1">
      <c r="P3809">
        <f>IF(OR(F3809="",H3809="",J3809=""),"",J3809&amp;"|"&amp;F3809&amp;"|"&amp;IF(H3809="W3","W3_"&amp;IF(I3809="","unknown",I3809),H3809))</f>
        <v/>
      </c>
      <c r="Q3809">
        <f>IF(P3809="","",IFERROR(IF(AND(H3809="W7",OR(F3809="causal",F3809="predictive")),IF(AND(OR(K3809=1,K3809="1"),OR(L3809=1,L3809="1"),OR(M3809=1,M3809="1")),"adequate","partial"),IF(AND(H3809="W4",F3809="predictive",OR(J3809="P2",J3809="P3",J3809="P4")),IF(OR(U3809=1,U3809="1"),"adequate","partial"),INDEX(Fit_Matrix!$B:$B,MATCH(P3809,Fit_Matrix!$A:$A,0)))),"CHECK KEY"))</f>
        <v/>
      </c>
      <c r="U3809" s="10" t="n"/>
      <c r="V3809" s="10" t="n"/>
      <c r="W3809" s="10" t="n"/>
      <c r="X3809" s="10" t="n"/>
      <c r="Y3809" s="10" t="n"/>
      <c r="Z3809" s="10" t="n"/>
      <c r="AA3809" s="11">
        <f>IF(A3809="","",IF(AND(J3809="P4",F3809="causal"),"P4-CAUSAL",""))</f>
        <v/>
      </c>
    </row>
    <row r="3810" ht="15" customHeight="1" s="1">
      <c r="P3810">
        <f>IF(OR(F3810="",H3810="",J3810=""),"",J3810&amp;"|"&amp;F3810&amp;"|"&amp;IF(H3810="W3","W3_"&amp;IF(I3810="","unknown",I3810),H3810))</f>
        <v/>
      </c>
      <c r="Q3810">
        <f>IF(P3810="","",IFERROR(IF(AND(H3810="W7",OR(F3810="causal",F3810="predictive")),IF(AND(OR(K3810=1,K3810="1"),OR(L3810=1,L3810="1"),OR(M3810=1,M3810="1")),"adequate","partial"),IF(AND(H3810="W4",F3810="predictive",OR(J3810="P2",J3810="P3",J3810="P4")),IF(OR(U3810=1,U3810="1"),"adequate","partial"),INDEX(Fit_Matrix!$B:$B,MATCH(P3810,Fit_Matrix!$A:$A,0)))),"CHECK KEY"))</f>
        <v/>
      </c>
      <c r="U3810" s="10" t="n"/>
      <c r="V3810" s="10" t="n"/>
      <c r="W3810" s="10" t="n"/>
      <c r="X3810" s="10" t="n"/>
      <c r="Y3810" s="10" t="n"/>
      <c r="Z3810" s="10" t="n"/>
      <c r="AA3810" s="11">
        <f>IF(A3810="","",IF(AND(J3810="P4",F3810="causal"),"P4-CAUSAL",""))</f>
        <v/>
      </c>
    </row>
    <row r="3811" ht="15" customHeight="1" s="1">
      <c r="P3811">
        <f>IF(OR(F3811="",H3811="",J3811=""),"",J3811&amp;"|"&amp;F3811&amp;"|"&amp;IF(H3811="W3","W3_"&amp;IF(I3811="","unknown",I3811),H3811))</f>
        <v/>
      </c>
      <c r="Q3811">
        <f>IF(P3811="","",IFERROR(IF(AND(H3811="W7",OR(F3811="causal",F3811="predictive")),IF(AND(OR(K3811=1,K3811="1"),OR(L3811=1,L3811="1"),OR(M3811=1,M3811="1")),"adequate","partial"),IF(AND(H3811="W4",F3811="predictive",OR(J3811="P2",J3811="P3",J3811="P4")),IF(OR(U3811=1,U3811="1"),"adequate","partial"),INDEX(Fit_Matrix!$B:$B,MATCH(P3811,Fit_Matrix!$A:$A,0)))),"CHECK KEY"))</f>
        <v/>
      </c>
      <c r="U3811" s="10" t="n"/>
      <c r="V3811" s="10" t="n"/>
      <c r="W3811" s="10" t="n"/>
      <c r="X3811" s="10" t="n"/>
      <c r="Y3811" s="10" t="n"/>
      <c r="Z3811" s="10" t="n"/>
      <c r="AA3811" s="11">
        <f>IF(A3811="","",IF(AND(J3811="P4",F3811="causal"),"P4-CAUSAL",""))</f>
        <v/>
      </c>
    </row>
    <row r="3812" ht="15" customHeight="1" s="1">
      <c r="P3812">
        <f>IF(OR(F3812="",H3812="",J3812=""),"",J3812&amp;"|"&amp;F3812&amp;"|"&amp;IF(H3812="W3","W3_"&amp;IF(I3812="","unknown",I3812),H3812))</f>
        <v/>
      </c>
      <c r="Q3812">
        <f>IF(P3812="","",IFERROR(IF(AND(H3812="W7",OR(F3812="causal",F3812="predictive")),IF(AND(OR(K3812=1,K3812="1"),OR(L3812=1,L3812="1"),OR(M3812=1,M3812="1")),"adequate","partial"),IF(AND(H3812="W4",F3812="predictive",OR(J3812="P2",J3812="P3",J3812="P4")),IF(OR(U3812=1,U3812="1"),"adequate","partial"),INDEX(Fit_Matrix!$B:$B,MATCH(P3812,Fit_Matrix!$A:$A,0)))),"CHECK KEY"))</f>
        <v/>
      </c>
      <c r="U3812" s="10" t="n"/>
      <c r="V3812" s="10" t="n"/>
      <c r="W3812" s="10" t="n"/>
      <c r="X3812" s="10" t="n"/>
      <c r="Y3812" s="10" t="n"/>
      <c r="Z3812" s="10" t="n"/>
      <c r="AA3812" s="11">
        <f>IF(A3812="","",IF(AND(J3812="P4",F3812="causal"),"P4-CAUSAL",""))</f>
        <v/>
      </c>
    </row>
    <row r="3813" ht="15" customHeight="1" s="1">
      <c r="P3813">
        <f>IF(OR(F3813="",H3813="",J3813=""),"",J3813&amp;"|"&amp;F3813&amp;"|"&amp;IF(H3813="W3","W3_"&amp;IF(I3813="","unknown",I3813),H3813))</f>
        <v/>
      </c>
      <c r="Q3813">
        <f>IF(P3813="","",IFERROR(IF(AND(H3813="W7",OR(F3813="causal",F3813="predictive")),IF(AND(OR(K3813=1,K3813="1"),OR(L3813=1,L3813="1"),OR(M3813=1,M3813="1")),"adequate","partial"),IF(AND(H3813="W4",F3813="predictive",OR(J3813="P2",J3813="P3",J3813="P4")),IF(OR(U3813=1,U3813="1"),"adequate","partial"),INDEX(Fit_Matrix!$B:$B,MATCH(P3813,Fit_Matrix!$A:$A,0)))),"CHECK KEY"))</f>
        <v/>
      </c>
      <c r="U3813" s="10" t="n"/>
      <c r="V3813" s="10" t="n"/>
      <c r="W3813" s="10" t="n"/>
      <c r="X3813" s="10" t="n"/>
      <c r="Y3813" s="10" t="n"/>
      <c r="Z3813" s="10" t="n"/>
      <c r="AA3813" s="11">
        <f>IF(A3813="","",IF(AND(J3813="P4",F3813="causal"),"P4-CAUSAL",""))</f>
        <v/>
      </c>
    </row>
    <row r="3814" ht="15" customHeight="1" s="1">
      <c r="P3814">
        <f>IF(OR(F3814="",H3814="",J3814=""),"",J3814&amp;"|"&amp;F3814&amp;"|"&amp;IF(H3814="W3","W3_"&amp;IF(I3814="","unknown",I3814),H3814))</f>
        <v/>
      </c>
      <c r="Q3814">
        <f>IF(P3814="","",IFERROR(IF(AND(H3814="W7",OR(F3814="causal",F3814="predictive")),IF(AND(OR(K3814=1,K3814="1"),OR(L3814=1,L3814="1"),OR(M3814=1,M3814="1")),"adequate","partial"),IF(AND(H3814="W4",F3814="predictive",OR(J3814="P2",J3814="P3",J3814="P4")),IF(OR(U3814=1,U3814="1"),"adequate","partial"),INDEX(Fit_Matrix!$B:$B,MATCH(P3814,Fit_Matrix!$A:$A,0)))),"CHECK KEY"))</f>
        <v/>
      </c>
      <c r="U3814" s="10" t="n"/>
      <c r="V3814" s="10" t="n"/>
      <c r="W3814" s="10" t="n"/>
      <c r="X3814" s="10" t="n"/>
      <c r="Y3814" s="10" t="n"/>
      <c r="Z3814" s="10" t="n"/>
      <c r="AA3814" s="11">
        <f>IF(A3814="","",IF(AND(J3814="P4",F3814="causal"),"P4-CAUSAL",""))</f>
        <v/>
      </c>
    </row>
    <row r="3815" ht="15" customHeight="1" s="1">
      <c r="P3815">
        <f>IF(OR(F3815="",H3815="",J3815=""),"",J3815&amp;"|"&amp;F3815&amp;"|"&amp;IF(H3815="W3","W3_"&amp;IF(I3815="","unknown",I3815),H3815))</f>
        <v/>
      </c>
      <c r="Q3815">
        <f>IF(P3815="","",IFERROR(IF(AND(H3815="W7",OR(F3815="causal",F3815="predictive")),IF(AND(OR(K3815=1,K3815="1"),OR(L3815=1,L3815="1"),OR(M3815=1,M3815="1")),"adequate","partial"),IF(AND(H3815="W4",F3815="predictive",OR(J3815="P2",J3815="P3",J3815="P4")),IF(OR(U3815=1,U3815="1"),"adequate","partial"),INDEX(Fit_Matrix!$B:$B,MATCH(P3815,Fit_Matrix!$A:$A,0)))),"CHECK KEY"))</f>
        <v/>
      </c>
      <c r="U3815" s="10" t="n"/>
      <c r="V3815" s="10" t="n"/>
      <c r="W3815" s="10" t="n"/>
      <c r="X3815" s="10" t="n"/>
      <c r="Y3815" s="10" t="n"/>
      <c r="Z3815" s="10" t="n"/>
      <c r="AA3815" s="11">
        <f>IF(A3815="","",IF(AND(J3815="P4",F3815="causal"),"P4-CAUSAL",""))</f>
        <v/>
      </c>
    </row>
    <row r="3816" ht="15" customHeight="1" s="1">
      <c r="P3816">
        <f>IF(OR(F3816="",H3816="",J3816=""),"",J3816&amp;"|"&amp;F3816&amp;"|"&amp;IF(H3816="W3","W3_"&amp;IF(I3816="","unknown",I3816),H3816))</f>
        <v/>
      </c>
      <c r="Q3816">
        <f>IF(P3816="","",IFERROR(IF(AND(H3816="W7",OR(F3816="causal",F3816="predictive")),IF(AND(OR(K3816=1,K3816="1"),OR(L3816=1,L3816="1"),OR(M3816=1,M3816="1")),"adequate","partial"),IF(AND(H3816="W4",F3816="predictive",OR(J3816="P2",J3816="P3",J3816="P4")),IF(OR(U3816=1,U3816="1"),"adequate","partial"),INDEX(Fit_Matrix!$B:$B,MATCH(P3816,Fit_Matrix!$A:$A,0)))),"CHECK KEY"))</f>
        <v/>
      </c>
      <c r="U3816" s="10" t="n"/>
      <c r="V3816" s="10" t="n"/>
      <c r="W3816" s="10" t="n"/>
      <c r="X3816" s="10" t="n"/>
      <c r="Y3816" s="10" t="n"/>
      <c r="Z3816" s="10" t="n"/>
      <c r="AA3816" s="11">
        <f>IF(A3816="","",IF(AND(J3816="P4",F3816="causal"),"P4-CAUSAL",""))</f>
        <v/>
      </c>
    </row>
    <row r="3817" ht="15" customHeight="1" s="1">
      <c r="P3817">
        <f>IF(OR(F3817="",H3817="",J3817=""),"",J3817&amp;"|"&amp;F3817&amp;"|"&amp;IF(H3817="W3","W3_"&amp;IF(I3817="","unknown",I3817),H3817))</f>
        <v/>
      </c>
      <c r="Q3817">
        <f>IF(P3817="","",IFERROR(IF(AND(H3817="W7",OR(F3817="causal",F3817="predictive")),IF(AND(OR(K3817=1,K3817="1"),OR(L3817=1,L3817="1"),OR(M3817=1,M3817="1")),"adequate","partial"),IF(AND(H3817="W4",F3817="predictive",OR(J3817="P2",J3817="P3",J3817="P4")),IF(OR(U3817=1,U3817="1"),"adequate","partial"),INDEX(Fit_Matrix!$B:$B,MATCH(P3817,Fit_Matrix!$A:$A,0)))),"CHECK KEY"))</f>
        <v/>
      </c>
      <c r="U3817" s="10" t="n"/>
      <c r="V3817" s="10" t="n"/>
      <c r="W3817" s="10" t="n"/>
      <c r="X3817" s="10" t="n"/>
      <c r="Y3817" s="10" t="n"/>
      <c r="Z3817" s="10" t="n"/>
      <c r="AA3817" s="11">
        <f>IF(A3817="","",IF(AND(J3817="P4",F3817="causal"),"P4-CAUSAL",""))</f>
        <v/>
      </c>
    </row>
    <row r="3818" ht="15" customHeight="1" s="1">
      <c r="P3818">
        <f>IF(OR(F3818="",H3818="",J3818=""),"",J3818&amp;"|"&amp;F3818&amp;"|"&amp;IF(H3818="W3","W3_"&amp;IF(I3818="","unknown",I3818),H3818))</f>
        <v/>
      </c>
      <c r="Q3818">
        <f>IF(P3818="","",IFERROR(IF(AND(H3818="W7",OR(F3818="causal",F3818="predictive")),IF(AND(OR(K3818=1,K3818="1"),OR(L3818=1,L3818="1"),OR(M3818=1,M3818="1")),"adequate","partial"),IF(AND(H3818="W4",F3818="predictive",OR(J3818="P2",J3818="P3",J3818="P4")),IF(OR(U3818=1,U3818="1"),"adequate","partial"),INDEX(Fit_Matrix!$B:$B,MATCH(P3818,Fit_Matrix!$A:$A,0)))),"CHECK KEY"))</f>
        <v/>
      </c>
      <c r="U3818" s="10" t="n"/>
      <c r="V3818" s="10" t="n"/>
      <c r="W3818" s="10" t="n"/>
      <c r="X3818" s="10" t="n"/>
      <c r="Y3818" s="10" t="n"/>
      <c r="Z3818" s="10" t="n"/>
      <c r="AA3818" s="11">
        <f>IF(A3818="","",IF(AND(J3818="P4",F3818="causal"),"P4-CAUSAL",""))</f>
        <v/>
      </c>
    </row>
    <row r="3819" ht="15" customHeight="1" s="1">
      <c r="P3819">
        <f>IF(OR(F3819="",H3819="",J3819=""),"",J3819&amp;"|"&amp;F3819&amp;"|"&amp;IF(H3819="W3","W3_"&amp;IF(I3819="","unknown",I3819),H3819))</f>
        <v/>
      </c>
      <c r="Q3819">
        <f>IF(P3819="","",IFERROR(IF(AND(H3819="W7",OR(F3819="causal",F3819="predictive")),IF(AND(OR(K3819=1,K3819="1"),OR(L3819=1,L3819="1"),OR(M3819=1,M3819="1")),"adequate","partial"),IF(AND(H3819="W4",F3819="predictive",OR(J3819="P2",J3819="P3",J3819="P4")),IF(OR(U3819=1,U3819="1"),"adequate","partial"),INDEX(Fit_Matrix!$B:$B,MATCH(P3819,Fit_Matrix!$A:$A,0)))),"CHECK KEY"))</f>
        <v/>
      </c>
      <c r="U3819" s="10" t="n"/>
      <c r="V3819" s="10" t="n"/>
      <c r="W3819" s="10" t="n"/>
      <c r="X3819" s="10" t="n"/>
      <c r="Y3819" s="10" t="n"/>
      <c r="Z3819" s="10" t="n"/>
      <c r="AA3819" s="11">
        <f>IF(A3819="","",IF(AND(J3819="P4",F3819="causal"),"P4-CAUSAL",""))</f>
        <v/>
      </c>
    </row>
    <row r="3820" ht="15" customHeight="1" s="1">
      <c r="P3820">
        <f>IF(OR(F3820="",H3820="",J3820=""),"",J3820&amp;"|"&amp;F3820&amp;"|"&amp;IF(H3820="W3","W3_"&amp;IF(I3820="","unknown",I3820),H3820))</f>
        <v/>
      </c>
      <c r="Q3820">
        <f>IF(P3820="","",IFERROR(IF(AND(H3820="W7",OR(F3820="causal",F3820="predictive")),IF(AND(OR(K3820=1,K3820="1"),OR(L3820=1,L3820="1"),OR(M3820=1,M3820="1")),"adequate","partial"),IF(AND(H3820="W4",F3820="predictive",OR(J3820="P2",J3820="P3",J3820="P4")),IF(OR(U3820=1,U3820="1"),"adequate","partial"),INDEX(Fit_Matrix!$B:$B,MATCH(P3820,Fit_Matrix!$A:$A,0)))),"CHECK KEY"))</f>
        <v/>
      </c>
      <c r="U3820" s="10" t="n"/>
      <c r="V3820" s="10" t="n"/>
      <c r="W3820" s="10" t="n"/>
      <c r="X3820" s="10" t="n"/>
      <c r="Y3820" s="10" t="n"/>
      <c r="Z3820" s="10" t="n"/>
      <c r="AA3820" s="11">
        <f>IF(A3820="","",IF(AND(J3820="P4",F3820="causal"),"P4-CAUSAL",""))</f>
        <v/>
      </c>
    </row>
    <row r="3821" ht="15" customHeight="1" s="1">
      <c r="P3821">
        <f>IF(OR(F3821="",H3821="",J3821=""),"",J3821&amp;"|"&amp;F3821&amp;"|"&amp;IF(H3821="W3","W3_"&amp;IF(I3821="","unknown",I3821),H3821))</f>
        <v/>
      </c>
      <c r="Q3821">
        <f>IF(P3821="","",IFERROR(IF(AND(H3821="W7",OR(F3821="causal",F3821="predictive")),IF(AND(OR(K3821=1,K3821="1"),OR(L3821=1,L3821="1"),OR(M3821=1,M3821="1")),"adequate","partial"),IF(AND(H3821="W4",F3821="predictive",OR(J3821="P2",J3821="P3",J3821="P4")),IF(OR(U3821=1,U3821="1"),"adequate","partial"),INDEX(Fit_Matrix!$B:$B,MATCH(P3821,Fit_Matrix!$A:$A,0)))),"CHECK KEY"))</f>
        <v/>
      </c>
      <c r="U3821" s="10" t="n"/>
      <c r="V3821" s="10" t="n"/>
      <c r="W3821" s="10" t="n"/>
      <c r="X3821" s="10" t="n"/>
      <c r="Y3821" s="10" t="n"/>
      <c r="Z3821" s="10" t="n"/>
      <c r="AA3821" s="11">
        <f>IF(A3821="","",IF(AND(J3821="P4",F3821="causal"),"P4-CAUSAL",""))</f>
        <v/>
      </c>
    </row>
    <row r="3822" ht="15" customHeight="1" s="1">
      <c r="P3822">
        <f>IF(OR(F3822="",H3822="",J3822=""),"",J3822&amp;"|"&amp;F3822&amp;"|"&amp;IF(H3822="W3","W3_"&amp;IF(I3822="","unknown",I3822),H3822))</f>
        <v/>
      </c>
      <c r="Q3822">
        <f>IF(P3822="","",IFERROR(IF(AND(H3822="W7",OR(F3822="causal",F3822="predictive")),IF(AND(OR(K3822=1,K3822="1"),OR(L3822=1,L3822="1"),OR(M3822=1,M3822="1")),"adequate","partial"),IF(AND(H3822="W4",F3822="predictive",OR(J3822="P2",J3822="P3",J3822="P4")),IF(OR(U3822=1,U3822="1"),"adequate","partial"),INDEX(Fit_Matrix!$B:$B,MATCH(P3822,Fit_Matrix!$A:$A,0)))),"CHECK KEY"))</f>
        <v/>
      </c>
      <c r="U3822" s="10" t="n"/>
      <c r="V3822" s="10" t="n"/>
      <c r="W3822" s="10" t="n"/>
      <c r="X3822" s="10" t="n"/>
      <c r="Y3822" s="10" t="n"/>
      <c r="Z3822" s="10" t="n"/>
      <c r="AA3822" s="11">
        <f>IF(A3822="","",IF(AND(J3822="P4",F3822="causal"),"P4-CAUSAL",""))</f>
        <v/>
      </c>
    </row>
    <row r="3823" ht="15" customHeight="1" s="1">
      <c r="P3823">
        <f>IF(OR(F3823="",H3823="",J3823=""),"",J3823&amp;"|"&amp;F3823&amp;"|"&amp;IF(H3823="W3","W3_"&amp;IF(I3823="","unknown",I3823),H3823))</f>
        <v/>
      </c>
      <c r="Q3823">
        <f>IF(P3823="","",IFERROR(IF(AND(H3823="W7",OR(F3823="causal",F3823="predictive")),IF(AND(OR(K3823=1,K3823="1"),OR(L3823=1,L3823="1"),OR(M3823=1,M3823="1")),"adequate","partial"),IF(AND(H3823="W4",F3823="predictive",OR(J3823="P2",J3823="P3",J3823="P4")),IF(OR(U3823=1,U3823="1"),"adequate","partial"),INDEX(Fit_Matrix!$B:$B,MATCH(P3823,Fit_Matrix!$A:$A,0)))),"CHECK KEY"))</f>
        <v/>
      </c>
      <c r="U3823" s="10" t="n"/>
      <c r="V3823" s="10" t="n"/>
      <c r="W3823" s="10" t="n"/>
      <c r="X3823" s="10" t="n"/>
      <c r="Y3823" s="10" t="n"/>
      <c r="Z3823" s="10" t="n"/>
      <c r="AA3823" s="11">
        <f>IF(A3823="","",IF(AND(J3823="P4",F3823="causal"),"P4-CAUSAL",""))</f>
        <v/>
      </c>
    </row>
    <row r="3824" ht="15" customHeight="1" s="1">
      <c r="P3824">
        <f>IF(OR(F3824="",H3824="",J3824=""),"",J3824&amp;"|"&amp;F3824&amp;"|"&amp;IF(H3824="W3","W3_"&amp;IF(I3824="","unknown",I3824),H3824))</f>
        <v/>
      </c>
      <c r="Q3824">
        <f>IF(P3824="","",IFERROR(IF(AND(H3824="W7",OR(F3824="causal",F3824="predictive")),IF(AND(OR(K3824=1,K3824="1"),OR(L3824=1,L3824="1"),OR(M3824=1,M3824="1")),"adequate","partial"),IF(AND(H3824="W4",F3824="predictive",OR(J3824="P2",J3824="P3",J3824="P4")),IF(OR(U3824=1,U3824="1"),"adequate","partial"),INDEX(Fit_Matrix!$B:$B,MATCH(P3824,Fit_Matrix!$A:$A,0)))),"CHECK KEY"))</f>
        <v/>
      </c>
      <c r="U3824" s="10" t="n"/>
      <c r="V3824" s="10" t="n"/>
      <c r="W3824" s="10" t="n"/>
      <c r="X3824" s="10" t="n"/>
      <c r="Y3824" s="10" t="n"/>
      <c r="Z3824" s="10" t="n"/>
      <c r="AA3824" s="11">
        <f>IF(A3824="","",IF(AND(J3824="P4",F3824="causal"),"P4-CAUSAL",""))</f>
        <v/>
      </c>
    </row>
    <row r="3825" ht="15" customHeight="1" s="1">
      <c r="P3825">
        <f>IF(OR(F3825="",H3825="",J3825=""),"",J3825&amp;"|"&amp;F3825&amp;"|"&amp;IF(H3825="W3","W3_"&amp;IF(I3825="","unknown",I3825),H3825))</f>
        <v/>
      </c>
      <c r="Q3825">
        <f>IF(P3825="","",IFERROR(IF(AND(H3825="W7",OR(F3825="causal",F3825="predictive")),IF(AND(OR(K3825=1,K3825="1"),OR(L3825=1,L3825="1"),OR(M3825=1,M3825="1")),"adequate","partial"),IF(AND(H3825="W4",F3825="predictive",OR(J3825="P2",J3825="P3",J3825="P4")),IF(OR(U3825=1,U3825="1"),"adequate","partial"),INDEX(Fit_Matrix!$B:$B,MATCH(P3825,Fit_Matrix!$A:$A,0)))),"CHECK KEY"))</f>
        <v/>
      </c>
      <c r="U3825" s="10" t="n"/>
      <c r="V3825" s="10" t="n"/>
      <c r="W3825" s="10" t="n"/>
      <c r="X3825" s="10" t="n"/>
      <c r="Y3825" s="10" t="n"/>
      <c r="Z3825" s="10" t="n"/>
      <c r="AA3825" s="11">
        <f>IF(A3825="","",IF(AND(J3825="P4",F3825="causal"),"P4-CAUSAL",""))</f>
        <v/>
      </c>
    </row>
    <row r="3826" ht="15" customHeight="1" s="1">
      <c r="P3826">
        <f>IF(OR(F3826="",H3826="",J3826=""),"",J3826&amp;"|"&amp;F3826&amp;"|"&amp;IF(H3826="W3","W3_"&amp;IF(I3826="","unknown",I3826),H3826))</f>
        <v/>
      </c>
      <c r="Q3826">
        <f>IF(P3826="","",IFERROR(IF(AND(H3826="W7",OR(F3826="causal",F3826="predictive")),IF(AND(OR(K3826=1,K3826="1"),OR(L3826=1,L3826="1"),OR(M3826=1,M3826="1")),"adequate","partial"),IF(AND(H3826="W4",F3826="predictive",OR(J3826="P2",J3826="P3",J3826="P4")),IF(OR(U3826=1,U3826="1"),"adequate","partial"),INDEX(Fit_Matrix!$B:$B,MATCH(P3826,Fit_Matrix!$A:$A,0)))),"CHECK KEY"))</f>
        <v/>
      </c>
      <c r="U3826" s="10" t="n"/>
      <c r="V3826" s="10" t="n"/>
      <c r="W3826" s="10" t="n"/>
      <c r="X3826" s="10" t="n"/>
      <c r="Y3826" s="10" t="n"/>
      <c r="Z3826" s="10" t="n"/>
      <c r="AA3826" s="11">
        <f>IF(A3826="","",IF(AND(J3826="P4",F3826="causal"),"P4-CAUSAL",""))</f>
        <v/>
      </c>
    </row>
    <row r="3827" ht="15" customHeight="1" s="1">
      <c r="P3827">
        <f>IF(OR(F3827="",H3827="",J3827=""),"",J3827&amp;"|"&amp;F3827&amp;"|"&amp;IF(H3827="W3","W3_"&amp;IF(I3827="","unknown",I3827),H3827))</f>
        <v/>
      </c>
      <c r="Q3827">
        <f>IF(P3827="","",IFERROR(IF(AND(H3827="W7",OR(F3827="causal",F3827="predictive")),IF(AND(OR(K3827=1,K3827="1"),OR(L3827=1,L3827="1"),OR(M3827=1,M3827="1")),"adequate","partial"),IF(AND(H3827="W4",F3827="predictive",OR(J3827="P2",J3827="P3",J3827="P4")),IF(OR(U3827=1,U3827="1"),"adequate","partial"),INDEX(Fit_Matrix!$B:$B,MATCH(P3827,Fit_Matrix!$A:$A,0)))),"CHECK KEY"))</f>
        <v/>
      </c>
      <c r="U3827" s="10" t="n"/>
      <c r="V3827" s="10" t="n"/>
      <c r="W3827" s="10" t="n"/>
      <c r="X3827" s="10" t="n"/>
      <c r="Y3827" s="10" t="n"/>
      <c r="Z3827" s="10" t="n"/>
      <c r="AA3827" s="11">
        <f>IF(A3827="","",IF(AND(J3827="P4",F3827="causal"),"P4-CAUSAL",""))</f>
        <v/>
      </c>
    </row>
    <row r="3828" ht="15" customHeight="1" s="1">
      <c r="P3828">
        <f>IF(OR(F3828="",H3828="",J3828=""),"",J3828&amp;"|"&amp;F3828&amp;"|"&amp;IF(H3828="W3","W3_"&amp;IF(I3828="","unknown",I3828),H3828))</f>
        <v/>
      </c>
      <c r="Q3828">
        <f>IF(P3828="","",IFERROR(IF(AND(H3828="W7",OR(F3828="causal",F3828="predictive")),IF(AND(OR(K3828=1,K3828="1"),OR(L3828=1,L3828="1"),OR(M3828=1,M3828="1")),"adequate","partial"),IF(AND(H3828="W4",F3828="predictive",OR(J3828="P2",J3828="P3",J3828="P4")),IF(OR(U3828=1,U3828="1"),"adequate","partial"),INDEX(Fit_Matrix!$B:$B,MATCH(P3828,Fit_Matrix!$A:$A,0)))),"CHECK KEY"))</f>
        <v/>
      </c>
      <c r="U3828" s="10" t="n"/>
      <c r="V3828" s="10" t="n"/>
      <c r="W3828" s="10" t="n"/>
      <c r="X3828" s="10" t="n"/>
      <c r="Y3828" s="10" t="n"/>
      <c r="Z3828" s="10" t="n"/>
      <c r="AA3828" s="11">
        <f>IF(A3828="","",IF(AND(J3828="P4",F3828="causal"),"P4-CAUSAL",""))</f>
        <v/>
      </c>
    </row>
    <row r="3829" ht="15" customHeight="1" s="1">
      <c r="P3829">
        <f>IF(OR(F3829="",H3829="",J3829=""),"",J3829&amp;"|"&amp;F3829&amp;"|"&amp;IF(H3829="W3","W3_"&amp;IF(I3829="","unknown",I3829),H3829))</f>
        <v/>
      </c>
      <c r="Q3829">
        <f>IF(P3829="","",IFERROR(IF(AND(H3829="W7",OR(F3829="causal",F3829="predictive")),IF(AND(OR(K3829=1,K3829="1"),OR(L3829=1,L3829="1"),OR(M3829=1,M3829="1")),"adequate","partial"),IF(AND(H3829="W4",F3829="predictive",OR(J3829="P2",J3829="P3",J3829="P4")),IF(OR(U3829=1,U3829="1"),"adequate","partial"),INDEX(Fit_Matrix!$B:$B,MATCH(P3829,Fit_Matrix!$A:$A,0)))),"CHECK KEY"))</f>
        <v/>
      </c>
      <c r="U3829" s="10" t="n"/>
      <c r="V3829" s="10" t="n"/>
      <c r="W3829" s="10" t="n"/>
      <c r="X3829" s="10" t="n"/>
      <c r="Y3829" s="10" t="n"/>
      <c r="Z3829" s="10" t="n"/>
      <c r="AA3829" s="11">
        <f>IF(A3829="","",IF(AND(J3829="P4",F3829="causal"),"P4-CAUSAL",""))</f>
        <v/>
      </c>
    </row>
    <row r="3830" ht="15" customHeight="1" s="1">
      <c r="P3830">
        <f>IF(OR(F3830="",H3830="",J3830=""),"",J3830&amp;"|"&amp;F3830&amp;"|"&amp;IF(H3830="W3","W3_"&amp;IF(I3830="","unknown",I3830),H3830))</f>
        <v/>
      </c>
      <c r="Q3830">
        <f>IF(P3830="","",IFERROR(IF(AND(H3830="W7",OR(F3830="causal",F3830="predictive")),IF(AND(OR(K3830=1,K3830="1"),OR(L3830=1,L3830="1"),OR(M3830=1,M3830="1")),"adequate","partial"),IF(AND(H3830="W4",F3830="predictive",OR(J3830="P2",J3830="P3",J3830="P4")),IF(OR(U3830=1,U3830="1"),"adequate","partial"),INDEX(Fit_Matrix!$B:$B,MATCH(P3830,Fit_Matrix!$A:$A,0)))),"CHECK KEY"))</f>
        <v/>
      </c>
      <c r="U3830" s="10" t="n"/>
      <c r="V3830" s="10" t="n"/>
      <c r="W3830" s="10" t="n"/>
      <c r="X3830" s="10" t="n"/>
      <c r="Y3830" s="10" t="n"/>
      <c r="Z3830" s="10" t="n"/>
      <c r="AA3830" s="11">
        <f>IF(A3830="","",IF(AND(J3830="P4",F3830="causal"),"P4-CAUSAL",""))</f>
        <v/>
      </c>
    </row>
    <row r="3831" ht="15" customHeight="1" s="1">
      <c r="P3831">
        <f>IF(OR(F3831="",H3831="",J3831=""),"",J3831&amp;"|"&amp;F3831&amp;"|"&amp;IF(H3831="W3","W3_"&amp;IF(I3831="","unknown",I3831),H3831))</f>
        <v/>
      </c>
      <c r="Q3831">
        <f>IF(P3831="","",IFERROR(IF(AND(H3831="W7",OR(F3831="causal",F3831="predictive")),IF(AND(OR(K3831=1,K3831="1"),OR(L3831=1,L3831="1"),OR(M3831=1,M3831="1")),"adequate","partial"),IF(AND(H3831="W4",F3831="predictive",OR(J3831="P2",J3831="P3",J3831="P4")),IF(OR(U3831=1,U3831="1"),"adequate","partial"),INDEX(Fit_Matrix!$B:$B,MATCH(P3831,Fit_Matrix!$A:$A,0)))),"CHECK KEY"))</f>
        <v/>
      </c>
      <c r="U3831" s="10" t="n"/>
      <c r="V3831" s="10" t="n"/>
      <c r="W3831" s="10" t="n"/>
      <c r="X3831" s="10" t="n"/>
      <c r="Y3831" s="10" t="n"/>
      <c r="Z3831" s="10" t="n"/>
      <c r="AA3831" s="11">
        <f>IF(A3831="","",IF(AND(J3831="P4",F3831="causal"),"P4-CAUSAL",""))</f>
        <v/>
      </c>
    </row>
    <row r="3832" ht="15" customHeight="1" s="1">
      <c r="P3832">
        <f>IF(OR(F3832="",H3832="",J3832=""),"",J3832&amp;"|"&amp;F3832&amp;"|"&amp;IF(H3832="W3","W3_"&amp;IF(I3832="","unknown",I3832),H3832))</f>
        <v/>
      </c>
      <c r="Q3832">
        <f>IF(P3832="","",IFERROR(IF(AND(H3832="W7",OR(F3832="causal",F3832="predictive")),IF(AND(OR(K3832=1,K3832="1"),OR(L3832=1,L3832="1"),OR(M3832=1,M3832="1")),"adequate","partial"),IF(AND(H3832="W4",F3832="predictive",OR(J3832="P2",J3832="P3",J3832="P4")),IF(OR(U3832=1,U3832="1"),"adequate","partial"),INDEX(Fit_Matrix!$B:$B,MATCH(P3832,Fit_Matrix!$A:$A,0)))),"CHECK KEY"))</f>
        <v/>
      </c>
      <c r="U3832" s="10" t="n"/>
      <c r="V3832" s="10" t="n"/>
      <c r="W3832" s="10" t="n"/>
      <c r="X3832" s="10" t="n"/>
      <c r="Y3832" s="10" t="n"/>
      <c r="Z3832" s="10" t="n"/>
      <c r="AA3832" s="11">
        <f>IF(A3832="","",IF(AND(J3832="P4",F3832="causal"),"P4-CAUSAL",""))</f>
        <v/>
      </c>
    </row>
    <row r="3833" ht="15" customHeight="1" s="1">
      <c r="P3833">
        <f>IF(OR(F3833="",H3833="",J3833=""),"",J3833&amp;"|"&amp;F3833&amp;"|"&amp;IF(H3833="W3","W3_"&amp;IF(I3833="","unknown",I3833),H3833))</f>
        <v/>
      </c>
      <c r="Q3833">
        <f>IF(P3833="","",IFERROR(IF(AND(H3833="W7",OR(F3833="causal",F3833="predictive")),IF(AND(OR(K3833=1,K3833="1"),OR(L3833=1,L3833="1"),OR(M3833=1,M3833="1")),"adequate","partial"),IF(AND(H3833="W4",F3833="predictive",OR(J3833="P2",J3833="P3",J3833="P4")),IF(OR(U3833=1,U3833="1"),"adequate","partial"),INDEX(Fit_Matrix!$B:$B,MATCH(P3833,Fit_Matrix!$A:$A,0)))),"CHECK KEY"))</f>
        <v/>
      </c>
      <c r="U3833" s="10" t="n"/>
      <c r="V3833" s="10" t="n"/>
      <c r="W3833" s="10" t="n"/>
      <c r="X3833" s="10" t="n"/>
      <c r="Y3833" s="10" t="n"/>
      <c r="Z3833" s="10" t="n"/>
      <c r="AA3833" s="11">
        <f>IF(A3833="","",IF(AND(J3833="P4",F3833="causal"),"P4-CAUSAL",""))</f>
        <v/>
      </c>
    </row>
    <row r="3834" ht="15" customHeight="1" s="1">
      <c r="P3834">
        <f>IF(OR(F3834="",H3834="",J3834=""),"",J3834&amp;"|"&amp;F3834&amp;"|"&amp;IF(H3834="W3","W3_"&amp;IF(I3834="","unknown",I3834),H3834))</f>
        <v/>
      </c>
      <c r="Q3834">
        <f>IF(P3834="","",IFERROR(IF(AND(H3834="W7",OR(F3834="causal",F3834="predictive")),IF(AND(OR(K3834=1,K3834="1"),OR(L3834=1,L3834="1"),OR(M3834=1,M3834="1")),"adequate","partial"),IF(AND(H3834="W4",F3834="predictive",OR(J3834="P2",J3834="P3",J3834="P4")),IF(OR(U3834=1,U3834="1"),"adequate","partial"),INDEX(Fit_Matrix!$B:$B,MATCH(P3834,Fit_Matrix!$A:$A,0)))),"CHECK KEY"))</f>
        <v/>
      </c>
      <c r="U3834" s="10" t="n"/>
      <c r="V3834" s="10" t="n"/>
      <c r="W3834" s="10" t="n"/>
      <c r="X3834" s="10" t="n"/>
      <c r="Y3834" s="10" t="n"/>
      <c r="Z3834" s="10" t="n"/>
      <c r="AA3834" s="11">
        <f>IF(A3834="","",IF(AND(J3834="P4",F3834="causal"),"P4-CAUSAL",""))</f>
        <v/>
      </c>
    </row>
    <row r="3835" ht="15" customHeight="1" s="1">
      <c r="P3835">
        <f>IF(OR(F3835="",H3835="",J3835=""),"",J3835&amp;"|"&amp;F3835&amp;"|"&amp;IF(H3835="W3","W3_"&amp;IF(I3835="","unknown",I3835),H3835))</f>
        <v/>
      </c>
      <c r="Q3835">
        <f>IF(P3835="","",IFERROR(IF(AND(H3835="W7",OR(F3835="causal",F3835="predictive")),IF(AND(OR(K3835=1,K3835="1"),OR(L3835=1,L3835="1"),OR(M3835=1,M3835="1")),"adequate","partial"),IF(AND(H3835="W4",F3835="predictive",OR(J3835="P2",J3835="P3",J3835="P4")),IF(OR(U3835=1,U3835="1"),"adequate","partial"),INDEX(Fit_Matrix!$B:$B,MATCH(P3835,Fit_Matrix!$A:$A,0)))),"CHECK KEY"))</f>
        <v/>
      </c>
      <c r="U3835" s="10" t="n"/>
      <c r="V3835" s="10" t="n"/>
      <c r="W3835" s="10" t="n"/>
      <c r="X3835" s="10" t="n"/>
      <c r="Y3835" s="10" t="n"/>
      <c r="Z3835" s="10" t="n"/>
      <c r="AA3835" s="11">
        <f>IF(A3835="","",IF(AND(J3835="P4",F3835="causal"),"P4-CAUSAL",""))</f>
        <v/>
      </c>
    </row>
    <row r="3836" ht="15" customHeight="1" s="1">
      <c r="P3836">
        <f>IF(OR(F3836="",H3836="",J3836=""),"",J3836&amp;"|"&amp;F3836&amp;"|"&amp;IF(H3836="W3","W3_"&amp;IF(I3836="","unknown",I3836),H3836))</f>
        <v/>
      </c>
      <c r="Q3836">
        <f>IF(P3836="","",IFERROR(IF(AND(H3836="W7",OR(F3836="causal",F3836="predictive")),IF(AND(OR(K3836=1,K3836="1"),OR(L3836=1,L3836="1"),OR(M3836=1,M3836="1")),"adequate","partial"),IF(AND(H3836="W4",F3836="predictive",OR(J3836="P2",J3836="P3",J3836="P4")),IF(OR(U3836=1,U3836="1"),"adequate","partial"),INDEX(Fit_Matrix!$B:$B,MATCH(P3836,Fit_Matrix!$A:$A,0)))),"CHECK KEY"))</f>
        <v/>
      </c>
      <c r="U3836" s="10" t="n"/>
      <c r="V3836" s="10" t="n"/>
      <c r="W3836" s="10" t="n"/>
      <c r="X3836" s="10" t="n"/>
      <c r="Y3836" s="10" t="n"/>
      <c r="Z3836" s="10" t="n"/>
      <c r="AA3836" s="11">
        <f>IF(A3836="","",IF(AND(J3836="P4",F3836="causal"),"P4-CAUSAL",""))</f>
        <v/>
      </c>
    </row>
    <row r="3837" ht="15" customHeight="1" s="1">
      <c r="P3837">
        <f>IF(OR(F3837="",H3837="",J3837=""),"",J3837&amp;"|"&amp;F3837&amp;"|"&amp;IF(H3837="W3","W3_"&amp;IF(I3837="","unknown",I3837),H3837))</f>
        <v/>
      </c>
      <c r="Q3837">
        <f>IF(P3837="","",IFERROR(IF(AND(H3837="W7",OR(F3837="causal",F3837="predictive")),IF(AND(OR(K3837=1,K3837="1"),OR(L3837=1,L3837="1"),OR(M3837=1,M3837="1")),"adequate","partial"),IF(AND(H3837="W4",F3837="predictive",OR(J3837="P2",J3837="P3",J3837="P4")),IF(OR(U3837=1,U3837="1"),"adequate","partial"),INDEX(Fit_Matrix!$B:$B,MATCH(P3837,Fit_Matrix!$A:$A,0)))),"CHECK KEY"))</f>
        <v/>
      </c>
      <c r="U3837" s="10" t="n"/>
      <c r="V3837" s="10" t="n"/>
      <c r="W3837" s="10" t="n"/>
      <c r="X3837" s="10" t="n"/>
      <c r="Y3837" s="10" t="n"/>
      <c r="Z3837" s="10" t="n"/>
      <c r="AA3837" s="11">
        <f>IF(A3837="","",IF(AND(J3837="P4",F3837="causal"),"P4-CAUSAL",""))</f>
        <v/>
      </c>
    </row>
    <row r="3838" ht="15" customHeight="1" s="1">
      <c r="P3838">
        <f>IF(OR(F3838="",H3838="",J3838=""),"",J3838&amp;"|"&amp;F3838&amp;"|"&amp;IF(H3838="W3","W3_"&amp;IF(I3838="","unknown",I3838),H3838))</f>
        <v/>
      </c>
      <c r="Q3838">
        <f>IF(P3838="","",IFERROR(IF(AND(H3838="W7",OR(F3838="causal",F3838="predictive")),IF(AND(OR(K3838=1,K3838="1"),OR(L3838=1,L3838="1"),OR(M3838=1,M3838="1")),"adequate","partial"),IF(AND(H3838="W4",F3838="predictive",OR(J3838="P2",J3838="P3",J3838="P4")),IF(OR(U3838=1,U3838="1"),"adequate","partial"),INDEX(Fit_Matrix!$B:$B,MATCH(P3838,Fit_Matrix!$A:$A,0)))),"CHECK KEY"))</f>
        <v/>
      </c>
      <c r="U3838" s="10" t="n"/>
      <c r="V3838" s="10" t="n"/>
      <c r="W3838" s="10" t="n"/>
      <c r="X3838" s="10" t="n"/>
      <c r="Y3838" s="10" t="n"/>
      <c r="Z3838" s="10" t="n"/>
      <c r="AA3838" s="11">
        <f>IF(A3838="","",IF(AND(J3838="P4",F3838="causal"),"P4-CAUSAL",""))</f>
        <v/>
      </c>
    </row>
    <row r="3839" ht="15" customHeight="1" s="1">
      <c r="P3839">
        <f>IF(OR(F3839="",H3839="",J3839=""),"",J3839&amp;"|"&amp;F3839&amp;"|"&amp;IF(H3839="W3","W3_"&amp;IF(I3839="","unknown",I3839),H3839))</f>
        <v/>
      </c>
      <c r="Q3839">
        <f>IF(P3839="","",IFERROR(IF(AND(H3839="W7",OR(F3839="causal",F3839="predictive")),IF(AND(OR(K3839=1,K3839="1"),OR(L3839=1,L3839="1"),OR(M3839=1,M3839="1")),"adequate","partial"),IF(AND(H3839="W4",F3839="predictive",OR(J3839="P2",J3839="P3",J3839="P4")),IF(OR(U3839=1,U3839="1"),"adequate","partial"),INDEX(Fit_Matrix!$B:$B,MATCH(P3839,Fit_Matrix!$A:$A,0)))),"CHECK KEY"))</f>
        <v/>
      </c>
      <c r="U3839" s="10" t="n"/>
      <c r="V3839" s="10" t="n"/>
      <c r="W3839" s="10" t="n"/>
      <c r="X3839" s="10" t="n"/>
      <c r="Y3839" s="10" t="n"/>
      <c r="Z3839" s="10" t="n"/>
      <c r="AA3839" s="11">
        <f>IF(A3839="","",IF(AND(J3839="P4",F3839="causal"),"P4-CAUSAL",""))</f>
        <v/>
      </c>
    </row>
    <row r="3840" ht="15" customHeight="1" s="1">
      <c r="P3840">
        <f>IF(OR(F3840="",H3840="",J3840=""),"",J3840&amp;"|"&amp;F3840&amp;"|"&amp;IF(H3840="W3","W3_"&amp;IF(I3840="","unknown",I3840),H3840))</f>
        <v/>
      </c>
      <c r="Q3840">
        <f>IF(P3840="","",IFERROR(IF(AND(H3840="W7",OR(F3840="causal",F3840="predictive")),IF(AND(OR(K3840=1,K3840="1"),OR(L3840=1,L3840="1"),OR(M3840=1,M3840="1")),"adequate","partial"),IF(AND(H3840="W4",F3840="predictive",OR(J3840="P2",J3840="P3",J3840="P4")),IF(OR(U3840=1,U3840="1"),"adequate","partial"),INDEX(Fit_Matrix!$B:$B,MATCH(P3840,Fit_Matrix!$A:$A,0)))),"CHECK KEY"))</f>
        <v/>
      </c>
      <c r="U3840" s="10" t="n"/>
      <c r="V3840" s="10" t="n"/>
      <c r="W3840" s="10" t="n"/>
      <c r="X3840" s="10" t="n"/>
      <c r="Y3840" s="10" t="n"/>
      <c r="Z3840" s="10" t="n"/>
      <c r="AA3840" s="11">
        <f>IF(A3840="","",IF(AND(J3840="P4",F3840="causal"),"P4-CAUSAL",""))</f>
        <v/>
      </c>
    </row>
    <row r="3841" ht="15" customHeight="1" s="1">
      <c r="P3841">
        <f>IF(OR(F3841="",H3841="",J3841=""),"",J3841&amp;"|"&amp;F3841&amp;"|"&amp;IF(H3841="W3","W3_"&amp;IF(I3841="","unknown",I3841),H3841))</f>
        <v/>
      </c>
      <c r="Q3841">
        <f>IF(P3841="","",IFERROR(IF(AND(H3841="W7",OR(F3841="causal",F3841="predictive")),IF(AND(OR(K3841=1,K3841="1"),OR(L3841=1,L3841="1"),OR(M3841=1,M3841="1")),"adequate","partial"),IF(AND(H3841="W4",F3841="predictive",OR(J3841="P2",J3841="P3",J3841="P4")),IF(OR(U3841=1,U3841="1"),"adequate","partial"),INDEX(Fit_Matrix!$B:$B,MATCH(P3841,Fit_Matrix!$A:$A,0)))),"CHECK KEY"))</f>
        <v/>
      </c>
      <c r="U3841" s="10" t="n"/>
      <c r="V3841" s="10" t="n"/>
      <c r="W3841" s="10" t="n"/>
      <c r="X3841" s="10" t="n"/>
      <c r="Y3841" s="10" t="n"/>
      <c r="Z3841" s="10" t="n"/>
      <c r="AA3841" s="11">
        <f>IF(A3841="","",IF(AND(J3841="P4",F3841="causal"),"P4-CAUSAL",""))</f>
        <v/>
      </c>
    </row>
    <row r="3842" ht="15" customHeight="1" s="1">
      <c r="P3842">
        <f>IF(OR(F3842="",H3842="",J3842=""),"",J3842&amp;"|"&amp;F3842&amp;"|"&amp;IF(H3842="W3","W3_"&amp;IF(I3842="","unknown",I3842),H3842))</f>
        <v/>
      </c>
      <c r="Q3842">
        <f>IF(P3842="","",IFERROR(IF(AND(H3842="W7",OR(F3842="causal",F3842="predictive")),IF(AND(OR(K3842=1,K3842="1"),OR(L3842=1,L3842="1"),OR(M3842=1,M3842="1")),"adequate","partial"),IF(AND(H3842="W4",F3842="predictive",OR(J3842="P2",J3842="P3",J3842="P4")),IF(OR(U3842=1,U3842="1"),"adequate","partial"),INDEX(Fit_Matrix!$B:$B,MATCH(P3842,Fit_Matrix!$A:$A,0)))),"CHECK KEY"))</f>
        <v/>
      </c>
      <c r="U3842" s="10" t="n"/>
      <c r="V3842" s="10" t="n"/>
      <c r="W3842" s="10" t="n"/>
      <c r="X3842" s="10" t="n"/>
      <c r="Y3842" s="10" t="n"/>
      <c r="Z3842" s="10" t="n"/>
      <c r="AA3842" s="11">
        <f>IF(A3842="","",IF(AND(J3842="P4",F3842="causal"),"P4-CAUSAL",""))</f>
        <v/>
      </c>
    </row>
    <row r="3843" ht="15" customHeight="1" s="1">
      <c r="P3843">
        <f>IF(OR(F3843="",H3843="",J3843=""),"",J3843&amp;"|"&amp;F3843&amp;"|"&amp;IF(H3843="W3","W3_"&amp;IF(I3843="","unknown",I3843),H3843))</f>
        <v/>
      </c>
      <c r="Q3843">
        <f>IF(P3843="","",IFERROR(IF(AND(H3843="W7",OR(F3843="causal",F3843="predictive")),IF(AND(OR(K3843=1,K3843="1"),OR(L3843=1,L3843="1"),OR(M3843=1,M3843="1")),"adequate","partial"),IF(AND(H3843="W4",F3843="predictive",OR(J3843="P2",J3843="P3",J3843="P4")),IF(OR(U3843=1,U3843="1"),"adequate","partial"),INDEX(Fit_Matrix!$B:$B,MATCH(P3843,Fit_Matrix!$A:$A,0)))),"CHECK KEY"))</f>
        <v/>
      </c>
      <c r="U3843" s="10" t="n"/>
      <c r="V3843" s="10" t="n"/>
      <c r="W3843" s="10" t="n"/>
      <c r="X3843" s="10" t="n"/>
      <c r="Y3843" s="10" t="n"/>
      <c r="Z3843" s="10" t="n"/>
      <c r="AA3843" s="11">
        <f>IF(A3843="","",IF(AND(J3843="P4",F3843="causal"),"P4-CAUSAL",""))</f>
        <v/>
      </c>
    </row>
    <row r="3844" ht="15" customHeight="1" s="1">
      <c r="P3844">
        <f>IF(OR(F3844="",H3844="",J3844=""),"",J3844&amp;"|"&amp;F3844&amp;"|"&amp;IF(H3844="W3","W3_"&amp;IF(I3844="","unknown",I3844),H3844))</f>
        <v/>
      </c>
      <c r="Q3844">
        <f>IF(P3844="","",IFERROR(IF(AND(H3844="W7",OR(F3844="causal",F3844="predictive")),IF(AND(OR(K3844=1,K3844="1"),OR(L3844=1,L3844="1"),OR(M3844=1,M3844="1")),"adequate","partial"),IF(AND(H3844="W4",F3844="predictive",OR(J3844="P2",J3844="P3",J3844="P4")),IF(OR(U3844=1,U3844="1"),"adequate","partial"),INDEX(Fit_Matrix!$B:$B,MATCH(P3844,Fit_Matrix!$A:$A,0)))),"CHECK KEY"))</f>
        <v/>
      </c>
      <c r="U3844" s="10" t="n"/>
      <c r="V3844" s="10" t="n"/>
      <c r="W3844" s="10" t="n"/>
      <c r="X3844" s="10" t="n"/>
      <c r="Y3844" s="10" t="n"/>
      <c r="Z3844" s="10" t="n"/>
      <c r="AA3844" s="11">
        <f>IF(A3844="","",IF(AND(J3844="P4",F3844="causal"),"P4-CAUSAL",""))</f>
        <v/>
      </c>
    </row>
    <row r="3845" ht="15" customHeight="1" s="1">
      <c r="P3845">
        <f>IF(OR(F3845="",H3845="",J3845=""),"",J3845&amp;"|"&amp;F3845&amp;"|"&amp;IF(H3845="W3","W3_"&amp;IF(I3845="","unknown",I3845),H3845))</f>
        <v/>
      </c>
      <c r="Q3845">
        <f>IF(P3845="","",IFERROR(IF(AND(H3845="W7",OR(F3845="causal",F3845="predictive")),IF(AND(OR(K3845=1,K3845="1"),OR(L3845=1,L3845="1"),OR(M3845=1,M3845="1")),"adequate","partial"),IF(AND(H3845="W4",F3845="predictive",OR(J3845="P2",J3845="P3",J3845="P4")),IF(OR(U3845=1,U3845="1"),"adequate","partial"),INDEX(Fit_Matrix!$B:$B,MATCH(P3845,Fit_Matrix!$A:$A,0)))),"CHECK KEY"))</f>
        <v/>
      </c>
      <c r="U3845" s="10" t="n"/>
      <c r="V3845" s="10" t="n"/>
      <c r="W3845" s="10" t="n"/>
      <c r="X3845" s="10" t="n"/>
      <c r="Y3845" s="10" t="n"/>
      <c r="Z3845" s="10" t="n"/>
      <c r="AA3845" s="11">
        <f>IF(A3845="","",IF(AND(J3845="P4",F3845="causal"),"P4-CAUSAL",""))</f>
        <v/>
      </c>
    </row>
    <row r="3846" ht="15" customHeight="1" s="1">
      <c r="P3846">
        <f>IF(OR(F3846="",H3846="",J3846=""),"",J3846&amp;"|"&amp;F3846&amp;"|"&amp;IF(H3846="W3","W3_"&amp;IF(I3846="","unknown",I3846),H3846))</f>
        <v/>
      </c>
      <c r="Q3846">
        <f>IF(P3846="","",IFERROR(IF(AND(H3846="W7",OR(F3846="causal",F3846="predictive")),IF(AND(OR(K3846=1,K3846="1"),OR(L3846=1,L3846="1"),OR(M3846=1,M3846="1")),"adequate","partial"),IF(AND(H3846="W4",F3846="predictive",OR(J3846="P2",J3846="P3",J3846="P4")),IF(OR(U3846=1,U3846="1"),"adequate","partial"),INDEX(Fit_Matrix!$B:$B,MATCH(P3846,Fit_Matrix!$A:$A,0)))),"CHECK KEY"))</f>
        <v/>
      </c>
      <c r="U3846" s="10" t="n"/>
      <c r="V3846" s="10" t="n"/>
      <c r="W3846" s="10" t="n"/>
      <c r="X3846" s="10" t="n"/>
      <c r="Y3846" s="10" t="n"/>
      <c r="Z3846" s="10" t="n"/>
      <c r="AA3846" s="11">
        <f>IF(A3846="","",IF(AND(J3846="P4",F3846="causal"),"P4-CAUSAL",""))</f>
        <v/>
      </c>
    </row>
    <row r="3847" ht="15" customHeight="1" s="1">
      <c r="P3847">
        <f>IF(OR(F3847="",H3847="",J3847=""),"",J3847&amp;"|"&amp;F3847&amp;"|"&amp;IF(H3847="W3","W3_"&amp;IF(I3847="","unknown",I3847),H3847))</f>
        <v/>
      </c>
      <c r="Q3847">
        <f>IF(P3847="","",IFERROR(IF(AND(H3847="W7",OR(F3847="causal",F3847="predictive")),IF(AND(OR(K3847=1,K3847="1"),OR(L3847=1,L3847="1"),OR(M3847=1,M3847="1")),"adequate","partial"),IF(AND(H3847="W4",F3847="predictive",OR(J3847="P2",J3847="P3",J3847="P4")),IF(OR(U3847=1,U3847="1"),"adequate","partial"),INDEX(Fit_Matrix!$B:$B,MATCH(P3847,Fit_Matrix!$A:$A,0)))),"CHECK KEY"))</f>
        <v/>
      </c>
      <c r="U3847" s="10" t="n"/>
      <c r="V3847" s="10" t="n"/>
      <c r="W3847" s="10" t="n"/>
      <c r="X3847" s="10" t="n"/>
      <c r="Y3847" s="10" t="n"/>
      <c r="Z3847" s="10" t="n"/>
      <c r="AA3847" s="11">
        <f>IF(A3847="","",IF(AND(J3847="P4",F3847="causal"),"P4-CAUSAL",""))</f>
        <v/>
      </c>
    </row>
    <row r="3848" ht="15" customHeight="1" s="1">
      <c r="P3848">
        <f>IF(OR(F3848="",H3848="",J3848=""),"",J3848&amp;"|"&amp;F3848&amp;"|"&amp;IF(H3848="W3","W3_"&amp;IF(I3848="","unknown",I3848),H3848))</f>
        <v/>
      </c>
      <c r="Q3848">
        <f>IF(P3848="","",IFERROR(IF(AND(H3848="W7",OR(F3848="causal",F3848="predictive")),IF(AND(OR(K3848=1,K3848="1"),OR(L3848=1,L3848="1"),OR(M3848=1,M3848="1")),"adequate","partial"),IF(AND(H3848="W4",F3848="predictive",OR(J3848="P2",J3848="P3",J3848="P4")),IF(OR(U3848=1,U3848="1"),"adequate","partial"),INDEX(Fit_Matrix!$B:$B,MATCH(P3848,Fit_Matrix!$A:$A,0)))),"CHECK KEY"))</f>
        <v/>
      </c>
      <c r="U3848" s="10" t="n"/>
      <c r="V3848" s="10" t="n"/>
      <c r="W3848" s="10" t="n"/>
      <c r="X3848" s="10" t="n"/>
      <c r="Y3848" s="10" t="n"/>
      <c r="Z3848" s="10" t="n"/>
      <c r="AA3848" s="11">
        <f>IF(A3848="","",IF(AND(J3848="P4",F3848="causal"),"P4-CAUSAL",""))</f>
        <v/>
      </c>
    </row>
    <row r="3849" ht="15" customHeight="1" s="1">
      <c r="P3849">
        <f>IF(OR(F3849="",H3849="",J3849=""),"",J3849&amp;"|"&amp;F3849&amp;"|"&amp;IF(H3849="W3","W3_"&amp;IF(I3849="","unknown",I3849),H3849))</f>
        <v/>
      </c>
      <c r="Q3849">
        <f>IF(P3849="","",IFERROR(IF(AND(H3849="W7",OR(F3849="causal",F3849="predictive")),IF(AND(OR(K3849=1,K3849="1"),OR(L3849=1,L3849="1"),OR(M3849=1,M3849="1")),"adequate","partial"),IF(AND(H3849="W4",F3849="predictive",OR(J3849="P2",J3849="P3",J3849="P4")),IF(OR(U3849=1,U3849="1"),"adequate","partial"),INDEX(Fit_Matrix!$B:$B,MATCH(P3849,Fit_Matrix!$A:$A,0)))),"CHECK KEY"))</f>
        <v/>
      </c>
      <c r="U3849" s="10" t="n"/>
      <c r="V3849" s="10" t="n"/>
      <c r="W3849" s="10" t="n"/>
      <c r="X3849" s="10" t="n"/>
      <c r="Y3849" s="10" t="n"/>
      <c r="Z3849" s="10" t="n"/>
      <c r="AA3849" s="11">
        <f>IF(A3849="","",IF(AND(J3849="P4",F3849="causal"),"P4-CAUSAL",""))</f>
        <v/>
      </c>
    </row>
    <row r="3850" ht="15" customHeight="1" s="1">
      <c r="P3850">
        <f>IF(OR(F3850="",H3850="",J3850=""),"",J3850&amp;"|"&amp;F3850&amp;"|"&amp;IF(H3850="W3","W3_"&amp;IF(I3850="","unknown",I3850),H3850))</f>
        <v/>
      </c>
      <c r="Q3850">
        <f>IF(P3850="","",IFERROR(IF(AND(H3850="W7",OR(F3850="causal",F3850="predictive")),IF(AND(OR(K3850=1,K3850="1"),OR(L3850=1,L3850="1"),OR(M3850=1,M3850="1")),"adequate","partial"),IF(AND(H3850="W4",F3850="predictive",OR(J3850="P2",J3850="P3",J3850="P4")),IF(OR(U3850=1,U3850="1"),"adequate","partial"),INDEX(Fit_Matrix!$B:$B,MATCH(P3850,Fit_Matrix!$A:$A,0)))),"CHECK KEY"))</f>
        <v/>
      </c>
      <c r="U3850" s="10" t="n"/>
      <c r="V3850" s="10" t="n"/>
      <c r="W3850" s="10" t="n"/>
      <c r="X3850" s="10" t="n"/>
      <c r="Y3850" s="10" t="n"/>
      <c r="Z3850" s="10" t="n"/>
      <c r="AA3850" s="11">
        <f>IF(A3850="","",IF(AND(J3850="P4",F3850="causal"),"P4-CAUSAL",""))</f>
        <v/>
      </c>
    </row>
    <row r="3851" ht="15" customHeight="1" s="1">
      <c r="P3851">
        <f>IF(OR(F3851="",H3851="",J3851=""),"",J3851&amp;"|"&amp;F3851&amp;"|"&amp;IF(H3851="W3","W3_"&amp;IF(I3851="","unknown",I3851),H3851))</f>
        <v/>
      </c>
      <c r="Q3851">
        <f>IF(P3851="","",IFERROR(IF(AND(H3851="W7",OR(F3851="causal",F3851="predictive")),IF(AND(OR(K3851=1,K3851="1"),OR(L3851=1,L3851="1"),OR(M3851=1,M3851="1")),"adequate","partial"),IF(AND(H3851="W4",F3851="predictive",OR(J3851="P2",J3851="P3",J3851="P4")),IF(OR(U3851=1,U3851="1"),"adequate","partial"),INDEX(Fit_Matrix!$B:$B,MATCH(P3851,Fit_Matrix!$A:$A,0)))),"CHECK KEY"))</f>
        <v/>
      </c>
      <c r="U3851" s="10" t="n"/>
      <c r="V3851" s="10" t="n"/>
      <c r="W3851" s="10" t="n"/>
      <c r="X3851" s="10" t="n"/>
      <c r="Y3851" s="10" t="n"/>
      <c r="Z3851" s="10" t="n"/>
      <c r="AA3851" s="11">
        <f>IF(A3851="","",IF(AND(J3851="P4",F3851="causal"),"P4-CAUSAL",""))</f>
        <v/>
      </c>
    </row>
    <row r="3852" ht="15" customHeight="1" s="1">
      <c r="P3852">
        <f>IF(OR(F3852="",H3852="",J3852=""),"",J3852&amp;"|"&amp;F3852&amp;"|"&amp;IF(H3852="W3","W3_"&amp;IF(I3852="","unknown",I3852),H3852))</f>
        <v/>
      </c>
      <c r="Q3852">
        <f>IF(P3852="","",IFERROR(IF(AND(H3852="W7",OR(F3852="causal",F3852="predictive")),IF(AND(OR(K3852=1,K3852="1"),OR(L3852=1,L3852="1"),OR(M3852=1,M3852="1")),"adequate","partial"),IF(AND(H3852="W4",F3852="predictive",OR(J3852="P2",J3852="P3",J3852="P4")),IF(OR(U3852=1,U3852="1"),"adequate","partial"),INDEX(Fit_Matrix!$B:$B,MATCH(P3852,Fit_Matrix!$A:$A,0)))),"CHECK KEY"))</f>
        <v/>
      </c>
      <c r="U3852" s="10" t="n"/>
      <c r="V3852" s="10" t="n"/>
      <c r="W3852" s="10" t="n"/>
      <c r="X3852" s="10" t="n"/>
      <c r="Y3852" s="10" t="n"/>
      <c r="Z3852" s="10" t="n"/>
      <c r="AA3852" s="11">
        <f>IF(A3852="","",IF(AND(J3852="P4",F3852="causal"),"P4-CAUSAL",""))</f>
        <v/>
      </c>
    </row>
    <row r="3853" ht="15" customHeight="1" s="1">
      <c r="P3853">
        <f>IF(OR(F3853="",H3853="",J3853=""),"",J3853&amp;"|"&amp;F3853&amp;"|"&amp;IF(H3853="W3","W3_"&amp;IF(I3853="","unknown",I3853),H3853))</f>
        <v/>
      </c>
      <c r="Q3853">
        <f>IF(P3853="","",IFERROR(IF(AND(H3853="W7",OR(F3853="causal",F3853="predictive")),IF(AND(OR(K3853=1,K3853="1"),OR(L3853=1,L3853="1"),OR(M3853=1,M3853="1")),"adequate","partial"),IF(AND(H3853="W4",F3853="predictive",OR(J3853="P2",J3853="P3",J3853="P4")),IF(OR(U3853=1,U3853="1"),"adequate","partial"),INDEX(Fit_Matrix!$B:$B,MATCH(P3853,Fit_Matrix!$A:$A,0)))),"CHECK KEY"))</f>
        <v/>
      </c>
      <c r="U3853" s="10" t="n"/>
      <c r="V3853" s="10" t="n"/>
      <c r="W3853" s="10" t="n"/>
      <c r="X3853" s="10" t="n"/>
      <c r="Y3853" s="10" t="n"/>
      <c r="Z3853" s="10" t="n"/>
      <c r="AA3853" s="11">
        <f>IF(A3853="","",IF(AND(J3853="P4",F3853="causal"),"P4-CAUSAL",""))</f>
        <v/>
      </c>
    </row>
    <row r="3854" ht="15" customHeight="1" s="1">
      <c r="P3854">
        <f>IF(OR(F3854="",H3854="",J3854=""),"",J3854&amp;"|"&amp;F3854&amp;"|"&amp;IF(H3854="W3","W3_"&amp;IF(I3854="","unknown",I3854),H3854))</f>
        <v/>
      </c>
      <c r="Q3854">
        <f>IF(P3854="","",IFERROR(IF(AND(H3854="W7",OR(F3854="causal",F3854="predictive")),IF(AND(OR(K3854=1,K3854="1"),OR(L3854=1,L3854="1"),OR(M3854=1,M3854="1")),"adequate","partial"),IF(AND(H3854="W4",F3854="predictive",OR(J3854="P2",J3854="P3",J3854="P4")),IF(OR(U3854=1,U3854="1"),"adequate","partial"),INDEX(Fit_Matrix!$B:$B,MATCH(P3854,Fit_Matrix!$A:$A,0)))),"CHECK KEY"))</f>
        <v/>
      </c>
      <c r="U3854" s="10" t="n"/>
      <c r="V3854" s="10" t="n"/>
      <c r="W3854" s="10" t="n"/>
      <c r="X3854" s="10" t="n"/>
      <c r="Y3854" s="10" t="n"/>
      <c r="Z3854" s="10" t="n"/>
      <c r="AA3854" s="11">
        <f>IF(A3854="","",IF(AND(J3854="P4",F3854="causal"),"P4-CAUSAL",""))</f>
        <v/>
      </c>
    </row>
    <row r="3855" ht="15" customHeight="1" s="1">
      <c r="P3855">
        <f>IF(OR(F3855="",H3855="",J3855=""),"",J3855&amp;"|"&amp;F3855&amp;"|"&amp;IF(H3855="W3","W3_"&amp;IF(I3855="","unknown",I3855),H3855))</f>
        <v/>
      </c>
      <c r="Q3855">
        <f>IF(P3855="","",IFERROR(IF(AND(H3855="W7",OR(F3855="causal",F3855="predictive")),IF(AND(OR(K3855=1,K3855="1"),OR(L3855=1,L3855="1"),OR(M3855=1,M3855="1")),"adequate","partial"),IF(AND(H3855="W4",F3855="predictive",OR(J3855="P2",J3855="P3",J3855="P4")),IF(OR(U3855=1,U3855="1"),"adequate","partial"),INDEX(Fit_Matrix!$B:$B,MATCH(P3855,Fit_Matrix!$A:$A,0)))),"CHECK KEY"))</f>
        <v/>
      </c>
      <c r="U3855" s="10" t="n"/>
      <c r="V3855" s="10" t="n"/>
      <c r="W3855" s="10" t="n"/>
      <c r="X3855" s="10" t="n"/>
      <c r="Y3855" s="10" t="n"/>
      <c r="Z3855" s="10" t="n"/>
      <c r="AA3855" s="11">
        <f>IF(A3855="","",IF(AND(J3855="P4",F3855="causal"),"P4-CAUSAL",""))</f>
        <v/>
      </c>
    </row>
    <row r="3856" ht="15" customHeight="1" s="1">
      <c r="P3856">
        <f>IF(OR(F3856="",H3856="",J3856=""),"",J3856&amp;"|"&amp;F3856&amp;"|"&amp;IF(H3856="W3","W3_"&amp;IF(I3856="","unknown",I3856),H3856))</f>
        <v/>
      </c>
      <c r="Q3856">
        <f>IF(P3856="","",IFERROR(IF(AND(H3856="W7",OR(F3856="causal",F3856="predictive")),IF(AND(OR(K3856=1,K3856="1"),OR(L3856=1,L3856="1"),OR(M3856=1,M3856="1")),"adequate","partial"),IF(AND(H3856="W4",F3856="predictive",OR(J3856="P2",J3856="P3",J3856="P4")),IF(OR(U3856=1,U3856="1"),"adequate","partial"),INDEX(Fit_Matrix!$B:$B,MATCH(P3856,Fit_Matrix!$A:$A,0)))),"CHECK KEY"))</f>
        <v/>
      </c>
      <c r="U3856" s="10" t="n"/>
      <c r="V3856" s="10" t="n"/>
      <c r="W3856" s="10" t="n"/>
      <c r="X3856" s="10" t="n"/>
      <c r="Y3856" s="10" t="n"/>
      <c r="Z3856" s="10" t="n"/>
      <c r="AA3856" s="11">
        <f>IF(A3856="","",IF(AND(J3856="P4",F3856="causal"),"P4-CAUSAL",""))</f>
        <v/>
      </c>
    </row>
    <row r="3857" ht="15" customHeight="1" s="1">
      <c r="P3857">
        <f>IF(OR(F3857="",H3857="",J3857=""),"",J3857&amp;"|"&amp;F3857&amp;"|"&amp;IF(H3857="W3","W3_"&amp;IF(I3857="","unknown",I3857),H3857))</f>
        <v/>
      </c>
      <c r="Q3857">
        <f>IF(P3857="","",IFERROR(IF(AND(H3857="W7",OR(F3857="causal",F3857="predictive")),IF(AND(OR(K3857=1,K3857="1"),OR(L3857=1,L3857="1"),OR(M3857=1,M3857="1")),"adequate","partial"),IF(AND(H3857="W4",F3857="predictive",OR(J3857="P2",J3857="P3",J3857="P4")),IF(OR(U3857=1,U3857="1"),"adequate","partial"),INDEX(Fit_Matrix!$B:$B,MATCH(P3857,Fit_Matrix!$A:$A,0)))),"CHECK KEY"))</f>
        <v/>
      </c>
      <c r="U3857" s="10" t="n"/>
      <c r="V3857" s="10" t="n"/>
      <c r="W3857" s="10" t="n"/>
      <c r="X3857" s="10" t="n"/>
      <c r="Y3857" s="10" t="n"/>
      <c r="Z3857" s="10" t="n"/>
      <c r="AA3857" s="11">
        <f>IF(A3857="","",IF(AND(J3857="P4",F3857="causal"),"P4-CAUSAL",""))</f>
        <v/>
      </c>
    </row>
    <row r="3858" ht="15" customHeight="1" s="1">
      <c r="P3858">
        <f>IF(OR(F3858="",H3858="",J3858=""),"",J3858&amp;"|"&amp;F3858&amp;"|"&amp;IF(H3858="W3","W3_"&amp;IF(I3858="","unknown",I3858),H3858))</f>
        <v/>
      </c>
      <c r="Q3858">
        <f>IF(P3858="","",IFERROR(IF(AND(H3858="W7",OR(F3858="causal",F3858="predictive")),IF(AND(OR(K3858=1,K3858="1"),OR(L3858=1,L3858="1"),OR(M3858=1,M3858="1")),"adequate","partial"),IF(AND(H3858="W4",F3858="predictive",OR(J3858="P2",J3858="P3",J3858="P4")),IF(OR(U3858=1,U3858="1"),"adequate","partial"),INDEX(Fit_Matrix!$B:$B,MATCH(P3858,Fit_Matrix!$A:$A,0)))),"CHECK KEY"))</f>
        <v/>
      </c>
      <c r="U3858" s="10" t="n"/>
      <c r="V3858" s="10" t="n"/>
      <c r="W3858" s="10" t="n"/>
      <c r="X3858" s="10" t="n"/>
      <c r="Y3858" s="10" t="n"/>
      <c r="Z3858" s="10" t="n"/>
      <c r="AA3858" s="11">
        <f>IF(A3858="","",IF(AND(J3858="P4",F3858="causal"),"P4-CAUSAL",""))</f>
        <v/>
      </c>
    </row>
    <row r="3859" ht="15" customHeight="1" s="1">
      <c r="P3859">
        <f>IF(OR(F3859="",H3859="",J3859=""),"",J3859&amp;"|"&amp;F3859&amp;"|"&amp;IF(H3859="W3","W3_"&amp;IF(I3859="","unknown",I3859),H3859))</f>
        <v/>
      </c>
      <c r="Q3859">
        <f>IF(P3859="","",IFERROR(IF(AND(H3859="W7",OR(F3859="causal",F3859="predictive")),IF(AND(OR(K3859=1,K3859="1"),OR(L3859=1,L3859="1"),OR(M3859=1,M3859="1")),"adequate","partial"),IF(AND(H3859="W4",F3859="predictive",OR(J3859="P2",J3859="P3",J3859="P4")),IF(OR(U3859=1,U3859="1"),"adequate","partial"),INDEX(Fit_Matrix!$B:$B,MATCH(P3859,Fit_Matrix!$A:$A,0)))),"CHECK KEY"))</f>
        <v/>
      </c>
      <c r="U3859" s="10" t="n"/>
      <c r="V3859" s="10" t="n"/>
      <c r="W3859" s="10" t="n"/>
      <c r="X3859" s="10" t="n"/>
      <c r="Y3859" s="10" t="n"/>
      <c r="Z3859" s="10" t="n"/>
      <c r="AA3859" s="11">
        <f>IF(A3859="","",IF(AND(J3859="P4",F3859="causal"),"P4-CAUSAL",""))</f>
        <v/>
      </c>
    </row>
    <row r="3860" ht="15" customHeight="1" s="1">
      <c r="P3860">
        <f>IF(OR(F3860="",H3860="",J3860=""),"",J3860&amp;"|"&amp;F3860&amp;"|"&amp;IF(H3860="W3","W3_"&amp;IF(I3860="","unknown",I3860),H3860))</f>
        <v/>
      </c>
      <c r="Q3860">
        <f>IF(P3860="","",IFERROR(IF(AND(H3860="W7",OR(F3860="causal",F3860="predictive")),IF(AND(OR(K3860=1,K3860="1"),OR(L3860=1,L3860="1"),OR(M3860=1,M3860="1")),"adequate","partial"),IF(AND(H3860="W4",F3860="predictive",OR(J3860="P2",J3860="P3",J3860="P4")),IF(OR(U3860=1,U3860="1"),"adequate","partial"),INDEX(Fit_Matrix!$B:$B,MATCH(P3860,Fit_Matrix!$A:$A,0)))),"CHECK KEY"))</f>
        <v/>
      </c>
      <c r="U3860" s="10" t="n"/>
      <c r="V3860" s="10" t="n"/>
      <c r="W3860" s="10" t="n"/>
      <c r="X3860" s="10" t="n"/>
      <c r="Y3860" s="10" t="n"/>
      <c r="Z3860" s="10" t="n"/>
      <c r="AA3860" s="11">
        <f>IF(A3860="","",IF(AND(J3860="P4",F3860="causal"),"P4-CAUSAL",""))</f>
        <v/>
      </c>
    </row>
    <row r="3861" ht="15" customHeight="1" s="1">
      <c r="P3861">
        <f>IF(OR(F3861="",H3861="",J3861=""),"",J3861&amp;"|"&amp;F3861&amp;"|"&amp;IF(H3861="W3","W3_"&amp;IF(I3861="","unknown",I3861),H3861))</f>
        <v/>
      </c>
      <c r="Q3861">
        <f>IF(P3861="","",IFERROR(IF(AND(H3861="W7",OR(F3861="causal",F3861="predictive")),IF(AND(OR(K3861=1,K3861="1"),OR(L3861=1,L3861="1"),OR(M3861=1,M3861="1")),"adequate","partial"),IF(AND(H3861="W4",F3861="predictive",OR(J3861="P2",J3861="P3",J3861="P4")),IF(OR(U3861=1,U3861="1"),"adequate","partial"),INDEX(Fit_Matrix!$B:$B,MATCH(P3861,Fit_Matrix!$A:$A,0)))),"CHECK KEY"))</f>
        <v/>
      </c>
      <c r="U3861" s="10" t="n"/>
      <c r="V3861" s="10" t="n"/>
      <c r="W3861" s="10" t="n"/>
      <c r="X3861" s="10" t="n"/>
      <c r="Y3861" s="10" t="n"/>
      <c r="Z3861" s="10" t="n"/>
      <c r="AA3861" s="11">
        <f>IF(A3861="","",IF(AND(J3861="P4",F3861="causal"),"P4-CAUSAL",""))</f>
        <v/>
      </c>
    </row>
    <row r="3862" ht="15" customHeight="1" s="1">
      <c r="P3862">
        <f>IF(OR(F3862="",H3862="",J3862=""),"",J3862&amp;"|"&amp;F3862&amp;"|"&amp;IF(H3862="W3","W3_"&amp;IF(I3862="","unknown",I3862),H3862))</f>
        <v/>
      </c>
      <c r="Q3862">
        <f>IF(P3862="","",IFERROR(IF(AND(H3862="W7",OR(F3862="causal",F3862="predictive")),IF(AND(OR(K3862=1,K3862="1"),OR(L3862=1,L3862="1"),OR(M3862=1,M3862="1")),"adequate","partial"),IF(AND(H3862="W4",F3862="predictive",OR(J3862="P2",J3862="P3",J3862="P4")),IF(OR(U3862=1,U3862="1"),"adequate","partial"),INDEX(Fit_Matrix!$B:$B,MATCH(P3862,Fit_Matrix!$A:$A,0)))),"CHECK KEY"))</f>
        <v/>
      </c>
      <c r="U3862" s="10" t="n"/>
      <c r="V3862" s="10" t="n"/>
      <c r="W3862" s="10" t="n"/>
      <c r="X3862" s="10" t="n"/>
      <c r="Y3862" s="10" t="n"/>
      <c r="Z3862" s="10" t="n"/>
      <c r="AA3862" s="11">
        <f>IF(A3862="","",IF(AND(J3862="P4",F3862="causal"),"P4-CAUSAL",""))</f>
        <v/>
      </c>
    </row>
    <row r="3863" ht="15" customHeight="1" s="1">
      <c r="P3863">
        <f>IF(OR(F3863="",H3863="",J3863=""),"",J3863&amp;"|"&amp;F3863&amp;"|"&amp;IF(H3863="W3","W3_"&amp;IF(I3863="","unknown",I3863),H3863))</f>
        <v/>
      </c>
      <c r="Q3863">
        <f>IF(P3863="","",IFERROR(IF(AND(H3863="W7",OR(F3863="causal",F3863="predictive")),IF(AND(OR(K3863=1,K3863="1"),OR(L3863=1,L3863="1"),OR(M3863=1,M3863="1")),"adequate","partial"),IF(AND(H3863="W4",F3863="predictive",OR(J3863="P2",J3863="P3",J3863="P4")),IF(OR(U3863=1,U3863="1"),"adequate","partial"),INDEX(Fit_Matrix!$B:$B,MATCH(P3863,Fit_Matrix!$A:$A,0)))),"CHECK KEY"))</f>
        <v/>
      </c>
      <c r="U3863" s="10" t="n"/>
      <c r="V3863" s="10" t="n"/>
      <c r="W3863" s="10" t="n"/>
      <c r="X3863" s="10" t="n"/>
      <c r="Y3863" s="10" t="n"/>
      <c r="Z3863" s="10" t="n"/>
      <c r="AA3863" s="11">
        <f>IF(A3863="","",IF(AND(J3863="P4",F3863="causal"),"P4-CAUSAL",""))</f>
        <v/>
      </c>
    </row>
    <row r="3864" ht="15" customHeight="1" s="1">
      <c r="P3864">
        <f>IF(OR(F3864="",H3864="",J3864=""),"",J3864&amp;"|"&amp;F3864&amp;"|"&amp;IF(H3864="W3","W3_"&amp;IF(I3864="","unknown",I3864),H3864))</f>
        <v/>
      </c>
      <c r="Q3864">
        <f>IF(P3864="","",IFERROR(IF(AND(H3864="W7",OR(F3864="causal",F3864="predictive")),IF(AND(OR(K3864=1,K3864="1"),OR(L3864=1,L3864="1"),OR(M3864=1,M3864="1")),"adequate","partial"),IF(AND(H3864="W4",F3864="predictive",OR(J3864="P2",J3864="P3",J3864="P4")),IF(OR(U3864=1,U3864="1"),"adequate","partial"),INDEX(Fit_Matrix!$B:$B,MATCH(P3864,Fit_Matrix!$A:$A,0)))),"CHECK KEY"))</f>
        <v/>
      </c>
      <c r="U3864" s="10" t="n"/>
      <c r="V3864" s="10" t="n"/>
      <c r="W3864" s="10" t="n"/>
      <c r="X3864" s="10" t="n"/>
      <c r="Y3864" s="10" t="n"/>
      <c r="Z3864" s="10" t="n"/>
      <c r="AA3864" s="11">
        <f>IF(A3864="","",IF(AND(J3864="P4",F3864="causal"),"P4-CAUSAL",""))</f>
        <v/>
      </c>
    </row>
    <row r="3865" ht="15" customHeight="1" s="1">
      <c r="P3865">
        <f>IF(OR(F3865="",H3865="",J3865=""),"",J3865&amp;"|"&amp;F3865&amp;"|"&amp;IF(H3865="W3","W3_"&amp;IF(I3865="","unknown",I3865),H3865))</f>
        <v/>
      </c>
      <c r="Q3865">
        <f>IF(P3865="","",IFERROR(IF(AND(H3865="W7",OR(F3865="causal",F3865="predictive")),IF(AND(OR(K3865=1,K3865="1"),OR(L3865=1,L3865="1"),OR(M3865=1,M3865="1")),"adequate","partial"),IF(AND(H3865="W4",F3865="predictive",OR(J3865="P2",J3865="P3",J3865="P4")),IF(OR(U3865=1,U3865="1"),"adequate","partial"),INDEX(Fit_Matrix!$B:$B,MATCH(P3865,Fit_Matrix!$A:$A,0)))),"CHECK KEY"))</f>
        <v/>
      </c>
      <c r="U3865" s="10" t="n"/>
      <c r="V3865" s="10" t="n"/>
      <c r="W3865" s="10" t="n"/>
      <c r="X3865" s="10" t="n"/>
      <c r="Y3865" s="10" t="n"/>
      <c r="Z3865" s="10" t="n"/>
      <c r="AA3865" s="11">
        <f>IF(A3865="","",IF(AND(J3865="P4",F3865="causal"),"P4-CAUSAL",""))</f>
        <v/>
      </c>
    </row>
    <row r="3866" ht="15" customHeight="1" s="1">
      <c r="P3866">
        <f>IF(OR(F3866="",H3866="",J3866=""),"",J3866&amp;"|"&amp;F3866&amp;"|"&amp;IF(H3866="W3","W3_"&amp;IF(I3866="","unknown",I3866),H3866))</f>
        <v/>
      </c>
      <c r="Q3866">
        <f>IF(P3866="","",IFERROR(IF(AND(H3866="W7",OR(F3866="causal",F3866="predictive")),IF(AND(OR(K3866=1,K3866="1"),OR(L3866=1,L3866="1"),OR(M3866=1,M3866="1")),"adequate","partial"),IF(AND(H3866="W4",F3866="predictive",OR(J3866="P2",J3866="P3",J3866="P4")),IF(OR(U3866=1,U3866="1"),"adequate","partial"),INDEX(Fit_Matrix!$B:$B,MATCH(P3866,Fit_Matrix!$A:$A,0)))),"CHECK KEY"))</f>
        <v/>
      </c>
      <c r="U3866" s="10" t="n"/>
      <c r="V3866" s="10" t="n"/>
      <c r="W3866" s="10" t="n"/>
      <c r="X3866" s="10" t="n"/>
      <c r="Y3866" s="10" t="n"/>
      <c r="Z3866" s="10" t="n"/>
      <c r="AA3866" s="11">
        <f>IF(A3866="","",IF(AND(J3866="P4",F3866="causal"),"P4-CAUSAL",""))</f>
        <v/>
      </c>
    </row>
    <row r="3867" ht="15" customHeight="1" s="1">
      <c r="P3867">
        <f>IF(OR(F3867="",H3867="",J3867=""),"",J3867&amp;"|"&amp;F3867&amp;"|"&amp;IF(H3867="W3","W3_"&amp;IF(I3867="","unknown",I3867),H3867))</f>
        <v/>
      </c>
      <c r="Q3867">
        <f>IF(P3867="","",IFERROR(IF(AND(H3867="W7",OR(F3867="causal",F3867="predictive")),IF(AND(OR(K3867=1,K3867="1"),OR(L3867=1,L3867="1"),OR(M3867=1,M3867="1")),"adequate","partial"),IF(AND(H3867="W4",F3867="predictive",OR(J3867="P2",J3867="P3",J3867="P4")),IF(OR(U3867=1,U3867="1"),"adequate","partial"),INDEX(Fit_Matrix!$B:$B,MATCH(P3867,Fit_Matrix!$A:$A,0)))),"CHECK KEY"))</f>
        <v/>
      </c>
      <c r="U3867" s="10" t="n"/>
      <c r="V3867" s="10" t="n"/>
      <c r="W3867" s="10" t="n"/>
      <c r="X3867" s="10" t="n"/>
      <c r="Y3867" s="10" t="n"/>
      <c r="Z3867" s="10" t="n"/>
      <c r="AA3867" s="11">
        <f>IF(A3867="","",IF(AND(J3867="P4",F3867="causal"),"P4-CAUSAL",""))</f>
        <v/>
      </c>
    </row>
    <row r="3868" ht="15" customHeight="1" s="1">
      <c r="P3868">
        <f>IF(OR(F3868="",H3868="",J3868=""),"",J3868&amp;"|"&amp;F3868&amp;"|"&amp;IF(H3868="W3","W3_"&amp;IF(I3868="","unknown",I3868),H3868))</f>
        <v/>
      </c>
      <c r="Q3868">
        <f>IF(P3868="","",IFERROR(IF(AND(H3868="W7",OR(F3868="causal",F3868="predictive")),IF(AND(OR(K3868=1,K3868="1"),OR(L3868=1,L3868="1"),OR(M3868=1,M3868="1")),"adequate","partial"),IF(AND(H3868="W4",F3868="predictive",OR(J3868="P2",J3868="P3",J3868="P4")),IF(OR(U3868=1,U3868="1"),"adequate","partial"),INDEX(Fit_Matrix!$B:$B,MATCH(P3868,Fit_Matrix!$A:$A,0)))),"CHECK KEY"))</f>
        <v/>
      </c>
      <c r="U3868" s="10" t="n"/>
      <c r="V3868" s="10" t="n"/>
      <c r="W3868" s="10" t="n"/>
      <c r="X3868" s="10" t="n"/>
      <c r="Y3868" s="10" t="n"/>
      <c r="Z3868" s="10" t="n"/>
      <c r="AA3868" s="11">
        <f>IF(A3868="","",IF(AND(J3868="P4",F3868="causal"),"P4-CAUSAL",""))</f>
        <v/>
      </c>
    </row>
    <row r="3869" ht="15" customHeight="1" s="1">
      <c r="P3869">
        <f>IF(OR(F3869="",H3869="",J3869=""),"",J3869&amp;"|"&amp;F3869&amp;"|"&amp;IF(H3869="W3","W3_"&amp;IF(I3869="","unknown",I3869),H3869))</f>
        <v/>
      </c>
      <c r="Q3869">
        <f>IF(P3869="","",IFERROR(IF(AND(H3869="W7",OR(F3869="causal",F3869="predictive")),IF(AND(OR(K3869=1,K3869="1"),OR(L3869=1,L3869="1"),OR(M3869=1,M3869="1")),"adequate","partial"),IF(AND(H3869="W4",F3869="predictive",OR(J3869="P2",J3869="P3",J3869="P4")),IF(OR(U3869=1,U3869="1"),"adequate","partial"),INDEX(Fit_Matrix!$B:$B,MATCH(P3869,Fit_Matrix!$A:$A,0)))),"CHECK KEY"))</f>
        <v/>
      </c>
      <c r="U3869" s="10" t="n"/>
      <c r="V3869" s="10" t="n"/>
      <c r="W3869" s="10" t="n"/>
      <c r="X3869" s="10" t="n"/>
      <c r="Y3869" s="10" t="n"/>
      <c r="Z3869" s="10" t="n"/>
      <c r="AA3869" s="11">
        <f>IF(A3869="","",IF(AND(J3869="P4",F3869="causal"),"P4-CAUSAL",""))</f>
        <v/>
      </c>
    </row>
    <row r="3870" ht="15" customHeight="1" s="1">
      <c r="P3870">
        <f>IF(OR(F3870="",H3870="",J3870=""),"",J3870&amp;"|"&amp;F3870&amp;"|"&amp;IF(H3870="W3","W3_"&amp;IF(I3870="","unknown",I3870),H3870))</f>
        <v/>
      </c>
      <c r="Q3870">
        <f>IF(P3870="","",IFERROR(IF(AND(H3870="W7",OR(F3870="causal",F3870="predictive")),IF(AND(OR(K3870=1,K3870="1"),OR(L3870=1,L3870="1"),OR(M3870=1,M3870="1")),"adequate","partial"),IF(AND(H3870="W4",F3870="predictive",OR(J3870="P2",J3870="P3",J3870="P4")),IF(OR(U3870=1,U3870="1"),"adequate","partial"),INDEX(Fit_Matrix!$B:$B,MATCH(P3870,Fit_Matrix!$A:$A,0)))),"CHECK KEY"))</f>
        <v/>
      </c>
      <c r="U3870" s="10" t="n"/>
      <c r="V3870" s="10" t="n"/>
      <c r="W3870" s="10" t="n"/>
      <c r="X3870" s="10" t="n"/>
      <c r="Y3870" s="10" t="n"/>
      <c r="Z3870" s="10" t="n"/>
      <c r="AA3870" s="11">
        <f>IF(A3870="","",IF(AND(J3870="P4",F3870="causal"),"P4-CAUSAL",""))</f>
        <v/>
      </c>
    </row>
    <row r="3871" ht="15" customHeight="1" s="1">
      <c r="P3871">
        <f>IF(OR(F3871="",H3871="",J3871=""),"",J3871&amp;"|"&amp;F3871&amp;"|"&amp;IF(H3871="W3","W3_"&amp;IF(I3871="","unknown",I3871),H3871))</f>
        <v/>
      </c>
      <c r="Q3871">
        <f>IF(P3871="","",IFERROR(IF(AND(H3871="W7",OR(F3871="causal",F3871="predictive")),IF(AND(OR(K3871=1,K3871="1"),OR(L3871=1,L3871="1"),OR(M3871=1,M3871="1")),"adequate","partial"),IF(AND(H3871="W4",F3871="predictive",OR(J3871="P2",J3871="P3",J3871="P4")),IF(OR(U3871=1,U3871="1"),"adequate","partial"),INDEX(Fit_Matrix!$B:$B,MATCH(P3871,Fit_Matrix!$A:$A,0)))),"CHECK KEY"))</f>
        <v/>
      </c>
      <c r="U3871" s="10" t="n"/>
      <c r="V3871" s="10" t="n"/>
      <c r="W3871" s="10" t="n"/>
      <c r="X3871" s="10" t="n"/>
      <c r="Y3871" s="10" t="n"/>
      <c r="Z3871" s="10" t="n"/>
      <c r="AA3871" s="11">
        <f>IF(A3871="","",IF(AND(J3871="P4",F3871="causal"),"P4-CAUSAL",""))</f>
        <v/>
      </c>
    </row>
    <row r="3872" ht="15" customHeight="1" s="1">
      <c r="P3872">
        <f>IF(OR(F3872="",H3872="",J3872=""),"",J3872&amp;"|"&amp;F3872&amp;"|"&amp;IF(H3872="W3","W3_"&amp;IF(I3872="","unknown",I3872),H3872))</f>
        <v/>
      </c>
      <c r="Q3872">
        <f>IF(P3872="","",IFERROR(IF(AND(H3872="W7",OR(F3872="causal",F3872="predictive")),IF(AND(OR(K3872=1,K3872="1"),OR(L3872=1,L3872="1"),OR(M3872=1,M3872="1")),"adequate","partial"),IF(AND(H3872="W4",F3872="predictive",OR(J3872="P2",J3872="P3",J3872="P4")),IF(OR(U3872=1,U3872="1"),"adequate","partial"),INDEX(Fit_Matrix!$B:$B,MATCH(P3872,Fit_Matrix!$A:$A,0)))),"CHECK KEY"))</f>
        <v/>
      </c>
      <c r="U3872" s="10" t="n"/>
      <c r="V3872" s="10" t="n"/>
      <c r="W3872" s="10" t="n"/>
      <c r="X3872" s="10" t="n"/>
      <c r="Y3872" s="10" t="n"/>
      <c r="Z3872" s="10" t="n"/>
      <c r="AA3872" s="11">
        <f>IF(A3872="","",IF(AND(J3872="P4",F3872="causal"),"P4-CAUSAL",""))</f>
        <v/>
      </c>
    </row>
    <row r="3873" ht="15" customHeight="1" s="1">
      <c r="P3873">
        <f>IF(OR(F3873="",H3873="",J3873=""),"",J3873&amp;"|"&amp;F3873&amp;"|"&amp;IF(H3873="W3","W3_"&amp;IF(I3873="","unknown",I3873),H3873))</f>
        <v/>
      </c>
      <c r="Q3873">
        <f>IF(P3873="","",IFERROR(IF(AND(H3873="W7",OR(F3873="causal",F3873="predictive")),IF(AND(OR(K3873=1,K3873="1"),OR(L3873=1,L3873="1"),OR(M3873=1,M3873="1")),"adequate","partial"),IF(AND(H3873="W4",F3873="predictive",OR(J3873="P2",J3873="P3",J3873="P4")),IF(OR(U3873=1,U3873="1"),"adequate","partial"),INDEX(Fit_Matrix!$B:$B,MATCH(P3873,Fit_Matrix!$A:$A,0)))),"CHECK KEY"))</f>
        <v/>
      </c>
      <c r="U3873" s="10" t="n"/>
      <c r="V3873" s="10" t="n"/>
      <c r="W3873" s="10" t="n"/>
      <c r="X3873" s="10" t="n"/>
      <c r="Y3873" s="10" t="n"/>
      <c r="Z3873" s="10" t="n"/>
      <c r="AA3873" s="11">
        <f>IF(A3873="","",IF(AND(J3873="P4",F3873="causal"),"P4-CAUSAL",""))</f>
        <v/>
      </c>
    </row>
    <row r="3874" ht="15" customHeight="1" s="1">
      <c r="P3874">
        <f>IF(OR(F3874="",H3874="",J3874=""),"",J3874&amp;"|"&amp;F3874&amp;"|"&amp;IF(H3874="W3","W3_"&amp;IF(I3874="","unknown",I3874),H3874))</f>
        <v/>
      </c>
      <c r="Q3874">
        <f>IF(P3874="","",IFERROR(IF(AND(H3874="W7",OR(F3874="causal",F3874="predictive")),IF(AND(OR(K3874=1,K3874="1"),OR(L3874=1,L3874="1"),OR(M3874=1,M3874="1")),"adequate","partial"),IF(AND(H3874="W4",F3874="predictive",OR(J3874="P2",J3874="P3",J3874="P4")),IF(OR(U3874=1,U3874="1"),"adequate","partial"),INDEX(Fit_Matrix!$B:$B,MATCH(P3874,Fit_Matrix!$A:$A,0)))),"CHECK KEY"))</f>
        <v/>
      </c>
      <c r="U3874" s="10" t="n"/>
      <c r="V3874" s="10" t="n"/>
      <c r="W3874" s="10" t="n"/>
      <c r="X3874" s="10" t="n"/>
      <c r="Y3874" s="10" t="n"/>
      <c r="Z3874" s="10" t="n"/>
      <c r="AA3874" s="11">
        <f>IF(A3874="","",IF(AND(J3874="P4",F3874="causal"),"P4-CAUSAL",""))</f>
        <v/>
      </c>
    </row>
    <row r="3875" ht="15" customHeight="1" s="1">
      <c r="P3875">
        <f>IF(OR(F3875="",H3875="",J3875=""),"",J3875&amp;"|"&amp;F3875&amp;"|"&amp;IF(H3875="W3","W3_"&amp;IF(I3875="","unknown",I3875),H3875))</f>
        <v/>
      </c>
      <c r="Q3875">
        <f>IF(P3875="","",IFERROR(IF(AND(H3875="W7",OR(F3875="causal",F3875="predictive")),IF(AND(OR(K3875=1,K3875="1"),OR(L3875=1,L3875="1"),OR(M3875=1,M3875="1")),"adequate","partial"),IF(AND(H3875="W4",F3875="predictive",OR(J3875="P2",J3875="P3",J3875="P4")),IF(OR(U3875=1,U3875="1"),"adequate","partial"),INDEX(Fit_Matrix!$B:$B,MATCH(P3875,Fit_Matrix!$A:$A,0)))),"CHECK KEY"))</f>
        <v/>
      </c>
      <c r="U3875" s="10" t="n"/>
      <c r="V3875" s="10" t="n"/>
      <c r="W3875" s="10" t="n"/>
      <c r="X3875" s="10" t="n"/>
      <c r="Y3875" s="10" t="n"/>
      <c r="Z3875" s="10" t="n"/>
      <c r="AA3875" s="11">
        <f>IF(A3875="","",IF(AND(J3875="P4",F3875="causal"),"P4-CAUSAL",""))</f>
        <v/>
      </c>
    </row>
    <row r="3876" ht="15" customHeight="1" s="1">
      <c r="P3876">
        <f>IF(OR(F3876="",H3876="",J3876=""),"",J3876&amp;"|"&amp;F3876&amp;"|"&amp;IF(H3876="W3","W3_"&amp;IF(I3876="","unknown",I3876),H3876))</f>
        <v/>
      </c>
      <c r="Q3876">
        <f>IF(P3876="","",IFERROR(IF(AND(H3876="W7",OR(F3876="causal",F3876="predictive")),IF(AND(OR(K3876=1,K3876="1"),OR(L3876=1,L3876="1"),OR(M3876=1,M3876="1")),"adequate","partial"),IF(AND(H3876="W4",F3876="predictive",OR(J3876="P2",J3876="P3",J3876="P4")),IF(OR(U3876=1,U3876="1"),"adequate","partial"),INDEX(Fit_Matrix!$B:$B,MATCH(P3876,Fit_Matrix!$A:$A,0)))),"CHECK KEY"))</f>
        <v/>
      </c>
      <c r="U3876" s="10" t="n"/>
      <c r="V3876" s="10" t="n"/>
      <c r="W3876" s="10" t="n"/>
      <c r="X3876" s="10" t="n"/>
      <c r="Y3876" s="10" t="n"/>
      <c r="Z3876" s="10" t="n"/>
      <c r="AA3876" s="11">
        <f>IF(A3876="","",IF(AND(J3876="P4",F3876="causal"),"P4-CAUSAL",""))</f>
        <v/>
      </c>
    </row>
    <row r="3877" ht="15" customHeight="1" s="1">
      <c r="P3877">
        <f>IF(OR(F3877="",H3877="",J3877=""),"",J3877&amp;"|"&amp;F3877&amp;"|"&amp;IF(H3877="W3","W3_"&amp;IF(I3877="","unknown",I3877),H3877))</f>
        <v/>
      </c>
      <c r="Q3877">
        <f>IF(P3877="","",IFERROR(IF(AND(H3877="W7",OR(F3877="causal",F3877="predictive")),IF(AND(OR(K3877=1,K3877="1"),OR(L3877=1,L3877="1"),OR(M3877=1,M3877="1")),"adequate","partial"),IF(AND(H3877="W4",F3877="predictive",OR(J3877="P2",J3877="P3",J3877="P4")),IF(OR(U3877=1,U3877="1"),"adequate","partial"),INDEX(Fit_Matrix!$B:$B,MATCH(P3877,Fit_Matrix!$A:$A,0)))),"CHECK KEY"))</f>
        <v/>
      </c>
      <c r="U3877" s="10" t="n"/>
      <c r="V3877" s="10" t="n"/>
      <c r="W3877" s="10" t="n"/>
      <c r="X3877" s="10" t="n"/>
      <c r="Y3877" s="10" t="n"/>
      <c r="Z3877" s="10" t="n"/>
      <c r="AA3877" s="11">
        <f>IF(A3877="","",IF(AND(J3877="P4",F3877="causal"),"P4-CAUSAL",""))</f>
        <v/>
      </c>
    </row>
    <row r="3878" ht="15" customHeight="1" s="1">
      <c r="P3878">
        <f>IF(OR(F3878="",H3878="",J3878=""),"",J3878&amp;"|"&amp;F3878&amp;"|"&amp;IF(H3878="W3","W3_"&amp;IF(I3878="","unknown",I3878),H3878))</f>
        <v/>
      </c>
      <c r="Q3878">
        <f>IF(P3878="","",IFERROR(IF(AND(H3878="W7",OR(F3878="causal",F3878="predictive")),IF(AND(OR(K3878=1,K3878="1"),OR(L3878=1,L3878="1"),OR(M3878=1,M3878="1")),"adequate","partial"),IF(AND(H3878="W4",F3878="predictive",OR(J3878="P2",J3878="P3",J3878="P4")),IF(OR(U3878=1,U3878="1"),"adequate","partial"),INDEX(Fit_Matrix!$B:$B,MATCH(P3878,Fit_Matrix!$A:$A,0)))),"CHECK KEY"))</f>
        <v/>
      </c>
      <c r="U3878" s="10" t="n"/>
      <c r="V3878" s="10" t="n"/>
      <c r="W3878" s="10" t="n"/>
      <c r="X3878" s="10" t="n"/>
      <c r="Y3878" s="10" t="n"/>
      <c r="Z3878" s="10" t="n"/>
      <c r="AA3878" s="11">
        <f>IF(A3878="","",IF(AND(J3878="P4",F3878="causal"),"P4-CAUSAL",""))</f>
        <v/>
      </c>
    </row>
    <row r="3879" ht="15" customHeight="1" s="1">
      <c r="P3879">
        <f>IF(OR(F3879="",H3879="",J3879=""),"",J3879&amp;"|"&amp;F3879&amp;"|"&amp;IF(H3879="W3","W3_"&amp;IF(I3879="","unknown",I3879),H3879))</f>
        <v/>
      </c>
      <c r="Q3879">
        <f>IF(P3879="","",IFERROR(IF(AND(H3879="W7",OR(F3879="causal",F3879="predictive")),IF(AND(OR(K3879=1,K3879="1"),OR(L3879=1,L3879="1"),OR(M3879=1,M3879="1")),"adequate","partial"),IF(AND(H3879="W4",F3879="predictive",OR(J3879="P2",J3879="P3",J3879="P4")),IF(OR(U3879=1,U3879="1"),"adequate","partial"),INDEX(Fit_Matrix!$B:$B,MATCH(P3879,Fit_Matrix!$A:$A,0)))),"CHECK KEY"))</f>
        <v/>
      </c>
      <c r="U3879" s="10" t="n"/>
      <c r="V3879" s="10" t="n"/>
      <c r="W3879" s="10" t="n"/>
      <c r="X3879" s="10" t="n"/>
      <c r="Y3879" s="10" t="n"/>
      <c r="Z3879" s="10" t="n"/>
      <c r="AA3879" s="11">
        <f>IF(A3879="","",IF(AND(J3879="P4",F3879="causal"),"P4-CAUSAL",""))</f>
        <v/>
      </c>
    </row>
    <row r="3880" ht="15" customHeight="1" s="1">
      <c r="P3880">
        <f>IF(OR(F3880="",H3880="",J3880=""),"",J3880&amp;"|"&amp;F3880&amp;"|"&amp;IF(H3880="W3","W3_"&amp;IF(I3880="","unknown",I3880),H3880))</f>
        <v/>
      </c>
      <c r="Q3880">
        <f>IF(P3880="","",IFERROR(IF(AND(H3880="W7",OR(F3880="causal",F3880="predictive")),IF(AND(OR(K3880=1,K3880="1"),OR(L3880=1,L3880="1"),OR(M3880=1,M3880="1")),"adequate","partial"),IF(AND(H3880="W4",F3880="predictive",OR(J3880="P2",J3880="P3",J3880="P4")),IF(OR(U3880=1,U3880="1"),"adequate","partial"),INDEX(Fit_Matrix!$B:$B,MATCH(P3880,Fit_Matrix!$A:$A,0)))),"CHECK KEY"))</f>
        <v/>
      </c>
      <c r="U3880" s="10" t="n"/>
      <c r="V3880" s="10" t="n"/>
      <c r="W3880" s="10" t="n"/>
      <c r="X3880" s="10" t="n"/>
      <c r="Y3880" s="10" t="n"/>
      <c r="Z3880" s="10" t="n"/>
      <c r="AA3880" s="11">
        <f>IF(A3880="","",IF(AND(J3880="P4",F3880="causal"),"P4-CAUSAL",""))</f>
        <v/>
      </c>
    </row>
    <row r="3881" ht="15" customHeight="1" s="1">
      <c r="P3881">
        <f>IF(OR(F3881="",H3881="",J3881=""),"",J3881&amp;"|"&amp;F3881&amp;"|"&amp;IF(H3881="W3","W3_"&amp;IF(I3881="","unknown",I3881),H3881))</f>
        <v/>
      </c>
      <c r="Q3881">
        <f>IF(P3881="","",IFERROR(IF(AND(H3881="W7",OR(F3881="causal",F3881="predictive")),IF(AND(OR(K3881=1,K3881="1"),OR(L3881=1,L3881="1"),OR(M3881=1,M3881="1")),"adequate","partial"),IF(AND(H3881="W4",F3881="predictive",OR(J3881="P2",J3881="P3",J3881="P4")),IF(OR(U3881=1,U3881="1"),"adequate","partial"),INDEX(Fit_Matrix!$B:$B,MATCH(P3881,Fit_Matrix!$A:$A,0)))),"CHECK KEY"))</f>
        <v/>
      </c>
      <c r="U3881" s="10" t="n"/>
      <c r="V3881" s="10" t="n"/>
      <c r="W3881" s="10" t="n"/>
      <c r="X3881" s="10" t="n"/>
      <c r="Y3881" s="10" t="n"/>
      <c r="Z3881" s="10" t="n"/>
      <c r="AA3881" s="11">
        <f>IF(A3881="","",IF(AND(J3881="P4",F3881="causal"),"P4-CAUSAL",""))</f>
        <v/>
      </c>
    </row>
    <row r="3882" ht="15" customHeight="1" s="1">
      <c r="P3882">
        <f>IF(OR(F3882="",H3882="",J3882=""),"",J3882&amp;"|"&amp;F3882&amp;"|"&amp;IF(H3882="W3","W3_"&amp;IF(I3882="","unknown",I3882),H3882))</f>
        <v/>
      </c>
      <c r="Q3882">
        <f>IF(P3882="","",IFERROR(IF(AND(H3882="W7",OR(F3882="causal",F3882="predictive")),IF(AND(OR(K3882=1,K3882="1"),OR(L3882=1,L3882="1"),OR(M3882=1,M3882="1")),"adequate","partial"),IF(AND(H3882="W4",F3882="predictive",OR(J3882="P2",J3882="P3",J3882="P4")),IF(OR(U3882=1,U3882="1"),"adequate","partial"),INDEX(Fit_Matrix!$B:$B,MATCH(P3882,Fit_Matrix!$A:$A,0)))),"CHECK KEY"))</f>
        <v/>
      </c>
      <c r="U3882" s="10" t="n"/>
      <c r="V3882" s="10" t="n"/>
      <c r="W3882" s="10" t="n"/>
      <c r="X3882" s="10" t="n"/>
      <c r="Y3882" s="10" t="n"/>
      <c r="Z3882" s="10" t="n"/>
      <c r="AA3882" s="11">
        <f>IF(A3882="","",IF(AND(J3882="P4",F3882="causal"),"P4-CAUSAL",""))</f>
        <v/>
      </c>
    </row>
    <row r="3883" ht="15" customHeight="1" s="1">
      <c r="P3883">
        <f>IF(OR(F3883="",H3883="",J3883=""),"",J3883&amp;"|"&amp;F3883&amp;"|"&amp;IF(H3883="W3","W3_"&amp;IF(I3883="","unknown",I3883),H3883))</f>
        <v/>
      </c>
      <c r="Q3883">
        <f>IF(P3883="","",IFERROR(IF(AND(H3883="W7",OR(F3883="causal",F3883="predictive")),IF(AND(OR(K3883=1,K3883="1"),OR(L3883=1,L3883="1"),OR(M3883=1,M3883="1")),"adequate","partial"),IF(AND(H3883="W4",F3883="predictive",OR(J3883="P2",J3883="P3",J3883="P4")),IF(OR(U3883=1,U3883="1"),"adequate","partial"),INDEX(Fit_Matrix!$B:$B,MATCH(P3883,Fit_Matrix!$A:$A,0)))),"CHECK KEY"))</f>
        <v/>
      </c>
      <c r="U3883" s="10" t="n"/>
      <c r="V3883" s="10" t="n"/>
      <c r="W3883" s="10" t="n"/>
      <c r="X3883" s="10" t="n"/>
      <c r="Y3883" s="10" t="n"/>
      <c r="Z3883" s="10" t="n"/>
      <c r="AA3883" s="11">
        <f>IF(A3883="","",IF(AND(J3883="P4",F3883="causal"),"P4-CAUSAL",""))</f>
        <v/>
      </c>
    </row>
    <row r="3884" ht="15" customHeight="1" s="1">
      <c r="P3884">
        <f>IF(OR(F3884="",H3884="",J3884=""),"",J3884&amp;"|"&amp;F3884&amp;"|"&amp;IF(H3884="W3","W3_"&amp;IF(I3884="","unknown",I3884),H3884))</f>
        <v/>
      </c>
      <c r="Q3884">
        <f>IF(P3884="","",IFERROR(IF(AND(H3884="W7",OR(F3884="causal",F3884="predictive")),IF(AND(OR(K3884=1,K3884="1"),OR(L3884=1,L3884="1"),OR(M3884=1,M3884="1")),"adequate","partial"),IF(AND(H3884="W4",F3884="predictive",OR(J3884="P2",J3884="P3",J3884="P4")),IF(OR(U3884=1,U3884="1"),"adequate","partial"),INDEX(Fit_Matrix!$B:$B,MATCH(P3884,Fit_Matrix!$A:$A,0)))),"CHECK KEY"))</f>
        <v/>
      </c>
      <c r="U3884" s="10" t="n"/>
      <c r="V3884" s="10" t="n"/>
      <c r="W3884" s="10" t="n"/>
      <c r="X3884" s="10" t="n"/>
      <c r="Y3884" s="10" t="n"/>
      <c r="Z3884" s="10" t="n"/>
      <c r="AA3884" s="11">
        <f>IF(A3884="","",IF(AND(J3884="P4",F3884="causal"),"P4-CAUSAL",""))</f>
        <v/>
      </c>
    </row>
    <row r="3885" ht="15" customHeight="1" s="1">
      <c r="P3885">
        <f>IF(OR(F3885="",H3885="",J3885=""),"",J3885&amp;"|"&amp;F3885&amp;"|"&amp;IF(H3885="W3","W3_"&amp;IF(I3885="","unknown",I3885),H3885))</f>
        <v/>
      </c>
      <c r="Q3885">
        <f>IF(P3885="","",IFERROR(IF(AND(H3885="W7",OR(F3885="causal",F3885="predictive")),IF(AND(OR(K3885=1,K3885="1"),OR(L3885=1,L3885="1"),OR(M3885=1,M3885="1")),"adequate","partial"),IF(AND(H3885="W4",F3885="predictive",OR(J3885="P2",J3885="P3",J3885="P4")),IF(OR(U3885=1,U3885="1"),"adequate","partial"),INDEX(Fit_Matrix!$B:$B,MATCH(P3885,Fit_Matrix!$A:$A,0)))),"CHECK KEY"))</f>
        <v/>
      </c>
      <c r="U3885" s="10" t="n"/>
      <c r="V3885" s="10" t="n"/>
      <c r="W3885" s="10" t="n"/>
      <c r="X3885" s="10" t="n"/>
      <c r="Y3885" s="10" t="n"/>
      <c r="Z3885" s="10" t="n"/>
      <c r="AA3885" s="11">
        <f>IF(A3885="","",IF(AND(J3885="P4",F3885="causal"),"P4-CAUSAL",""))</f>
        <v/>
      </c>
    </row>
    <row r="3886" ht="15" customHeight="1" s="1">
      <c r="P3886">
        <f>IF(OR(F3886="",H3886="",J3886=""),"",J3886&amp;"|"&amp;F3886&amp;"|"&amp;IF(H3886="W3","W3_"&amp;IF(I3886="","unknown",I3886),H3886))</f>
        <v/>
      </c>
      <c r="Q3886">
        <f>IF(P3886="","",IFERROR(IF(AND(H3886="W7",OR(F3886="causal",F3886="predictive")),IF(AND(OR(K3886=1,K3886="1"),OR(L3886=1,L3886="1"),OR(M3886=1,M3886="1")),"adequate","partial"),IF(AND(H3886="W4",F3886="predictive",OR(J3886="P2",J3886="P3",J3886="P4")),IF(OR(U3886=1,U3886="1"),"adequate","partial"),INDEX(Fit_Matrix!$B:$B,MATCH(P3886,Fit_Matrix!$A:$A,0)))),"CHECK KEY"))</f>
        <v/>
      </c>
      <c r="U3886" s="10" t="n"/>
      <c r="V3886" s="10" t="n"/>
      <c r="W3886" s="10" t="n"/>
      <c r="X3886" s="10" t="n"/>
      <c r="Y3886" s="10" t="n"/>
      <c r="Z3886" s="10" t="n"/>
      <c r="AA3886" s="11">
        <f>IF(A3886="","",IF(AND(J3886="P4",F3886="causal"),"P4-CAUSAL",""))</f>
        <v/>
      </c>
    </row>
    <row r="3887" ht="15" customHeight="1" s="1">
      <c r="P3887">
        <f>IF(OR(F3887="",H3887="",J3887=""),"",J3887&amp;"|"&amp;F3887&amp;"|"&amp;IF(H3887="W3","W3_"&amp;IF(I3887="","unknown",I3887),H3887))</f>
        <v/>
      </c>
      <c r="Q3887">
        <f>IF(P3887="","",IFERROR(IF(AND(H3887="W7",OR(F3887="causal",F3887="predictive")),IF(AND(OR(K3887=1,K3887="1"),OR(L3887=1,L3887="1"),OR(M3887=1,M3887="1")),"adequate","partial"),IF(AND(H3887="W4",F3887="predictive",OR(J3887="P2",J3887="P3",J3887="P4")),IF(OR(U3887=1,U3887="1"),"adequate","partial"),INDEX(Fit_Matrix!$B:$B,MATCH(P3887,Fit_Matrix!$A:$A,0)))),"CHECK KEY"))</f>
        <v/>
      </c>
      <c r="U3887" s="10" t="n"/>
      <c r="V3887" s="10" t="n"/>
      <c r="W3887" s="10" t="n"/>
      <c r="X3887" s="10" t="n"/>
      <c r="Y3887" s="10" t="n"/>
      <c r="Z3887" s="10" t="n"/>
      <c r="AA3887" s="11">
        <f>IF(A3887="","",IF(AND(J3887="P4",F3887="causal"),"P4-CAUSAL",""))</f>
        <v/>
      </c>
    </row>
    <row r="3888" ht="15" customHeight="1" s="1">
      <c r="P3888">
        <f>IF(OR(F3888="",H3888="",J3888=""),"",J3888&amp;"|"&amp;F3888&amp;"|"&amp;IF(H3888="W3","W3_"&amp;IF(I3888="","unknown",I3888),H3888))</f>
        <v/>
      </c>
      <c r="Q3888">
        <f>IF(P3888="","",IFERROR(IF(AND(H3888="W7",OR(F3888="causal",F3888="predictive")),IF(AND(OR(K3888=1,K3888="1"),OR(L3888=1,L3888="1"),OR(M3888=1,M3888="1")),"adequate","partial"),IF(AND(H3888="W4",F3888="predictive",OR(J3888="P2",J3888="P3",J3888="P4")),IF(OR(U3888=1,U3888="1"),"adequate","partial"),INDEX(Fit_Matrix!$B:$B,MATCH(P3888,Fit_Matrix!$A:$A,0)))),"CHECK KEY"))</f>
        <v/>
      </c>
      <c r="U3888" s="10" t="n"/>
      <c r="V3888" s="10" t="n"/>
      <c r="W3888" s="10" t="n"/>
      <c r="X3888" s="10" t="n"/>
      <c r="Y3888" s="10" t="n"/>
      <c r="Z3888" s="10" t="n"/>
      <c r="AA3888" s="11">
        <f>IF(A3888="","",IF(AND(J3888="P4",F3888="causal"),"P4-CAUSAL",""))</f>
        <v/>
      </c>
    </row>
    <row r="3889" ht="15" customHeight="1" s="1">
      <c r="P3889">
        <f>IF(OR(F3889="",H3889="",J3889=""),"",J3889&amp;"|"&amp;F3889&amp;"|"&amp;IF(H3889="W3","W3_"&amp;IF(I3889="","unknown",I3889),H3889))</f>
        <v/>
      </c>
      <c r="Q3889">
        <f>IF(P3889="","",IFERROR(IF(AND(H3889="W7",OR(F3889="causal",F3889="predictive")),IF(AND(OR(K3889=1,K3889="1"),OR(L3889=1,L3889="1"),OR(M3889=1,M3889="1")),"adequate","partial"),IF(AND(H3889="W4",F3889="predictive",OR(J3889="P2",J3889="P3",J3889="P4")),IF(OR(U3889=1,U3889="1"),"adequate","partial"),INDEX(Fit_Matrix!$B:$B,MATCH(P3889,Fit_Matrix!$A:$A,0)))),"CHECK KEY"))</f>
        <v/>
      </c>
      <c r="U3889" s="10" t="n"/>
      <c r="V3889" s="10" t="n"/>
      <c r="W3889" s="10" t="n"/>
      <c r="X3889" s="10" t="n"/>
      <c r="Y3889" s="10" t="n"/>
      <c r="Z3889" s="10" t="n"/>
      <c r="AA3889" s="11">
        <f>IF(A3889="","",IF(AND(J3889="P4",F3889="causal"),"P4-CAUSAL",""))</f>
        <v/>
      </c>
    </row>
    <row r="3890" ht="15" customHeight="1" s="1">
      <c r="P3890">
        <f>IF(OR(F3890="",H3890="",J3890=""),"",J3890&amp;"|"&amp;F3890&amp;"|"&amp;IF(H3890="W3","W3_"&amp;IF(I3890="","unknown",I3890),H3890))</f>
        <v/>
      </c>
      <c r="Q3890">
        <f>IF(P3890="","",IFERROR(IF(AND(H3890="W7",OR(F3890="causal",F3890="predictive")),IF(AND(OR(K3890=1,K3890="1"),OR(L3890=1,L3890="1"),OR(M3890=1,M3890="1")),"adequate","partial"),IF(AND(H3890="W4",F3890="predictive",OR(J3890="P2",J3890="P3",J3890="P4")),IF(OR(U3890=1,U3890="1"),"adequate","partial"),INDEX(Fit_Matrix!$B:$B,MATCH(P3890,Fit_Matrix!$A:$A,0)))),"CHECK KEY"))</f>
        <v/>
      </c>
      <c r="U3890" s="10" t="n"/>
      <c r="V3890" s="10" t="n"/>
      <c r="W3890" s="10" t="n"/>
      <c r="X3890" s="10" t="n"/>
      <c r="Y3890" s="10" t="n"/>
      <c r="Z3890" s="10" t="n"/>
      <c r="AA3890" s="11">
        <f>IF(A3890="","",IF(AND(J3890="P4",F3890="causal"),"P4-CAUSAL",""))</f>
        <v/>
      </c>
    </row>
    <row r="3891" ht="15" customHeight="1" s="1">
      <c r="P3891">
        <f>IF(OR(F3891="",H3891="",J3891=""),"",J3891&amp;"|"&amp;F3891&amp;"|"&amp;IF(H3891="W3","W3_"&amp;IF(I3891="","unknown",I3891),H3891))</f>
        <v/>
      </c>
      <c r="Q3891">
        <f>IF(P3891="","",IFERROR(IF(AND(H3891="W7",OR(F3891="causal",F3891="predictive")),IF(AND(OR(K3891=1,K3891="1"),OR(L3891=1,L3891="1"),OR(M3891=1,M3891="1")),"adequate","partial"),IF(AND(H3891="W4",F3891="predictive",OR(J3891="P2",J3891="P3",J3891="P4")),IF(OR(U3891=1,U3891="1"),"adequate","partial"),INDEX(Fit_Matrix!$B:$B,MATCH(P3891,Fit_Matrix!$A:$A,0)))),"CHECK KEY"))</f>
        <v/>
      </c>
      <c r="U3891" s="10" t="n"/>
      <c r="V3891" s="10" t="n"/>
      <c r="W3891" s="10" t="n"/>
      <c r="X3891" s="10" t="n"/>
      <c r="Y3891" s="10" t="n"/>
      <c r="Z3891" s="10" t="n"/>
      <c r="AA3891" s="11">
        <f>IF(A3891="","",IF(AND(J3891="P4",F3891="causal"),"P4-CAUSAL",""))</f>
        <v/>
      </c>
    </row>
    <row r="3892" ht="15" customHeight="1" s="1">
      <c r="P3892">
        <f>IF(OR(F3892="",H3892="",J3892=""),"",J3892&amp;"|"&amp;F3892&amp;"|"&amp;IF(H3892="W3","W3_"&amp;IF(I3892="","unknown",I3892),H3892))</f>
        <v/>
      </c>
      <c r="Q3892">
        <f>IF(P3892="","",IFERROR(IF(AND(H3892="W7",OR(F3892="causal",F3892="predictive")),IF(AND(OR(K3892=1,K3892="1"),OR(L3892=1,L3892="1"),OR(M3892=1,M3892="1")),"adequate","partial"),IF(AND(H3892="W4",F3892="predictive",OR(J3892="P2",J3892="P3",J3892="P4")),IF(OR(U3892=1,U3892="1"),"adequate","partial"),INDEX(Fit_Matrix!$B:$B,MATCH(P3892,Fit_Matrix!$A:$A,0)))),"CHECK KEY"))</f>
        <v/>
      </c>
      <c r="U3892" s="10" t="n"/>
      <c r="V3892" s="10" t="n"/>
      <c r="W3892" s="10" t="n"/>
      <c r="X3892" s="10" t="n"/>
      <c r="Y3892" s="10" t="n"/>
      <c r="Z3892" s="10" t="n"/>
      <c r="AA3892" s="11">
        <f>IF(A3892="","",IF(AND(J3892="P4",F3892="causal"),"P4-CAUSAL",""))</f>
        <v/>
      </c>
    </row>
    <row r="3893" ht="15" customHeight="1" s="1">
      <c r="P3893">
        <f>IF(OR(F3893="",H3893="",J3893=""),"",J3893&amp;"|"&amp;F3893&amp;"|"&amp;IF(H3893="W3","W3_"&amp;IF(I3893="","unknown",I3893),H3893))</f>
        <v/>
      </c>
      <c r="Q3893">
        <f>IF(P3893="","",IFERROR(IF(AND(H3893="W7",OR(F3893="causal",F3893="predictive")),IF(AND(OR(K3893=1,K3893="1"),OR(L3893=1,L3893="1"),OR(M3893=1,M3893="1")),"adequate","partial"),IF(AND(H3893="W4",F3893="predictive",OR(J3893="P2",J3893="P3",J3893="P4")),IF(OR(U3893=1,U3893="1"),"adequate","partial"),INDEX(Fit_Matrix!$B:$B,MATCH(P3893,Fit_Matrix!$A:$A,0)))),"CHECK KEY"))</f>
        <v/>
      </c>
      <c r="U3893" s="10" t="n"/>
      <c r="V3893" s="10" t="n"/>
      <c r="W3893" s="10" t="n"/>
      <c r="X3893" s="10" t="n"/>
      <c r="Y3893" s="10" t="n"/>
      <c r="Z3893" s="10" t="n"/>
      <c r="AA3893" s="11">
        <f>IF(A3893="","",IF(AND(J3893="P4",F3893="causal"),"P4-CAUSAL",""))</f>
        <v/>
      </c>
    </row>
    <row r="3894" ht="15" customHeight="1" s="1">
      <c r="P3894">
        <f>IF(OR(F3894="",H3894="",J3894=""),"",J3894&amp;"|"&amp;F3894&amp;"|"&amp;IF(H3894="W3","W3_"&amp;IF(I3894="","unknown",I3894),H3894))</f>
        <v/>
      </c>
      <c r="Q3894">
        <f>IF(P3894="","",IFERROR(IF(AND(H3894="W7",OR(F3894="causal",F3894="predictive")),IF(AND(OR(K3894=1,K3894="1"),OR(L3894=1,L3894="1"),OR(M3894=1,M3894="1")),"adequate","partial"),IF(AND(H3894="W4",F3894="predictive",OR(J3894="P2",J3894="P3",J3894="P4")),IF(OR(U3894=1,U3894="1"),"adequate","partial"),INDEX(Fit_Matrix!$B:$B,MATCH(P3894,Fit_Matrix!$A:$A,0)))),"CHECK KEY"))</f>
        <v/>
      </c>
      <c r="U3894" s="10" t="n"/>
      <c r="V3894" s="10" t="n"/>
      <c r="W3894" s="10" t="n"/>
      <c r="X3894" s="10" t="n"/>
      <c r="Y3894" s="10" t="n"/>
      <c r="Z3894" s="10" t="n"/>
      <c r="AA3894" s="11">
        <f>IF(A3894="","",IF(AND(J3894="P4",F3894="causal"),"P4-CAUSAL",""))</f>
        <v/>
      </c>
    </row>
    <row r="3895" ht="15" customHeight="1" s="1">
      <c r="P3895">
        <f>IF(OR(F3895="",H3895="",J3895=""),"",J3895&amp;"|"&amp;F3895&amp;"|"&amp;IF(H3895="W3","W3_"&amp;IF(I3895="","unknown",I3895),H3895))</f>
        <v/>
      </c>
      <c r="Q3895">
        <f>IF(P3895="","",IFERROR(IF(AND(H3895="W7",OR(F3895="causal",F3895="predictive")),IF(AND(OR(K3895=1,K3895="1"),OR(L3895=1,L3895="1"),OR(M3895=1,M3895="1")),"adequate","partial"),IF(AND(H3895="W4",F3895="predictive",OR(J3895="P2",J3895="P3",J3895="P4")),IF(OR(U3895=1,U3895="1"),"adequate","partial"),INDEX(Fit_Matrix!$B:$B,MATCH(P3895,Fit_Matrix!$A:$A,0)))),"CHECK KEY"))</f>
        <v/>
      </c>
      <c r="U3895" s="10" t="n"/>
      <c r="V3895" s="10" t="n"/>
      <c r="W3895" s="10" t="n"/>
      <c r="X3895" s="10" t="n"/>
      <c r="Y3895" s="10" t="n"/>
      <c r="Z3895" s="10" t="n"/>
      <c r="AA3895" s="11">
        <f>IF(A3895="","",IF(AND(J3895="P4",F3895="causal"),"P4-CAUSAL",""))</f>
        <v/>
      </c>
    </row>
    <row r="3896" ht="15" customHeight="1" s="1">
      <c r="P3896">
        <f>IF(OR(F3896="",H3896="",J3896=""),"",J3896&amp;"|"&amp;F3896&amp;"|"&amp;IF(H3896="W3","W3_"&amp;IF(I3896="","unknown",I3896),H3896))</f>
        <v/>
      </c>
      <c r="Q3896">
        <f>IF(P3896="","",IFERROR(IF(AND(H3896="W7",OR(F3896="causal",F3896="predictive")),IF(AND(OR(K3896=1,K3896="1"),OR(L3896=1,L3896="1"),OR(M3896=1,M3896="1")),"adequate","partial"),IF(AND(H3896="W4",F3896="predictive",OR(J3896="P2",J3896="P3",J3896="P4")),IF(OR(U3896=1,U3896="1"),"adequate","partial"),INDEX(Fit_Matrix!$B:$B,MATCH(P3896,Fit_Matrix!$A:$A,0)))),"CHECK KEY"))</f>
        <v/>
      </c>
      <c r="U3896" s="10" t="n"/>
      <c r="V3896" s="10" t="n"/>
      <c r="W3896" s="10" t="n"/>
      <c r="X3896" s="10" t="n"/>
      <c r="Y3896" s="10" t="n"/>
      <c r="Z3896" s="10" t="n"/>
      <c r="AA3896" s="11">
        <f>IF(A3896="","",IF(AND(J3896="P4",F3896="causal"),"P4-CAUSAL",""))</f>
        <v/>
      </c>
    </row>
    <row r="3897" ht="15" customHeight="1" s="1">
      <c r="P3897">
        <f>IF(OR(F3897="",H3897="",J3897=""),"",J3897&amp;"|"&amp;F3897&amp;"|"&amp;IF(H3897="W3","W3_"&amp;IF(I3897="","unknown",I3897),H3897))</f>
        <v/>
      </c>
      <c r="Q3897">
        <f>IF(P3897="","",IFERROR(IF(AND(H3897="W7",OR(F3897="causal",F3897="predictive")),IF(AND(OR(K3897=1,K3897="1"),OR(L3897=1,L3897="1"),OR(M3897=1,M3897="1")),"adequate","partial"),IF(AND(H3897="W4",F3897="predictive",OR(J3897="P2",J3897="P3",J3897="P4")),IF(OR(U3897=1,U3897="1"),"adequate","partial"),INDEX(Fit_Matrix!$B:$B,MATCH(P3897,Fit_Matrix!$A:$A,0)))),"CHECK KEY"))</f>
        <v/>
      </c>
      <c r="U3897" s="10" t="n"/>
      <c r="V3897" s="10" t="n"/>
      <c r="W3897" s="10" t="n"/>
      <c r="X3897" s="10" t="n"/>
      <c r="Y3897" s="10" t="n"/>
      <c r="Z3897" s="10" t="n"/>
      <c r="AA3897" s="11">
        <f>IF(A3897="","",IF(AND(J3897="P4",F3897="causal"),"P4-CAUSAL",""))</f>
        <v/>
      </c>
    </row>
    <row r="3898" ht="15" customHeight="1" s="1">
      <c r="P3898">
        <f>IF(OR(F3898="",H3898="",J3898=""),"",J3898&amp;"|"&amp;F3898&amp;"|"&amp;IF(H3898="W3","W3_"&amp;IF(I3898="","unknown",I3898),H3898))</f>
        <v/>
      </c>
      <c r="Q3898">
        <f>IF(P3898="","",IFERROR(IF(AND(H3898="W7",OR(F3898="causal",F3898="predictive")),IF(AND(OR(K3898=1,K3898="1"),OR(L3898=1,L3898="1"),OR(M3898=1,M3898="1")),"adequate","partial"),IF(AND(H3898="W4",F3898="predictive",OR(J3898="P2",J3898="P3",J3898="P4")),IF(OR(U3898=1,U3898="1"),"adequate","partial"),INDEX(Fit_Matrix!$B:$B,MATCH(P3898,Fit_Matrix!$A:$A,0)))),"CHECK KEY"))</f>
        <v/>
      </c>
      <c r="U3898" s="10" t="n"/>
      <c r="V3898" s="10" t="n"/>
      <c r="W3898" s="10" t="n"/>
      <c r="X3898" s="10" t="n"/>
      <c r="Y3898" s="10" t="n"/>
      <c r="Z3898" s="10" t="n"/>
      <c r="AA3898" s="11">
        <f>IF(A3898="","",IF(AND(J3898="P4",F3898="causal"),"P4-CAUSAL",""))</f>
        <v/>
      </c>
    </row>
    <row r="3899" ht="15" customHeight="1" s="1">
      <c r="P3899">
        <f>IF(OR(F3899="",H3899="",J3899=""),"",J3899&amp;"|"&amp;F3899&amp;"|"&amp;IF(H3899="W3","W3_"&amp;IF(I3899="","unknown",I3899),H3899))</f>
        <v/>
      </c>
      <c r="Q3899">
        <f>IF(P3899="","",IFERROR(IF(AND(H3899="W7",OR(F3899="causal",F3899="predictive")),IF(AND(OR(K3899=1,K3899="1"),OR(L3899=1,L3899="1"),OR(M3899=1,M3899="1")),"adequate","partial"),IF(AND(H3899="W4",F3899="predictive",OR(J3899="P2",J3899="P3",J3899="P4")),IF(OR(U3899=1,U3899="1"),"adequate","partial"),INDEX(Fit_Matrix!$B:$B,MATCH(P3899,Fit_Matrix!$A:$A,0)))),"CHECK KEY"))</f>
        <v/>
      </c>
      <c r="U3899" s="10" t="n"/>
      <c r="V3899" s="10" t="n"/>
      <c r="W3899" s="10" t="n"/>
      <c r="X3899" s="10" t="n"/>
      <c r="Y3899" s="10" t="n"/>
      <c r="Z3899" s="10" t="n"/>
      <c r="AA3899" s="11">
        <f>IF(A3899="","",IF(AND(J3899="P4",F3899="causal"),"P4-CAUSAL",""))</f>
        <v/>
      </c>
    </row>
    <row r="3900" ht="15" customHeight="1" s="1">
      <c r="P3900">
        <f>IF(OR(F3900="",H3900="",J3900=""),"",J3900&amp;"|"&amp;F3900&amp;"|"&amp;IF(H3900="W3","W3_"&amp;IF(I3900="","unknown",I3900),H3900))</f>
        <v/>
      </c>
      <c r="Q3900">
        <f>IF(P3900="","",IFERROR(IF(AND(H3900="W7",OR(F3900="causal",F3900="predictive")),IF(AND(OR(K3900=1,K3900="1"),OR(L3900=1,L3900="1"),OR(M3900=1,M3900="1")),"adequate","partial"),IF(AND(H3900="W4",F3900="predictive",OR(J3900="P2",J3900="P3",J3900="P4")),IF(OR(U3900=1,U3900="1"),"adequate","partial"),INDEX(Fit_Matrix!$B:$B,MATCH(P3900,Fit_Matrix!$A:$A,0)))),"CHECK KEY"))</f>
        <v/>
      </c>
      <c r="U3900" s="10" t="n"/>
      <c r="V3900" s="10" t="n"/>
      <c r="W3900" s="10" t="n"/>
      <c r="X3900" s="10" t="n"/>
      <c r="Y3900" s="10" t="n"/>
      <c r="Z3900" s="10" t="n"/>
      <c r="AA3900" s="11">
        <f>IF(A3900="","",IF(AND(J3900="P4",F3900="causal"),"P4-CAUSAL",""))</f>
        <v/>
      </c>
    </row>
    <row r="3901" ht="15" customHeight="1" s="1">
      <c r="P3901">
        <f>IF(OR(F3901="",H3901="",J3901=""),"",J3901&amp;"|"&amp;F3901&amp;"|"&amp;IF(H3901="W3","W3_"&amp;IF(I3901="","unknown",I3901),H3901))</f>
        <v/>
      </c>
      <c r="Q3901">
        <f>IF(P3901="","",IFERROR(IF(AND(H3901="W7",OR(F3901="causal",F3901="predictive")),IF(AND(OR(K3901=1,K3901="1"),OR(L3901=1,L3901="1"),OR(M3901=1,M3901="1")),"adequate","partial"),IF(AND(H3901="W4",F3901="predictive",OR(J3901="P2",J3901="P3",J3901="P4")),IF(OR(U3901=1,U3901="1"),"adequate","partial"),INDEX(Fit_Matrix!$B:$B,MATCH(P3901,Fit_Matrix!$A:$A,0)))),"CHECK KEY"))</f>
        <v/>
      </c>
      <c r="U3901" s="10" t="n"/>
      <c r="V3901" s="10" t="n"/>
      <c r="W3901" s="10" t="n"/>
      <c r="X3901" s="10" t="n"/>
      <c r="Y3901" s="10" t="n"/>
      <c r="Z3901" s="10" t="n"/>
      <c r="AA3901" s="11">
        <f>IF(A3901="","",IF(AND(J3901="P4",F3901="causal"),"P4-CAUSAL",""))</f>
        <v/>
      </c>
    </row>
    <row r="3902" ht="15" customHeight="1" s="1">
      <c r="P3902">
        <f>IF(OR(F3902="",H3902="",J3902=""),"",J3902&amp;"|"&amp;F3902&amp;"|"&amp;IF(H3902="W3","W3_"&amp;IF(I3902="","unknown",I3902),H3902))</f>
        <v/>
      </c>
      <c r="Q3902">
        <f>IF(P3902="","",IFERROR(IF(AND(H3902="W7",OR(F3902="causal",F3902="predictive")),IF(AND(OR(K3902=1,K3902="1"),OR(L3902=1,L3902="1"),OR(M3902=1,M3902="1")),"adequate","partial"),IF(AND(H3902="W4",F3902="predictive",OR(J3902="P2",J3902="P3",J3902="P4")),IF(OR(U3902=1,U3902="1"),"adequate","partial"),INDEX(Fit_Matrix!$B:$B,MATCH(P3902,Fit_Matrix!$A:$A,0)))),"CHECK KEY"))</f>
        <v/>
      </c>
      <c r="U3902" s="10" t="n"/>
      <c r="V3902" s="10" t="n"/>
      <c r="W3902" s="10" t="n"/>
      <c r="X3902" s="10" t="n"/>
      <c r="Y3902" s="10" t="n"/>
      <c r="Z3902" s="10" t="n"/>
      <c r="AA3902" s="11">
        <f>IF(A3902="","",IF(AND(J3902="P4",F3902="causal"),"P4-CAUSAL",""))</f>
        <v/>
      </c>
    </row>
    <row r="3903" ht="15" customHeight="1" s="1">
      <c r="P3903">
        <f>IF(OR(F3903="",H3903="",J3903=""),"",J3903&amp;"|"&amp;F3903&amp;"|"&amp;IF(H3903="W3","W3_"&amp;IF(I3903="","unknown",I3903),H3903))</f>
        <v/>
      </c>
      <c r="Q3903">
        <f>IF(P3903="","",IFERROR(IF(AND(H3903="W7",OR(F3903="causal",F3903="predictive")),IF(AND(OR(K3903=1,K3903="1"),OR(L3903=1,L3903="1"),OR(M3903=1,M3903="1")),"adequate","partial"),IF(AND(H3903="W4",F3903="predictive",OR(J3903="P2",J3903="P3",J3903="P4")),IF(OR(U3903=1,U3903="1"),"adequate","partial"),INDEX(Fit_Matrix!$B:$B,MATCH(P3903,Fit_Matrix!$A:$A,0)))),"CHECK KEY"))</f>
        <v/>
      </c>
      <c r="U3903" s="10" t="n"/>
      <c r="V3903" s="10" t="n"/>
      <c r="W3903" s="10" t="n"/>
      <c r="X3903" s="10" t="n"/>
      <c r="Y3903" s="10" t="n"/>
      <c r="Z3903" s="10" t="n"/>
      <c r="AA3903" s="11">
        <f>IF(A3903="","",IF(AND(J3903="P4",F3903="causal"),"P4-CAUSAL",""))</f>
        <v/>
      </c>
    </row>
    <row r="3904" ht="15" customHeight="1" s="1">
      <c r="P3904">
        <f>IF(OR(F3904="",H3904="",J3904=""),"",J3904&amp;"|"&amp;F3904&amp;"|"&amp;IF(H3904="W3","W3_"&amp;IF(I3904="","unknown",I3904),H3904))</f>
        <v/>
      </c>
      <c r="Q3904">
        <f>IF(P3904="","",IFERROR(IF(AND(H3904="W7",OR(F3904="causal",F3904="predictive")),IF(AND(OR(K3904=1,K3904="1"),OR(L3904=1,L3904="1"),OR(M3904=1,M3904="1")),"adequate","partial"),IF(AND(H3904="W4",F3904="predictive",OR(J3904="P2",J3904="P3",J3904="P4")),IF(OR(U3904=1,U3904="1"),"adequate","partial"),INDEX(Fit_Matrix!$B:$B,MATCH(P3904,Fit_Matrix!$A:$A,0)))),"CHECK KEY"))</f>
        <v/>
      </c>
      <c r="U3904" s="10" t="n"/>
      <c r="V3904" s="10" t="n"/>
      <c r="W3904" s="10" t="n"/>
      <c r="X3904" s="10" t="n"/>
      <c r="Y3904" s="10" t="n"/>
      <c r="Z3904" s="10" t="n"/>
      <c r="AA3904" s="11">
        <f>IF(A3904="","",IF(AND(J3904="P4",F3904="causal"),"P4-CAUSAL",""))</f>
        <v/>
      </c>
    </row>
    <row r="3905" ht="15" customHeight="1" s="1">
      <c r="P3905">
        <f>IF(OR(F3905="",H3905="",J3905=""),"",J3905&amp;"|"&amp;F3905&amp;"|"&amp;IF(H3905="W3","W3_"&amp;IF(I3905="","unknown",I3905),H3905))</f>
        <v/>
      </c>
      <c r="Q3905">
        <f>IF(P3905="","",IFERROR(IF(AND(H3905="W7",OR(F3905="causal",F3905="predictive")),IF(AND(OR(K3905=1,K3905="1"),OR(L3905=1,L3905="1"),OR(M3905=1,M3905="1")),"adequate","partial"),IF(AND(H3905="W4",F3905="predictive",OR(J3905="P2",J3905="P3",J3905="P4")),IF(OR(U3905=1,U3905="1"),"adequate","partial"),INDEX(Fit_Matrix!$B:$B,MATCH(P3905,Fit_Matrix!$A:$A,0)))),"CHECK KEY"))</f>
        <v/>
      </c>
      <c r="U3905" s="10" t="n"/>
      <c r="V3905" s="10" t="n"/>
      <c r="W3905" s="10" t="n"/>
      <c r="X3905" s="10" t="n"/>
      <c r="Y3905" s="10" t="n"/>
      <c r="Z3905" s="10" t="n"/>
      <c r="AA3905" s="11">
        <f>IF(A3905="","",IF(AND(J3905="P4",F3905="causal"),"P4-CAUSAL",""))</f>
        <v/>
      </c>
    </row>
    <row r="3906" ht="15" customHeight="1" s="1">
      <c r="P3906">
        <f>IF(OR(F3906="",H3906="",J3906=""),"",J3906&amp;"|"&amp;F3906&amp;"|"&amp;IF(H3906="W3","W3_"&amp;IF(I3906="","unknown",I3906),H3906))</f>
        <v/>
      </c>
      <c r="Q3906">
        <f>IF(P3906="","",IFERROR(IF(AND(H3906="W7",OR(F3906="causal",F3906="predictive")),IF(AND(OR(K3906=1,K3906="1"),OR(L3906=1,L3906="1"),OR(M3906=1,M3906="1")),"adequate","partial"),IF(AND(H3906="W4",F3906="predictive",OR(J3906="P2",J3906="P3",J3906="P4")),IF(OR(U3906=1,U3906="1"),"adequate","partial"),INDEX(Fit_Matrix!$B:$B,MATCH(P3906,Fit_Matrix!$A:$A,0)))),"CHECK KEY"))</f>
        <v/>
      </c>
      <c r="U3906" s="10" t="n"/>
      <c r="V3906" s="10" t="n"/>
      <c r="W3906" s="10" t="n"/>
      <c r="X3906" s="10" t="n"/>
      <c r="Y3906" s="10" t="n"/>
      <c r="Z3906" s="10" t="n"/>
      <c r="AA3906" s="11">
        <f>IF(A3906="","",IF(AND(J3906="P4",F3906="causal"),"P4-CAUSAL",""))</f>
        <v/>
      </c>
    </row>
    <row r="3907" ht="15" customHeight="1" s="1">
      <c r="P3907">
        <f>IF(OR(F3907="",H3907="",J3907=""),"",J3907&amp;"|"&amp;F3907&amp;"|"&amp;IF(H3907="W3","W3_"&amp;IF(I3907="","unknown",I3907),H3907))</f>
        <v/>
      </c>
      <c r="Q3907">
        <f>IF(P3907="","",IFERROR(IF(AND(H3907="W7",OR(F3907="causal",F3907="predictive")),IF(AND(OR(K3907=1,K3907="1"),OR(L3907=1,L3907="1"),OR(M3907=1,M3907="1")),"adequate","partial"),IF(AND(H3907="W4",F3907="predictive",OR(J3907="P2",J3907="P3",J3907="P4")),IF(OR(U3907=1,U3907="1"),"adequate","partial"),INDEX(Fit_Matrix!$B:$B,MATCH(P3907,Fit_Matrix!$A:$A,0)))),"CHECK KEY"))</f>
        <v/>
      </c>
      <c r="U3907" s="10" t="n"/>
      <c r="V3907" s="10" t="n"/>
      <c r="W3907" s="10" t="n"/>
      <c r="X3907" s="10" t="n"/>
      <c r="Y3907" s="10" t="n"/>
      <c r="Z3907" s="10" t="n"/>
      <c r="AA3907" s="11">
        <f>IF(A3907="","",IF(AND(J3907="P4",F3907="causal"),"P4-CAUSAL",""))</f>
        <v/>
      </c>
    </row>
    <row r="3908" ht="15" customHeight="1" s="1">
      <c r="P3908">
        <f>IF(OR(F3908="",H3908="",J3908=""),"",J3908&amp;"|"&amp;F3908&amp;"|"&amp;IF(H3908="W3","W3_"&amp;IF(I3908="","unknown",I3908),H3908))</f>
        <v/>
      </c>
      <c r="Q3908">
        <f>IF(P3908="","",IFERROR(IF(AND(H3908="W7",OR(F3908="causal",F3908="predictive")),IF(AND(OR(K3908=1,K3908="1"),OR(L3908=1,L3908="1"),OR(M3908=1,M3908="1")),"adequate","partial"),IF(AND(H3908="W4",F3908="predictive",OR(J3908="P2",J3908="P3",J3908="P4")),IF(OR(U3908=1,U3908="1"),"adequate","partial"),INDEX(Fit_Matrix!$B:$B,MATCH(P3908,Fit_Matrix!$A:$A,0)))),"CHECK KEY"))</f>
        <v/>
      </c>
      <c r="U3908" s="10" t="n"/>
      <c r="V3908" s="10" t="n"/>
      <c r="W3908" s="10" t="n"/>
      <c r="X3908" s="10" t="n"/>
      <c r="Y3908" s="10" t="n"/>
      <c r="Z3908" s="10" t="n"/>
      <c r="AA3908" s="11">
        <f>IF(A3908="","",IF(AND(J3908="P4",F3908="causal"),"P4-CAUSAL",""))</f>
        <v/>
      </c>
    </row>
    <row r="3909" ht="15" customHeight="1" s="1">
      <c r="P3909">
        <f>IF(OR(F3909="",H3909="",J3909=""),"",J3909&amp;"|"&amp;F3909&amp;"|"&amp;IF(H3909="W3","W3_"&amp;IF(I3909="","unknown",I3909),H3909))</f>
        <v/>
      </c>
      <c r="Q3909">
        <f>IF(P3909="","",IFERROR(IF(AND(H3909="W7",OR(F3909="causal",F3909="predictive")),IF(AND(OR(K3909=1,K3909="1"),OR(L3909=1,L3909="1"),OR(M3909=1,M3909="1")),"adequate","partial"),IF(AND(H3909="W4",F3909="predictive",OR(J3909="P2",J3909="P3",J3909="P4")),IF(OR(U3909=1,U3909="1"),"adequate","partial"),INDEX(Fit_Matrix!$B:$B,MATCH(P3909,Fit_Matrix!$A:$A,0)))),"CHECK KEY"))</f>
        <v/>
      </c>
      <c r="U3909" s="10" t="n"/>
      <c r="V3909" s="10" t="n"/>
      <c r="W3909" s="10" t="n"/>
      <c r="X3909" s="10" t="n"/>
      <c r="Y3909" s="10" t="n"/>
      <c r="Z3909" s="10" t="n"/>
      <c r="AA3909" s="11">
        <f>IF(A3909="","",IF(AND(J3909="P4",F3909="causal"),"P4-CAUSAL",""))</f>
        <v/>
      </c>
    </row>
    <row r="3910" ht="15" customHeight="1" s="1">
      <c r="P3910">
        <f>IF(OR(F3910="",H3910="",J3910=""),"",J3910&amp;"|"&amp;F3910&amp;"|"&amp;IF(H3910="W3","W3_"&amp;IF(I3910="","unknown",I3910),H3910))</f>
        <v/>
      </c>
      <c r="Q3910">
        <f>IF(P3910="","",IFERROR(IF(AND(H3910="W7",OR(F3910="causal",F3910="predictive")),IF(AND(OR(K3910=1,K3910="1"),OR(L3910=1,L3910="1"),OR(M3910=1,M3910="1")),"adequate","partial"),IF(AND(H3910="W4",F3910="predictive",OR(J3910="P2",J3910="P3",J3910="P4")),IF(OR(U3910=1,U3910="1"),"adequate","partial"),INDEX(Fit_Matrix!$B:$B,MATCH(P3910,Fit_Matrix!$A:$A,0)))),"CHECK KEY"))</f>
        <v/>
      </c>
      <c r="U3910" s="10" t="n"/>
      <c r="V3910" s="10" t="n"/>
      <c r="W3910" s="10" t="n"/>
      <c r="X3910" s="10" t="n"/>
      <c r="Y3910" s="10" t="n"/>
      <c r="Z3910" s="10" t="n"/>
      <c r="AA3910" s="11">
        <f>IF(A3910="","",IF(AND(J3910="P4",F3910="causal"),"P4-CAUSAL",""))</f>
        <v/>
      </c>
    </row>
    <row r="3911" ht="15" customHeight="1" s="1">
      <c r="P3911">
        <f>IF(OR(F3911="",H3911="",J3911=""),"",J3911&amp;"|"&amp;F3911&amp;"|"&amp;IF(H3911="W3","W3_"&amp;IF(I3911="","unknown",I3911),H3911))</f>
        <v/>
      </c>
      <c r="Q3911">
        <f>IF(P3911="","",IFERROR(IF(AND(H3911="W7",OR(F3911="causal",F3911="predictive")),IF(AND(OR(K3911=1,K3911="1"),OR(L3911=1,L3911="1"),OR(M3911=1,M3911="1")),"adequate","partial"),IF(AND(H3911="W4",F3911="predictive",OR(J3911="P2",J3911="P3",J3911="P4")),IF(OR(U3911=1,U3911="1"),"adequate","partial"),INDEX(Fit_Matrix!$B:$B,MATCH(P3911,Fit_Matrix!$A:$A,0)))),"CHECK KEY"))</f>
        <v/>
      </c>
      <c r="U3911" s="10" t="n"/>
      <c r="V3911" s="10" t="n"/>
      <c r="W3911" s="10" t="n"/>
      <c r="X3911" s="10" t="n"/>
      <c r="Y3911" s="10" t="n"/>
      <c r="Z3911" s="10" t="n"/>
      <c r="AA3911" s="11">
        <f>IF(A3911="","",IF(AND(J3911="P4",F3911="causal"),"P4-CAUSAL",""))</f>
        <v/>
      </c>
    </row>
    <row r="3912" ht="15" customHeight="1" s="1">
      <c r="P3912">
        <f>IF(OR(F3912="",H3912="",J3912=""),"",J3912&amp;"|"&amp;F3912&amp;"|"&amp;IF(H3912="W3","W3_"&amp;IF(I3912="","unknown",I3912),H3912))</f>
        <v/>
      </c>
      <c r="Q3912">
        <f>IF(P3912="","",IFERROR(IF(AND(H3912="W7",OR(F3912="causal",F3912="predictive")),IF(AND(OR(K3912=1,K3912="1"),OR(L3912=1,L3912="1"),OR(M3912=1,M3912="1")),"adequate","partial"),IF(AND(H3912="W4",F3912="predictive",OR(J3912="P2",J3912="P3",J3912="P4")),IF(OR(U3912=1,U3912="1"),"adequate","partial"),INDEX(Fit_Matrix!$B:$B,MATCH(P3912,Fit_Matrix!$A:$A,0)))),"CHECK KEY"))</f>
        <v/>
      </c>
      <c r="U3912" s="10" t="n"/>
      <c r="V3912" s="10" t="n"/>
      <c r="W3912" s="10" t="n"/>
      <c r="X3912" s="10" t="n"/>
      <c r="Y3912" s="10" t="n"/>
      <c r="Z3912" s="10" t="n"/>
      <c r="AA3912" s="11">
        <f>IF(A3912="","",IF(AND(J3912="P4",F3912="causal"),"P4-CAUSAL",""))</f>
        <v/>
      </c>
    </row>
    <row r="3913" ht="15" customHeight="1" s="1">
      <c r="P3913">
        <f>IF(OR(F3913="",H3913="",J3913=""),"",J3913&amp;"|"&amp;F3913&amp;"|"&amp;IF(H3913="W3","W3_"&amp;IF(I3913="","unknown",I3913),H3913))</f>
        <v/>
      </c>
      <c r="Q3913">
        <f>IF(P3913="","",IFERROR(IF(AND(H3913="W7",OR(F3913="causal",F3913="predictive")),IF(AND(OR(K3913=1,K3913="1"),OR(L3913=1,L3913="1"),OR(M3913=1,M3913="1")),"adequate","partial"),IF(AND(H3913="W4",F3913="predictive",OR(J3913="P2",J3913="P3",J3913="P4")),IF(OR(U3913=1,U3913="1"),"adequate","partial"),INDEX(Fit_Matrix!$B:$B,MATCH(P3913,Fit_Matrix!$A:$A,0)))),"CHECK KEY"))</f>
        <v/>
      </c>
      <c r="U3913" s="10" t="n"/>
      <c r="V3913" s="10" t="n"/>
      <c r="W3913" s="10" t="n"/>
      <c r="X3913" s="10" t="n"/>
      <c r="Y3913" s="10" t="n"/>
      <c r="Z3913" s="10" t="n"/>
      <c r="AA3913" s="11">
        <f>IF(A3913="","",IF(AND(J3913="P4",F3913="causal"),"P4-CAUSAL",""))</f>
        <v/>
      </c>
    </row>
    <row r="3914" ht="15" customHeight="1" s="1">
      <c r="P3914">
        <f>IF(OR(F3914="",H3914="",J3914=""),"",J3914&amp;"|"&amp;F3914&amp;"|"&amp;IF(H3914="W3","W3_"&amp;IF(I3914="","unknown",I3914),H3914))</f>
        <v/>
      </c>
      <c r="Q3914">
        <f>IF(P3914="","",IFERROR(IF(AND(H3914="W7",OR(F3914="causal",F3914="predictive")),IF(AND(OR(K3914=1,K3914="1"),OR(L3914=1,L3914="1"),OR(M3914=1,M3914="1")),"adequate","partial"),IF(AND(H3914="W4",F3914="predictive",OR(J3914="P2",J3914="P3",J3914="P4")),IF(OR(U3914=1,U3914="1"),"adequate","partial"),INDEX(Fit_Matrix!$B:$B,MATCH(P3914,Fit_Matrix!$A:$A,0)))),"CHECK KEY"))</f>
        <v/>
      </c>
      <c r="U3914" s="10" t="n"/>
      <c r="V3914" s="10" t="n"/>
      <c r="W3914" s="10" t="n"/>
      <c r="X3914" s="10" t="n"/>
      <c r="Y3914" s="10" t="n"/>
      <c r="Z3914" s="10" t="n"/>
      <c r="AA3914" s="11">
        <f>IF(A3914="","",IF(AND(J3914="P4",F3914="causal"),"P4-CAUSAL",""))</f>
        <v/>
      </c>
    </row>
    <row r="3915" ht="15" customHeight="1" s="1">
      <c r="P3915">
        <f>IF(OR(F3915="",H3915="",J3915=""),"",J3915&amp;"|"&amp;F3915&amp;"|"&amp;IF(H3915="W3","W3_"&amp;IF(I3915="","unknown",I3915),H3915))</f>
        <v/>
      </c>
      <c r="Q3915">
        <f>IF(P3915="","",IFERROR(IF(AND(H3915="W7",OR(F3915="causal",F3915="predictive")),IF(AND(OR(K3915=1,K3915="1"),OR(L3915=1,L3915="1"),OR(M3915=1,M3915="1")),"adequate","partial"),IF(AND(H3915="W4",F3915="predictive",OR(J3915="P2",J3915="P3",J3915="P4")),IF(OR(U3915=1,U3915="1"),"adequate","partial"),INDEX(Fit_Matrix!$B:$B,MATCH(P3915,Fit_Matrix!$A:$A,0)))),"CHECK KEY"))</f>
        <v/>
      </c>
      <c r="U3915" s="10" t="n"/>
      <c r="V3915" s="10" t="n"/>
      <c r="W3915" s="10" t="n"/>
      <c r="X3915" s="10" t="n"/>
      <c r="Y3915" s="10" t="n"/>
      <c r="Z3915" s="10" t="n"/>
      <c r="AA3915" s="11">
        <f>IF(A3915="","",IF(AND(J3915="P4",F3915="causal"),"P4-CAUSAL",""))</f>
        <v/>
      </c>
    </row>
    <row r="3916" ht="15" customHeight="1" s="1">
      <c r="P3916">
        <f>IF(OR(F3916="",H3916="",J3916=""),"",J3916&amp;"|"&amp;F3916&amp;"|"&amp;IF(H3916="W3","W3_"&amp;IF(I3916="","unknown",I3916),H3916))</f>
        <v/>
      </c>
      <c r="Q3916">
        <f>IF(P3916="","",IFERROR(IF(AND(H3916="W7",OR(F3916="causal",F3916="predictive")),IF(AND(OR(K3916=1,K3916="1"),OR(L3916=1,L3916="1"),OR(M3916=1,M3916="1")),"adequate","partial"),IF(AND(H3916="W4",F3916="predictive",OR(J3916="P2",J3916="P3",J3916="P4")),IF(OR(U3916=1,U3916="1"),"adequate","partial"),INDEX(Fit_Matrix!$B:$B,MATCH(P3916,Fit_Matrix!$A:$A,0)))),"CHECK KEY"))</f>
        <v/>
      </c>
      <c r="U3916" s="10" t="n"/>
      <c r="V3916" s="10" t="n"/>
      <c r="W3916" s="10" t="n"/>
      <c r="X3916" s="10" t="n"/>
      <c r="Y3916" s="10" t="n"/>
      <c r="Z3916" s="10" t="n"/>
      <c r="AA3916" s="11">
        <f>IF(A3916="","",IF(AND(J3916="P4",F3916="causal"),"P4-CAUSAL",""))</f>
        <v/>
      </c>
    </row>
    <row r="3917" ht="15" customHeight="1" s="1">
      <c r="P3917">
        <f>IF(OR(F3917="",H3917="",J3917=""),"",J3917&amp;"|"&amp;F3917&amp;"|"&amp;IF(H3917="W3","W3_"&amp;IF(I3917="","unknown",I3917),H3917))</f>
        <v/>
      </c>
      <c r="Q3917">
        <f>IF(P3917="","",IFERROR(IF(AND(H3917="W7",OR(F3917="causal",F3917="predictive")),IF(AND(OR(K3917=1,K3917="1"),OR(L3917=1,L3917="1"),OR(M3917=1,M3917="1")),"adequate","partial"),IF(AND(H3917="W4",F3917="predictive",OR(J3917="P2",J3917="P3",J3917="P4")),IF(OR(U3917=1,U3917="1"),"adequate","partial"),INDEX(Fit_Matrix!$B:$B,MATCH(P3917,Fit_Matrix!$A:$A,0)))),"CHECK KEY"))</f>
        <v/>
      </c>
      <c r="U3917" s="10" t="n"/>
      <c r="V3917" s="10" t="n"/>
      <c r="W3917" s="10" t="n"/>
      <c r="X3917" s="10" t="n"/>
      <c r="Y3917" s="10" t="n"/>
      <c r="Z3917" s="10" t="n"/>
      <c r="AA3917" s="11">
        <f>IF(A3917="","",IF(AND(J3917="P4",F3917="causal"),"P4-CAUSAL",""))</f>
        <v/>
      </c>
    </row>
    <row r="3918" ht="15" customHeight="1" s="1">
      <c r="P3918">
        <f>IF(OR(F3918="",H3918="",J3918=""),"",J3918&amp;"|"&amp;F3918&amp;"|"&amp;IF(H3918="W3","W3_"&amp;IF(I3918="","unknown",I3918),H3918))</f>
        <v/>
      </c>
      <c r="Q3918">
        <f>IF(P3918="","",IFERROR(IF(AND(H3918="W7",OR(F3918="causal",F3918="predictive")),IF(AND(OR(K3918=1,K3918="1"),OR(L3918=1,L3918="1"),OR(M3918=1,M3918="1")),"adequate","partial"),IF(AND(H3918="W4",F3918="predictive",OR(J3918="P2",J3918="P3",J3918="P4")),IF(OR(U3918=1,U3918="1"),"adequate","partial"),INDEX(Fit_Matrix!$B:$B,MATCH(P3918,Fit_Matrix!$A:$A,0)))),"CHECK KEY"))</f>
        <v/>
      </c>
      <c r="U3918" s="10" t="n"/>
      <c r="V3918" s="10" t="n"/>
      <c r="W3918" s="10" t="n"/>
      <c r="X3918" s="10" t="n"/>
      <c r="Y3918" s="10" t="n"/>
      <c r="Z3918" s="10" t="n"/>
      <c r="AA3918" s="11">
        <f>IF(A3918="","",IF(AND(J3918="P4",F3918="causal"),"P4-CAUSAL",""))</f>
        <v/>
      </c>
    </row>
    <row r="3919" ht="15" customHeight="1" s="1">
      <c r="P3919">
        <f>IF(OR(F3919="",H3919="",J3919=""),"",J3919&amp;"|"&amp;F3919&amp;"|"&amp;IF(H3919="W3","W3_"&amp;IF(I3919="","unknown",I3919),H3919))</f>
        <v/>
      </c>
      <c r="Q3919">
        <f>IF(P3919="","",IFERROR(IF(AND(H3919="W7",OR(F3919="causal",F3919="predictive")),IF(AND(OR(K3919=1,K3919="1"),OR(L3919=1,L3919="1"),OR(M3919=1,M3919="1")),"adequate","partial"),IF(AND(H3919="W4",F3919="predictive",OR(J3919="P2",J3919="P3",J3919="P4")),IF(OR(U3919=1,U3919="1"),"adequate","partial"),INDEX(Fit_Matrix!$B:$B,MATCH(P3919,Fit_Matrix!$A:$A,0)))),"CHECK KEY"))</f>
        <v/>
      </c>
      <c r="U3919" s="10" t="n"/>
      <c r="V3919" s="10" t="n"/>
      <c r="W3919" s="10" t="n"/>
      <c r="X3919" s="10" t="n"/>
      <c r="Y3919" s="10" t="n"/>
      <c r="Z3919" s="10" t="n"/>
      <c r="AA3919" s="11">
        <f>IF(A3919="","",IF(AND(J3919="P4",F3919="causal"),"P4-CAUSAL",""))</f>
        <v/>
      </c>
    </row>
    <row r="3920" ht="15" customHeight="1" s="1">
      <c r="P3920">
        <f>IF(OR(F3920="",H3920="",J3920=""),"",J3920&amp;"|"&amp;F3920&amp;"|"&amp;IF(H3920="W3","W3_"&amp;IF(I3920="","unknown",I3920),H3920))</f>
        <v/>
      </c>
      <c r="Q3920">
        <f>IF(P3920="","",IFERROR(IF(AND(H3920="W7",OR(F3920="causal",F3920="predictive")),IF(AND(OR(K3920=1,K3920="1"),OR(L3920=1,L3920="1"),OR(M3920=1,M3920="1")),"adequate","partial"),IF(AND(H3920="W4",F3920="predictive",OR(J3920="P2",J3920="P3",J3920="P4")),IF(OR(U3920=1,U3920="1"),"adequate","partial"),INDEX(Fit_Matrix!$B:$B,MATCH(P3920,Fit_Matrix!$A:$A,0)))),"CHECK KEY"))</f>
        <v/>
      </c>
      <c r="U3920" s="10" t="n"/>
      <c r="V3920" s="10" t="n"/>
      <c r="W3920" s="10" t="n"/>
      <c r="X3920" s="10" t="n"/>
      <c r="Y3920" s="10" t="n"/>
      <c r="Z3920" s="10" t="n"/>
      <c r="AA3920" s="11">
        <f>IF(A3920="","",IF(AND(J3920="P4",F3920="causal"),"P4-CAUSAL",""))</f>
        <v/>
      </c>
    </row>
    <row r="3921" ht="15" customHeight="1" s="1">
      <c r="P3921">
        <f>IF(OR(F3921="",H3921="",J3921=""),"",J3921&amp;"|"&amp;F3921&amp;"|"&amp;IF(H3921="W3","W3_"&amp;IF(I3921="","unknown",I3921),H3921))</f>
        <v/>
      </c>
      <c r="Q3921">
        <f>IF(P3921="","",IFERROR(IF(AND(H3921="W7",OR(F3921="causal",F3921="predictive")),IF(AND(OR(K3921=1,K3921="1"),OR(L3921=1,L3921="1"),OR(M3921=1,M3921="1")),"adequate","partial"),IF(AND(H3921="W4",F3921="predictive",OR(J3921="P2",J3921="P3",J3921="P4")),IF(OR(U3921=1,U3921="1"),"adequate","partial"),INDEX(Fit_Matrix!$B:$B,MATCH(P3921,Fit_Matrix!$A:$A,0)))),"CHECK KEY"))</f>
        <v/>
      </c>
      <c r="U3921" s="10" t="n"/>
      <c r="V3921" s="10" t="n"/>
      <c r="W3921" s="10" t="n"/>
      <c r="X3921" s="10" t="n"/>
      <c r="Y3921" s="10" t="n"/>
      <c r="Z3921" s="10" t="n"/>
      <c r="AA3921" s="11">
        <f>IF(A3921="","",IF(AND(J3921="P4",F3921="causal"),"P4-CAUSAL",""))</f>
        <v/>
      </c>
    </row>
    <row r="3922" ht="15" customHeight="1" s="1">
      <c r="P3922">
        <f>IF(OR(F3922="",H3922="",J3922=""),"",J3922&amp;"|"&amp;F3922&amp;"|"&amp;IF(H3922="W3","W3_"&amp;IF(I3922="","unknown",I3922),H3922))</f>
        <v/>
      </c>
      <c r="Q3922">
        <f>IF(P3922="","",IFERROR(IF(AND(H3922="W7",OR(F3922="causal",F3922="predictive")),IF(AND(OR(K3922=1,K3922="1"),OR(L3922=1,L3922="1"),OR(M3922=1,M3922="1")),"adequate","partial"),IF(AND(H3922="W4",F3922="predictive",OR(J3922="P2",J3922="P3",J3922="P4")),IF(OR(U3922=1,U3922="1"),"adequate","partial"),INDEX(Fit_Matrix!$B:$B,MATCH(P3922,Fit_Matrix!$A:$A,0)))),"CHECK KEY"))</f>
        <v/>
      </c>
      <c r="U3922" s="10" t="n"/>
      <c r="V3922" s="10" t="n"/>
      <c r="W3922" s="10" t="n"/>
      <c r="X3922" s="10" t="n"/>
      <c r="Y3922" s="10" t="n"/>
      <c r="Z3922" s="10" t="n"/>
      <c r="AA3922" s="11">
        <f>IF(A3922="","",IF(AND(J3922="P4",F3922="causal"),"P4-CAUSAL",""))</f>
        <v/>
      </c>
    </row>
    <row r="3923" ht="15" customHeight="1" s="1">
      <c r="P3923">
        <f>IF(OR(F3923="",H3923="",J3923=""),"",J3923&amp;"|"&amp;F3923&amp;"|"&amp;IF(H3923="W3","W3_"&amp;IF(I3923="","unknown",I3923),H3923))</f>
        <v/>
      </c>
      <c r="Q3923">
        <f>IF(P3923="","",IFERROR(IF(AND(H3923="W7",OR(F3923="causal",F3923="predictive")),IF(AND(OR(K3923=1,K3923="1"),OR(L3923=1,L3923="1"),OR(M3923=1,M3923="1")),"adequate","partial"),IF(AND(H3923="W4",F3923="predictive",OR(J3923="P2",J3923="P3",J3923="P4")),IF(OR(U3923=1,U3923="1"),"adequate","partial"),INDEX(Fit_Matrix!$B:$B,MATCH(P3923,Fit_Matrix!$A:$A,0)))),"CHECK KEY"))</f>
        <v/>
      </c>
      <c r="U3923" s="10" t="n"/>
      <c r="V3923" s="10" t="n"/>
      <c r="W3923" s="10" t="n"/>
      <c r="X3923" s="10" t="n"/>
      <c r="Y3923" s="10" t="n"/>
      <c r="Z3923" s="10" t="n"/>
      <c r="AA3923" s="11">
        <f>IF(A3923="","",IF(AND(J3923="P4",F3923="causal"),"P4-CAUSAL",""))</f>
        <v/>
      </c>
    </row>
    <row r="3924" ht="15" customHeight="1" s="1">
      <c r="P3924">
        <f>IF(OR(F3924="",H3924="",J3924=""),"",J3924&amp;"|"&amp;F3924&amp;"|"&amp;IF(H3924="W3","W3_"&amp;IF(I3924="","unknown",I3924),H3924))</f>
        <v/>
      </c>
      <c r="Q3924">
        <f>IF(P3924="","",IFERROR(IF(AND(H3924="W7",OR(F3924="causal",F3924="predictive")),IF(AND(OR(K3924=1,K3924="1"),OR(L3924=1,L3924="1"),OR(M3924=1,M3924="1")),"adequate","partial"),IF(AND(H3924="W4",F3924="predictive",OR(J3924="P2",J3924="P3",J3924="P4")),IF(OR(U3924=1,U3924="1"),"adequate","partial"),INDEX(Fit_Matrix!$B:$B,MATCH(P3924,Fit_Matrix!$A:$A,0)))),"CHECK KEY"))</f>
        <v/>
      </c>
      <c r="U3924" s="10" t="n"/>
      <c r="V3924" s="10" t="n"/>
      <c r="W3924" s="10" t="n"/>
      <c r="X3924" s="10" t="n"/>
      <c r="Y3924" s="10" t="n"/>
      <c r="Z3924" s="10" t="n"/>
      <c r="AA3924" s="11">
        <f>IF(A3924="","",IF(AND(J3924="P4",F3924="causal"),"P4-CAUSAL",""))</f>
        <v/>
      </c>
    </row>
    <row r="3925" ht="15" customHeight="1" s="1">
      <c r="P3925">
        <f>IF(OR(F3925="",H3925="",J3925=""),"",J3925&amp;"|"&amp;F3925&amp;"|"&amp;IF(H3925="W3","W3_"&amp;IF(I3925="","unknown",I3925),H3925))</f>
        <v/>
      </c>
      <c r="Q3925">
        <f>IF(P3925="","",IFERROR(IF(AND(H3925="W7",OR(F3925="causal",F3925="predictive")),IF(AND(OR(K3925=1,K3925="1"),OR(L3925=1,L3925="1"),OR(M3925=1,M3925="1")),"adequate","partial"),IF(AND(H3925="W4",F3925="predictive",OR(J3925="P2",J3925="P3",J3925="P4")),IF(OR(U3925=1,U3925="1"),"adequate","partial"),INDEX(Fit_Matrix!$B:$B,MATCH(P3925,Fit_Matrix!$A:$A,0)))),"CHECK KEY"))</f>
        <v/>
      </c>
      <c r="U3925" s="10" t="n"/>
      <c r="V3925" s="10" t="n"/>
      <c r="W3925" s="10" t="n"/>
      <c r="X3925" s="10" t="n"/>
      <c r="Y3925" s="10" t="n"/>
      <c r="Z3925" s="10" t="n"/>
      <c r="AA3925" s="11">
        <f>IF(A3925="","",IF(AND(J3925="P4",F3925="causal"),"P4-CAUSAL",""))</f>
        <v/>
      </c>
    </row>
    <row r="3926" ht="15" customHeight="1" s="1">
      <c r="P3926">
        <f>IF(OR(F3926="",H3926="",J3926=""),"",J3926&amp;"|"&amp;F3926&amp;"|"&amp;IF(H3926="W3","W3_"&amp;IF(I3926="","unknown",I3926),H3926))</f>
        <v/>
      </c>
      <c r="Q3926">
        <f>IF(P3926="","",IFERROR(IF(AND(H3926="W7",OR(F3926="causal",F3926="predictive")),IF(AND(OR(K3926=1,K3926="1"),OR(L3926=1,L3926="1"),OR(M3926=1,M3926="1")),"adequate","partial"),IF(AND(H3926="W4",F3926="predictive",OR(J3926="P2",J3926="P3",J3926="P4")),IF(OR(U3926=1,U3926="1"),"adequate","partial"),INDEX(Fit_Matrix!$B:$B,MATCH(P3926,Fit_Matrix!$A:$A,0)))),"CHECK KEY"))</f>
        <v/>
      </c>
      <c r="U3926" s="10" t="n"/>
      <c r="V3926" s="10" t="n"/>
      <c r="W3926" s="10" t="n"/>
      <c r="X3926" s="10" t="n"/>
      <c r="Y3926" s="10" t="n"/>
      <c r="Z3926" s="10" t="n"/>
      <c r="AA3926" s="11">
        <f>IF(A3926="","",IF(AND(J3926="P4",F3926="causal"),"P4-CAUSAL",""))</f>
        <v/>
      </c>
    </row>
    <row r="3927" ht="15" customHeight="1" s="1">
      <c r="P3927">
        <f>IF(OR(F3927="",H3927="",J3927=""),"",J3927&amp;"|"&amp;F3927&amp;"|"&amp;IF(H3927="W3","W3_"&amp;IF(I3927="","unknown",I3927),H3927))</f>
        <v/>
      </c>
      <c r="Q3927">
        <f>IF(P3927="","",IFERROR(IF(AND(H3927="W7",OR(F3927="causal",F3927="predictive")),IF(AND(OR(K3927=1,K3927="1"),OR(L3927=1,L3927="1"),OR(M3927=1,M3927="1")),"adequate","partial"),IF(AND(H3927="W4",F3927="predictive",OR(J3927="P2",J3927="P3",J3927="P4")),IF(OR(U3927=1,U3927="1"),"adequate","partial"),INDEX(Fit_Matrix!$B:$B,MATCH(P3927,Fit_Matrix!$A:$A,0)))),"CHECK KEY"))</f>
        <v/>
      </c>
      <c r="U3927" s="10" t="n"/>
      <c r="V3927" s="10" t="n"/>
      <c r="W3927" s="10" t="n"/>
      <c r="X3927" s="10" t="n"/>
      <c r="Y3927" s="10" t="n"/>
      <c r="Z3927" s="10" t="n"/>
      <c r="AA3927" s="11">
        <f>IF(A3927="","",IF(AND(J3927="P4",F3927="causal"),"P4-CAUSAL",""))</f>
        <v/>
      </c>
    </row>
    <row r="3928" ht="15" customHeight="1" s="1">
      <c r="P3928">
        <f>IF(OR(F3928="",H3928="",J3928=""),"",J3928&amp;"|"&amp;F3928&amp;"|"&amp;IF(H3928="W3","W3_"&amp;IF(I3928="","unknown",I3928),H3928))</f>
        <v/>
      </c>
      <c r="Q3928">
        <f>IF(P3928="","",IFERROR(IF(AND(H3928="W7",OR(F3928="causal",F3928="predictive")),IF(AND(OR(K3928=1,K3928="1"),OR(L3928=1,L3928="1"),OR(M3928=1,M3928="1")),"adequate","partial"),IF(AND(H3928="W4",F3928="predictive",OR(J3928="P2",J3928="P3",J3928="P4")),IF(OR(U3928=1,U3928="1"),"adequate","partial"),INDEX(Fit_Matrix!$B:$B,MATCH(P3928,Fit_Matrix!$A:$A,0)))),"CHECK KEY"))</f>
        <v/>
      </c>
      <c r="U3928" s="10" t="n"/>
      <c r="V3928" s="10" t="n"/>
      <c r="W3928" s="10" t="n"/>
      <c r="X3928" s="10" t="n"/>
      <c r="Y3928" s="10" t="n"/>
      <c r="Z3928" s="10" t="n"/>
      <c r="AA3928" s="11">
        <f>IF(A3928="","",IF(AND(J3928="P4",F3928="causal"),"P4-CAUSAL",""))</f>
        <v/>
      </c>
    </row>
    <row r="3929" ht="15" customHeight="1" s="1">
      <c r="P3929">
        <f>IF(OR(F3929="",H3929="",J3929=""),"",J3929&amp;"|"&amp;F3929&amp;"|"&amp;IF(H3929="W3","W3_"&amp;IF(I3929="","unknown",I3929),H3929))</f>
        <v/>
      </c>
      <c r="Q3929">
        <f>IF(P3929="","",IFERROR(IF(AND(H3929="W7",OR(F3929="causal",F3929="predictive")),IF(AND(OR(K3929=1,K3929="1"),OR(L3929=1,L3929="1"),OR(M3929=1,M3929="1")),"adequate","partial"),IF(AND(H3929="W4",F3929="predictive",OR(J3929="P2",J3929="P3",J3929="P4")),IF(OR(U3929=1,U3929="1"),"adequate","partial"),INDEX(Fit_Matrix!$B:$B,MATCH(P3929,Fit_Matrix!$A:$A,0)))),"CHECK KEY"))</f>
        <v/>
      </c>
      <c r="U3929" s="10" t="n"/>
      <c r="V3929" s="10" t="n"/>
      <c r="W3929" s="10" t="n"/>
      <c r="X3929" s="10" t="n"/>
      <c r="Y3929" s="10" t="n"/>
      <c r="Z3929" s="10" t="n"/>
      <c r="AA3929" s="11">
        <f>IF(A3929="","",IF(AND(J3929="P4",F3929="causal"),"P4-CAUSAL",""))</f>
        <v/>
      </c>
    </row>
    <row r="3930" ht="15" customHeight="1" s="1">
      <c r="P3930">
        <f>IF(OR(F3930="",H3930="",J3930=""),"",J3930&amp;"|"&amp;F3930&amp;"|"&amp;IF(H3930="W3","W3_"&amp;IF(I3930="","unknown",I3930),H3930))</f>
        <v/>
      </c>
      <c r="Q3930">
        <f>IF(P3930="","",IFERROR(IF(AND(H3930="W7",OR(F3930="causal",F3930="predictive")),IF(AND(OR(K3930=1,K3930="1"),OR(L3930=1,L3930="1"),OR(M3930=1,M3930="1")),"adequate","partial"),IF(AND(H3930="W4",F3930="predictive",OR(J3930="P2",J3930="P3",J3930="P4")),IF(OR(U3930=1,U3930="1"),"adequate","partial"),INDEX(Fit_Matrix!$B:$B,MATCH(P3930,Fit_Matrix!$A:$A,0)))),"CHECK KEY"))</f>
        <v/>
      </c>
      <c r="U3930" s="10" t="n"/>
      <c r="V3930" s="10" t="n"/>
      <c r="W3930" s="10" t="n"/>
      <c r="X3930" s="10" t="n"/>
      <c r="Y3930" s="10" t="n"/>
      <c r="Z3930" s="10" t="n"/>
      <c r="AA3930" s="11">
        <f>IF(A3930="","",IF(AND(J3930="P4",F3930="causal"),"P4-CAUSAL",""))</f>
        <v/>
      </c>
    </row>
    <row r="3931" ht="15" customHeight="1" s="1">
      <c r="P3931">
        <f>IF(OR(F3931="",H3931="",J3931=""),"",J3931&amp;"|"&amp;F3931&amp;"|"&amp;IF(H3931="W3","W3_"&amp;IF(I3931="","unknown",I3931),H3931))</f>
        <v/>
      </c>
      <c r="Q3931">
        <f>IF(P3931="","",IFERROR(IF(AND(H3931="W7",OR(F3931="causal",F3931="predictive")),IF(AND(OR(K3931=1,K3931="1"),OR(L3931=1,L3931="1"),OR(M3931=1,M3931="1")),"adequate","partial"),IF(AND(H3931="W4",F3931="predictive",OR(J3931="P2",J3931="P3",J3931="P4")),IF(OR(U3931=1,U3931="1"),"adequate","partial"),INDEX(Fit_Matrix!$B:$B,MATCH(P3931,Fit_Matrix!$A:$A,0)))),"CHECK KEY"))</f>
        <v/>
      </c>
      <c r="U3931" s="10" t="n"/>
      <c r="V3931" s="10" t="n"/>
      <c r="W3931" s="10" t="n"/>
      <c r="X3931" s="10" t="n"/>
      <c r="Y3931" s="10" t="n"/>
      <c r="Z3931" s="10" t="n"/>
      <c r="AA3931" s="11">
        <f>IF(A3931="","",IF(AND(J3931="P4",F3931="causal"),"P4-CAUSAL",""))</f>
        <v/>
      </c>
    </row>
    <row r="3932" ht="15" customHeight="1" s="1">
      <c r="P3932">
        <f>IF(OR(F3932="",H3932="",J3932=""),"",J3932&amp;"|"&amp;F3932&amp;"|"&amp;IF(H3932="W3","W3_"&amp;IF(I3932="","unknown",I3932),H3932))</f>
        <v/>
      </c>
      <c r="Q3932">
        <f>IF(P3932="","",IFERROR(IF(AND(H3932="W7",OR(F3932="causal",F3932="predictive")),IF(AND(OR(K3932=1,K3932="1"),OR(L3932=1,L3932="1"),OR(M3932=1,M3932="1")),"adequate","partial"),IF(AND(H3932="W4",F3932="predictive",OR(J3932="P2",J3932="P3",J3932="P4")),IF(OR(U3932=1,U3932="1"),"adequate","partial"),INDEX(Fit_Matrix!$B:$B,MATCH(P3932,Fit_Matrix!$A:$A,0)))),"CHECK KEY"))</f>
        <v/>
      </c>
      <c r="U3932" s="10" t="n"/>
      <c r="V3932" s="10" t="n"/>
      <c r="W3932" s="10" t="n"/>
      <c r="X3932" s="10" t="n"/>
      <c r="Y3932" s="10" t="n"/>
      <c r="Z3932" s="10" t="n"/>
      <c r="AA3932" s="11">
        <f>IF(A3932="","",IF(AND(J3932="P4",F3932="causal"),"P4-CAUSAL",""))</f>
        <v/>
      </c>
    </row>
    <row r="3933" ht="15" customHeight="1" s="1">
      <c r="P3933">
        <f>IF(OR(F3933="",H3933="",J3933=""),"",J3933&amp;"|"&amp;F3933&amp;"|"&amp;IF(H3933="W3","W3_"&amp;IF(I3933="","unknown",I3933),H3933))</f>
        <v/>
      </c>
      <c r="Q3933">
        <f>IF(P3933="","",IFERROR(IF(AND(H3933="W7",OR(F3933="causal",F3933="predictive")),IF(AND(OR(K3933=1,K3933="1"),OR(L3933=1,L3933="1"),OR(M3933=1,M3933="1")),"adequate","partial"),IF(AND(H3933="W4",F3933="predictive",OR(J3933="P2",J3933="P3",J3933="P4")),IF(OR(U3933=1,U3933="1"),"adequate","partial"),INDEX(Fit_Matrix!$B:$B,MATCH(P3933,Fit_Matrix!$A:$A,0)))),"CHECK KEY"))</f>
        <v/>
      </c>
      <c r="U3933" s="10" t="n"/>
      <c r="V3933" s="10" t="n"/>
      <c r="W3933" s="10" t="n"/>
      <c r="X3933" s="10" t="n"/>
      <c r="Y3933" s="10" t="n"/>
      <c r="Z3933" s="10" t="n"/>
      <c r="AA3933" s="11">
        <f>IF(A3933="","",IF(AND(J3933="P4",F3933="causal"),"P4-CAUSAL",""))</f>
        <v/>
      </c>
    </row>
    <row r="3934" ht="15" customHeight="1" s="1">
      <c r="P3934">
        <f>IF(OR(F3934="",H3934="",J3934=""),"",J3934&amp;"|"&amp;F3934&amp;"|"&amp;IF(H3934="W3","W3_"&amp;IF(I3934="","unknown",I3934),H3934))</f>
        <v/>
      </c>
      <c r="Q3934">
        <f>IF(P3934="","",IFERROR(IF(AND(H3934="W7",OR(F3934="causal",F3934="predictive")),IF(AND(OR(K3934=1,K3934="1"),OR(L3934=1,L3934="1"),OR(M3934=1,M3934="1")),"adequate","partial"),IF(AND(H3934="W4",F3934="predictive",OR(J3934="P2",J3934="P3",J3934="P4")),IF(OR(U3934=1,U3934="1"),"adequate","partial"),INDEX(Fit_Matrix!$B:$B,MATCH(P3934,Fit_Matrix!$A:$A,0)))),"CHECK KEY"))</f>
        <v/>
      </c>
      <c r="U3934" s="10" t="n"/>
      <c r="V3934" s="10" t="n"/>
      <c r="W3934" s="10" t="n"/>
      <c r="X3934" s="10" t="n"/>
      <c r="Y3934" s="10" t="n"/>
      <c r="Z3934" s="10" t="n"/>
      <c r="AA3934" s="11">
        <f>IF(A3934="","",IF(AND(J3934="P4",F3934="causal"),"P4-CAUSAL",""))</f>
        <v/>
      </c>
    </row>
    <row r="3935" ht="15" customHeight="1" s="1">
      <c r="P3935">
        <f>IF(OR(F3935="",H3935="",J3935=""),"",J3935&amp;"|"&amp;F3935&amp;"|"&amp;IF(H3935="W3","W3_"&amp;IF(I3935="","unknown",I3935),H3935))</f>
        <v/>
      </c>
      <c r="Q3935">
        <f>IF(P3935="","",IFERROR(IF(AND(H3935="W7",OR(F3935="causal",F3935="predictive")),IF(AND(OR(K3935=1,K3935="1"),OR(L3935=1,L3935="1"),OR(M3935=1,M3935="1")),"adequate","partial"),IF(AND(H3935="W4",F3935="predictive",OR(J3935="P2",J3935="P3",J3935="P4")),IF(OR(U3935=1,U3935="1"),"adequate","partial"),INDEX(Fit_Matrix!$B:$B,MATCH(P3935,Fit_Matrix!$A:$A,0)))),"CHECK KEY"))</f>
        <v/>
      </c>
      <c r="U3935" s="10" t="n"/>
      <c r="V3935" s="10" t="n"/>
      <c r="W3935" s="10" t="n"/>
      <c r="X3935" s="10" t="n"/>
      <c r="Y3935" s="10" t="n"/>
      <c r="Z3935" s="10" t="n"/>
      <c r="AA3935" s="11">
        <f>IF(A3935="","",IF(AND(J3935="P4",F3935="causal"),"P4-CAUSAL",""))</f>
        <v/>
      </c>
    </row>
    <row r="3936" ht="15" customHeight="1" s="1">
      <c r="P3936">
        <f>IF(OR(F3936="",H3936="",J3936=""),"",J3936&amp;"|"&amp;F3936&amp;"|"&amp;IF(H3936="W3","W3_"&amp;IF(I3936="","unknown",I3936),H3936))</f>
        <v/>
      </c>
      <c r="Q3936">
        <f>IF(P3936="","",IFERROR(IF(AND(H3936="W7",OR(F3936="causal",F3936="predictive")),IF(AND(OR(K3936=1,K3936="1"),OR(L3936=1,L3936="1"),OR(M3936=1,M3936="1")),"adequate","partial"),IF(AND(H3936="W4",F3936="predictive",OR(J3936="P2",J3936="P3",J3936="P4")),IF(OR(U3936=1,U3936="1"),"adequate","partial"),INDEX(Fit_Matrix!$B:$B,MATCH(P3936,Fit_Matrix!$A:$A,0)))),"CHECK KEY"))</f>
        <v/>
      </c>
      <c r="U3936" s="10" t="n"/>
      <c r="V3936" s="10" t="n"/>
      <c r="W3936" s="10" t="n"/>
      <c r="X3936" s="10" t="n"/>
      <c r="Y3936" s="10" t="n"/>
      <c r="Z3936" s="10" t="n"/>
      <c r="AA3936" s="11">
        <f>IF(A3936="","",IF(AND(J3936="P4",F3936="causal"),"P4-CAUSAL",""))</f>
        <v/>
      </c>
    </row>
    <row r="3937" ht="15" customHeight="1" s="1">
      <c r="P3937">
        <f>IF(OR(F3937="",H3937="",J3937=""),"",J3937&amp;"|"&amp;F3937&amp;"|"&amp;IF(H3937="W3","W3_"&amp;IF(I3937="","unknown",I3937),H3937))</f>
        <v/>
      </c>
      <c r="Q3937">
        <f>IF(P3937="","",IFERROR(IF(AND(H3937="W7",OR(F3937="causal",F3937="predictive")),IF(AND(OR(K3937=1,K3937="1"),OR(L3937=1,L3937="1"),OR(M3937=1,M3937="1")),"adequate","partial"),IF(AND(H3937="W4",F3937="predictive",OR(J3937="P2",J3937="P3",J3937="P4")),IF(OR(U3937=1,U3937="1"),"adequate","partial"),INDEX(Fit_Matrix!$B:$B,MATCH(P3937,Fit_Matrix!$A:$A,0)))),"CHECK KEY"))</f>
        <v/>
      </c>
      <c r="U3937" s="10" t="n"/>
      <c r="V3937" s="10" t="n"/>
      <c r="W3937" s="10" t="n"/>
      <c r="X3937" s="10" t="n"/>
      <c r="Y3937" s="10" t="n"/>
      <c r="Z3937" s="10" t="n"/>
      <c r="AA3937" s="11">
        <f>IF(A3937="","",IF(AND(J3937="P4",F3937="causal"),"P4-CAUSAL",""))</f>
        <v/>
      </c>
    </row>
    <row r="3938" ht="15" customHeight="1" s="1">
      <c r="P3938">
        <f>IF(OR(F3938="",H3938="",J3938=""),"",J3938&amp;"|"&amp;F3938&amp;"|"&amp;IF(H3938="W3","W3_"&amp;IF(I3938="","unknown",I3938),H3938))</f>
        <v/>
      </c>
      <c r="Q3938">
        <f>IF(P3938="","",IFERROR(IF(AND(H3938="W7",OR(F3938="causal",F3938="predictive")),IF(AND(OR(K3938=1,K3938="1"),OR(L3938=1,L3938="1"),OR(M3938=1,M3938="1")),"adequate","partial"),IF(AND(H3938="W4",F3938="predictive",OR(J3938="P2",J3938="P3",J3938="P4")),IF(OR(U3938=1,U3938="1"),"adequate","partial"),INDEX(Fit_Matrix!$B:$B,MATCH(P3938,Fit_Matrix!$A:$A,0)))),"CHECK KEY"))</f>
        <v/>
      </c>
      <c r="U3938" s="10" t="n"/>
      <c r="V3938" s="10" t="n"/>
      <c r="W3938" s="10" t="n"/>
      <c r="X3938" s="10" t="n"/>
      <c r="Y3938" s="10" t="n"/>
      <c r="Z3938" s="10" t="n"/>
      <c r="AA3938" s="11">
        <f>IF(A3938="","",IF(AND(J3938="P4",F3938="causal"),"P4-CAUSAL",""))</f>
        <v/>
      </c>
    </row>
    <row r="3939" ht="15" customHeight="1" s="1">
      <c r="P3939">
        <f>IF(OR(F3939="",H3939="",J3939=""),"",J3939&amp;"|"&amp;F3939&amp;"|"&amp;IF(H3939="W3","W3_"&amp;IF(I3939="","unknown",I3939),H3939))</f>
        <v/>
      </c>
      <c r="Q3939">
        <f>IF(P3939="","",IFERROR(IF(AND(H3939="W7",OR(F3939="causal",F3939="predictive")),IF(AND(OR(K3939=1,K3939="1"),OR(L3939=1,L3939="1"),OR(M3939=1,M3939="1")),"adequate","partial"),IF(AND(H3939="W4",F3939="predictive",OR(J3939="P2",J3939="P3",J3939="P4")),IF(OR(U3939=1,U3939="1"),"adequate","partial"),INDEX(Fit_Matrix!$B:$B,MATCH(P3939,Fit_Matrix!$A:$A,0)))),"CHECK KEY"))</f>
        <v/>
      </c>
      <c r="U3939" s="10" t="n"/>
      <c r="V3939" s="10" t="n"/>
      <c r="W3939" s="10" t="n"/>
      <c r="X3939" s="10" t="n"/>
      <c r="Y3939" s="10" t="n"/>
      <c r="Z3939" s="10" t="n"/>
      <c r="AA3939" s="11">
        <f>IF(A3939="","",IF(AND(J3939="P4",F3939="causal"),"P4-CAUSAL",""))</f>
        <v/>
      </c>
    </row>
    <row r="3940" ht="15" customHeight="1" s="1">
      <c r="P3940">
        <f>IF(OR(F3940="",H3940="",J3940=""),"",J3940&amp;"|"&amp;F3940&amp;"|"&amp;IF(H3940="W3","W3_"&amp;IF(I3940="","unknown",I3940),H3940))</f>
        <v/>
      </c>
      <c r="Q3940">
        <f>IF(P3940="","",IFERROR(IF(AND(H3940="W7",OR(F3940="causal",F3940="predictive")),IF(AND(OR(K3940=1,K3940="1"),OR(L3940=1,L3940="1"),OR(M3940=1,M3940="1")),"adequate","partial"),IF(AND(H3940="W4",F3940="predictive",OR(J3940="P2",J3940="P3",J3940="P4")),IF(OR(U3940=1,U3940="1"),"adequate","partial"),INDEX(Fit_Matrix!$B:$B,MATCH(P3940,Fit_Matrix!$A:$A,0)))),"CHECK KEY"))</f>
        <v/>
      </c>
      <c r="U3940" s="10" t="n"/>
      <c r="V3940" s="10" t="n"/>
      <c r="W3940" s="10" t="n"/>
      <c r="X3940" s="10" t="n"/>
      <c r="Y3940" s="10" t="n"/>
      <c r="Z3940" s="10" t="n"/>
      <c r="AA3940" s="11">
        <f>IF(A3940="","",IF(AND(J3940="P4",F3940="causal"),"P4-CAUSAL",""))</f>
        <v/>
      </c>
    </row>
    <row r="3941" ht="15" customHeight="1" s="1">
      <c r="P3941">
        <f>IF(OR(F3941="",H3941="",J3941=""),"",J3941&amp;"|"&amp;F3941&amp;"|"&amp;IF(H3941="W3","W3_"&amp;IF(I3941="","unknown",I3941),H3941))</f>
        <v/>
      </c>
      <c r="Q3941">
        <f>IF(P3941="","",IFERROR(IF(AND(H3941="W7",OR(F3941="causal",F3941="predictive")),IF(AND(OR(K3941=1,K3941="1"),OR(L3941=1,L3941="1"),OR(M3941=1,M3941="1")),"adequate","partial"),IF(AND(H3941="W4",F3941="predictive",OR(J3941="P2",J3941="P3",J3941="P4")),IF(OR(U3941=1,U3941="1"),"adequate","partial"),INDEX(Fit_Matrix!$B:$B,MATCH(P3941,Fit_Matrix!$A:$A,0)))),"CHECK KEY"))</f>
        <v/>
      </c>
      <c r="U3941" s="10" t="n"/>
      <c r="V3941" s="10" t="n"/>
      <c r="W3941" s="10" t="n"/>
      <c r="X3941" s="10" t="n"/>
      <c r="Y3941" s="10" t="n"/>
      <c r="Z3941" s="10" t="n"/>
      <c r="AA3941" s="11">
        <f>IF(A3941="","",IF(AND(J3941="P4",F3941="causal"),"P4-CAUSAL",""))</f>
        <v/>
      </c>
    </row>
    <row r="3942" ht="15" customHeight="1" s="1">
      <c r="P3942">
        <f>IF(OR(F3942="",H3942="",J3942=""),"",J3942&amp;"|"&amp;F3942&amp;"|"&amp;IF(H3942="W3","W3_"&amp;IF(I3942="","unknown",I3942),H3942))</f>
        <v/>
      </c>
      <c r="Q3942">
        <f>IF(P3942="","",IFERROR(IF(AND(H3942="W7",OR(F3942="causal",F3942="predictive")),IF(AND(OR(K3942=1,K3942="1"),OR(L3942=1,L3942="1"),OR(M3942=1,M3942="1")),"adequate","partial"),IF(AND(H3942="W4",F3942="predictive",OR(J3942="P2",J3942="P3",J3942="P4")),IF(OR(U3942=1,U3942="1"),"adequate","partial"),INDEX(Fit_Matrix!$B:$B,MATCH(P3942,Fit_Matrix!$A:$A,0)))),"CHECK KEY"))</f>
        <v/>
      </c>
      <c r="U3942" s="10" t="n"/>
      <c r="V3942" s="10" t="n"/>
      <c r="W3942" s="10" t="n"/>
      <c r="X3942" s="10" t="n"/>
      <c r="Y3942" s="10" t="n"/>
      <c r="Z3942" s="10" t="n"/>
      <c r="AA3942" s="11">
        <f>IF(A3942="","",IF(AND(J3942="P4",F3942="causal"),"P4-CAUSAL",""))</f>
        <v/>
      </c>
    </row>
    <row r="3943" ht="15" customHeight="1" s="1">
      <c r="P3943">
        <f>IF(OR(F3943="",H3943="",J3943=""),"",J3943&amp;"|"&amp;F3943&amp;"|"&amp;IF(H3943="W3","W3_"&amp;IF(I3943="","unknown",I3943),H3943))</f>
        <v/>
      </c>
      <c r="Q3943">
        <f>IF(P3943="","",IFERROR(IF(AND(H3943="W7",OR(F3943="causal",F3943="predictive")),IF(AND(OR(K3943=1,K3943="1"),OR(L3943=1,L3943="1"),OR(M3943=1,M3943="1")),"adequate","partial"),IF(AND(H3943="W4",F3943="predictive",OR(J3943="P2",J3943="P3",J3943="P4")),IF(OR(U3943=1,U3943="1"),"adequate","partial"),INDEX(Fit_Matrix!$B:$B,MATCH(P3943,Fit_Matrix!$A:$A,0)))),"CHECK KEY"))</f>
        <v/>
      </c>
      <c r="U3943" s="10" t="n"/>
      <c r="V3943" s="10" t="n"/>
      <c r="W3943" s="10" t="n"/>
      <c r="X3943" s="10" t="n"/>
      <c r="Y3943" s="10" t="n"/>
      <c r="Z3943" s="10" t="n"/>
      <c r="AA3943" s="11">
        <f>IF(A3943="","",IF(AND(J3943="P4",F3943="causal"),"P4-CAUSAL",""))</f>
        <v/>
      </c>
    </row>
    <row r="3944" ht="15" customHeight="1" s="1">
      <c r="P3944">
        <f>IF(OR(F3944="",H3944="",J3944=""),"",J3944&amp;"|"&amp;F3944&amp;"|"&amp;IF(H3944="W3","W3_"&amp;IF(I3944="","unknown",I3944),H3944))</f>
        <v/>
      </c>
      <c r="Q3944">
        <f>IF(P3944="","",IFERROR(IF(AND(H3944="W7",OR(F3944="causal",F3944="predictive")),IF(AND(OR(K3944=1,K3944="1"),OR(L3944=1,L3944="1"),OR(M3944=1,M3944="1")),"adequate","partial"),IF(AND(H3944="W4",F3944="predictive",OR(J3944="P2",J3944="P3",J3944="P4")),IF(OR(U3944=1,U3944="1"),"adequate","partial"),INDEX(Fit_Matrix!$B:$B,MATCH(P3944,Fit_Matrix!$A:$A,0)))),"CHECK KEY"))</f>
        <v/>
      </c>
      <c r="U3944" s="10" t="n"/>
      <c r="V3944" s="10" t="n"/>
      <c r="W3944" s="10" t="n"/>
      <c r="X3944" s="10" t="n"/>
      <c r="Y3944" s="10" t="n"/>
      <c r="Z3944" s="10" t="n"/>
      <c r="AA3944" s="11">
        <f>IF(A3944="","",IF(AND(J3944="P4",F3944="causal"),"P4-CAUSAL",""))</f>
        <v/>
      </c>
    </row>
    <row r="3945" ht="15" customHeight="1" s="1">
      <c r="P3945">
        <f>IF(OR(F3945="",H3945="",J3945=""),"",J3945&amp;"|"&amp;F3945&amp;"|"&amp;IF(H3945="W3","W3_"&amp;IF(I3945="","unknown",I3945),H3945))</f>
        <v/>
      </c>
      <c r="Q3945">
        <f>IF(P3945="","",IFERROR(IF(AND(H3945="W7",OR(F3945="causal",F3945="predictive")),IF(AND(OR(K3945=1,K3945="1"),OR(L3945=1,L3945="1"),OR(M3945=1,M3945="1")),"adequate","partial"),IF(AND(H3945="W4",F3945="predictive",OR(J3945="P2",J3945="P3",J3945="P4")),IF(OR(U3945=1,U3945="1"),"adequate","partial"),INDEX(Fit_Matrix!$B:$B,MATCH(P3945,Fit_Matrix!$A:$A,0)))),"CHECK KEY"))</f>
        <v/>
      </c>
      <c r="U3945" s="10" t="n"/>
      <c r="V3945" s="10" t="n"/>
      <c r="W3945" s="10" t="n"/>
      <c r="X3945" s="10" t="n"/>
      <c r="Y3945" s="10" t="n"/>
      <c r="Z3945" s="10" t="n"/>
      <c r="AA3945" s="11">
        <f>IF(A3945="","",IF(AND(J3945="P4",F3945="causal"),"P4-CAUSAL",""))</f>
        <v/>
      </c>
    </row>
    <row r="3946" ht="15" customHeight="1" s="1">
      <c r="P3946">
        <f>IF(OR(F3946="",H3946="",J3946=""),"",J3946&amp;"|"&amp;F3946&amp;"|"&amp;IF(H3946="W3","W3_"&amp;IF(I3946="","unknown",I3946),H3946))</f>
        <v/>
      </c>
      <c r="Q3946">
        <f>IF(P3946="","",IFERROR(IF(AND(H3946="W7",OR(F3946="causal",F3946="predictive")),IF(AND(OR(K3946=1,K3946="1"),OR(L3946=1,L3946="1"),OR(M3946=1,M3946="1")),"adequate","partial"),IF(AND(H3946="W4",F3946="predictive",OR(J3946="P2",J3946="P3",J3946="P4")),IF(OR(U3946=1,U3946="1"),"adequate","partial"),INDEX(Fit_Matrix!$B:$B,MATCH(P3946,Fit_Matrix!$A:$A,0)))),"CHECK KEY"))</f>
        <v/>
      </c>
      <c r="U3946" s="10" t="n"/>
      <c r="V3946" s="10" t="n"/>
      <c r="W3946" s="10" t="n"/>
      <c r="X3946" s="10" t="n"/>
      <c r="Y3946" s="10" t="n"/>
      <c r="Z3946" s="10" t="n"/>
      <c r="AA3946" s="11">
        <f>IF(A3946="","",IF(AND(J3946="P4",F3946="causal"),"P4-CAUSAL",""))</f>
        <v/>
      </c>
    </row>
    <row r="3947" ht="15" customHeight="1" s="1">
      <c r="P3947">
        <f>IF(OR(F3947="",H3947="",J3947=""),"",J3947&amp;"|"&amp;F3947&amp;"|"&amp;IF(H3947="W3","W3_"&amp;IF(I3947="","unknown",I3947),H3947))</f>
        <v/>
      </c>
      <c r="Q3947">
        <f>IF(P3947="","",IFERROR(IF(AND(H3947="W7",OR(F3947="causal",F3947="predictive")),IF(AND(OR(K3947=1,K3947="1"),OR(L3947=1,L3947="1"),OR(M3947=1,M3947="1")),"adequate","partial"),IF(AND(H3947="W4",F3947="predictive",OR(J3947="P2",J3947="P3",J3947="P4")),IF(OR(U3947=1,U3947="1"),"adequate","partial"),INDEX(Fit_Matrix!$B:$B,MATCH(P3947,Fit_Matrix!$A:$A,0)))),"CHECK KEY"))</f>
        <v/>
      </c>
      <c r="U3947" s="10" t="n"/>
      <c r="V3947" s="10" t="n"/>
      <c r="W3947" s="10" t="n"/>
      <c r="X3947" s="10" t="n"/>
      <c r="Y3947" s="10" t="n"/>
      <c r="Z3947" s="10" t="n"/>
      <c r="AA3947" s="11">
        <f>IF(A3947="","",IF(AND(J3947="P4",F3947="causal"),"P4-CAUSAL",""))</f>
        <v/>
      </c>
    </row>
    <row r="3948" ht="15" customHeight="1" s="1">
      <c r="P3948">
        <f>IF(OR(F3948="",H3948="",J3948=""),"",J3948&amp;"|"&amp;F3948&amp;"|"&amp;IF(H3948="W3","W3_"&amp;IF(I3948="","unknown",I3948),H3948))</f>
        <v/>
      </c>
      <c r="Q3948">
        <f>IF(P3948="","",IFERROR(IF(AND(H3948="W7",OR(F3948="causal",F3948="predictive")),IF(AND(OR(K3948=1,K3948="1"),OR(L3948=1,L3948="1"),OR(M3948=1,M3948="1")),"adequate","partial"),IF(AND(H3948="W4",F3948="predictive",OR(J3948="P2",J3948="P3",J3948="P4")),IF(OR(U3948=1,U3948="1"),"adequate","partial"),INDEX(Fit_Matrix!$B:$B,MATCH(P3948,Fit_Matrix!$A:$A,0)))),"CHECK KEY"))</f>
        <v/>
      </c>
      <c r="U3948" s="10" t="n"/>
      <c r="V3948" s="10" t="n"/>
      <c r="W3948" s="10" t="n"/>
      <c r="X3948" s="10" t="n"/>
      <c r="Y3948" s="10" t="n"/>
      <c r="Z3948" s="10" t="n"/>
      <c r="AA3948" s="11">
        <f>IF(A3948="","",IF(AND(J3948="P4",F3948="causal"),"P4-CAUSAL",""))</f>
        <v/>
      </c>
    </row>
    <row r="3949" ht="15" customHeight="1" s="1">
      <c r="P3949">
        <f>IF(OR(F3949="",H3949="",J3949=""),"",J3949&amp;"|"&amp;F3949&amp;"|"&amp;IF(H3949="W3","W3_"&amp;IF(I3949="","unknown",I3949),H3949))</f>
        <v/>
      </c>
      <c r="Q3949">
        <f>IF(P3949="","",IFERROR(IF(AND(H3949="W7",OR(F3949="causal",F3949="predictive")),IF(AND(OR(K3949=1,K3949="1"),OR(L3949=1,L3949="1"),OR(M3949=1,M3949="1")),"adequate","partial"),IF(AND(H3949="W4",F3949="predictive",OR(J3949="P2",J3949="P3",J3949="P4")),IF(OR(U3949=1,U3949="1"),"adequate","partial"),INDEX(Fit_Matrix!$B:$B,MATCH(P3949,Fit_Matrix!$A:$A,0)))),"CHECK KEY"))</f>
        <v/>
      </c>
      <c r="U3949" s="10" t="n"/>
      <c r="V3949" s="10" t="n"/>
      <c r="W3949" s="10" t="n"/>
      <c r="X3949" s="10" t="n"/>
      <c r="Y3949" s="10" t="n"/>
      <c r="Z3949" s="10" t="n"/>
      <c r="AA3949" s="11">
        <f>IF(A3949="","",IF(AND(J3949="P4",F3949="causal"),"P4-CAUSAL",""))</f>
        <v/>
      </c>
    </row>
    <row r="3950" ht="15" customHeight="1" s="1">
      <c r="P3950">
        <f>IF(OR(F3950="",H3950="",J3950=""),"",J3950&amp;"|"&amp;F3950&amp;"|"&amp;IF(H3950="W3","W3_"&amp;IF(I3950="","unknown",I3950),H3950))</f>
        <v/>
      </c>
      <c r="Q3950">
        <f>IF(P3950="","",IFERROR(IF(AND(H3950="W7",OR(F3950="causal",F3950="predictive")),IF(AND(OR(K3950=1,K3950="1"),OR(L3950=1,L3950="1"),OR(M3950=1,M3950="1")),"adequate","partial"),IF(AND(H3950="W4",F3950="predictive",OR(J3950="P2",J3950="P3",J3950="P4")),IF(OR(U3950=1,U3950="1"),"adequate","partial"),INDEX(Fit_Matrix!$B:$B,MATCH(P3950,Fit_Matrix!$A:$A,0)))),"CHECK KEY"))</f>
        <v/>
      </c>
      <c r="U3950" s="10" t="n"/>
      <c r="V3950" s="10" t="n"/>
      <c r="W3950" s="10" t="n"/>
      <c r="X3950" s="10" t="n"/>
      <c r="Y3950" s="10" t="n"/>
      <c r="Z3950" s="10" t="n"/>
      <c r="AA3950" s="11">
        <f>IF(A3950="","",IF(AND(J3950="P4",F3950="causal"),"P4-CAUSAL",""))</f>
        <v/>
      </c>
    </row>
    <row r="3951" ht="15" customHeight="1" s="1">
      <c r="P3951">
        <f>IF(OR(F3951="",H3951="",J3951=""),"",J3951&amp;"|"&amp;F3951&amp;"|"&amp;IF(H3951="W3","W3_"&amp;IF(I3951="","unknown",I3951),H3951))</f>
        <v/>
      </c>
      <c r="Q3951">
        <f>IF(P3951="","",IFERROR(IF(AND(H3951="W7",OR(F3951="causal",F3951="predictive")),IF(AND(OR(K3951=1,K3951="1"),OR(L3951=1,L3951="1"),OR(M3951=1,M3951="1")),"adequate","partial"),IF(AND(H3951="W4",F3951="predictive",OR(J3951="P2",J3951="P3",J3951="P4")),IF(OR(U3951=1,U3951="1"),"adequate","partial"),INDEX(Fit_Matrix!$B:$B,MATCH(P3951,Fit_Matrix!$A:$A,0)))),"CHECK KEY"))</f>
        <v/>
      </c>
      <c r="U3951" s="10" t="n"/>
      <c r="V3951" s="10" t="n"/>
      <c r="W3951" s="10" t="n"/>
      <c r="X3951" s="10" t="n"/>
      <c r="Y3951" s="10" t="n"/>
      <c r="Z3951" s="10" t="n"/>
      <c r="AA3951" s="11">
        <f>IF(A3951="","",IF(AND(J3951="P4",F3951="causal"),"P4-CAUSAL",""))</f>
        <v/>
      </c>
    </row>
    <row r="3952" ht="15" customHeight="1" s="1">
      <c r="P3952">
        <f>IF(OR(F3952="",H3952="",J3952=""),"",J3952&amp;"|"&amp;F3952&amp;"|"&amp;IF(H3952="W3","W3_"&amp;IF(I3952="","unknown",I3952),H3952))</f>
        <v/>
      </c>
      <c r="Q3952">
        <f>IF(P3952="","",IFERROR(IF(AND(H3952="W7",OR(F3952="causal",F3952="predictive")),IF(AND(OR(K3952=1,K3952="1"),OR(L3952=1,L3952="1"),OR(M3952=1,M3952="1")),"adequate","partial"),IF(AND(H3952="W4",F3952="predictive",OR(J3952="P2",J3952="P3",J3952="P4")),IF(OR(U3952=1,U3952="1"),"adequate","partial"),INDEX(Fit_Matrix!$B:$B,MATCH(P3952,Fit_Matrix!$A:$A,0)))),"CHECK KEY"))</f>
        <v/>
      </c>
      <c r="U3952" s="10" t="n"/>
      <c r="V3952" s="10" t="n"/>
      <c r="W3952" s="10" t="n"/>
      <c r="X3952" s="10" t="n"/>
      <c r="Y3952" s="10" t="n"/>
      <c r="Z3952" s="10" t="n"/>
      <c r="AA3952" s="11">
        <f>IF(A3952="","",IF(AND(J3952="P4",F3952="causal"),"P4-CAUSAL",""))</f>
        <v/>
      </c>
    </row>
    <row r="3953" ht="15" customHeight="1" s="1">
      <c r="P3953">
        <f>IF(OR(F3953="",H3953="",J3953=""),"",J3953&amp;"|"&amp;F3953&amp;"|"&amp;IF(H3953="W3","W3_"&amp;IF(I3953="","unknown",I3953),H3953))</f>
        <v/>
      </c>
      <c r="Q3953">
        <f>IF(P3953="","",IFERROR(IF(AND(H3953="W7",OR(F3953="causal",F3953="predictive")),IF(AND(OR(K3953=1,K3953="1"),OR(L3953=1,L3953="1"),OR(M3953=1,M3953="1")),"adequate","partial"),IF(AND(H3953="W4",F3953="predictive",OR(J3953="P2",J3953="P3",J3953="P4")),IF(OR(U3953=1,U3953="1"),"adequate","partial"),INDEX(Fit_Matrix!$B:$B,MATCH(P3953,Fit_Matrix!$A:$A,0)))),"CHECK KEY"))</f>
        <v/>
      </c>
      <c r="U3953" s="10" t="n"/>
      <c r="V3953" s="10" t="n"/>
      <c r="W3953" s="10" t="n"/>
      <c r="X3953" s="10" t="n"/>
      <c r="Y3953" s="10" t="n"/>
      <c r="Z3953" s="10" t="n"/>
      <c r="AA3953" s="11">
        <f>IF(A3953="","",IF(AND(J3953="P4",F3953="causal"),"P4-CAUSAL",""))</f>
        <v/>
      </c>
    </row>
    <row r="3954" ht="15" customHeight="1" s="1">
      <c r="P3954">
        <f>IF(OR(F3954="",H3954="",J3954=""),"",J3954&amp;"|"&amp;F3954&amp;"|"&amp;IF(H3954="W3","W3_"&amp;IF(I3954="","unknown",I3954),H3954))</f>
        <v/>
      </c>
      <c r="Q3954">
        <f>IF(P3954="","",IFERROR(IF(AND(H3954="W7",OR(F3954="causal",F3954="predictive")),IF(AND(OR(K3954=1,K3954="1"),OR(L3954=1,L3954="1"),OR(M3954=1,M3954="1")),"adequate","partial"),IF(AND(H3954="W4",F3954="predictive",OR(J3954="P2",J3954="P3",J3954="P4")),IF(OR(U3954=1,U3954="1"),"adequate","partial"),INDEX(Fit_Matrix!$B:$B,MATCH(P3954,Fit_Matrix!$A:$A,0)))),"CHECK KEY"))</f>
        <v/>
      </c>
      <c r="U3954" s="10" t="n"/>
      <c r="V3954" s="10" t="n"/>
      <c r="W3954" s="10" t="n"/>
      <c r="X3954" s="10" t="n"/>
      <c r="Y3954" s="10" t="n"/>
      <c r="Z3954" s="10" t="n"/>
      <c r="AA3954" s="11">
        <f>IF(A3954="","",IF(AND(J3954="P4",F3954="causal"),"P4-CAUSAL",""))</f>
        <v/>
      </c>
    </row>
    <row r="3955" ht="15" customHeight="1" s="1">
      <c r="P3955">
        <f>IF(OR(F3955="",H3955="",J3955=""),"",J3955&amp;"|"&amp;F3955&amp;"|"&amp;IF(H3955="W3","W3_"&amp;IF(I3955="","unknown",I3955),H3955))</f>
        <v/>
      </c>
      <c r="Q3955">
        <f>IF(P3955="","",IFERROR(IF(AND(H3955="W7",OR(F3955="causal",F3955="predictive")),IF(AND(OR(K3955=1,K3955="1"),OR(L3955=1,L3955="1"),OR(M3955=1,M3955="1")),"adequate","partial"),IF(AND(H3955="W4",F3955="predictive",OR(J3955="P2",J3955="P3",J3955="P4")),IF(OR(U3955=1,U3955="1"),"adequate","partial"),INDEX(Fit_Matrix!$B:$B,MATCH(P3955,Fit_Matrix!$A:$A,0)))),"CHECK KEY"))</f>
        <v/>
      </c>
      <c r="U3955" s="10" t="n"/>
      <c r="V3955" s="10" t="n"/>
      <c r="W3955" s="10" t="n"/>
      <c r="X3955" s="10" t="n"/>
      <c r="Y3955" s="10" t="n"/>
      <c r="Z3955" s="10" t="n"/>
      <c r="AA3955" s="11">
        <f>IF(A3955="","",IF(AND(J3955="P4",F3955="causal"),"P4-CAUSAL",""))</f>
        <v/>
      </c>
    </row>
    <row r="3956" ht="15" customHeight="1" s="1">
      <c r="P3956">
        <f>IF(OR(F3956="",H3956="",J3956=""),"",J3956&amp;"|"&amp;F3956&amp;"|"&amp;IF(H3956="W3","W3_"&amp;IF(I3956="","unknown",I3956),H3956))</f>
        <v/>
      </c>
      <c r="Q3956">
        <f>IF(P3956="","",IFERROR(IF(AND(H3956="W7",OR(F3956="causal",F3956="predictive")),IF(AND(OR(K3956=1,K3956="1"),OR(L3956=1,L3956="1"),OR(M3956=1,M3956="1")),"adequate","partial"),IF(AND(H3956="W4",F3956="predictive",OR(J3956="P2",J3956="P3",J3956="P4")),IF(OR(U3956=1,U3956="1"),"adequate","partial"),INDEX(Fit_Matrix!$B:$B,MATCH(P3956,Fit_Matrix!$A:$A,0)))),"CHECK KEY"))</f>
        <v/>
      </c>
      <c r="U3956" s="10" t="n"/>
      <c r="V3956" s="10" t="n"/>
      <c r="W3956" s="10" t="n"/>
      <c r="X3956" s="10" t="n"/>
      <c r="Y3956" s="10" t="n"/>
      <c r="Z3956" s="10" t="n"/>
      <c r="AA3956" s="11">
        <f>IF(A3956="","",IF(AND(J3956="P4",F3956="causal"),"P4-CAUSAL",""))</f>
        <v/>
      </c>
    </row>
    <row r="3957" ht="15" customHeight="1" s="1">
      <c r="P3957">
        <f>IF(OR(F3957="",H3957="",J3957=""),"",J3957&amp;"|"&amp;F3957&amp;"|"&amp;IF(H3957="W3","W3_"&amp;IF(I3957="","unknown",I3957),H3957))</f>
        <v/>
      </c>
      <c r="Q3957">
        <f>IF(P3957="","",IFERROR(IF(AND(H3957="W7",OR(F3957="causal",F3957="predictive")),IF(AND(OR(K3957=1,K3957="1"),OR(L3957=1,L3957="1"),OR(M3957=1,M3957="1")),"adequate","partial"),IF(AND(H3957="W4",F3957="predictive",OR(J3957="P2",J3957="P3",J3957="P4")),IF(OR(U3957=1,U3957="1"),"adequate","partial"),INDEX(Fit_Matrix!$B:$B,MATCH(P3957,Fit_Matrix!$A:$A,0)))),"CHECK KEY"))</f>
        <v/>
      </c>
      <c r="U3957" s="10" t="n"/>
      <c r="V3957" s="10" t="n"/>
      <c r="W3957" s="10" t="n"/>
      <c r="X3957" s="10" t="n"/>
      <c r="Y3957" s="10" t="n"/>
      <c r="Z3957" s="10" t="n"/>
      <c r="AA3957" s="11">
        <f>IF(A3957="","",IF(AND(J3957="P4",F3957="causal"),"P4-CAUSAL",""))</f>
        <v/>
      </c>
    </row>
    <row r="3958" ht="15" customHeight="1" s="1">
      <c r="P3958">
        <f>IF(OR(F3958="",H3958="",J3958=""),"",J3958&amp;"|"&amp;F3958&amp;"|"&amp;IF(H3958="W3","W3_"&amp;IF(I3958="","unknown",I3958),H3958))</f>
        <v/>
      </c>
      <c r="Q3958">
        <f>IF(P3958="","",IFERROR(IF(AND(H3958="W7",OR(F3958="causal",F3958="predictive")),IF(AND(OR(K3958=1,K3958="1"),OR(L3958=1,L3958="1"),OR(M3958=1,M3958="1")),"adequate","partial"),IF(AND(H3958="W4",F3958="predictive",OR(J3958="P2",J3958="P3",J3958="P4")),IF(OR(U3958=1,U3958="1"),"adequate","partial"),INDEX(Fit_Matrix!$B:$B,MATCH(P3958,Fit_Matrix!$A:$A,0)))),"CHECK KEY"))</f>
        <v/>
      </c>
      <c r="U3958" s="10" t="n"/>
      <c r="V3958" s="10" t="n"/>
      <c r="W3958" s="10" t="n"/>
      <c r="X3958" s="10" t="n"/>
      <c r="Y3958" s="10" t="n"/>
      <c r="Z3958" s="10" t="n"/>
      <c r="AA3958" s="11">
        <f>IF(A3958="","",IF(AND(J3958="P4",F3958="causal"),"P4-CAUSAL",""))</f>
        <v/>
      </c>
    </row>
    <row r="3959" ht="15" customHeight="1" s="1">
      <c r="P3959">
        <f>IF(OR(F3959="",H3959="",J3959=""),"",J3959&amp;"|"&amp;F3959&amp;"|"&amp;IF(H3959="W3","W3_"&amp;IF(I3959="","unknown",I3959),H3959))</f>
        <v/>
      </c>
      <c r="Q3959">
        <f>IF(P3959="","",IFERROR(IF(AND(H3959="W7",OR(F3959="causal",F3959="predictive")),IF(AND(OR(K3959=1,K3959="1"),OR(L3959=1,L3959="1"),OR(M3959=1,M3959="1")),"adequate","partial"),IF(AND(H3959="W4",F3959="predictive",OR(J3959="P2",J3959="P3",J3959="P4")),IF(OR(U3959=1,U3959="1"),"adequate","partial"),INDEX(Fit_Matrix!$B:$B,MATCH(P3959,Fit_Matrix!$A:$A,0)))),"CHECK KEY"))</f>
        <v/>
      </c>
      <c r="U3959" s="10" t="n"/>
      <c r="V3959" s="10" t="n"/>
      <c r="W3959" s="10" t="n"/>
      <c r="X3959" s="10" t="n"/>
      <c r="Y3959" s="10" t="n"/>
      <c r="Z3959" s="10" t="n"/>
      <c r="AA3959" s="11">
        <f>IF(A3959="","",IF(AND(J3959="P4",F3959="causal"),"P4-CAUSAL",""))</f>
        <v/>
      </c>
    </row>
    <row r="3960" ht="15" customHeight="1" s="1">
      <c r="P3960">
        <f>IF(OR(F3960="",H3960="",J3960=""),"",J3960&amp;"|"&amp;F3960&amp;"|"&amp;IF(H3960="W3","W3_"&amp;IF(I3960="","unknown",I3960),H3960))</f>
        <v/>
      </c>
      <c r="Q3960">
        <f>IF(P3960="","",IFERROR(IF(AND(H3960="W7",OR(F3960="causal",F3960="predictive")),IF(AND(OR(K3960=1,K3960="1"),OR(L3960=1,L3960="1"),OR(M3960=1,M3960="1")),"adequate","partial"),IF(AND(H3960="W4",F3960="predictive",OR(J3960="P2",J3960="P3",J3960="P4")),IF(OR(U3960=1,U3960="1"),"adequate","partial"),INDEX(Fit_Matrix!$B:$B,MATCH(P3960,Fit_Matrix!$A:$A,0)))),"CHECK KEY"))</f>
        <v/>
      </c>
      <c r="U3960" s="10" t="n"/>
      <c r="V3960" s="10" t="n"/>
      <c r="W3960" s="10" t="n"/>
      <c r="X3960" s="10" t="n"/>
      <c r="Y3960" s="10" t="n"/>
      <c r="Z3960" s="10" t="n"/>
      <c r="AA3960" s="11">
        <f>IF(A3960="","",IF(AND(J3960="P4",F3960="causal"),"P4-CAUSAL",""))</f>
        <v/>
      </c>
    </row>
    <row r="3961" ht="15" customHeight="1" s="1">
      <c r="P3961">
        <f>IF(OR(F3961="",H3961="",J3961=""),"",J3961&amp;"|"&amp;F3961&amp;"|"&amp;IF(H3961="W3","W3_"&amp;IF(I3961="","unknown",I3961),H3961))</f>
        <v/>
      </c>
      <c r="Q3961">
        <f>IF(P3961="","",IFERROR(IF(AND(H3961="W7",OR(F3961="causal",F3961="predictive")),IF(AND(OR(K3961=1,K3961="1"),OR(L3961=1,L3961="1"),OR(M3961=1,M3961="1")),"adequate","partial"),IF(AND(H3961="W4",F3961="predictive",OR(J3961="P2",J3961="P3",J3961="P4")),IF(OR(U3961=1,U3961="1"),"adequate","partial"),INDEX(Fit_Matrix!$B:$B,MATCH(P3961,Fit_Matrix!$A:$A,0)))),"CHECK KEY"))</f>
        <v/>
      </c>
      <c r="U3961" s="10" t="n"/>
      <c r="V3961" s="10" t="n"/>
      <c r="W3961" s="10" t="n"/>
      <c r="X3961" s="10" t="n"/>
      <c r="Y3961" s="10" t="n"/>
      <c r="Z3961" s="10" t="n"/>
      <c r="AA3961" s="11">
        <f>IF(A3961="","",IF(AND(J3961="P4",F3961="causal"),"P4-CAUSAL",""))</f>
        <v/>
      </c>
    </row>
    <row r="3962" ht="15" customHeight="1" s="1">
      <c r="P3962">
        <f>IF(OR(F3962="",H3962="",J3962=""),"",J3962&amp;"|"&amp;F3962&amp;"|"&amp;IF(H3962="W3","W3_"&amp;IF(I3962="","unknown",I3962),H3962))</f>
        <v/>
      </c>
      <c r="Q3962">
        <f>IF(P3962="","",IFERROR(IF(AND(H3962="W7",OR(F3962="causal",F3962="predictive")),IF(AND(OR(K3962=1,K3962="1"),OR(L3962=1,L3962="1"),OR(M3962=1,M3962="1")),"adequate","partial"),IF(AND(H3962="W4",F3962="predictive",OR(J3962="P2",J3962="P3",J3962="P4")),IF(OR(U3962=1,U3962="1"),"adequate","partial"),INDEX(Fit_Matrix!$B:$B,MATCH(P3962,Fit_Matrix!$A:$A,0)))),"CHECK KEY"))</f>
        <v/>
      </c>
      <c r="U3962" s="10" t="n"/>
      <c r="V3962" s="10" t="n"/>
      <c r="W3962" s="10" t="n"/>
      <c r="X3962" s="10" t="n"/>
      <c r="Y3962" s="10" t="n"/>
      <c r="Z3962" s="10" t="n"/>
      <c r="AA3962" s="11">
        <f>IF(A3962="","",IF(AND(J3962="P4",F3962="causal"),"P4-CAUSAL",""))</f>
        <v/>
      </c>
    </row>
    <row r="3963" ht="15" customHeight="1" s="1">
      <c r="P3963">
        <f>IF(OR(F3963="",H3963="",J3963=""),"",J3963&amp;"|"&amp;F3963&amp;"|"&amp;IF(H3963="W3","W3_"&amp;IF(I3963="","unknown",I3963),H3963))</f>
        <v/>
      </c>
      <c r="Q3963">
        <f>IF(P3963="","",IFERROR(IF(AND(H3963="W7",OR(F3963="causal",F3963="predictive")),IF(AND(OR(K3963=1,K3963="1"),OR(L3963=1,L3963="1"),OR(M3963=1,M3963="1")),"adequate","partial"),IF(AND(H3963="W4",F3963="predictive",OR(J3963="P2",J3963="P3",J3963="P4")),IF(OR(U3963=1,U3963="1"),"adequate","partial"),INDEX(Fit_Matrix!$B:$B,MATCH(P3963,Fit_Matrix!$A:$A,0)))),"CHECK KEY"))</f>
        <v/>
      </c>
      <c r="U3963" s="10" t="n"/>
      <c r="V3963" s="10" t="n"/>
      <c r="W3963" s="10" t="n"/>
      <c r="X3963" s="10" t="n"/>
      <c r="Y3963" s="10" t="n"/>
      <c r="Z3963" s="10" t="n"/>
      <c r="AA3963" s="11">
        <f>IF(A3963="","",IF(AND(J3963="P4",F3963="causal"),"P4-CAUSAL",""))</f>
        <v/>
      </c>
    </row>
    <row r="3964" ht="15" customHeight="1" s="1">
      <c r="P3964">
        <f>IF(OR(F3964="",H3964="",J3964=""),"",J3964&amp;"|"&amp;F3964&amp;"|"&amp;IF(H3964="W3","W3_"&amp;IF(I3964="","unknown",I3964),H3964))</f>
        <v/>
      </c>
      <c r="Q3964">
        <f>IF(P3964="","",IFERROR(IF(AND(H3964="W7",OR(F3964="causal",F3964="predictive")),IF(AND(OR(K3964=1,K3964="1"),OR(L3964=1,L3964="1"),OR(M3964=1,M3964="1")),"adequate","partial"),IF(AND(H3964="W4",F3964="predictive",OR(J3964="P2",J3964="P3",J3964="P4")),IF(OR(U3964=1,U3964="1"),"adequate","partial"),INDEX(Fit_Matrix!$B:$B,MATCH(P3964,Fit_Matrix!$A:$A,0)))),"CHECK KEY"))</f>
        <v/>
      </c>
      <c r="U3964" s="10" t="n"/>
      <c r="V3964" s="10" t="n"/>
      <c r="W3964" s="10" t="n"/>
      <c r="X3964" s="10" t="n"/>
      <c r="Y3964" s="10" t="n"/>
      <c r="Z3964" s="10" t="n"/>
      <c r="AA3964" s="11">
        <f>IF(A3964="","",IF(AND(J3964="P4",F3964="causal"),"P4-CAUSAL",""))</f>
        <v/>
      </c>
    </row>
    <row r="3965" ht="15" customHeight="1" s="1">
      <c r="P3965">
        <f>IF(OR(F3965="",H3965="",J3965=""),"",J3965&amp;"|"&amp;F3965&amp;"|"&amp;IF(H3965="W3","W3_"&amp;IF(I3965="","unknown",I3965),H3965))</f>
        <v/>
      </c>
      <c r="Q3965">
        <f>IF(P3965="","",IFERROR(IF(AND(H3965="W7",OR(F3965="causal",F3965="predictive")),IF(AND(OR(K3965=1,K3965="1"),OR(L3965=1,L3965="1"),OR(M3965=1,M3965="1")),"adequate","partial"),IF(AND(H3965="W4",F3965="predictive",OR(J3965="P2",J3965="P3",J3965="P4")),IF(OR(U3965=1,U3965="1"),"adequate","partial"),INDEX(Fit_Matrix!$B:$B,MATCH(P3965,Fit_Matrix!$A:$A,0)))),"CHECK KEY"))</f>
        <v/>
      </c>
      <c r="U3965" s="10" t="n"/>
      <c r="V3965" s="10" t="n"/>
      <c r="W3965" s="10" t="n"/>
      <c r="X3965" s="10" t="n"/>
      <c r="Y3965" s="10" t="n"/>
      <c r="Z3965" s="10" t="n"/>
      <c r="AA3965" s="11">
        <f>IF(A3965="","",IF(AND(J3965="P4",F3965="causal"),"P4-CAUSAL",""))</f>
        <v/>
      </c>
    </row>
    <row r="3966" ht="15" customHeight="1" s="1">
      <c r="P3966">
        <f>IF(OR(F3966="",H3966="",J3966=""),"",J3966&amp;"|"&amp;F3966&amp;"|"&amp;IF(H3966="W3","W3_"&amp;IF(I3966="","unknown",I3966),H3966))</f>
        <v/>
      </c>
      <c r="Q3966">
        <f>IF(P3966="","",IFERROR(IF(AND(H3966="W7",OR(F3966="causal",F3966="predictive")),IF(AND(OR(K3966=1,K3966="1"),OR(L3966=1,L3966="1"),OR(M3966=1,M3966="1")),"adequate","partial"),IF(AND(H3966="W4",F3966="predictive",OR(J3966="P2",J3966="P3",J3966="P4")),IF(OR(U3966=1,U3966="1"),"adequate","partial"),INDEX(Fit_Matrix!$B:$B,MATCH(P3966,Fit_Matrix!$A:$A,0)))),"CHECK KEY"))</f>
        <v/>
      </c>
      <c r="U3966" s="10" t="n"/>
      <c r="V3966" s="10" t="n"/>
      <c r="W3966" s="10" t="n"/>
      <c r="X3966" s="10" t="n"/>
      <c r="Y3966" s="10" t="n"/>
      <c r="Z3966" s="10" t="n"/>
      <c r="AA3966" s="11">
        <f>IF(A3966="","",IF(AND(J3966="P4",F3966="causal"),"P4-CAUSAL",""))</f>
        <v/>
      </c>
    </row>
    <row r="3967" ht="15" customHeight="1" s="1">
      <c r="P3967">
        <f>IF(OR(F3967="",H3967="",J3967=""),"",J3967&amp;"|"&amp;F3967&amp;"|"&amp;IF(H3967="W3","W3_"&amp;IF(I3967="","unknown",I3967),H3967))</f>
        <v/>
      </c>
      <c r="Q3967">
        <f>IF(P3967="","",IFERROR(IF(AND(H3967="W7",OR(F3967="causal",F3967="predictive")),IF(AND(OR(K3967=1,K3967="1"),OR(L3967=1,L3967="1"),OR(M3967=1,M3967="1")),"adequate","partial"),IF(AND(H3967="W4",F3967="predictive",OR(J3967="P2",J3967="P3",J3967="P4")),IF(OR(U3967=1,U3967="1"),"adequate","partial"),INDEX(Fit_Matrix!$B:$B,MATCH(P3967,Fit_Matrix!$A:$A,0)))),"CHECK KEY"))</f>
        <v/>
      </c>
      <c r="U3967" s="10" t="n"/>
      <c r="V3967" s="10" t="n"/>
      <c r="W3967" s="10" t="n"/>
      <c r="X3967" s="10" t="n"/>
      <c r="Y3967" s="10" t="n"/>
      <c r="Z3967" s="10" t="n"/>
      <c r="AA3967" s="11">
        <f>IF(A3967="","",IF(AND(J3967="P4",F3967="causal"),"P4-CAUSAL",""))</f>
        <v/>
      </c>
    </row>
    <row r="3968" ht="15" customHeight="1" s="1">
      <c r="P3968">
        <f>IF(OR(F3968="",H3968="",J3968=""),"",J3968&amp;"|"&amp;F3968&amp;"|"&amp;IF(H3968="W3","W3_"&amp;IF(I3968="","unknown",I3968),H3968))</f>
        <v/>
      </c>
      <c r="Q3968">
        <f>IF(P3968="","",IFERROR(IF(AND(H3968="W7",OR(F3968="causal",F3968="predictive")),IF(AND(OR(K3968=1,K3968="1"),OR(L3968=1,L3968="1"),OR(M3968=1,M3968="1")),"adequate","partial"),IF(AND(H3968="W4",F3968="predictive",OR(J3968="P2",J3968="P3",J3968="P4")),IF(OR(U3968=1,U3968="1"),"adequate","partial"),INDEX(Fit_Matrix!$B:$B,MATCH(P3968,Fit_Matrix!$A:$A,0)))),"CHECK KEY"))</f>
        <v/>
      </c>
      <c r="U3968" s="10" t="n"/>
      <c r="V3968" s="10" t="n"/>
      <c r="W3968" s="10" t="n"/>
      <c r="X3968" s="10" t="n"/>
      <c r="Y3968" s="10" t="n"/>
      <c r="Z3968" s="10" t="n"/>
      <c r="AA3968" s="11">
        <f>IF(A3968="","",IF(AND(J3968="P4",F3968="causal"),"P4-CAUSAL",""))</f>
        <v/>
      </c>
    </row>
    <row r="3969" ht="15" customHeight="1" s="1">
      <c r="P3969">
        <f>IF(OR(F3969="",H3969="",J3969=""),"",J3969&amp;"|"&amp;F3969&amp;"|"&amp;IF(H3969="W3","W3_"&amp;IF(I3969="","unknown",I3969),H3969))</f>
        <v/>
      </c>
      <c r="Q3969">
        <f>IF(P3969="","",IFERROR(IF(AND(H3969="W7",OR(F3969="causal",F3969="predictive")),IF(AND(OR(K3969=1,K3969="1"),OR(L3969=1,L3969="1"),OR(M3969=1,M3969="1")),"adequate","partial"),IF(AND(H3969="W4",F3969="predictive",OR(J3969="P2",J3969="P3",J3969="P4")),IF(OR(U3969=1,U3969="1"),"adequate","partial"),INDEX(Fit_Matrix!$B:$B,MATCH(P3969,Fit_Matrix!$A:$A,0)))),"CHECK KEY"))</f>
        <v/>
      </c>
      <c r="U3969" s="10" t="n"/>
      <c r="V3969" s="10" t="n"/>
      <c r="W3969" s="10" t="n"/>
      <c r="X3969" s="10" t="n"/>
      <c r="Y3969" s="10" t="n"/>
      <c r="Z3969" s="10" t="n"/>
      <c r="AA3969" s="11">
        <f>IF(A3969="","",IF(AND(J3969="P4",F3969="causal"),"P4-CAUSAL",""))</f>
        <v/>
      </c>
    </row>
    <row r="3970" ht="15" customHeight="1" s="1">
      <c r="P3970">
        <f>IF(OR(F3970="",H3970="",J3970=""),"",J3970&amp;"|"&amp;F3970&amp;"|"&amp;IF(H3970="W3","W3_"&amp;IF(I3970="","unknown",I3970),H3970))</f>
        <v/>
      </c>
      <c r="Q3970">
        <f>IF(P3970="","",IFERROR(IF(AND(H3970="W7",OR(F3970="causal",F3970="predictive")),IF(AND(OR(K3970=1,K3970="1"),OR(L3970=1,L3970="1"),OR(M3970=1,M3970="1")),"adequate","partial"),IF(AND(H3970="W4",F3970="predictive",OR(J3970="P2",J3970="P3",J3970="P4")),IF(OR(U3970=1,U3970="1"),"adequate","partial"),INDEX(Fit_Matrix!$B:$B,MATCH(P3970,Fit_Matrix!$A:$A,0)))),"CHECK KEY"))</f>
        <v/>
      </c>
      <c r="U3970" s="10" t="n"/>
      <c r="V3970" s="10" t="n"/>
      <c r="W3970" s="10" t="n"/>
      <c r="X3970" s="10" t="n"/>
      <c r="Y3970" s="10" t="n"/>
      <c r="Z3970" s="10" t="n"/>
      <c r="AA3970" s="11">
        <f>IF(A3970="","",IF(AND(J3970="P4",F3970="causal"),"P4-CAUSAL",""))</f>
        <v/>
      </c>
    </row>
    <row r="3971" ht="15" customHeight="1" s="1">
      <c r="P3971">
        <f>IF(OR(F3971="",H3971="",J3971=""),"",J3971&amp;"|"&amp;F3971&amp;"|"&amp;IF(H3971="W3","W3_"&amp;IF(I3971="","unknown",I3971),H3971))</f>
        <v/>
      </c>
      <c r="Q3971">
        <f>IF(P3971="","",IFERROR(IF(AND(H3971="W7",OR(F3971="causal",F3971="predictive")),IF(AND(OR(K3971=1,K3971="1"),OR(L3971=1,L3971="1"),OR(M3971=1,M3971="1")),"adequate","partial"),IF(AND(H3971="W4",F3971="predictive",OR(J3971="P2",J3971="P3",J3971="P4")),IF(OR(U3971=1,U3971="1"),"adequate","partial"),INDEX(Fit_Matrix!$B:$B,MATCH(P3971,Fit_Matrix!$A:$A,0)))),"CHECK KEY"))</f>
        <v/>
      </c>
      <c r="U3971" s="10" t="n"/>
      <c r="V3971" s="10" t="n"/>
      <c r="W3971" s="10" t="n"/>
      <c r="X3971" s="10" t="n"/>
      <c r="Y3971" s="10" t="n"/>
      <c r="Z3971" s="10" t="n"/>
      <c r="AA3971" s="11">
        <f>IF(A3971="","",IF(AND(J3971="P4",F3971="causal"),"P4-CAUSAL",""))</f>
        <v/>
      </c>
    </row>
    <row r="3972" ht="15" customHeight="1" s="1">
      <c r="P3972">
        <f>IF(OR(F3972="",H3972="",J3972=""),"",J3972&amp;"|"&amp;F3972&amp;"|"&amp;IF(H3972="W3","W3_"&amp;IF(I3972="","unknown",I3972),H3972))</f>
        <v/>
      </c>
      <c r="Q3972">
        <f>IF(P3972="","",IFERROR(IF(AND(H3972="W7",OR(F3972="causal",F3972="predictive")),IF(AND(OR(K3972=1,K3972="1"),OR(L3972=1,L3972="1"),OR(M3972=1,M3972="1")),"adequate","partial"),IF(AND(H3972="W4",F3972="predictive",OR(J3972="P2",J3972="P3",J3972="P4")),IF(OR(U3972=1,U3972="1"),"adequate","partial"),INDEX(Fit_Matrix!$B:$B,MATCH(P3972,Fit_Matrix!$A:$A,0)))),"CHECK KEY"))</f>
        <v/>
      </c>
      <c r="U3972" s="10" t="n"/>
      <c r="V3972" s="10" t="n"/>
      <c r="W3972" s="10" t="n"/>
      <c r="X3972" s="10" t="n"/>
      <c r="Y3972" s="10" t="n"/>
      <c r="Z3972" s="10" t="n"/>
      <c r="AA3972" s="11">
        <f>IF(A3972="","",IF(AND(J3972="P4",F3972="causal"),"P4-CAUSAL",""))</f>
        <v/>
      </c>
    </row>
    <row r="3973" ht="15" customHeight="1" s="1">
      <c r="P3973">
        <f>IF(OR(F3973="",H3973="",J3973=""),"",J3973&amp;"|"&amp;F3973&amp;"|"&amp;IF(H3973="W3","W3_"&amp;IF(I3973="","unknown",I3973),H3973))</f>
        <v/>
      </c>
      <c r="Q3973">
        <f>IF(P3973="","",IFERROR(IF(AND(H3973="W7",OR(F3973="causal",F3973="predictive")),IF(AND(OR(K3973=1,K3973="1"),OR(L3973=1,L3973="1"),OR(M3973=1,M3973="1")),"adequate","partial"),IF(AND(H3973="W4",F3973="predictive",OR(J3973="P2",J3973="P3",J3973="P4")),IF(OR(U3973=1,U3973="1"),"adequate","partial"),INDEX(Fit_Matrix!$B:$B,MATCH(P3973,Fit_Matrix!$A:$A,0)))),"CHECK KEY"))</f>
        <v/>
      </c>
      <c r="U3973" s="10" t="n"/>
      <c r="V3973" s="10" t="n"/>
      <c r="W3973" s="10" t="n"/>
      <c r="X3973" s="10" t="n"/>
      <c r="Y3973" s="10" t="n"/>
      <c r="Z3973" s="10" t="n"/>
      <c r="AA3973" s="11">
        <f>IF(A3973="","",IF(AND(J3973="P4",F3973="causal"),"P4-CAUSAL",""))</f>
        <v/>
      </c>
    </row>
    <row r="3974" ht="15" customHeight="1" s="1">
      <c r="P3974">
        <f>IF(OR(F3974="",H3974="",J3974=""),"",J3974&amp;"|"&amp;F3974&amp;"|"&amp;IF(H3974="W3","W3_"&amp;IF(I3974="","unknown",I3974),H3974))</f>
        <v/>
      </c>
      <c r="Q3974">
        <f>IF(P3974="","",IFERROR(IF(AND(H3974="W7",OR(F3974="causal",F3974="predictive")),IF(AND(OR(K3974=1,K3974="1"),OR(L3974=1,L3974="1"),OR(M3974=1,M3974="1")),"adequate","partial"),IF(AND(H3974="W4",F3974="predictive",OR(J3974="P2",J3974="P3",J3974="P4")),IF(OR(U3974=1,U3974="1"),"adequate","partial"),INDEX(Fit_Matrix!$B:$B,MATCH(P3974,Fit_Matrix!$A:$A,0)))),"CHECK KEY"))</f>
        <v/>
      </c>
      <c r="U3974" s="10" t="n"/>
      <c r="V3974" s="10" t="n"/>
      <c r="W3974" s="10" t="n"/>
      <c r="X3974" s="10" t="n"/>
      <c r="Y3974" s="10" t="n"/>
      <c r="Z3974" s="10" t="n"/>
      <c r="AA3974" s="11">
        <f>IF(A3974="","",IF(AND(J3974="P4",F3974="causal"),"P4-CAUSAL",""))</f>
        <v/>
      </c>
    </row>
    <row r="3975" ht="15" customHeight="1" s="1">
      <c r="P3975">
        <f>IF(OR(F3975="",H3975="",J3975=""),"",J3975&amp;"|"&amp;F3975&amp;"|"&amp;IF(H3975="W3","W3_"&amp;IF(I3975="","unknown",I3975),H3975))</f>
        <v/>
      </c>
      <c r="Q3975">
        <f>IF(P3975="","",IFERROR(IF(AND(H3975="W7",OR(F3975="causal",F3975="predictive")),IF(AND(OR(K3975=1,K3975="1"),OR(L3975=1,L3975="1"),OR(M3975=1,M3975="1")),"adequate","partial"),IF(AND(H3975="W4",F3975="predictive",OR(J3975="P2",J3975="P3",J3975="P4")),IF(OR(U3975=1,U3975="1"),"adequate","partial"),INDEX(Fit_Matrix!$B:$B,MATCH(P3975,Fit_Matrix!$A:$A,0)))),"CHECK KEY"))</f>
        <v/>
      </c>
      <c r="U3975" s="10" t="n"/>
      <c r="V3975" s="10" t="n"/>
      <c r="W3975" s="10" t="n"/>
      <c r="X3975" s="10" t="n"/>
      <c r="Y3975" s="10" t="n"/>
      <c r="Z3975" s="10" t="n"/>
      <c r="AA3975" s="11">
        <f>IF(A3975="","",IF(AND(J3975="P4",F3975="causal"),"P4-CAUSAL",""))</f>
        <v/>
      </c>
    </row>
    <row r="3976" ht="15" customHeight="1" s="1">
      <c r="P3976">
        <f>IF(OR(F3976="",H3976="",J3976=""),"",J3976&amp;"|"&amp;F3976&amp;"|"&amp;IF(H3976="W3","W3_"&amp;IF(I3976="","unknown",I3976),H3976))</f>
        <v/>
      </c>
      <c r="Q3976">
        <f>IF(P3976="","",IFERROR(IF(AND(H3976="W7",OR(F3976="causal",F3976="predictive")),IF(AND(OR(K3976=1,K3976="1"),OR(L3976=1,L3976="1"),OR(M3976=1,M3976="1")),"adequate","partial"),IF(AND(H3976="W4",F3976="predictive",OR(J3976="P2",J3976="P3",J3976="P4")),IF(OR(U3976=1,U3976="1"),"adequate","partial"),INDEX(Fit_Matrix!$B:$B,MATCH(P3976,Fit_Matrix!$A:$A,0)))),"CHECK KEY"))</f>
        <v/>
      </c>
      <c r="U3976" s="10" t="n"/>
      <c r="V3976" s="10" t="n"/>
      <c r="W3976" s="10" t="n"/>
      <c r="X3976" s="10" t="n"/>
      <c r="Y3976" s="10" t="n"/>
      <c r="Z3976" s="10" t="n"/>
      <c r="AA3976" s="11">
        <f>IF(A3976="","",IF(AND(J3976="P4",F3976="causal"),"P4-CAUSAL",""))</f>
        <v/>
      </c>
    </row>
    <row r="3977" ht="15" customHeight="1" s="1">
      <c r="P3977">
        <f>IF(OR(F3977="",H3977="",J3977=""),"",J3977&amp;"|"&amp;F3977&amp;"|"&amp;IF(H3977="W3","W3_"&amp;IF(I3977="","unknown",I3977),H3977))</f>
        <v/>
      </c>
      <c r="Q3977">
        <f>IF(P3977="","",IFERROR(IF(AND(H3977="W7",OR(F3977="causal",F3977="predictive")),IF(AND(OR(K3977=1,K3977="1"),OR(L3977=1,L3977="1"),OR(M3977=1,M3977="1")),"adequate","partial"),IF(AND(H3977="W4",F3977="predictive",OR(J3977="P2",J3977="P3",J3977="P4")),IF(OR(U3977=1,U3977="1"),"adequate","partial"),INDEX(Fit_Matrix!$B:$B,MATCH(P3977,Fit_Matrix!$A:$A,0)))),"CHECK KEY"))</f>
        <v/>
      </c>
      <c r="U3977" s="10" t="n"/>
      <c r="V3977" s="10" t="n"/>
      <c r="W3977" s="10" t="n"/>
      <c r="X3977" s="10" t="n"/>
      <c r="Y3977" s="10" t="n"/>
      <c r="Z3977" s="10" t="n"/>
      <c r="AA3977" s="11">
        <f>IF(A3977="","",IF(AND(J3977="P4",F3977="causal"),"P4-CAUSAL",""))</f>
        <v/>
      </c>
    </row>
    <row r="3978" ht="15" customHeight="1" s="1">
      <c r="P3978">
        <f>IF(OR(F3978="",H3978="",J3978=""),"",J3978&amp;"|"&amp;F3978&amp;"|"&amp;IF(H3978="W3","W3_"&amp;IF(I3978="","unknown",I3978),H3978))</f>
        <v/>
      </c>
      <c r="Q3978">
        <f>IF(P3978="","",IFERROR(IF(AND(H3978="W7",OR(F3978="causal",F3978="predictive")),IF(AND(OR(K3978=1,K3978="1"),OR(L3978=1,L3978="1"),OR(M3978=1,M3978="1")),"adequate","partial"),IF(AND(H3978="W4",F3978="predictive",OR(J3978="P2",J3978="P3",J3978="P4")),IF(OR(U3978=1,U3978="1"),"adequate","partial"),INDEX(Fit_Matrix!$B:$B,MATCH(P3978,Fit_Matrix!$A:$A,0)))),"CHECK KEY"))</f>
        <v/>
      </c>
      <c r="U3978" s="10" t="n"/>
      <c r="V3978" s="10" t="n"/>
      <c r="W3978" s="10" t="n"/>
      <c r="X3978" s="10" t="n"/>
      <c r="Y3978" s="10" t="n"/>
      <c r="Z3978" s="10" t="n"/>
      <c r="AA3978" s="11">
        <f>IF(A3978="","",IF(AND(J3978="P4",F3978="causal"),"P4-CAUSAL",""))</f>
        <v/>
      </c>
    </row>
    <row r="3979" ht="15" customHeight="1" s="1">
      <c r="P3979">
        <f>IF(OR(F3979="",H3979="",J3979=""),"",J3979&amp;"|"&amp;F3979&amp;"|"&amp;IF(H3979="W3","W3_"&amp;IF(I3979="","unknown",I3979),H3979))</f>
        <v/>
      </c>
      <c r="Q3979">
        <f>IF(P3979="","",IFERROR(IF(AND(H3979="W7",OR(F3979="causal",F3979="predictive")),IF(AND(OR(K3979=1,K3979="1"),OR(L3979=1,L3979="1"),OR(M3979=1,M3979="1")),"adequate","partial"),IF(AND(H3979="W4",F3979="predictive",OR(J3979="P2",J3979="P3",J3979="P4")),IF(OR(U3979=1,U3979="1"),"adequate","partial"),INDEX(Fit_Matrix!$B:$B,MATCH(P3979,Fit_Matrix!$A:$A,0)))),"CHECK KEY"))</f>
        <v/>
      </c>
      <c r="U3979" s="10" t="n"/>
      <c r="V3979" s="10" t="n"/>
      <c r="W3979" s="10" t="n"/>
      <c r="X3979" s="10" t="n"/>
      <c r="Y3979" s="10" t="n"/>
      <c r="Z3979" s="10" t="n"/>
      <c r="AA3979" s="11">
        <f>IF(A3979="","",IF(AND(J3979="P4",F3979="causal"),"P4-CAUSAL",""))</f>
        <v/>
      </c>
    </row>
    <row r="3980" ht="15" customHeight="1" s="1">
      <c r="P3980">
        <f>IF(OR(F3980="",H3980="",J3980=""),"",J3980&amp;"|"&amp;F3980&amp;"|"&amp;IF(H3980="W3","W3_"&amp;IF(I3980="","unknown",I3980),H3980))</f>
        <v/>
      </c>
      <c r="Q3980">
        <f>IF(P3980="","",IFERROR(IF(AND(H3980="W7",OR(F3980="causal",F3980="predictive")),IF(AND(OR(K3980=1,K3980="1"),OR(L3980=1,L3980="1"),OR(M3980=1,M3980="1")),"adequate","partial"),IF(AND(H3980="W4",F3980="predictive",OR(J3980="P2",J3980="P3",J3980="P4")),IF(OR(U3980=1,U3980="1"),"adequate","partial"),INDEX(Fit_Matrix!$B:$B,MATCH(P3980,Fit_Matrix!$A:$A,0)))),"CHECK KEY"))</f>
        <v/>
      </c>
      <c r="U3980" s="10" t="n"/>
      <c r="V3980" s="10" t="n"/>
      <c r="W3980" s="10" t="n"/>
      <c r="X3980" s="10" t="n"/>
      <c r="Y3980" s="10" t="n"/>
      <c r="Z3980" s="10" t="n"/>
      <c r="AA3980" s="11">
        <f>IF(A3980="","",IF(AND(J3980="P4",F3980="causal"),"P4-CAUSAL",""))</f>
        <v/>
      </c>
    </row>
    <row r="3981" ht="15" customHeight="1" s="1">
      <c r="P3981">
        <f>IF(OR(F3981="",H3981="",J3981=""),"",J3981&amp;"|"&amp;F3981&amp;"|"&amp;IF(H3981="W3","W3_"&amp;IF(I3981="","unknown",I3981),H3981))</f>
        <v/>
      </c>
      <c r="Q3981">
        <f>IF(P3981="","",IFERROR(IF(AND(H3981="W7",OR(F3981="causal",F3981="predictive")),IF(AND(OR(K3981=1,K3981="1"),OR(L3981=1,L3981="1"),OR(M3981=1,M3981="1")),"adequate","partial"),IF(AND(H3981="W4",F3981="predictive",OR(J3981="P2",J3981="P3",J3981="P4")),IF(OR(U3981=1,U3981="1"),"adequate","partial"),INDEX(Fit_Matrix!$B:$B,MATCH(P3981,Fit_Matrix!$A:$A,0)))),"CHECK KEY"))</f>
        <v/>
      </c>
      <c r="U3981" s="10" t="n"/>
      <c r="V3981" s="10" t="n"/>
      <c r="W3981" s="10" t="n"/>
      <c r="X3981" s="10" t="n"/>
      <c r="Y3981" s="10" t="n"/>
      <c r="Z3981" s="10" t="n"/>
      <c r="AA3981" s="11">
        <f>IF(A3981="","",IF(AND(J3981="P4",F3981="causal"),"P4-CAUSAL",""))</f>
        <v/>
      </c>
    </row>
    <row r="3982" ht="15" customHeight="1" s="1">
      <c r="P3982">
        <f>IF(OR(F3982="",H3982="",J3982=""),"",J3982&amp;"|"&amp;F3982&amp;"|"&amp;IF(H3982="W3","W3_"&amp;IF(I3982="","unknown",I3982),H3982))</f>
        <v/>
      </c>
      <c r="Q3982">
        <f>IF(P3982="","",IFERROR(IF(AND(H3982="W7",OR(F3982="causal",F3982="predictive")),IF(AND(OR(K3982=1,K3982="1"),OR(L3982=1,L3982="1"),OR(M3982=1,M3982="1")),"adequate","partial"),IF(AND(H3982="W4",F3982="predictive",OR(J3982="P2",J3982="P3",J3982="P4")),IF(OR(U3982=1,U3982="1"),"adequate","partial"),INDEX(Fit_Matrix!$B:$B,MATCH(P3982,Fit_Matrix!$A:$A,0)))),"CHECK KEY"))</f>
        <v/>
      </c>
      <c r="U3982" s="10" t="n"/>
      <c r="V3982" s="10" t="n"/>
      <c r="W3982" s="10" t="n"/>
      <c r="X3982" s="10" t="n"/>
      <c r="Y3982" s="10" t="n"/>
      <c r="Z3982" s="10" t="n"/>
      <c r="AA3982" s="11">
        <f>IF(A3982="","",IF(AND(J3982="P4",F3982="causal"),"P4-CAUSAL",""))</f>
        <v/>
      </c>
    </row>
    <row r="3983" ht="15" customHeight="1" s="1">
      <c r="P3983">
        <f>IF(OR(F3983="",H3983="",J3983=""),"",J3983&amp;"|"&amp;F3983&amp;"|"&amp;IF(H3983="W3","W3_"&amp;IF(I3983="","unknown",I3983),H3983))</f>
        <v/>
      </c>
      <c r="Q3983">
        <f>IF(P3983="","",IFERROR(IF(AND(H3983="W7",OR(F3983="causal",F3983="predictive")),IF(AND(OR(K3983=1,K3983="1"),OR(L3983=1,L3983="1"),OR(M3983=1,M3983="1")),"adequate","partial"),IF(AND(H3983="W4",F3983="predictive",OR(J3983="P2",J3983="P3",J3983="P4")),IF(OR(U3983=1,U3983="1"),"adequate","partial"),INDEX(Fit_Matrix!$B:$B,MATCH(P3983,Fit_Matrix!$A:$A,0)))),"CHECK KEY"))</f>
        <v/>
      </c>
      <c r="U3983" s="10" t="n"/>
      <c r="V3983" s="10" t="n"/>
      <c r="W3983" s="10" t="n"/>
      <c r="X3983" s="10" t="n"/>
      <c r="Y3983" s="10" t="n"/>
      <c r="Z3983" s="10" t="n"/>
      <c r="AA3983" s="11">
        <f>IF(A3983="","",IF(AND(J3983="P4",F3983="causal"),"P4-CAUSAL",""))</f>
        <v/>
      </c>
    </row>
    <row r="3984" ht="15" customHeight="1" s="1">
      <c r="P3984">
        <f>IF(OR(F3984="",H3984="",J3984=""),"",J3984&amp;"|"&amp;F3984&amp;"|"&amp;IF(H3984="W3","W3_"&amp;IF(I3984="","unknown",I3984),H3984))</f>
        <v/>
      </c>
      <c r="Q3984">
        <f>IF(P3984="","",IFERROR(IF(AND(H3984="W7",OR(F3984="causal",F3984="predictive")),IF(AND(OR(K3984=1,K3984="1"),OR(L3984=1,L3984="1"),OR(M3984=1,M3984="1")),"adequate","partial"),IF(AND(H3984="W4",F3984="predictive",OR(J3984="P2",J3984="P3",J3984="P4")),IF(OR(U3984=1,U3984="1"),"adequate","partial"),INDEX(Fit_Matrix!$B:$B,MATCH(P3984,Fit_Matrix!$A:$A,0)))),"CHECK KEY"))</f>
        <v/>
      </c>
      <c r="U3984" s="10" t="n"/>
      <c r="V3984" s="10" t="n"/>
      <c r="W3984" s="10" t="n"/>
      <c r="X3984" s="10" t="n"/>
      <c r="Y3984" s="10" t="n"/>
      <c r="Z3984" s="10" t="n"/>
      <c r="AA3984" s="11">
        <f>IF(A3984="","",IF(AND(J3984="P4",F3984="causal"),"P4-CAUSAL",""))</f>
        <v/>
      </c>
    </row>
    <row r="3985" ht="15" customHeight="1" s="1">
      <c r="P3985">
        <f>IF(OR(F3985="",H3985="",J3985=""),"",J3985&amp;"|"&amp;F3985&amp;"|"&amp;IF(H3985="W3","W3_"&amp;IF(I3985="","unknown",I3985),H3985))</f>
        <v/>
      </c>
      <c r="Q3985">
        <f>IF(P3985="","",IFERROR(IF(AND(H3985="W7",OR(F3985="causal",F3985="predictive")),IF(AND(OR(K3985=1,K3985="1"),OR(L3985=1,L3985="1"),OR(M3985=1,M3985="1")),"adequate","partial"),IF(AND(H3985="W4",F3985="predictive",OR(J3985="P2",J3985="P3",J3985="P4")),IF(OR(U3985=1,U3985="1"),"adequate","partial"),INDEX(Fit_Matrix!$B:$B,MATCH(P3985,Fit_Matrix!$A:$A,0)))),"CHECK KEY"))</f>
        <v/>
      </c>
      <c r="U3985" s="10" t="n"/>
      <c r="V3985" s="10" t="n"/>
      <c r="W3985" s="10" t="n"/>
      <c r="X3985" s="10" t="n"/>
      <c r="Y3985" s="10" t="n"/>
      <c r="Z3985" s="10" t="n"/>
      <c r="AA3985" s="11">
        <f>IF(A3985="","",IF(AND(J3985="P4",F3985="causal"),"P4-CAUSAL",""))</f>
        <v/>
      </c>
    </row>
    <row r="3986" ht="15" customHeight="1" s="1">
      <c r="P3986">
        <f>IF(OR(F3986="",H3986="",J3986=""),"",J3986&amp;"|"&amp;F3986&amp;"|"&amp;IF(H3986="W3","W3_"&amp;IF(I3986="","unknown",I3986),H3986))</f>
        <v/>
      </c>
      <c r="Q3986">
        <f>IF(P3986="","",IFERROR(IF(AND(H3986="W7",OR(F3986="causal",F3986="predictive")),IF(AND(OR(K3986=1,K3986="1"),OR(L3986=1,L3986="1"),OR(M3986=1,M3986="1")),"adequate","partial"),IF(AND(H3986="W4",F3986="predictive",OR(J3986="P2",J3986="P3",J3986="P4")),IF(OR(U3986=1,U3986="1"),"adequate","partial"),INDEX(Fit_Matrix!$B:$B,MATCH(P3986,Fit_Matrix!$A:$A,0)))),"CHECK KEY"))</f>
        <v/>
      </c>
      <c r="U3986" s="10" t="n"/>
      <c r="V3986" s="10" t="n"/>
      <c r="W3986" s="10" t="n"/>
      <c r="X3986" s="10" t="n"/>
      <c r="Y3986" s="10" t="n"/>
      <c r="Z3986" s="10" t="n"/>
      <c r="AA3986" s="11">
        <f>IF(A3986="","",IF(AND(J3986="P4",F3986="causal"),"P4-CAUSAL",""))</f>
        <v/>
      </c>
    </row>
    <row r="3987" ht="15" customHeight="1" s="1">
      <c r="P3987">
        <f>IF(OR(F3987="",H3987="",J3987=""),"",J3987&amp;"|"&amp;F3987&amp;"|"&amp;IF(H3987="W3","W3_"&amp;IF(I3987="","unknown",I3987),H3987))</f>
        <v/>
      </c>
      <c r="Q3987">
        <f>IF(P3987="","",IFERROR(IF(AND(H3987="W7",OR(F3987="causal",F3987="predictive")),IF(AND(OR(K3987=1,K3987="1"),OR(L3987=1,L3987="1"),OR(M3987=1,M3987="1")),"adequate","partial"),IF(AND(H3987="W4",F3987="predictive",OR(J3987="P2",J3987="P3",J3987="P4")),IF(OR(U3987=1,U3987="1"),"adequate","partial"),INDEX(Fit_Matrix!$B:$B,MATCH(P3987,Fit_Matrix!$A:$A,0)))),"CHECK KEY"))</f>
        <v/>
      </c>
      <c r="U3987" s="10" t="n"/>
      <c r="V3987" s="10" t="n"/>
      <c r="W3987" s="10" t="n"/>
      <c r="X3987" s="10" t="n"/>
      <c r="Y3987" s="10" t="n"/>
      <c r="Z3987" s="10" t="n"/>
      <c r="AA3987" s="11">
        <f>IF(A3987="","",IF(AND(J3987="P4",F3987="causal"),"P4-CAUSAL",""))</f>
        <v/>
      </c>
    </row>
    <row r="3988" ht="15" customHeight="1" s="1">
      <c r="P3988">
        <f>IF(OR(F3988="",H3988="",J3988=""),"",J3988&amp;"|"&amp;F3988&amp;"|"&amp;IF(H3988="W3","W3_"&amp;IF(I3988="","unknown",I3988),H3988))</f>
        <v/>
      </c>
      <c r="Q3988">
        <f>IF(P3988="","",IFERROR(IF(AND(H3988="W7",OR(F3988="causal",F3988="predictive")),IF(AND(OR(K3988=1,K3988="1"),OR(L3988=1,L3988="1"),OR(M3988=1,M3988="1")),"adequate","partial"),IF(AND(H3988="W4",F3988="predictive",OR(J3988="P2",J3988="P3",J3988="P4")),IF(OR(U3988=1,U3988="1"),"adequate","partial"),INDEX(Fit_Matrix!$B:$B,MATCH(P3988,Fit_Matrix!$A:$A,0)))),"CHECK KEY"))</f>
        <v/>
      </c>
      <c r="U3988" s="10" t="n"/>
      <c r="V3988" s="10" t="n"/>
      <c r="W3988" s="10" t="n"/>
      <c r="X3988" s="10" t="n"/>
      <c r="Y3988" s="10" t="n"/>
      <c r="Z3988" s="10" t="n"/>
      <c r="AA3988" s="11">
        <f>IF(A3988="","",IF(AND(J3988="P4",F3988="causal"),"P4-CAUSAL",""))</f>
        <v/>
      </c>
    </row>
    <row r="3989" ht="15" customHeight="1" s="1">
      <c r="P3989">
        <f>IF(OR(F3989="",H3989="",J3989=""),"",J3989&amp;"|"&amp;F3989&amp;"|"&amp;IF(H3989="W3","W3_"&amp;IF(I3989="","unknown",I3989),H3989))</f>
        <v/>
      </c>
      <c r="Q3989">
        <f>IF(P3989="","",IFERROR(IF(AND(H3989="W7",OR(F3989="causal",F3989="predictive")),IF(AND(OR(K3989=1,K3989="1"),OR(L3989=1,L3989="1"),OR(M3989=1,M3989="1")),"adequate","partial"),IF(AND(H3989="W4",F3989="predictive",OR(J3989="P2",J3989="P3",J3989="P4")),IF(OR(U3989=1,U3989="1"),"adequate","partial"),INDEX(Fit_Matrix!$B:$B,MATCH(P3989,Fit_Matrix!$A:$A,0)))),"CHECK KEY"))</f>
        <v/>
      </c>
      <c r="U3989" s="10" t="n"/>
      <c r="V3989" s="10" t="n"/>
      <c r="W3989" s="10" t="n"/>
      <c r="X3989" s="10" t="n"/>
      <c r="Y3989" s="10" t="n"/>
      <c r="Z3989" s="10" t="n"/>
      <c r="AA3989" s="11">
        <f>IF(A3989="","",IF(AND(J3989="P4",F3989="causal"),"P4-CAUSAL",""))</f>
        <v/>
      </c>
    </row>
    <row r="3990" ht="15" customHeight="1" s="1">
      <c r="P3990">
        <f>IF(OR(F3990="",H3990="",J3990=""),"",J3990&amp;"|"&amp;F3990&amp;"|"&amp;IF(H3990="W3","W3_"&amp;IF(I3990="","unknown",I3990),H3990))</f>
        <v/>
      </c>
      <c r="Q3990">
        <f>IF(P3990="","",IFERROR(IF(AND(H3990="W7",OR(F3990="causal",F3990="predictive")),IF(AND(OR(K3990=1,K3990="1"),OR(L3990=1,L3990="1"),OR(M3990=1,M3990="1")),"adequate","partial"),IF(AND(H3990="W4",F3990="predictive",OR(J3990="P2",J3990="P3",J3990="P4")),IF(OR(U3990=1,U3990="1"),"adequate","partial"),INDEX(Fit_Matrix!$B:$B,MATCH(P3990,Fit_Matrix!$A:$A,0)))),"CHECK KEY"))</f>
        <v/>
      </c>
      <c r="U3990" s="10" t="n"/>
      <c r="V3990" s="10" t="n"/>
      <c r="W3990" s="10" t="n"/>
      <c r="X3990" s="10" t="n"/>
      <c r="Y3990" s="10" t="n"/>
      <c r="Z3990" s="10" t="n"/>
      <c r="AA3990" s="11">
        <f>IF(A3990="","",IF(AND(J3990="P4",F3990="causal"),"P4-CAUSAL",""))</f>
        <v/>
      </c>
    </row>
    <row r="3991" ht="15" customHeight="1" s="1">
      <c r="P3991">
        <f>IF(OR(F3991="",H3991="",J3991=""),"",J3991&amp;"|"&amp;F3991&amp;"|"&amp;IF(H3991="W3","W3_"&amp;IF(I3991="","unknown",I3991),H3991))</f>
        <v/>
      </c>
      <c r="Q3991">
        <f>IF(P3991="","",IFERROR(IF(AND(H3991="W7",OR(F3991="causal",F3991="predictive")),IF(AND(OR(K3991=1,K3991="1"),OR(L3991=1,L3991="1"),OR(M3991=1,M3991="1")),"adequate","partial"),IF(AND(H3991="W4",F3991="predictive",OR(J3991="P2",J3991="P3",J3991="P4")),IF(OR(U3991=1,U3991="1"),"adequate","partial"),INDEX(Fit_Matrix!$B:$B,MATCH(P3991,Fit_Matrix!$A:$A,0)))),"CHECK KEY"))</f>
        <v/>
      </c>
      <c r="U3991" s="10" t="n"/>
      <c r="V3991" s="10" t="n"/>
      <c r="W3991" s="10" t="n"/>
      <c r="X3991" s="10" t="n"/>
      <c r="Y3991" s="10" t="n"/>
      <c r="Z3991" s="10" t="n"/>
      <c r="AA3991" s="11">
        <f>IF(A3991="","",IF(AND(J3991="P4",F3991="causal"),"P4-CAUSAL",""))</f>
        <v/>
      </c>
    </row>
    <row r="3992" ht="15" customHeight="1" s="1">
      <c r="P3992">
        <f>IF(OR(F3992="",H3992="",J3992=""),"",J3992&amp;"|"&amp;F3992&amp;"|"&amp;IF(H3992="W3","W3_"&amp;IF(I3992="","unknown",I3992),H3992))</f>
        <v/>
      </c>
      <c r="Q3992">
        <f>IF(P3992="","",IFERROR(IF(AND(H3992="W7",OR(F3992="causal",F3992="predictive")),IF(AND(OR(K3992=1,K3992="1"),OR(L3992=1,L3992="1"),OR(M3992=1,M3992="1")),"adequate","partial"),IF(AND(H3992="W4",F3992="predictive",OR(J3992="P2",J3992="P3",J3992="P4")),IF(OR(U3992=1,U3992="1"),"adequate","partial"),INDEX(Fit_Matrix!$B:$B,MATCH(P3992,Fit_Matrix!$A:$A,0)))),"CHECK KEY"))</f>
        <v/>
      </c>
      <c r="U3992" s="10" t="n"/>
      <c r="V3992" s="10" t="n"/>
      <c r="W3992" s="10" t="n"/>
      <c r="X3992" s="10" t="n"/>
      <c r="Y3992" s="10" t="n"/>
      <c r="Z3992" s="10" t="n"/>
      <c r="AA3992" s="11">
        <f>IF(A3992="","",IF(AND(J3992="P4",F3992="causal"),"P4-CAUSAL",""))</f>
        <v/>
      </c>
    </row>
    <row r="3993" ht="15" customHeight="1" s="1">
      <c r="P3993">
        <f>IF(OR(F3993="",H3993="",J3993=""),"",J3993&amp;"|"&amp;F3993&amp;"|"&amp;IF(H3993="W3","W3_"&amp;IF(I3993="","unknown",I3993),H3993))</f>
        <v/>
      </c>
      <c r="Q3993">
        <f>IF(P3993="","",IFERROR(IF(AND(H3993="W7",OR(F3993="causal",F3993="predictive")),IF(AND(OR(K3993=1,K3993="1"),OR(L3993=1,L3993="1"),OR(M3993=1,M3993="1")),"adequate","partial"),IF(AND(H3993="W4",F3993="predictive",OR(J3993="P2",J3993="P3",J3993="P4")),IF(OR(U3993=1,U3993="1"),"adequate","partial"),INDEX(Fit_Matrix!$B:$B,MATCH(P3993,Fit_Matrix!$A:$A,0)))),"CHECK KEY"))</f>
        <v/>
      </c>
      <c r="U3993" s="10" t="n"/>
      <c r="V3993" s="10" t="n"/>
      <c r="W3993" s="10" t="n"/>
      <c r="X3993" s="10" t="n"/>
      <c r="Y3993" s="10" t="n"/>
      <c r="Z3993" s="10" t="n"/>
      <c r="AA3993" s="11">
        <f>IF(A3993="","",IF(AND(J3993="P4",F3993="causal"),"P4-CAUSAL",""))</f>
        <v/>
      </c>
    </row>
    <row r="3994" ht="15" customHeight="1" s="1">
      <c r="P3994">
        <f>IF(OR(F3994="",H3994="",J3994=""),"",J3994&amp;"|"&amp;F3994&amp;"|"&amp;IF(H3994="W3","W3_"&amp;IF(I3994="","unknown",I3994),H3994))</f>
        <v/>
      </c>
      <c r="Q3994">
        <f>IF(P3994="","",IFERROR(IF(AND(H3994="W7",OR(F3994="causal",F3994="predictive")),IF(AND(OR(K3994=1,K3994="1"),OR(L3994=1,L3994="1"),OR(M3994=1,M3994="1")),"adequate","partial"),IF(AND(H3994="W4",F3994="predictive",OR(J3994="P2",J3994="P3",J3994="P4")),IF(OR(U3994=1,U3994="1"),"adequate","partial"),INDEX(Fit_Matrix!$B:$B,MATCH(P3994,Fit_Matrix!$A:$A,0)))),"CHECK KEY"))</f>
        <v/>
      </c>
      <c r="U3994" s="10" t="n"/>
      <c r="V3994" s="10" t="n"/>
      <c r="W3994" s="10" t="n"/>
      <c r="X3994" s="10" t="n"/>
      <c r="Y3994" s="10" t="n"/>
      <c r="Z3994" s="10" t="n"/>
      <c r="AA3994" s="11">
        <f>IF(A3994="","",IF(AND(J3994="P4",F3994="causal"),"P4-CAUSAL",""))</f>
        <v/>
      </c>
    </row>
    <row r="3995" ht="15" customHeight="1" s="1">
      <c r="P3995">
        <f>IF(OR(F3995="",H3995="",J3995=""),"",J3995&amp;"|"&amp;F3995&amp;"|"&amp;IF(H3995="W3","W3_"&amp;IF(I3995="","unknown",I3995),H3995))</f>
        <v/>
      </c>
      <c r="Q3995">
        <f>IF(P3995="","",IFERROR(IF(AND(H3995="W7",OR(F3995="causal",F3995="predictive")),IF(AND(OR(K3995=1,K3995="1"),OR(L3995=1,L3995="1"),OR(M3995=1,M3995="1")),"adequate","partial"),IF(AND(H3995="W4",F3995="predictive",OR(J3995="P2",J3995="P3",J3995="P4")),IF(OR(U3995=1,U3995="1"),"adequate","partial"),INDEX(Fit_Matrix!$B:$B,MATCH(P3995,Fit_Matrix!$A:$A,0)))),"CHECK KEY"))</f>
        <v/>
      </c>
      <c r="U3995" s="10" t="n"/>
      <c r="V3995" s="10" t="n"/>
      <c r="W3995" s="10" t="n"/>
      <c r="X3995" s="10" t="n"/>
      <c r="Y3995" s="10" t="n"/>
      <c r="Z3995" s="10" t="n"/>
      <c r="AA3995" s="11">
        <f>IF(A3995="","",IF(AND(J3995="P4",F3995="causal"),"P4-CAUSAL",""))</f>
        <v/>
      </c>
    </row>
    <row r="3996" ht="15" customHeight="1" s="1">
      <c r="P3996">
        <f>IF(OR(F3996="",H3996="",J3996=""),"",J3996&amp;"|"&amp;F3996&amp;"|"&amp;IF(H3996="W3","W3_"&amp;IF(I3996="","unknown",I3996),H3996))</f>
        <v/>
      </c>
      <c r="Q3996">
        <f>IF(P3996="","",IFERROR(IF(AND(H3996="W7",OR(F3996="causal",F3996="predictive")),IF(AND(OR(K3996=1,K3996="1"),OR(L3996=1,L3996="1"),OR(M3996=1,M3996="1")),"adequate","partial"),IF(AND(H3996="W4",F3996="predictive",OR(J3996="P2",J3996="P3",J3996="P4")),IF(OR(U3996=1,U3996="1"),"adequate","partial"),INDEX(Fit_Matrix!$B:$B,MATCH(P3996,Fit_Matrix!$A:$A,0)))),"CHECK KEY"))</f>
        <v/>
      </c>
      <c r="U3996" s="10" t="n"/>
      <c r="V3996" s="10" t="n"/>
      <c r="W3996" s="10" t="n"/>
      <c r="X3996" s="10" t="n"/>
      <c r="Y3996" s="10" t="n"/>
      <c r="Z3996" s="10" t="n"/>
      <c r="AA3996" s="11">
        <f>IF(A3996="","",IF(AND(J3996="P4",F3996="causal"),"P4-CAUSAL",""))</f>
        <v/>
      </c>
    </row>
    <row r="3997" ht="15" customHeight="1" s="1">
      <c r="P3997">
        <f>IF(OR(F3997="",H3997="",J3997=""),"",J3997&amp;"|"&amp;F3997&amp;"|"&amp;IF(H3997="W3","W3_"&amp;IF(I3997="","unknown",I3997),H3997))</f>
        <v/>
      </c>
      <c r="Q3997">
        <f>IF(P3997="","",IFERROR(IF(AND(H3997="W7",OR(F3997="causal",F3997="predictive")),IF(AND(OR(K3997=1,K3997="1"),OR(L3997=1,L3997="1"),OR(M3997=1,M3997="1")),"adequate","partial"),IF(AND(H3997="W4",F3997="predictive",OR(J3997="P2",J3997="P3",J3997="P4")),IF(OR(U3997=1,U3997="1"),"adequate","partial"),INDEX(Fit_Matrix!$B:$B,MATCH(P3997,Fit_Matrix!$A:$A,0)))),"CHECK KEY"))</f>
        <v/>
      </c>
      <c r="U3997" s="10" t="n"/>
      <c r="V3997" s="10" t="n"/>
      <c r="W3997" s="10" t="n"/>
      <c r="X3997" s="10" t="n"/>
      <c r="Y3997" s="10" t="n"/>
      <c r="Z3997" s="10" t="n"/>
      <c r="AA3997" s="11">
        <f>IF(A3997="","",IF(AND(J3997="P4",F3997="causal"),"P4-CAUSAL",""))</f>
        <v/>
      </c>
    </row>
    <row r="3998" ht="15" customHeight="1" s="1">
      <c r="P3998">
        <f>IF(OR(F3998="",H3998="",J3998=""),"",J3998&amp;"|"&amp;F3998&amp;"|"&amp;IF(H3998="W3","W3_"&amp;IF(I3998="","unknown",I3998),H3998))</f>
        <v/>
      </c>
      <c r="Q3998">
        <f>IF(P3998="","",IFERROR(IF(AND(H3998="W7",OR(F3998="causal",F3998="predictive")),IF(AND(OR(K3998=1,K3998="1"),OR(L3998=1,L3998="1"),OR(M3998=1,M3998="1")),"adequate","partial"),IF(AND(H3998="W4",F3998="predictive",OR(J3998="P2",J3998="P3",J3998="P4")),IF(OR(U3998=1,U3998="1"),"adequate","partial"),INDEX(Fit_Matrix!$B:$B,MATCH(P3998,Fit_Matrix!$A:$A,0)))),"CHECK KEY"))</f>
        <v/>
      </c>
      <c r="U3998" s="10" t="n"/>
      <c r="V3998" s="10" t="n"/>
      <c r="W3998" s="10" t="n"/>
      <c r="X3998" s="10" t="n"/>
      <c r="Y3998" s="10" t="n"/>
      <c r="Z3998" s="10" t="n"/>
      <c r="AA3998" s="11">
        <f>IF(A3998="","",IF(AND(J3998="P4",F3998="causal"),"P4-CAUSAL",""))</f>
        <v/>
      </c>
    </row>
    <row r="3999" ht="15" customHeight="1" s="1">
      <c r="P3999">
        <f>IF(OR(F3999="",H3999="",J3999=""),"",J3999&amp;"|"&amp;F3999&amp;"|"&amp;IF(H3999="W3","W3_"&amp;IF(I3999="","unknown",I3999),H3999))</f>
        <v/>
      </c>
      <c r="Q3999">
        <f>IF(P3999="","",IFERROR(IF(AND(H3999="W7",OR(F3999="causal",F3999="predictive")),IF(AND(OR(K3999=1,K3999="1"),OR(L3999=1,L3999="1"),OR(M3999=1,M3999="1")),"adequate","partial"),IF(AND(H3999="W4",F3999="predictive",OR(J3999="P2",J3999="P3",J3999="P4")),IF(OR(U3999=1,U3999="1"),"adequate","partial"),INDEX(Fit_Matrix!$B:$B,MATCH(P3999,Fit_Matrix!$A:$A,0)))),"CHECK KEY"))</f>
        <v/>
      </c>
      <c r="U3999" s="10" t="n"/>
      <c r="V3999" s="10" t="n"/>
      <c r="W3999" s="10" t="n"/>
      <c r="X3999" s="10" t="n"/>
      <c r="Y3999" s="10" t="n"/>
      <c r="Z3999" s="10" t="n"/>
      <c r="AA3999" s="11">
        <f>IF(A3999="","",IF(AND(J3999="P4",F3999="causal"),"P4-CAUSAL",""))</f>
        <v/>
      </c>
    </row>
    <row r="4000" ht="15" customHeight="1" s="1">
      <c r="P4000">
        <f>IF(OR(F4000="",H4000="",J4000=""),"",J4000&amp;"|"&amp;F4000&amp;"|"&amp;IF(H4000="W3","W3_"&amp;IF(I4000="","unknown",I4000),H4000))</f>
        <v/>
      </c>
      <c r="Q4000">
        <f>IF(P4000="","",IFERROR(IF(AND(H4000="W7",OR(F4000="causal",F4000="predictive")),IF(AND(OR(K4000=1,K4000="1"),OR(L4000=1,L4000="1"),OR(M4000=1,M4000="1")),"adequate","partial"),IF(AND(H4000="W4",F4000="predictive",OR(J4000="P2",J4000="P3",J4000="P4")),IF(OR(U4000=1,U4000="1"),"adequate","partial"),INDEX(Fit_Matrix!$B:$B,MATCH(P4000,Fit_Matrix!$A:$A,0)))),"CHECK KEY"))</f>
        <v/>
      </c>
      <c r="U4000" s="10" t="n"/>
      <c r="V4000" s="10" t="n"/>
      <c r="W4000" s="10" t="n"/>
      <c r="X4000" s="10" t="n"/>
      <c r="Y4000" s="10" t="n"/>
      <c r="Z4000" s="10" t="n"/>
      <c r="AA4000" s="11">
        <f>IF(A4000="","",IF(AND(J4000="P4",F4000="causal"),"P4-CAUSAL",""))</f>
        <v/>
      </c>
    </row>
    <row r="4001" ht="15" customHeight="1" s="1">
      <c r="P4001">
        <f>IF(OR(F4001="",H4001="",J4001=""),"",J4001&amp;"|"&amp;F4001&amp;"|"&amp;IF(H4001="W3","W3_"&amp;IF(I4001="","unknown",I4001),H4001))</f>
        <v/>
      </c>
      <c r="Q4001">
        <f>IF(P4001="","",IFERROR(IF(AND(H4001="W7",OR(F4001="causal",F4001="predictive")),IF(AND(OR(K4001=1,K4001="1"),OR(L4001=1,L4001="1"),OR(M4001=1,M4001="1")),"adequate","partial"),IF(AND(H4001="W4",F4001="predictive",OR(J4001="P2",J4001="P3",J4001="P4")),IF(OR(U4001=1,U4001="1"),"adequate","partial"),INDEX(Fit_Matrix!$B:$B,MATCH(P4001,Fit_Matrix!$A:$A,0)))),"CHECK KEY"))</f>
        <v/>
      </c>
      <c r="U4001" s="10" t="n"/>
      <c r="V4001" s="10" t="n"/>
      <c r="W4001" s="10" t="n"/>
      <c r="X4001" s="10" t="n"/>
      <c r="Y4001" s="10" t="n"/>
      <c r="Z4001" s="10" t="n"/>
      <c r="AA4001" s="11">
        <f>IF(A4001="","",IF(AND(J4001="P4",F4001="causal"),"P4-CAUSAL",""))</f>
        <v/>
      </c>
    </row>
    <row r="4002" ht="15" customHeight="1" s="1">
      <c r="P4002">
        <f>IF(OR(F4002="",H4002="",J4002=""),"",J4002&amp;"|"&amp;F4002&amp;"|"&amp;IF(H4002="W3","W3_"&amp;IF(I4002="","unknown",I4002),H4002))</f>
        <v/>
      </c>
      <c r="Q4002">
        <f>IF(P4002="","",IFERROR(IF(AND(H4002="W7",OR(F4002="causal",F4002="predictive")),IF(AND(OR(K4002=1,K4002="1"),OR(L4002=1,L4002="1"),OR(M4002=1,M4002="1")),"adequate","partial"),IF(AND(H4002="W4",F4002="predictive",OR(J4002="P2",J4002="P3",J4002="P4")),IF(OR(U4002=1,U4002="1"),"adequate","partial"),INDEX(Fit_Matrix!$B:$B,MATCH(P4002,Fit_Matrix!$A:$A,0)))),"CHECK KEY"))</f>
        <v/>
      </c>
      <c r="U4002" s="10" t="n"/>
      <c r="V4002" s="10" t="n"/>
      <c r="W4002" s="10" t="n"/>
      <c r="X4002" s="10" t="n"/>
      <c r="Y4002" s="10" t="n"/>
      <c r="Z4002" s="10" t="n"/>
      <c r="AA4002" s="11">
        <f>IF(A4002="","",IF(AND(J4002="P4",F4002="causal"),"P4-CAUSAL",""))</f>
        <v/>
      </c>
    </row>
    <row r="4003" ht="15" customHeight="1" s="1">
      <c r="P4003">
        <f>IF(OR(F4003="",H4003="",J4003=""),"",J4003&amp;"|"&amp;F4003&amp;"|"&amp;IF(H4003="W3","W3_"&amp;IF(I4003="","unknown",I4003),H4003))</f>
        <v/>
      </c>
      <c r="Q4003">
        <f>IF(P4003="","",IFERROR(IF(AND(H4003="W7",OR(F4003="causal",F4003="predictive")),IF(AND(OR(K4003=1,K4003="1"),OR(L4003=1,L4003="1"),OR(M4003=1,M4003="1")),"adequate","partial"),IF(AND(H4003="W4",F4003="predictive",OR(J4003="P2",J4003="P3",J4003="P4")),IF(OR(U4003=1,U4003="1"),"adequate","partial"),INDEX(Fit_Matrix!$B:$B,MATCH(P4003,Fit_Matrix!$A:$A,0)))),"CHECK KEY"))</f>
        <v/>
      </c>
      <c r="U4003" s="10" t="n"/>
      <c r="V4003" s="10" t="n"/>
      <c r="W4003" s="10" t="n"/>
      <c r="X4003" s="10" t="n"/>
      <c r="Y4003" s="10" t="n"/>
      <c r="Z4003" s="10" t="n"/>
      <c r="AA4003" s="11">
        <f>IF(A4003="","",IF(AND(J4003="P4",F4003="causal"),"P4-CAUSAL",""))</f>
        <v/>
      </c>
    </row>
    <row r="4004" ht="15" customHeight="1" s="1">
      <c r="P4004">
        <f>IF(OR(F4004="",H4004="",J4004=""),"",J4004&amp;"|"&amp;F4004&amp;"|"&amp;IF(H4004="W3","W3_"&amp;IF(I4004="","unknown",I4004),H4004))</f>
        <v/>
      </c>
      <c r="Q4004">
        <f>IF(P4004="","",IFERROR(IF(AND(H4004="W7",OR(F4004="causal",F4004="predictive")),IF(AND(OR(K4004=1,K4004="1"),OR(L4004=1,L4004="1"),OR(M4004=1,M4004="1")),"adequate","partial"),IF(AND(H4004="W4",F4004="predictive",OR(J4004="P2",J4004="P3",J4004="P4")),IF(OR(U4004=1,U4004="1"),"adequate","partial"),INDEX(Fit_Matrix!$B:$B,MATCH(P4004,Fit_Matrix!$A:$A,0)))),"CHECK KEY"))</f>
        <v/>
      </c>
      <c r="U4004" s="10" t="n"/>
      <c r="V4004" s="10" t="n"/>
      <c r="W4004" s="10" t="n"/>
      <c r="X4004" s="10" t="n"/>
      <c r="Y4004" s="10" t="n"/>
      <c r="Z4004" s="10" t="n"/>
      <c r="AA4004" s="11">
        <f>IF(A4004="","",IF(AND(J4004="P4",F4004="causal"),"P4-CAUSAL",""))</f>
        <v/>
      </c>
    </row>
    <row r="4005" ht="15" customHeight="1" s="1">
      <c r="P4005">
        <f>IF(OR(F4005="",H4005="",J4005=""),"",J4005&amp;"|"&amp;F4005&amp;"|"&amp;IF(H4005="W3","W3_"&amp;IF(I4005="","unknown",I4005),H4005))</f>
        <v/>
      </c>
      <c r="Q4005">
        <f>IF(P4005="","",IFERROR(IF(AND(H4005="W7",OR(F4005="causal",F4005="predictive")),IF(AND(OR(K4005=1,K4005="1"),OR(L4005=1,L4005="1"),OR(M4005=1,M4005="1")),"adequate","partial"),IF(AND(H4005="W4",F4005="predictive",OR(J4005="P2",J4005="P3",J4005="P4")),IF(OR(U4005=1,U4005="1"),"adequate","partial"),INDEX(Fit_Matrix!$B:$B,MATCH(P4005,Fit_Matrix!$A:$A,0)))),"CHECK KEY"))</f>
        <v/>
      </c>
      <c r="U4005" s="10" t="n"/>
      <c r="V4005" s="10" t="n"/>
      <c r="W4005" s="10" t="n"/>
      <c r="X4005" s="10" t="n"/>
      <c r="Y4005" s="10" t="n"/>
      <c r="Z4005" s="10" t="n"/>
      <c r="AA4005" s="11">
        <f>IF(A4005="","",IF(AND(J4005="P4",F4005="causal"),"P4-CAUSAL",""))</f>
        <v/>
      </c>
    </row>
    <row r="4006" ht="15" customHeight="1" s="1">
      <c r="P4006">
        <f>IF(OR(F4006="",H4006="",J4006=""),"",J4006&amp;"|"&amp;F4006&amp;"|"&amp;IF(H4006="W3","W3_"&amp;IF(I4006="","unknown",I4006),H4006))</f>
        <v/>
      </c>
      <c r="Q4006">
        <f>IF(P4006="","",IFERROR(IF(AND(H4006="W7",OR(F4006="causal",F4006="predictive")),IF(AND(OR(K4006=1,K4006="1"),OR(L4006=1,L4006="1"),OR(M4006=1,M4006="1")),"adequate","partial"),IF(AND(H4006="W4",F4006="predictive",OR(J4006="P2",J4006="P3",J4006="P4")),IF(OR(U4006=1,U4006="1"),"adequate","partial"),INDEX(Fit_Matrix!$B:$B,MATCH(P4006,Fit_Matrix!$A:$A,0)))),"CHECK KEY"))</f>
        <v/>
      </c>
      <c r="U4006" s="10" t="n"/>
      <c r="V4006" s="10" t="n"/>
      <c r="W4006" s="10" t="n"/>
      <c r="X4006" s="10" t="n"/>
      <c r="Y4006" s="10" t="n"/>
      <c r="Z4006" s="10" t="n"/>
      <c r="AA4006" s="11">
        <f>IF(A4006="","",IF(AND(J4006="P4",F4006="causal"),"P4-CAUSAL",""))</f>
        <v/>
      </c>
    </row>
    <row r="4007" ht="15" customHeight="1" s="1">
      <c r="P4007">
        <f>IF(OR(F4007="",H4007="",J4007=""),"",J4007&amp;"|"&amp;F4007&amp;"|"&amp;IF(H4007="W3","W3_"&amp;IF(I4007="","unknown",I4007),H4007))</f>
        <v/>
      </c>
      <c r="Q4007">
        <f>IF(P4007="","",IFERROR(IF(AND(H4007="W7",OR(F4007="causal",F4007="predictive")),IF(AND(OR(K4007=1,K4007="1"),OR(L4007=1,L4007="1"),OR(M4007=1,M4007="1")),"adequate","partial"),IF(AND(H4007="W4",F4007="predictive",OR(J4007="P2",J4007="P3",J4007="P4")),IF(OR(U4007=1,U4007="1"),"adequate","partial"),INDEX(Fit_Matrix!$B:$B,MATCH(P4007,Fit_Matrix!$A:$A,0)))),"CHECK KEY"))</f>
        <v/>
      </c>
      <c r="U4007" s="10" t="n"/>
      <c r="V4007" s="10" t="n"/>
      <c r="W4007" s="10" t="n"/>
      <c r="X4007" s="10" t="n"/>
      <c r="Y4007" s="10" t="n"/>
      <c r="Z4007" s="10" t="n"/>
      <c r="AA4007" s="11">
        <f>IF(A4007="","",IF(AND(J4007="P4",F4007="causal"),"P4-CAUSAL",""))</f>
        <v/>
      </c>
    </row>
    <row r="4008" ht="15" customHeight="1" s="1">
      <c r="P4008">
        <f>IF(OR(F4008="",H4008="",J4008=""),"",J4008&amp;"|"&amp;F4008&amp;"|"&amp;IF(H4008="W3","W3_"&amp;IF(I4008="","unknown",I4008),H4008))</f>
        <v/>
      </c>
      <c r="Q4008">
        <f>IF(P4008="","",IFERROR(IF(AND(H4008="W7",OR(F4008="causal",F4008="predictive")),IF(AND(OR(K4008=1,K4008="1"),OR(L4008=1,L4008="1"),OR(M4008=1,M4008="1")),"adequate","partial"),IF(AND(H4008="W4",F4008="predictive",OR(J4008="P2",J4008="P3",J4008="P4")),IF(OR(U4008=1,U4008="1"),"adequate","partial"),INDEX(Fit_Matrix!$B:$B,MATCH(P4008,Fit_Matrix!$A:$A,0)))),"CHECK KEY"))</f>
        <v/>
      </c>
      <c r="U4008" s="10" t="n"/>
      <c r="V4008" s="10" t="n"/>
      <c r="W4008" s="10" t="n"/>
      <c r="X4008" s="10" t="n"/>
      <c r="Y4008" s="10" t="n"/>
      <c r="Z4008" s="10" t="n"/>
      <c r="AA4008" s="11">
        <f>IF(A4008="","",IF(AND(J4008="P4",F4008="causal"),"P4-CAUSAL",""))</f>
        <v/>
      </c>
    </row>
    <row r="4009" ht="15" customHeight="1" s="1">
      <c r="P4009">
        <f>IF(OR(F4009="",H4009="",J4009=""),"",J4009&amp;"|"&amp;F4009&amp;"|"&amp;IF(H4009="W3","W3_"&amp;IF(I4009="","unknown",I4009),H4009))</f>
        <v/>
      </c>
      <c r="Q4009">
        <f>IF(P4009="","",IFERROR(IF(AND(H4009="W7",OR(F4009="causal",F4009="predictive")),IF(AND(OR(K4009=1,K4009="1"),OR(L4009=1,L4009="1"),OR(M4009=1,M4009="1")),"adequate","partial"),IF(AND(H4009="W4",F4009="predictive",OR(J4009="P2",J4009="P3",J4009="P4")),IF(OR(U4009=1,U4009="1"),"adequate","partial"),INDEX(Fit_Matrix!$B:$B,MATCH(P4009,Fit_Matrix!$A:$A,0)))),"CHECK KEY"))</f>
        <v/>
      </c>
      <c r="U4009" s="10" t="n"/>
      <c r="V4009" s="10" t="n"/>
      <c r="W4009" s="10" t="n"/>
      <c r="X4009" s="10" t="n"/>
      <c r="Y4009" s="10" t="n"/>
      <c r="Z4009" s="10" t="n"/>
      <c r="AA4009" s="11">
        <f>IF(A4009="","",IF(AND(J4009="P4",F4009="causal"),"P4-CAUSAL",""))</f>
        <v/>
      </c>
    </row>
    <row r="4010" ht="15" customHeight="1" s="1">
      <c r="P4010">
        <f>IF(OR(F4010="",H4010="",J4010=""),"",J4010&amp;"|"&amp;F4010&amp;"|"&amp;IF(H4010="W3","W3_"&amp;IF(I4010="","unknown",I4010),H4010))</f>
        <v/>
      </c>
      <c r="Q4010">
        <f>IF(P4010="","",IFERROR(IF(AND(H4010="W7",OR(F4010="causal",F4010="predictive")),IF(AND(OR(K4010=1,K4010="1"),OR(L4010=1,L4010="1"),OR(M4010=1,M4010="1")),"adequate","partial"),IF(AND(H4010="W4",F4010="predictive",OR(J4010="P2",J4010="P3",J4010="P4")),IF(OR(U4010=1,U4010="1"),"adequate","partial"),INDEX(Fit_Matrix!$B:$B,MATCH(P4010,Fit_Matrix!$A:$A,0)))),"CHECK KEY"))</f>
        <v/>
      </c>
      <c r="U4010" s="10" t="n"/>
      <c r="V4010" s="10" t="n"/>
      <c r="W4010" s="10" t="n"/>
      <c r="X4010" s="10" t="n"/>
      <c r="Y4010" s="10" t="n"/>
      <c r="Z4010" s="10" t="n"/>
      <c r="AA4010" s="11">
        <f>IF(A4010="","",IF(AND(J4010="P4",F4010="causal"),"P4-CAUSAL",""))</f>
        <v/>
      </c>
    </row>
    <row r="4011" ht="15" customHeight="1" s="1">
      <c r="P4011">
        <f>IF(OR(F4011="",H4011="",J4011=""),"",J4011&amp;"|"&amp;F4011&amp;"|"&amp;IF(H4011="W3","W3_"&amp;IF(I4011="","unknown",I4011),H4011))</f>
        <v/>
      </c>
      <c r="Q4011">
        <f>IF(P4011="","",IFERROR(IF(AND(H4011="W7",OR(F4011="causal",F4011="predictive")),IF(AND(OR(K4011=1,K4011="1"),OR(L4011=1,L4011="1"),OR(M4011=1,M4011="1")),"adequate","partial"),IF(AND(H4011="W4",F4011="predictive",OR(J4011="P2",J4011="P3",J4011="P4")),IF(OR(U4011=1,U4011="1"),"adequate","partial"),INDEX(Fit_Matrix!$B:$B,MATCH(P4011,Fit_Matrix!$A:$A,0)))),"CHECK KEY"))</f>
        <v/>
      </c>
      <c r="U4011" s="10" t="n"/>
      <c r="V4011" s="10" t="n"/>
      <c r="W4011" s="10" t="n"/>
      <c r="X4011" s="10" t="n"/>
      <c r="Y4011" s="10" t="n"/>
      <c r="Z4011" s="10" t="n"/>
      <c r="AA4011" s="11">
        <f>IF(A4011="","",IF(AND(J4011="P4",F4011="causal"),"P4-CAUSAL",""))</f>
        <v/>
      </c>
    </row>
    <row r="4012" ht="15" customHeight="1" s="1">
      <c r="P4012">
        <f>IF(OR(F4012="",H4012="",J4012=""),"",J4012&amp;"|"&amp;F4012&amp;"|"&amp;IF(H4012="W3","W3_"&amp;IF(I4012="","unknown",I4012),H4012))</f>
        <v/>
      </c>
      <c r="Q4012">
        <f>IF(P4012="","",IFERROR(IF(AND(H4012="W7",OR(F4012="causal",F4012="predictive")),IF(AND(OR(K4012=1,K4012="1"),OR(L4012=1,L4012="1"),OR(M4012=1,M4012="1")),"adequate","partial"),IF(AND(H4012="W4",F4012="predictive",OR(J4012="P2",J4012="P3",J4012="P4")),IF(OR(U4012=1,U4012="1"),"adequate","partial"),INDEX(Fit_Matrix!$B:$B,MATCH(P4012,Fit_Matrix!$A:$A,0)))),"CHECK KEY"))</f>
        <v/>
      </c>
      <c r="U4012" s="10" t="n"/>
      <c r="V4012" s="10" t="n"/>
      <c r="W4012" s="10" t="n"/>
      <c r="X4012" s="10" t="n"/>
      <c r="Y4012" s="10" t="n"/>
      <c r="Z4012" s="10" t="n"/>
      <c r="AA4012" s="11">
        <f>IF(A4012="","",IF(AND(J4012="P4",F4012="causal"),"P4-CAUSAL",""))</f>
        <v/>
      </c>
    </row>
    <row r="4013" ht="15" customHeight="1" s="1">
      <c r="P4013">
        <f>IF(OR(F4013="",H4013="",J4013=""),"",J4013&amp;"|"&amp;F4013&amp;"|"&amp;IF(H4013="W3","W3_"&amp;IF(I4013="","unknown",I4013),H4013))</f>
        <v/>
      </c>
      <c r="Q4013">
        <f>IF(P4013="","",IFERROR(IF(AND(H4013="W7",OR(F4013="causal",F4013="predictive")),IF(AND(OR(K4013=1,K4013="1"),OR(L4013=1,L4013="1"),OR(M4013=1,M4013="1")),"adequate","partial"),IF(AND(H4013="W4",F4013="predictive",OR(J4013="P2",J4013="P3",J4013="P4")),IF(OR(U4013=1,U4013="1"),"adequate","partial"),INDEX(Fit_Matrix!$B:$B,MATCH(P4013,Fit_Matrix!$A:$A,0)))),"CHECK KEY"))</f>
        <v/>
      </c>
      <c r="U4013" s="10" t="n"/>
      <c r="V4013" s="10" t="n"/>
      <c r="W4013" s="10" t="n"/>
      <c r="X4013" s="10" t="n"/>
      <c r="Y4013" s="10" t="n"/>
      <c r="Z4013" s="10" t="n"/>
      <c r="AA4013" s="11">
        <f>IF(A4013="","",IF(AND(J4013="P4",F4013="causal"),"P4-CAUSAL",""))</f>
        <v/>
      </c>
    </row>
    <row r="4014" ht="15" customHeight="1" s="1">
      <c r="P4014">
        <f>IF(OR(F4014="",H4014="",J4014=""),"",J4014&amp;"|"&amp;F4014&amp;"|"&amp;IF(H4014="W3","W3_"&amp;IF(I4014="","unknown",I4014),H4014))</f>
        <v/>
      </c>
      <c r="Q4014">
        <f>IF(P4014="","",IFERROR(IF(AND(H4014="W7",OR(F4014="causal",F4014="predictive")),IF(AND(OR(K4014=1,K4014="1"),OR(L4014=1,L4014="1"),OR(M4014=1,M4014="1")),"adequate","partial"),IF(AND(H4014="W4",F4014="predictive",OR(J4014="P2",J4014="P3",J4014="P4")),IF(OR(U4014=1,U4014="1"),"adequate","partial"),INDEX(Fit_Matrix!$B:$B,MATCH(P4014,Fit_Matrix!$A:$A,0)))),"CHECK KEY"))</f>
        <v/>
      </c>
      <c r="U4014" s="10" t="n"/>
      <c r="V4014" s="10" t="n"/>
      <c r="W4014" s="10" t="n"/>
      <c r="X4014" s="10" t="n"/>
      <c r="Y4014" s="10" t="n"/>
      <c r="Z4014" s="10" t="n"/>
      <c r="AA4014" s="11">
        <f>IF(A4014="","",IF(AND(J4014="P4",F4014="causal"),"P4-CAUSAL",""))</f>
        <v/>
      </c>
    </row>
    <row r="4015" ht="15" customHeight="1" s="1">
      <c r="P4015">
        <f>IF(OR(F4015="",H4015="",J4015=""),"",J4015&amp;"|"&amp;F4015&amp;"|"&amp;IF(H4015="W3","W3_"&amp;IF(I4015="","unknown",I4015),H4015))</f>
        <v/>
      </c>
      <c r="Q4015">
        <f>IF(P4015="","",IFERROR(IF(AND(H4015="W7",OR(F4015="causal",F4015="predictive")),IF(AND(OR(K4015=1,K4015="1"),OR(L4015=1,L4015="1"),OR(M4015=1,M4015="1")),"adequate","partial"),IF(AND(H4015="W4",F4015="predictive",OR(J4015="P2",J4015="P3",J4015="P4")),IF(OR(U4015=1,U4015="1"),"adequate","partial"),INDEX(Fit_Matrix!$B:$B,MATCH(P4015,Fit_Matrix!$A:$A,0)))),"CHECK KEY"))</f>
        <v/>
      </c>
      <c r="U4015" s="10" t="n"/>
      <c r="V4015" s="10" t="n"/>
      <c r="W4015" s="10" t="n"/>
      <c r="X4015" s="10" t="n"/>
      <c r="Y4015" s="10" t="n"/>
      <c r="Z4015" s="10" t="n"/>
      <c r="AA4015" s="11">
        <f>IF(A4015="","",IF(AND(J4015="P4",F4015="causal"),"P4-CAUSAL",""))</f>
        <v/>
      </c>
    </row>
    <row r="4016" ht="15" customHeight="1" s="1">
      <c r="P4016">
        <f>IF(OR(F4016="",H4016="",J4016=""),"",J4016&amp;"|"&amp;F4016&amp;"|"&amp;IF(H4016="W3","W3_"&amp;IF(I4016="","unknown",I4016),H4016))</f>
        <v/>
      </c>
      <c r="Q4016">
        <f>IF(P4016="","",IFERROR(IF(AND(H4016="W7",OR(F4016="causal",F4016="predictive")),IF(AND(OR(K4016=1,K4016="1"),OR(L4016=1,L4016="1"),OR(M4016=1,M4016="1")),"adequate","partial"),IF(AND(H4016="W4",F4016="predictive",OR(J4016="P2",J4016="P3",J4016="P4")),IF(OR(U4016=1,U4016="1"),"adequate","partial"),INDEX(Fit_Matrix!$B:$B,MATCH(P4016,Fit_Matrix!$A:$A,0)))),"CHECK KEY"))</f>
        <v/>
      </c>
      <c r="U4016" s="10" t="n"/>
      <c r="V4016" s="10" t="n"/>
      <c r="W4016" s="10" t="n"/>
      <c r="X4016" s="10" t="n"/>
      <c r="Y4016" s="10" t="n"/>
      <c r="Z4016" s="10" t="n"/>
      <c r="AA4016" s="11">
        <f>IF(A4016="","",IF(AND(J4016="P4",F4016="causal"),"P4-CAUSAL",""))</f>
        <v/>
      </c>
    </row>
    <row r="4017" ht="15" customHeight="1" s="1">
      <c r="P4017">
        <f>IF(OR(F4017="",H4017="",J4017=""),"",J4017&amp;"|"&amp;F4017&amp;"|"&amp;IF(H4017="W3","W3_"&amp;IF(I4017="","unknown",I4017),H4017))</f>
        <v/>
      </c>
      <c r="Q4017">
        <f>IF(P4017="","",IFERROR(IF(AND(H4017="W7",OR(F4017="causal",F4017="predictive")),IF(AND(OR(K4017=1,K4017="1"),OR(L4017=1,L4017="1"),OR(M4017=1,M4017="1")),"adequate","partial"),IF(AND(H4017="W4",F4017="predictive",OR(J4017="P2",J4017="P3",J4017="P4")),IF(OR(U4017=1,U4017="1"),"adequate","partial"),INDEX(Fit_Matrix!$B:$B,MATCH(P4017,Fit_Matrix!$A:$A,0)))),"CHECK KEY"))</f>
        <v/>
      </c>
      <c r="U4017" s="10" t="n"/>
      <c r="V4017" s="10" t="n"/>
      <c r="W4017" s="10" t="n"/>
      <c r="X4017" s="10" t="n"/>
      <c r="Y4017" s="10" t="n"/>
      <c r="Z4017" s="10" t="n"/>
      <c r="AA4017" s="11">
        <f>IF(A4017="","",IF(AND(J4017="P4",F4017="causal"),"P4-CAUSAL",""))</f>
        <v/>
      </c>
    </row>
    <row r="4018" ht="15" customHeight="1" s="1">
      <c r="P4018">
        <f>IF(OR(F4018="",H4018="",J4018=""),"",J4018&amp;"|"&amp;F4018&amp;"|"&amp;IF(H4018="W3","W3_"&amp;IF(I4018="","unknown",I4018),H4018))</f>
        <v/>
      </c>
      <c r="Q4018">
        <f>IF(P4018="","",IFERROR(IF(AND(H4018="W7",OR(F4018="causal",F4018="predictive")),IF(AND(OR(K4018=1,K4018="1"),OR(L4018=1,L4018="1"),OR(M4018=1,M4018="1")),"adequate","partial"),IF(AND(H4018="W4",F4018="predictive",OR(J4018="P2",J4018="P3",J4018="P4")),IF(OR(U4018=1,U4018="1"),"adequate","partial"),INDEX(Fit_Matrix!$B:$B,MATCH(P4018,Fit_Matrix!$A:$A,0)))),"CHECK KEY"))</f>
        <v/>
      </c>
      <c r="U4018" s="10" t="n"/>
      <c r="V4018" s="10" t="n"/>
      <c r="W4018" s="10" t="n"/>
      <c r="X4018" s="10" t="n"/>
      <c r="Y4018" s="10" t="n"/>
      <c r="Z4018" s="10" t="n"/>
      <c r="AA4018" s="11">
        <f>IF(A4018="","",IF(AND(J4018="P4",F4018="causal"),"P4-CAUSAL",""))</f>
        <v/>
      </c>
    </row>
    <row r="4019" ht="15" customHeight="1" s="1">
      <c r="P4019">
        <f>IF(OR(F4019="",H4019="",J4019=""),"",J4019&amp;"|"&amp;F4019&amp;"|"&amp;IF(H4019="W3","W3_"&amp;IF(I4019="","unknown",I4019),H4019))</f>
        <v/>
      </c>
      <c r="Q4019">
        <f>IF(P4019="","",IFERROR(IF(AND(H4019="W7",OR(F4019="causal",F4019="predictive")),IF(AND(OR(K4019=1,K4019="1"),OR(L4019=1,L4019="1"),OR(M4019=1,M4019="1")),"adequate","partial"),IF(AND(H4019="W4",F4019="predictive",OR(J4019="P2",J4019="P3",J4019="P4")),IF(OR(U4019=1,U4019="1"),"adequate","partial"),INDEX(Fit_Matrix!$B:$B,MATCH(P4019,Fit_Matrix!$A:$A,0)))),"CHECK KEY"))</f>
        <v/>
      </c>
      <c r="U4019" s="10" t="n"/>
      <c r="V4019" s="10" t="n"/>
      <c r="W4019" s="10" t="n"/>
      <c r="X4019" s="10" t="n"/>
      <c r="Y4019" s="10" t="n"/>
      <c r="Z4019" s="10" t="n"/>
      <c r="AA4019" s="11">
        <f>IF(A4019="","",IF(AND(J4019="P4",F4019="causal"),"P4-CAUSAL",""))</f>
        <v/>
      </c>
    </row>
    <row r="4020" ht="15" customHeight="1" s="1">
      <c r="P4020">
        <f>IF(OR(F4020="",H4020="",J4020=""),"",J4020&amp;"|"&amp;F4020&amp;"|"&amp;IF(H4020="W3","W3_"&amp;IF(I4020="","unknown",I4020),H4020))</f>
        <v/>
      </c>
      <c r="Q4020">
        <f>IF(P4020="","",IFERROR(IF(AND(H4020="W7",OR(F4020="causal",F4020="predictive")),IF(AND(OR(K4020=1,K4020="1"),OR(L4020=1,L4020="1"),OR(M4020=1,M4020="1")),"adequate","partial"),IF(AND(H4020="W4",F4020="predictive",OR(J4020="P2",J4020="P3",J4020="P4")),IF(OR(U4020=1,U4020="1"),"adequate","partial"),INDEX(Fit_Matrix!$B:$B,MATCH(P4020,Fit_Matrix!$A:$A,0)))),"CHECK KEY"))</f>
        <v/>
      </c>
      <c r="U4020" s="10" t="n"/>
      <c r="V4020" s="10" t="n"/>
      <c r="W4020" s="10" t="n"/>
      <c r="X4020" s="10" t="n"/>
      <c r="Y4020" s="10" t="n"/>
      <c r="Z4020" s="10" t="n"/>
      <c r="AA4020" s="11">
        <f>IF(A4020="","",IF(AND(J4020="P4",F4020="causal"),"P4-CAUSAL",""))</f>
        <v/>
      </c>
    </row>
    <row r="4021" ht="15" customHeight="1" s="1">
      <c r="P4021">
        <f>IF(OR(F4021="",H4021="",J4021=""),"",J4021&amp;"|"&amp;F4021&amp;"|"&amp;IF(H4021="W3","W3_"&amp;IF(I4021="","unknown",I4021),H4021))</f>
        <v/>
      </c>
      <c r="Q4021">
        <f>IF(P4021="","",IFERROR(IF(AND(H4021="W7",OR(F4021="causal",F4021="predictive")),IF(AND(OR(K4021=1,K4021="1"),OR(L4021=1,L4021="1"),OR(M4021=1,M4021="1")),"adequate","partial"),IF(AND(H4021="W4",F4021="predictive",OR(J4021="P2",J4021="P3",J4021="P4")),IF(OR(U4021=1,U4021="1"),"adequate","partial"),INDEX(Fit_Matrix!$B:$B,MATCH(P4021,Fit_Matrix!$A:$A,0)))),"CHECK KEY"))</f>
        <v/>
      </c>
      <c r="U4021" s="10" t="n"/>
      <c r="V4021" s="10" t="n"/>
      <c r="W4021" s="10" t="n"/>
      <c r="X4021" s="10" t="n"/>
      <c r="Y4021" s="10" t="n"/>
      <c r="Z4021" s="10" t="n"/>
      <c r="AA4021" s="11">
        <f>IF(A4021="","",IF(AND(J4021="P4",F4021="causal"),"P4-CAUSAL",""))</f>
        <v/>
      </c>
    </row>
    <row r="4022" ht="15" customHeight="1" s="1">
      <c r="P4022">
        <f>IF(OR(F4022="",H4022="",J4022=""),"",J4022&amp;"|"&amp;F4022&amp;"|"&amp;IF(H4022="W3","W3_"&amp;IF(I4022="","unknown",I4022),H4022))</f>
        <v/>
      </c>
      <c r="Q4022">
        <f>IF(P4022="","",IFERROR(IF(AND(H4022="W7",OR(F4022="causal",F4022="predictive")),IF(AND(OR(K4022=1,K4022="1"),OR(L4022=1,L4022="1"),OR(M4022=1,M4022="1")),"adequate","partial"),IF(AND(H4022="W4",F4022="predictive",OR(J4022="P2",J4022="P3",J4022="P4")),IF(OR(U4022=1,U4022="1"),"adequate","partial"),INDEX(Fit_Matrix!$B:$B,MATCH(P4022,Fit_Matrix!$A:$A,0)))),"CHECK KEY"))</f>
        <v/>
      </c>
      <c r="U4022" s="10" t="n"/>
      <c r="V4022" s="10" t="n"/>
      <c r="W4022" s="10" t="n"/>
      <c r="X4022" s="10" t="n"/>
      <c r="Y4022" s="10" t="n"/>
      <c r="Z4022" s="10" t="n"/>
      <c r="AA4022" s="11">
        <f>IF(A4022="","",IF(AND(J4022="P4",F4022="causal"),"P4-CAUSAL",""))</f>
        <v/>
      </c>
    </row>
    <row r="4023" ht="15" customHeight="1" s="1">
      <c r="P4023">
        <f>IF(OR(F4023="",H4023="",J4023=""),"",J4023&amp;"|"&amp;F4023&amp;"|"&amp;IF(H4023="W3","W3_"&amp;IF(I4023="","unknown",I4023),H4023))</f>
        <v/>
      </c>
      <c r="Q4023">
        <f>IF(P4023="","",IFERROR(IF(AND(H4023="W7",OR(F4023="causal",F4023="predictive")),IF(AND(OR(K4023=1,K4023="1"),OR(L4023=1,L4023="1"),OR(M4023=1,M4023="1")),"adequate","partial"),IF(AND(H4023="W4",F4023="predictive",OR(J4023="P2",J4023="P3",J4023="P4")),IF(OR(U4023=1,U4023="1"),"adequate","partial"),INDEX(Fit_Matrix!$B:$B,MATCH(P4023,Fit_Matrix!$A:$A,0)))),"CHECK KEY"))</f>
        <v/>
      </c>
      <c r="U4023" s="10" t="n"/>
      <c r="V4023" s="10" t="n"/>
      <c r="W4023" s="10" t="n"/>
      <c r="X4023" s="10" t="n"/>
      <c r="Y4023" s="10" t="n"/>
      <c r="Z4023" s="10" t="n"/>
      <c r="AA4023" s="11">
        <f>IF(A4023="","",IF(AND(J4023="P4",F4023="causal"),"P4-CAUSAL",""))</f>
        <v/>
      </c>
    </row>
    <row r="4024" ht="15" customHeight="1" s="1">
      <c r="P4024">
        <f>IF(OR(F4024="",H4024="",J4024=""),"",J4024&amp;"|"&amp;F4024&amp;"|"&amp;IF(H4024="W3","W3_"&amp;IF(I4024="","unknown",I4024),H4024))</f>
        <v/>
      </c>
      <c r="Q4024">
        <f>IF(P4024="","",IFERROR(IF(AND(H4024="W7",OR(F4024="causal",F4024="predictive")),IF(AND(OR(K4024=1,K4024="1"),OR(L4024=1,L4024="1"),OR(M4024=1,M4024="1")),"adequate","partial"),IF(AND(H4024="W4",F4024="predictive",OR(J4024="P2",J4024="P3",J4024="P4")),IF(OR(U4024=1,U4024="1"),"adequate","partial"),INDEX(Fit_Matrix!$B:$B,MATCH(P4024,Fit_Matrix!$A:$A,0)))),"CHECK KEY"))</f>
        <v/>
      </c>
      <c r="U4024" s="10" t="n"/>
      <c r="V4024" s="10" t="n"/>
      <c r="W4024" s="10" t="n"/>
      <c r="X4024" s="10" t="n"/>
      <c r="Y4024" s="10" t="n"/>
      <c r="Z4024" s="10" t="n"/>
      <c r="AA4024" s="11">
        <f>IF(A4024="","",IF(AND(J4024="P4",F4024="causal"),"P4-CAUSAL",""))</f>
        <v/>
      </c>
    </row>
    <row r="4025" ht="15" customHeight="1" s="1">
      <c r="P4025">
        <f>IF(OR(F4025="",H4025="",J4025=""),"",J4025&amp;"|"&amp;F4025&amp;"|"&amp;IF(H4025="W3","W3_"&amp;IF(I4025="","unknown",I4025),H4025))</f>
        <v/>
      </c>
      <c r="Q4025">
        <f>IF(P4025="","",IFERROR(IF(AND(H4025="W7",OR(F4025="causal",F4025="predictive")),IF(AND(OR(K4025=1,K4025="1"),OR(L4025=1,L4025="1"),OR(M4025=1,M4025="1")),"adequate","partial"),IF(AND(H4025="W4",F4025="predictive",OR(J4025="P2",J4025="P3",J4025="P4")),IF(OR(U4025=1,U4025="1"),"adequate","partial"),INDEX(Fit_Matrix!$B:$B,MATCH(P4025,Fit_Matrix!$A:$A,0)))),"CHECK KEY"))</f>
        <v/>
      </c>
      <c r="U4025" s="10" t="n"/>
      <c r="V4025" s="10" t="n"/>
      <c r="W4025" s="10" t="n"/>
      <c r="X4025" s="10" t="n"/>
      <c r="Y4025" s="10" t="n"/>
      <c r="Z4025" s="10" t="n"/>
      <c r="AA4025" s="11">
        <f>IF(A4025="","",IF(AND(J4025="P4",F4025="causal"),"P4-CAUSAL",""))</f>
        <v/>
      </c>
    </row>
    <row r="4026" ht="15" customHeight="1" s="1">
      <c r="P4026">
        <f>IF(OR(F4026="",H4026="",J4026=""),"",J4026&amp;"|"&amp;F4026&amp;"|"&amp;IF(H4026="W3","W3_"&amp;IF(I4026="","unknown",I4026),H4026))</f>
        <v/>
      </c>
      <c r="Q4026">
        <f>IF(P4026="","",IFERROR(IF(AND(H4026="W7",OR(F4026="causal",F4026="predictive")),IF(AND(OR(K4026=1,K4026="1"),OR(L4026=1,L4026="1"),OR(M4026=1,M4026="1")),"adequate","partial"),IF(AND(H4026="W4",F4026="predictive",OR(J4026="P2",J4026="P3",J4026="P4")),IF(OR(U4026=1,U4026="1"),"adequate","partial"),INDEX(Fit_Matrix!$B:$B,MATCH(P4026,Fit_Matrix!$A:$A,0)))),"CHECK KEY"))</f>
        <v/>
      </c>
      <c r="U4026" s="10" t="n"/>
      <c r="V4026" s="10" t="n"/>
      <c r="W4026" s="10" t="n"/>
      <c r="X4026" s="10" t="n"/>
      <c r="Y4026" s="10" t="n"/>
      <c r="Z4026" s="10" t="n"/>
      <c r="AA4026" s="11">
        <f>IF(A4026="","",IF(AND(J4026="P4",F4026="causal"),"P4-CAUSAL",""))</f>
        <v/>
      </c>
    </row>
    <row r="4027" ht="15" customHeight="1" s="1">
      <c r="P4027">
        <f>IF(OR(F4027="",H4027="",J4027=""),"",J4027&amp;"|"&amp;F4027&amp;"|"&amp;IF(H4027="W3","W3_"&amp;IF(I4027="","unknown",I4027),H4027))</f>
        <v/>
      </c>
      <c r="Q4027">
        <f>IF(P4027="","",IFERROR(IF(AND(H4027="W7",OR(F4027="causal",F4027="predictive")),IF(AND(OR(K4027=1,K4027="1"),OR(L4027=1,L4027="1"),OR(M4027=1,M4027="1")),"adequate","partial"),IF(AND(H4027="W4",F4027="predictive",OR(J4027="P2",J4027="P3",J4027="P4")),IF(OR(U4027=1,U4027="1"),"adequate","partial"),INDEX(Fit_Matrix!$B:$B,MATCH(P4027,Fit_Matrix!$A:$A,0)))),"CHECK KEY"))</f>
        <v/>
      </c>
      <c r="U4027" s="10" t="n"/>
      <c r="V4027" s="10" t="n"/>
      <c r="W4027" s="10" t="n"/>
      <c r="X4027" s="10" t="n"/>
      <c r="Y4027" s="10" t="n"/>
      <c r="Z4027" s="10" t="n"/>
      <c r="AA4027" s="11">
        <f>IF(A4027="","",IF(AND(J4027="P4",F4027="causal"),"P4-CAUSAL",""))</f>
        <v/>
      </c>
    </row>
    <row r="4028" ht="15" customHeight="1" s="1">
      <c r="P4028">
        <f>IF(OR(F4028="",H4028="",J4028=""),"",J4028&amp;"|"&amp;F4028&amp;"|"&amp;IF(H4028="W3","W3_"&amp;IF(I4028="","unknown",I4028),H4028))</f>
        <v/>
      </c>
      <c r="Q4028">
        <f>IF(P4028="","",IFERROR(IF(AND(H4028="W7",OR(F4028="causal",F4028="predictive")),IF(AND(OR(K4028=1,K4028="1"),OR(L4028=1,L4028="1"),OR(M4028=1,M4028="1")),"adequate","partial"),IF(AND(H4028="W4",F4028="predictive",OR(J4028="P2",J4028="P3",J4028="P4")),IF(OR(U4028=1,U4028="1"),"adequate","partial"),INDEX(Fit_Matrix!$B:$B,MATCH(P4028,Fit_Matrix!$A:$A,0)))),"CHECK KEY"))</f>
        <v/>
      </c>
      <c r="U4028" s="10" t="n"/>
      <c r="V4028" s="10" t="n"/>
      <c r="W4028" s="10" t="n"/>
      <c r="X4028" s="10" t="n"/>
      <c r="Y4028" s="10" t="n"/>
      <c r="Z4028" s="10" t="n"/>
      <c r="AA4028" s="11">
        <f>IF(A4028="","",IF(AND(J4028="P4",F4028="causal"),"P4-CAUSAL",""))</f>
        <v/>
      </c>
    </row>
    <row r="4029" ht="15" customHeight="1" s="1">
      <c r="P4029">
        <f>IF(OR(F4029="",H4029="",J4029=""),"",J4029&amp;"|"&amp;F4029&amp;"|"&amp;IF(H4029="W3","W3_"&amp;IF(I4029="","unknown",I4029),H4029))</f>
        <v/>
      </c>
      <c r="Q4029">
        <f>IF(P4029="","",IFERROR(IF(AND(H4029="W7",OR(F4029="causal",F4029="predictive")),IF(AND(OR(K4029=1,K4029="1"),OR(L4029=1,L4029="1"),OR(M4029=1,M4029="1")),"adequate","partial"),IF(AND(H4029="W4",F4029="predictive",OR(J4029="P2",J4029="P3",J4029="P4")),IF(OR(U4029=1,U4029="1"),"adequate","partial"),INDEX(Fit_Matrix!$B:$B,MATCH(P4029,Fit_Matrix!$A:$A,0)))),"CHECK KEY"))</f>
        <v/>
      </c>
      <c r="U4029" s="10" t="n"/>
      <c r="V4029" s="10" t="n"/>
      <c r="W4029" s="10" t="n"/>
      <c r="X4029" s="10" t="n"/>
      <c r="Y4029" s="10" t="n"/>
      <c r="Z4029" s="10" t="n"/>
      <c r="AA4029" s="11">
        <f>IF(A4029="","",IF(AND(J4029="P4",F4029="causal"),"P4-CAUSAL",""))</f>
        <v/>
      </c>
    </row>
    <row r="4030" ht="15" customHeight="1" s="1">
      <c r="P4030">
        <f>IF(OR(F4030="",H4030="",J4030=""),"",J4030&amp;"|"&amp;F4030&amp;"|"&amp;IF(H4030="W3","W3_"&amp;IF(I4030="","unknown",I4030),H4030))</f>
        <v/>
      </c>
      <c r="Q4030">
        <f>IF(P4030="","",IFERROR(IF(AND(H4030="W7",OR(F4030="causal",F4030="predictive")),IF(AND(OR(K4030=1,K4030="1"),OR(L4030=1,L4030="1"),OR(M4030=1,M4030="1")),"adequate","partial"),IF(AND(H4030="W4",F4030="predictive",OR(J4030="P2",J4030="P3",J4030="P4")),IF(OR(U4030=1,U4030="1"),"adequate","partial"),INDEX(Fit_Matrix!$B:$B,MATCH(P4030,Fit_Matrix!$A:$A,0)))),"CHECK KEY"))</f>
        <v/>
      </c>
      <c r="U4030" s="10" t="n"/>
      <c r="V4030" s="10" t="n"/>
      <c r="W4030" s="10" t="n"/>
      <c r="X4030" s="10" t="n"/>
      <c r="Y4030" s="10" t="n"/>
      <c r="Z4030" s="10" t="n"/>
      <c r="AA4030" s="11">
        <f>IF(A4030="","",IF(AND(J4030="P4",F4030="causal"),"P4-CAUSAL",""))</f>
        <v/>
      </c>
    </row>
    <row r="4031" ht="15" customHeight="1" s="1">
      <c r="P4031">
        <f>IF(OR(F4031="",H4031="",J4031=""),"",J4031&amp;"|"&amp;F4031&amp;"|"&amp;IF(H4031="W3","W3_"&amp;IF(I4031="","unknown",I4031),H4031))</f>
        <v/>
      </c>
      <c r="Q4031">
        <f>IF(P4031="","",IFERROR(IF(AND(H4031="W7",OR(F4031="causal",F4031="predictive")),IF(AND(OR(K4031=1,K4031="1"),OR(L4031=1,L4031="1"),OR(M4031=1,M4031="1")),"adequate","partial"),IF(AND(H4031="W4",F4031="predictive",OR(J4031="P2",J4031="P3",J4031="P4")),IF(OR(U4031=1,U4031="1"),"adequate","partial"),INDEX(Fit_Matrix!$B:$B,MATCH(P4031,Fit_Matrix!$A:$A,0)))),"CHECK KEY"))</f>
        <v/>
      </c>
      <c r="U4031" s="10" t="n"/>
      <c r="V4031" s="10" t="n"/>
      <c r="W4031" s="10" t="n"/>
      <c r="X4031" s="10" t="n"/>
      <c r="Y4031" s="10" t="n"/>
      <c r="Z4031" s="10" t="n"/>
      <c r="AA4031" s="11">
        <f>IF(A4031="","",IF(AND(J4031="P4",F4031="causal"),"P4-CAUSAL",""))</f>
        <v/>
      </c>
    </row>
    <row r="4032" ht="15" customHeight="1" s="1">
      <c r="P4032">
        <f>IF(OR(F4032="",H4032="",J4032=""),"",J4032&amp;"|"&amp;F4032&amp;"|"&amp;IF(H4032="W3","W3_"&amp;IF(I4032="","unknown",I4032),H4032))</f>
        <v/>
      </c>
      <c r="Q4032">
        <f>IF(P4032="","",IFERROR(IF(AND(H4032="W7",OR(F4032="causal",F4032="predictive")),IF(AND(OR(K4032=1,K4032="1"),OR(L4032=1,L4032="1"),OR(M4032=1,M4032="1")),"adequate","partial"),IF(AND(H4032="W4",F4032="predictive",OR(J4032="P2",J4032="P3",J4032="P4")),IF(OR(U4032=1,U4032="1"),"adequate","partial"),INDEX(Fit_Matrix!$B:$B,MATCH(P4032,Fit_Matrix!$A:$A,0)))),"CHECK KEY"))</f>
        <v/>
      </c>
      <c r="U4032" s="10" t="n"/>
      <c r="V4032" s="10" t="n"/>
      <c r="W4032" s="10" t="n"/>
      <c r="X4032" s="10" t="n"/>
      <c r="Y4032" s="10" t="n"/>
      <c r="Z4032" s="10" t="n"/>
      <c r="AA4032" s="11">
        <f>IF(A4032="","",IF(AND(J4032="P4",F4032="causal"),"P4-CAUSAL",""))</f>
        <v/>
      </c>
    </row>
    <row r="4033" ht="15" customHeight="1" s="1">
      <c r="P4033">
        <f>IF(OR(F4033="",H4033="",J4033=""),"",J4033&amp;"|"&amp;F4033&amp;"|"&amp;IF(H4033="W3","W3_"&amp;IF(I4033="","unknown",I4033),H4033))</f>
        <v/>
      </c>
      <c r="Q4033">
        <f>IF(P4033="","",IFERROR(IF(AND(H4033="W7",OR(F4033="causal",F4033="predictive")),IF(AND(OR(K4033=1,K4033="1"),OR(L4033=1,L4033="1"),OR(M4033=1,M4033="1")),"adequate","partial"),IF(AND(H4033="W4",F4033="predictive",OR(J4033="P2",J4033="P3",J4033="P4")),IF(OR(U4033=1,U4033="1"),"adequate","partial"),INDEX(Fit_Matrix!$B:$B,MATCH(P4033,Fit_Matrix!$A:$A,0)))),"CHECK KEY"))</f>
        <v/>
      </c>
      <c r="U4033" s="10" t="n"/>
      <c r="V4033" s="10" t="n"/>
      <c r="W4033" s="10" t="n"/>
      <c r="X4033" s="10" t="n"/>
      <c r="Y4033" s="10" t="n"/>
      <c r="Z4033" s="10" t="n"/>
      <c r="AA4033" s="11">
        <f>IF(A4033="","",IF(AND(J4033="P4",F4033="causal"),"P4-CAUSAL",""))</f>
        <v/>
      </c>
    </row>
    <row r="4034" ht="15" customHeight="1" s="1">
      <c r="P4034">
        <f>IF(OR(F4034="",H4034="",J4034=""),"",J4034&amp;"|"&amp;F4034&amp;"|"&amp;IF(H4034="W3","W3_"&amp;IF(I4034="","unknown",I4034),H4034))</f>
        <v/>
      </c>
      <c r="Q4034">
        <f>IF(P4034="","",IFERROR(IF(AND(H4034="W7",OR(F4034="causal",F4034="predictive")),IF(AND(OR(K4034=1,K4034="1"),OR(L4034=1,L4034="1"),OR(M4034=1,M4034="1")),"adequate","partial"),IF(AND(H4034="W4",F4034="predictive",OR(J4034="P2",J4034="P3",J4034="P4")),IF(OR(U4034=1,U4034="1"),"adequate","partial"),INDEX(Fit_Matrix!$B:$B,MATCH(P4034,Fit_Matrix!$A:$A,0)))),"CHECK KEY"))</f>
        <v/>
      </c>
      <c r="U4034" s="10" t="n"/>
      <c r="V4034" s="10" t="n"/>
      <c r="W4034" s="10" t="n"/>
      <c r="X4034" s="10" t="n"/>
      <c r="Y4034" s="10" t="n"/>
      <c r="Z4034" s="10" t="n"/>
      <c r="AA4034" s="11">
        <f>IF(A4034="","",IF(AND(J4034="P4",F4034="causal"),"P4-CAUSAL",""))</f>
        <v/>
      </c>
    </row>
    <row r="4035" ht="15" customHeight="1" s="1">
      <c r="P4035">
        <f>IF(OR(F4035="",H4035="",J4035=""),"",J4035&amp;"|"&amp;F4035&amp;"|"&amp;IF(H4035="W3","W3_"&amp;IF(I4035="","unknown",I4035),H4035))</f>
        <v/>
      </c>
      <c r="Q4035">
        <f>IF(P4035="","",IFERROR(IF(AND(H4035="W7",OR(F4035="causal",F4035="predictive")),IF(AND(OR(K4035=1,K4035="1"),OR(L4035=1,L4035="1"),OR(M4035=1,M4035="1")),"adequate","partial"),IF(AND(H4035="W4",F4035="predictive",OR(J4035="P2",J4035="P3",J4035="P4")),IF(OR(U4035=1,U4035="1"),"adequate","partial"),INDEX(Fit_Matrix!$B:$B,MATCH(P4035,Fit_Matrix!$A:$A,0)))),"CHECK KEY"))</f>
        <v/>
      </c>
      <c r="U4035" s="10" t="n"/>
      <c r="V4035" s="10" t="n"/>
      <c r="W4035" s="10" t="n"/>
      <c r="X4035" s="10" t="n"/>
      <c r="Y4035" s="10" t="n"/>
      <c r="Z4035" s="10" t="n"/>
      <c r="AA4035" s="11">
        <f>IF(A4035="","",IF(AND(J4035="P4",F4035="causal"),"P4-CAUSAL",""))</f>
        <v/>
      </c>
    </row>
    <row r="4036" ht="15" customHeight="1" s="1">
      <c r="P4036">
        <f>IF(OR(F4036="",H4036="",J4036=""),"",J4036&amp;"|"&amp;F4036&amp;"|"&amp;IF(H4036="W3","W3_"&amp;IF(I4036="","unknown",I4036),H4036))</f>
        <v/>
      </c>
      <c r="Q4036">
        <f>IF(P4036="","",IFERROR(IF(AND(H4036="W7",OR(F4036="causal",F4036="predictive")),IF(AND(OR(K4036=1,K4036="1"),OR(L4036=1,L4036="1"),OR(M4036=1,M4036="1")),"adequate","partial"),IF(AND(H4036="W4",F4036="predictive",OR(J4036="P2",J4036="P3",J4036="P4")),IF(OR(U4036=1,U4036="1"),"adequate","partial"),INDEX(Fit_Matrix!$B:$B,MATCH(P4036,Fit_Matrix!$A:$A,0)))),"CHECK KEY"))</f>
        <v/>
      </c>
      <c r="U4036" s="10" t="n"/>
      <c r="V4036" s="10" t="n"/>
      <c r="W4036" s="10" t="n"/>
      <c r="X4036" s="10" t="n"/>
      <c r="Y4036" s="10" t="n"/>
      <c r="Z4036" s="10" t="n"/>
      <c r="AA4036" s="11">
        <f>IF(A4036="","",IF(AND(J4036="P4",F4036="causal"),"P4-CAUSAL",""))</f>
        <v/>
      </c>
    </row>
    <row r="4037" ht="15" customHeight="1" s="1">
      <c r="P4037">
        <f>IF(OR(F4037="",H4037="",J4037=""),"",J4037&amp;"|"&amp;F4037&amp;"|"&amp;IF(H4037="W3","W3_"&amp;IF(I4037="","unknown",I4037),H4037))</f>
        <v/>
      </c>
      <c r="Q4037">
        <f>IF(P4037="","",IFERROR(IF(AND(H4037="W7",OR(F4037="causal",F4037="predictive")),IF(AND(OR(K4037=1,K4037="1"),OR(L4037=1,L4037="1"),OR(M4037=1,M4037="1")),"adequate","partial"),IF(AND(H4037="W4",F4037="predictive",OR(J4037="P2",J4037="P3",J4037="P4")),IF(OR(U4037=1,U4037="1"),"adequate","partial"),INDEX(Fit_Matrix!$B:$B,MATCH(P4037,Fit_Matrix!$A:$A,0)))),"CHECK KEY"))</f>
        <v/>
      </c>
      <c r="U4037" s="10" t="n"/>
      <c r="V4037" s="10" t="n"/>
      <c r="W4037" s="10" t="n"/>
      <c r="X4037" s="10" t="n"/>
      <c r="Y4037" s="10" t="n"/>
      <c r="Z4037" s="10" t="n"/>
      <c r="AA4037" s="11">
        <f>IF(A4037="","",IF(AND(J4037="P4",F4037="causal"),"P4-CAUSAL",""))</f>
        <v/>
      </c>
    </row>
    <row r="4038" ht="15" customHeight="1" s="1">
      <c r="P4038">
        <f>IF(OR(F4038="",H4038="",J4038=""),"",J4038&amp;"|"&amp;F4038&amp;"|"&amp;IF(H4038="W3","W3_"&amp;IF(I4038="","unknown",I4038),H4038))</f>
        <v/>
      </c>
      <c r="Q4038">
        <f>IF(P4038="","",IFERROR(IF(AND(H4038="W7",OR(F4038="causal",F4038="predictive")),IF(AND(OR(K4038=1,K4038="1"),OR(L4038=1,L4038="1"),OR(M4038=1,M4038="1")),"adequate","partial"),IF(AND(H4038="W4",F4038="predictive",OR(J4038="P2",J4038="P3",J4038="P4")),IF(OR(U4038=1,U4038="1"),"adequate","partial"),INDEX(Fit_Matrix!$B:$B,MATCH(P4038,Fit_Matrix!$A:$A,0)))),"CHECK KEY"))</f>
        <v/>
      </c>
      <c r="U4038" s="10" t="n"/>
      <c r="V4038" s="10" t="n"/>
      <c r="W4038" s="10" t="n"/>
      <c r="X4038" s="10" t="n"/>
      <c r="Y4038" s="10" t="n"/>
      <c r="Z4038" s="10" t="n"/>
      <c r="AA4038" s="11">
        <f>IF(A4038="","",IF(AND(J4038="P4",F4038="causal"),"P4-CAUSAL",""))</f>
        <v/>
      </c>
    </row>
    <row r="4039" ht="15" customHeight="1" s="1">
      <c r="P4039">
        <f>IF(OR(F4039="",H4039="",J4039=""),"",J4039&amp;"|"&amp;F4039&amp;"|"&amp;IF(H4039="W3","W3_"&amp;IF(I4039="","unknown",I4039),H4039))</f>
        <v/>
      </c>
      <c r="Q4039">
        <f>IF(P4039="","",IFERROR(IF(AND(H4039="W7",OR(F4039="causal",F4039="predictive")),IF(AND(OR(K4039=1,K4039="1"),OR(L4039=1,L4039="1"),OR(M4039=1,M4039="1")),"adequate","partial"),IF(AND(H4039="W4",F4039="predictive",OR(J4039="P2",J4039="P3",J4039="P4")),IF(OR(U4039=1,U4039="1"),"adequate","partial"),INDEX(Fit_Matrix!$B:$B,MATCH(P4039,Fit_Matrix!$A:$A,0)))),"CHECK KEY"))</f>
        <v/>
      </c>
      <c r="U4039" s="10" t="n"/>
      <c r="V4039" s="10" t="n"/>
      <c r="W4039" s="10" t="n"/>
      <c r="X4039" s="10" t="n"/>
      <c r="Y4039" s="10" t="n"/>
      <c r="Z4039" s="10" t="n"/>
      <c r="AA4039" s="11">
        <f>IF(A4039="","",IF(AND(J4039="P4",F4039="causal"),"P4-CAUSAL",""))</f>
        <v/>
      </c>
    </row>
    <row r="4040" ht="15" customHeight="1" s="1">
      <c r="P4040">
        <f>IF(OR(F4040="",H4040="",J4040=""),"",J4040&amp;"|"&amp;F4040&amp;"|"&amp;IF(H4040="W3","W3_"&amp;IF(I4040="","unknown",I4040),H4040))</f>
        <v/>
      </c>
      <c r="Q4040">
        <f>IF(P4040="","",IFERROR(IF(AND(H4040="W7",OR(F4040="causal",F4040="predictive")),IF(AND(OR(K4040=1,K4040="1"),OR(L4040=1,L4040="1"),OR(M4040=1,M4040="1")),"adequate","partial"),IF(AND(H4040="W4",F4040="predictive",OR(J4040="P2",J4040="P3",J4040="P4")),IF(OR(U4040=1,U4040="1"),"adequate","partial"),INDEX(Fit_Matrix!$B:$B,MATCH(P4040,Fit_Matrix!$A:$A,0)))),"CHECK KEY"))</f>
        <v/>
      </c>
      <c r="U4040" s="10" t="n"/>
      <c r="V4040" s="10" t="n"/>
      <c r="W4040" s="10" t="n"/>
      <c r="X4040" s="10" t="n"/>
      <c r="Y4040" s="10" t="n"/>
      <c r="Z4040" s="10" t="n"/>
      <c r="AA4040" s="11">
        <f>IF(A4040="","",IF(AND(J4040="P4",F4040="causal"),"P4-CAUSAL",""))</f>
        <v/>
      </c>
    </row>
    <row r="4041" ht="15" customHeight="1" s="1">
      <c r="P4041">
        <f>IF(OR(F4041="",H4041="",J4041=""),"",J4041&amp;"|"&amp;F4041&amp;"|"&amp;IF(H4041="W3","W3_"&amp;IF(I4041="","unknown",I4041),H4041))</f>
        <v/>
      </c>
      <c r="Q4041">
        <f>IF(P4041="","",IFERROR(IF(AND(H4041="W7",OR(F4041="causal",F4041="predictive")),IF(AND(OR(K4041=1,K4041="1"),OR(L4041=1,L4041="1"),OR(M4041=1,M4041="1")),"adequate","partial"),IF(AND(H4041="W4",F4041="predictive",OR(J4041="P2",J4041="P3",J4041="P4")),IF(OR(U4041=1,U4041="1"),"adequate","partial"),INDEX(Fit_Matrix!$B:$B,MATCH(P4041,Fit_Matrix!$A:$A,0)))),"CHECK KEY"))</f>
        <v/>
      </c>
      <c r="U4041" s="10" t="n"/>
      <c r="V4041" s="10" t="n"/>
      <c r="W4041" s="10" t="n"/>
      <c r="X4041" s="10" t="n"/>
      <c r="Y4041" s="10" t="n"/>
      <c r="Z4041" s="10" t="n"/>
      <c r="AA4041" s="11">
        <f>IF(A4041="","",IF(AND(J4041="P4",F4041="causal"),"P4-CAUSAL",""))</f>
        <v/>
      </c>
    </row>
    <row r="4042" ht="15" customHeight="1" s="1">
      <c r="P4042">
        <f>IF(OR(F4042="",H4042="",J4042=""),"",J4042&amp;"|"&amp;F4042&amp;"|"&amp;IF(H4042="W3","W3_"&amp;IF(I4042="","unknown",I4042),H4042))</f>
        <v/>
      </c>
      <c r="Q4042">
        <f>IF(P4042="","",IFERROR(IF(AND(H4042="W7",OR(F4042="causal",F4042="predictive")),IF(AND(OR(K4042=1,K4042="1"),OR(L4042=1,L4042="1"),OR(M4042=1,M4042="1")),"adequate","partial"),IF(AND(H4042="W4",F4042="predictive",OR(J4042="P2",J4042="P3",J4042="P4")),IF(OR(U4042=1,U4042="1"),"adequate","partial"),INDEX(Fit_Matrix!$B:$B,MATCH(P4042,Fit_Matrix!$A:$A,0)))),"CHECK KEY"))</f>
        <v/>
      </c>
      <c r="U4042" s="10" t="n"/>
      <c r="V4042" s="10" t="n"/>
      <c r="W4042" s="10" t="n"/>
      <c r="X4042" s="10" t="n"/>
      <c r="Y4042" s="10" t="n"/>
      <c r="Z4042" s="10" t="n"/>
      <c r="AA4042" s="11">
        <f>IF(A4042="","",IF(AND(J4042="P4",F4042="causal"),"P4-CAUSAL",""))</f>
        <v/>
      </c>
    </row>
    <row r="4043" ht="15" customHeight="1" s="1">
      <c r="P4043">
        <f>IF(OR(F4043="",H4043="",J4043=""),"",J4043&amp;"|"&amp;F4043&amp;"|"&amp;IF(H4043="W3","W3_"&amp;IF(I4043="","unknown",I4043),H4043))</f>
        <v/>
      </c>
      <c r="Q4043">
        <f>IF(P4043="","",IFERROR(IF(AND(H4043="W7",OR(F4043="causal",F4043="predictive")),IF(AND(OR(K4043=1,K4043="1"),OR(L4043=1,L4043="1"),OR(M4043=1,M4043="1")),"adequate","partial"),IF(AND(H4043="W4",F4043="predictive",OR(J4043="P2",J4043="P3",J4043="P4")),IF(OR(U4043=1,U4043="1"),"adequate","partial"),INDEX(Fit_Matrix!$B:$B,MATCH(P4043,Fit_Matrix!$A:$A,0)))),"CHECK KEY"))</f>
        <v/>
      </c>
      <c r="U4043" s="10" t="n"/>
      <c r="V4043" s="10" t="n"/>
      <c r="W4043" s="10" t="n"/>
      <c r="X4043" s="10" t="n"/>
      <c r="Y4043" s="10" t="n"/>
      <c r="Z4043" s="10" t="n"/>
      <c r="AA4043" s="11">
        <f>IF(A4043="","",IF(AND(J4043="P4",F4043="causal"),"P4-CAUSAL",""))</f>
        <v/>
      </c>
    </row>
    <row r="4044" ht="15" customHeight="1" s="1">
      <c r="P4044">
        <f>IF(OR(F4044="",H4044="",J4044=""),"",J4044&amp;"|"&amp;F4044&amp;"|"&amp;IF(H4044="W3","W3_"&amp;IF(I4044="","unknown",I4044),H4044))</f>
        <v/>
      </c>
      <c r="Q4044">
        <f>IF(P4044="","",IFERROR(IF(AND(H4044="W7",OR(F4044="causal",F4044="predictive")),IF(AND(OR(K4044=1,K4044="1"),OR(L4044=1,L4044="1"),OR(M4044=1,M4044="1")),"adequate","partial"),IF(AND(H4044="W4",F4044="predictive",OR(J4044="P2",J4044="P3",J4044="P4")),IF(OR(U4044=1,U4044="1"),"adequate","partial"),INDEX(Fit_Matrix!$B:$B,MATCH(P4044,Fit_Matrix!$A:$A,0)))),"CHECK KEY"))</f>
        <v/>
      </c>
      <c r="U4044" s="10" t="n"/>
      <c r="V4044" s="10" t="n"/>
      <c r="W4044" s="10" t="n"/>
      <c r="X4044" s="10" t="n"/>
      <c r="Y4044" s="10" t="n"/>
      <c r="Z4044" s="10" t="n"/>
      <c r="AA4044" s="11">
        <f>IF(A4044="","",IF(AND(J4044="P4",F4044="causal"),"P4-CAUSAL",""))</f>
        <v/>
      </c>
    </row>
    <row r="4045" ht="15" customHeight="1" s="1">
      <c r="P4045">
        <f>IF(OR(F4045="",H4045="",J4045=""),"",J4045&amp;"|"&amp;F4045&amp;"|"&amp;IF(H4045="W3","W3_"&amp;IF(I4045="","unknown",I4045),H4045))</f>
        <v/>
      </c>
      <c r="Q4045">
        <f>IF(P4045="","",IFERROR(IF(AND(H4045="W7",OR(F4045="causal",F4045="predictive")),IF(AND(OR(K4045=1,K4045="1"),OR(L4045=1,L4045="1"),OR(M4045=1,M4045="1")),"adequate","partial"),IF(AND(H4045="W4",F4045="predictive",OR(J4045="P2",J4045="P3",J4045="P4")),IF(OR(U4045=1,U4045="1"),"adequate","partial"),INDEX(Fit_Matrix!$B:$B,MATCH(P4045,Fit_Matrix!$A:$A,0)))),"CHECK KEY"))</f>
        <v/>
      </c>
      <c r="U4045" s="10" t="n"/>
      <c r="V4045" s="10" t="n"/>
      <c r="W4045" s="10" t="n"/>
      <c r="X4045" s="10" t="n"/>
      <c r="Y4045" s="10" t="n"/>
      <c r="Z4045" s="10" t="n"/>
      <c r="AA4045" s="11">
        <f>IF(A4045="","",IF(AND(J4045="P4",F4045="causal"),"P4-CAUSAL",""))</f>
        <v/>
      </c>
    </row>
    <row r="4046" ht="15" customHeight="1" s="1">
      <c r="P4046">
        <f>IF(OR(F4046="",H4046="",J4046=""),"",J4046&amp;"|"&amp;F4046&amp;"|"&amp;IF(H4046="W3","W3_"&amp;IF(I4046="","unknown",I4046),H4046))</f>
        <v/>
      </c>
      <c r="Q4046">
        <f>IF(P4046="","",IFERROR(IF(AND(H4046="W7",OR(F4046="causal",F4046="predictive")),IF(AND(OR(K4046=1,K4046="1"),OR(L4046=1,L4046="1"),OR(M4046=1,M4046="1")),"adequate","partial"),IF(AND(H4046="W4",F4046="predictive",OR(J4046="P2",J4046="P3",J4046="P4")),IF(OR(U4046=1,U4046="1"),"adequate","partial"),INDEX(Fit_Matrix!$B:$B,MATCH(P4046,Fit_Matrix!$A:$A,0)))),"CHECK KEY"))</f>
        <v/>
      </c>
      <c r="U4046" s="10" t="n"/>
      <c r="V4046" s="10" t="n"/>
      <c r="W4046" s="10" t="n"/>
      <c r="X4046" s="10" t="n"/>
      <c r="Y4046" s="10" t="n"/>
      <c r="Z4046" s="10" t="n"/>
      <c r="AA4046" s="11">
        <f>IF(A4046="","",IF(AND(J4046="P4",F4046="causal"),"P4-CAUSAL",""))</f>
        <v/>
      </c>
    </row>
    <row r="4047" ht="15" customHeight="1" s="1">
      <c r="P4047">
        <f>IF(OR(F4047="",H4047="",J4047=""),"",J4047&amp;"|"&amp;F4047&amp;"|"&amp;IF(H4047="W3","W3_"&amp;IF(I4047="","unknown",I4047),H4047))</f>
        <v/>
      </c>
      <c r="Q4047">
        <f>IF(P4047="","",IFERROR(IF(AND(H4047="W7",OR(F4047="causal",F4047="predictive")),IF(AND(OR(K4047=1,K4047="1"),OR(L4047=1,L4047="1"),OR(M4047=1,M4047="1")),"adequate","partial"),IF(AND(H4047="W4",F4047="predictive",OR(J4047="P2",J4047="P3",J4047="P4")),IF(OR(U4047=1,U4047="1"),"adequate","partial"),INDEX(Fit_Matrix!$B:$B,MATCH(P4047,Fit_Matrix!$A:$A,0)))),"CHECK KEY"))</f>
        <v/>
      </c>
      <c r="U4047" s="10" t="n"/>
      <c r="V4047" s="10" t="n"/>
      <c r="W4047" s="10" t="n"/>
      <c r="X4047" s="10" t="n"/>
      <c r="Y4047" s="10" t="n"/>
      <c r="Z4047" s="10" t="n"/>
      <c r="AA4047" s="11">
        <f>IF(A4047="","",IF(AND(J4047="P4",F4047="causal"),"P4-CAUSAL",""))</f>
        <v/>
      </c>
    </row>
    <row r="4048" ht="15" customHeight="1" s="1">
      <c r="P4048">
        <f>IF(OR(F4048="",H4048="",J4048=""),"",J4048&amp;"|"&amp;F4048&amp;"|"&amp;IF(H4048="W3","W3_"&amp;IF(I4048="","unknown",I4048),H4048))</f>
        <v/>
      </c>
      <c r="Q4048">
        <f>IF(P4048="","",IFERROR(IF(AND(H4048="W7",OR(F4048="causal",F4048="predictive")),IF(AND(OR(K4048=1,K4048="1"),OR(L4048=1,L4048="1"),OR(M4048=1,M4048="1")),"adequate","partial"),IF(AND(H4048="W4",F4048="predictive",OR(J4048="P2",J4048="P3",J4048="P4")),IF(OR(U4048=1,U4048="1"),"adequate","partial"),INDEX(Fit_Matrix!$B:$B,MATCH(P4048,Fit_Matrix!$A:$A,0)))),"CHECK KEY"))</f>
        <v/>
      </c>
      <c r="U4048" s="10" t="n"/>
      <c r="V4048" s="10" t="n"/>
      <c r="W4048" s="10" t="n"/>
      <c r="X4048" s="10" t="n"/>
      <c r="Y4048" s="10" t="n"/>
      <c r="Z4048" s="10" t="n"/>
      <c r="AA4048" s="11">
        <f>IF(A4048="","",IF(AND(J4048="P4",F4048="causal"),"P4-CAUSAL",""))</f>
        <v/>
      </c>
    </row>
    <row r="4049" ht="15" customHeight="1" s="1">
      <c r="P4049">
        <f>IF(OR(F4049="",H4049="",J4049=""),"",J4049&amp;"|"&amp;F4049&amp;"|"&amp;IF(H4049="W3","W3_"&amp;IF(I4049="","unknown",I4049),H4049))</f>
        <v/>
      </c>
      <c r="Q4049">
        <f>IF(P4049="","",IFERROR(IF(AND(H4049="W7",OR(F4049="causal",F4049="predictive")),IF(AND(OR(K4049=1,K4049="1"),OR(L4049=1,L4049="1"),OR(M4049=1,M4049="1")),"adequate","partial"),IF(AND(H4049="W4",F4049="predictive",OR(J4049="P2",J4049="P3",J4049="P4")),IF(OR(U4049=1,U4049="1"),"adequate","partial"),INDEX(Fit_Matrix!$B:$B,MATCH(P4049,Fit_Matrix!$A:$A,0)))),"CHECK KEY"))</f>
        <v/>
      </c>
      <c r="U4049" s="10" t="n"/>
      <c r="V4049" s="10" t="n"/>
      <c r="W4049" s="10" t="n"/>
      <c r="X4049" s="10" t="n"/>
      <c r="Y4049" s="10" t="n"/>
      <c r="Z4049" s="10" t="n"/>
      <c r="AA4049" s="11">
        <f>IF(A4049="","",IF(AND(J4049="P4",F4049="causal"),"P4-CAUSAL",""))</f>
        <v/>
      </c>
    </row>
    <row r="4050" ht="15" customHeight="1" s="1">
      <c r="P4050">
        <f>IF(OR(F4050="",H4050="",J4050=""),"",J4050&amp;"|"&amp;F4050&amp;"|"&amp;IF(H4050="W3","W3_"&amp;IF(I4050="","unknown",I4050),H4050))</f>
        <v/>
      </c>
      <c r="Q4050">
        <f>IF(P4050="","",IFERROR(IF(AND(H4050="W7",OR(F4050="causal",F4050="predictive")),IF(AND(OR(K4050=1,K4050="1"),OR(L4050=1,L4050="1"),OR(M4050=1,M4050="1")),"adequate","partial"),IF(AND(H4050="W4",F4050="predictive",OR(J4050="P2",J4050="P3",J4050="P4")),IF(OR(U4050=1,U4050="1"),"adequate","partial"),INDEX(Fit_Matrix!$B:$B,MATCH(P4050,Fit_Matrix!$A:$A,0)))),"CHECK KEY"))</f>
        <v/>
      </c>
      <c r="U4050" s="10" t="n"/>
      <c r="V4050" s="10" t="n"/>
      <c r="W4050" s="10" t="n"/>
      <c r="X4050" s="10" t="n"/>
      <c r="Y4050" s="10" t="n"/>
      <c r="Z4050" s="10" t="n"/>
      <c r="AA4050" s="11">
        <f>IF(A4050="","",IF(AND(J4050="P4",F4050="causal"),"P4-CAUSAL",""))</f>
        <v/>
      </c>
    </row>
    <row r="4051" ht="15" customHeight="1" s="1">
      <c r="P4051">
        <f>IF(OR(F4051="",H4051="",J4051=""),"",J4051&amp;"|"&amp;F4051&amp;"|"&amp;IF(H4051="W3","W3_"&amp;IF(I4051="","unknown",I4051),H4051))</f>
        <v/>
      </c>
      <c r="Q4051">
        <f>IF(P4051="","",IFERROR(IF(AND(H4051="W7",OR(F4051="causal",F4051="predictive")),IF(AND(OR(K4051=1,K4051="1"),OR(L4051=1,L4051="1"),OR(M4051=1,M4051="1")),"adequate","partial"),IF(AND(H4051="W4",F4051="predictive",OR(J4051="P2",J4051="P3",J4051="P4")),IF(OR(U4051=1,U4051="1"),"adequate","partial"),INDEX(Fit_Matrix!$B:$B,MATCH(P4051,Fit_Matrix!$A:$A,0)))),"CHECK KEY"))</f>
        <v/>
      </c>
      <c r="U4051" s="10" t="n"/>
      <c r="V4051" s="10" t="n"/>
      <c r="W4051" s="10" t="n"/>
      <c r="X4051" s="10" t="n"/>
      <c r="Y4051" s="10" t="n"/>
      <c r="Z4051" s="10" t="n"/>
      <c r="AA4051" s="11">
        <f>IF(A4051="","",IF(AND(J4051="P4",F4051="causal"),"P4-CAUSAL",""))</f>
        <v/>
      </c>
    </row>
    <row r="4052" ht="15" customHeight="1" s="1">
      <c r="P4052">
        <f>IF(OR(F4052="",H4052="",J4052=""),"",J4052&amp;"|"&amp;F4052&amp;"|"&amp;IF(H4052="W3","W3_"&amp;IF(I4052="","unknown",I4052),H4052))</f>
        <v/>
      </c>
      <c r="Q4052">
        <f>IF(P4052="","",IFERROR(IF(AND(H4052="W7",OR(F4052="causal",F4052="predictive")),IF(AND(OR(K4052=1,K4052="1"),OR(L4052=1,L4052="1"),OR(M4052=1,M4052="1")),"adequate","partial"),IF(AND(H4052="W4",F4052="predictive",OR(J4052="P2",J4052="P3",J4052="P4")),IF(OR(U4052=1,U4052="1"),"adequate","partial"),INDEX(Fit_Matrix!$B:$B,MATCH(P4052,Fit_Matrix!$A:$A,0)))),"CHECK KEY"))</f>
        <v/>
      </c>
      <c r="U4052" s="10" t="n"/>
      <c r="V4052" s="10" t="n"/>
      <c r="W4052" s="10" t="n"/>
      <c r="X4052" s="10" t="n"/>
      <c r="Y4052" s="10" t="n"/>
      <c r="Z4052" s="10" t="n"/>
      <c r="AA4052" s="11">
        <f>IF(A4052="","",IF(AND(J4052="P4",F4052="causal"),"P4-CAUSAL",""))</f>
        <v/>
      </c>
    </row>
    <row r="4053" ht="15" customHeight="1" s="1">
      <c r="P4053">
        <f>IF(OR(F4053="",H4053="",J4053=""),"",J4053&amp;"|"&amp;F4053&amp;"|"&amp;IF(H4053="W3","W3_"&amp;IF(I4053="","unknown",I4053),H4053))</f>
        <v/>
      </c>
      <c r="Q4053">
        <f>IF(P4053="","",IFERROR(IF(AND(H4053="W7",OR(F4053="causal",F4053="predictive")),IF(AND(OR(K4053=1,K4053="1"),OR(L4053=1,L4053="1"),OR(M4053=1,M4053="1")),"adequate","partial"),IF(AND(H4053="W4",F4053="predictive",OR(J4053="P2",J4053="P3",J4053="P4")),IF(OR(U4053=1,U4053="1"),"adequate","partial"),INDEX(Fit_Matrix!$B:$B,MATCH(P4053,Fit_Matrix!$A:$A,0)))),"CHECK KEY"))</f>
        <v/>
      </c>
      <c r="U4053" s="10" t="n"/>
      <c r="V4053" s="10" t="n"/>
      <c r="W4053" s="10" t="n"/>
      <c r="X4053" s="10" t="n"/>
      <c r="Y4053" s="10" t="n"/>
      <c r="Z4053" s="10" t="n"/>
      <c r="AA4053" s="11">
        <f>IF(A4053="","",IF(AND(J4053="P4",F4053="causal"),"P4-CAUSAL",""))</f>
        <v/>
      </c>
    </row>
    <row r="4054" ht="15" customHeight="1" s="1">
      <c r="P4054">
        <f>IF(OR(F4054="",H4054="",J4054=""),"",J4054&amp;"|"&amp;F4054&amp;"|"&amp;IF(H4054="W3","W3_"&amp;IF(I4054="","unknown",I4054),H4054))</f>
        <v/>
      </c>
      <c r="Q4054">
        <f>IF(P4054="","",IFERROR(IF(AND(H4054="W7",OR(F4054="causal",F4054="predictive")),IF(AND(OR(K4054=1,K4054="1"),OR(L4054=1,L4054="1"),OR(M4054=1,M4054="1")),"adequate","partial"),IF(AND(H4054="W4",F4054="predictive",OR(J4054="P2",J4054="P3",J4054="P4")),IF(OR(U4054=1,U4054="1"),"adequate","partial"),INDEX(Fit_Matrix!$B:$B,MATCH(P4054,Fit_Matrix!$A:$A,0)))),"CHECK KEY"))</f>
        <v/>
      </c>
      <c r="U4054" s="10" t="n"/>
      <c r="V4054" s="10" t="n"/>
      <c r="W4054" s="10" t="n"/>
      <c r="X4054" s="10" t="n"/>
      <c r="Y4054" s="10" t="n"/>
      <c r="Z4054" s="10" t="n"/>
      <c r="AA4054" s="11">
        <f>IF(A4054="","",IF(AND(J4054="P4",F4054="causal"),"P4-CAUSAL",""))</f>
        <v/>
      </c>
    </row>
    <row r="4055" ht="15" customHeight="1" s="1">
      <c r="P4055">
        <f>IF(OR(F4055="",H4055="",J4055=""),"",J4055&amp;"|"&amp;F4055&amp;"|"&amp;IF(H4055="W3","W3_"&amp;IF(I4055="","unknown",I4055),H4055))</f>
        <v/>
      </c>
      <c r="Q4055">
        <f>IF(P4055="","",IFERROR(IF(AND(H4055="W7",OR(F4055="causal",F4055="predictive")),IF(AND(OR(K4055=1,K4055="1"),OR(L4055=1,L4055="1"),OR(M4055=1,M4055="1")),"adequate","partial"),IF(AND(H4055="W4",F4055="predictive",OR(J4055="P2",J4055="P3",J4055="P4")),IF(OR(U4055=1,U4055="1"),"adequate","partial"),INDEX(Fit_Matrix!$B:$B,MATCH(P4055,Fit_Matrix!$A:$A,0)))),"CHECK KEY"))</f>
        <v/>
      </c>
      <c r="U4055" s="10" t="n"/>
      <c r="V4055" s="10" t="n"/>
      <c r="W4055" s="10" t="n"/>
      <c r="X4055" s="10" t="n"/>
      <c r="Y4055" s="10" t="n"/>
      <c r="Z4055" s="10" t="n"/>
      <c r="AA4055" s="11">
        <f>IF(A4055="","",IF(AND(J4055="P4",F4055="causal"),"P4-CAUSAL",""))</f>
        <v/>
      </c>
    </row>
    <row r="4056" ht="15" customHeight="1" s="1">
      <c r="P4056">
        <f>IF(OR(F4056="",H4056="",J4056=""),"",J4056&amp;"|"&amp;F4056&amp;"|"&amp;IF(H4056="W3","W3_"&amp;IF(I4056="","unknown",I4056),H4056))</f>
        <v/>
      </c>
      <c r="Q4056">
        <f>IF(P4056="","",IFERROR(IF(AND(H4056="W7",OR(F4056="causal",F4056="predictive")),IF(AND(OR(K4056=1,K4056="1"),OR(L4056=1,L4056="1"),OR(M4056=1,M4056="1")),"adequate","partial"),IF(AND(H4056="W4",F4056="predictive",OR(J4056="P2",J4056="P3",J4056="P4")),IF(OR(U4056=1,U4056="1"),"adequate","partial"),INDEX(Fit_Matrix!$B:$B,MATCH(P4056,Fit_Matrix!$A:$A,0)))),"CHECK KEY"))</f>
        <v/>
      </c>
      <c r="U4056" s="10" t="n"/>
      <c r="V4056" s="10" t="n"/>
      <c r="W4056" s="10" t="n"/>
      <c r="X4056" s="10" t="n"/>
      <c r="Y4056" s="10" t="n"/>
      <c r="Z4056" s="10" t="n"/>
      <c r="AA4056" s="11">
        <f>IF(A4056="","",IF(AND(J4056="P4",F4056="causal"),"P4-CAUSAL",""))</f>
        <v/>
      </c>
    </row>
    <row r="4057" ht="15" customHeight="1" s="1">
      <c r="P4057">
        <f>IF(OR(F4057="",H4057="",J4057=""),"",J4057&amp;"|"&amp;F4057&amp;"|"&amp;IF(H4057="W3","W3_"&amp;IF(I4057="","unknown",I4057),H4057))</f>
        <v/>
      </c>
      <c r="Q4057">
        <f>IF(P4057="","",IFERROR(IF(AND(H4057="W7",OR(F4057="causal",F4057="predictive")),IF(AND(OR(K4057=1,K4057="1"),OR(L4057=1,L4057="1"),OR(M4057=1,M4057="1")),"adequate","partial"),IF(AND(H4057="W4",F4057="predictive",OR(J4057="P2",J4057="P3",J4057="P4")),IF(OR(U4057=1,U4057="1"),"adequate","partial"),INDEX(Fit_Matrix!$B:$B,MATCH(P4057,Fit_Matrix!$A:$A,0)))),"CHECK KEY"))</f>
        <v/>
      </c>
      <c r="U4057" s="10" t="n"/>
      <c r="V4057" s="10" t="n"/>
      <c r="W4057" s="10" t="n"/>
      <c r="X4057" s="10" t="n"/>
      <c r="Y4057" s="10" t="n"/>
      <c r="Z4057" s="10" t="n"/>
      <c r="AA4057" s="11">
        <f>IF(A4057="","",IF(AND(J4057="P4",F4057="causal"),"P4-CAUSAL",""))</f>
        <v/>
      </c>
    </row>
    <row r="4058" ht="15" customHeight="1" s="1">
      <c r="P4058">
        <f>IF(OR(F4058="",H4058="",J4058=""),"",J4058&amp;"|"&amp;F4058&amp;"|"&amp;IF(H4058="W3","W3_"&amp;IF(I4058="","unknown",I4058),H4058))</f>
        <v/>
      </c>
      <c r="Q4058">
        <f>IF(P4058="","",IFERROR(IF(AND(H4058="W7",OR(F4058="causal",F4058="predictive")),IF(AND(OR(K4058=1,K4058="1"),OR(L4058=1,L4058="1"),OR(M4058=1,M4058="1")),"adequate","partial"),IF(AND(H4058="W4",F4058="predictive",OR(J4058="P2",J4058="P3",J4058="P4")),IF(OR(U4058=1,U4058="1"),"adequate","partial"),INDEX(Fit_Matrix!$B:$B,MATCH(P4058,Fit_Matrix!$A:$A,0)))),"CHECK KEY"))</f>
        <v/>
      </c>
      <c r="U4058" s="10" t="n"/>
      <c r="V4058" s="10" t="n"/>
      <c r="W4058" s="10" t="n"/>
      <c r="X4058" s="10" t="n"/>
      <c r="Y4058" s="10" t="n"/>
      <c r="Z4058" s="10" t="n"/>
      <c r="AA4058" s="11">
        <f>IF(A4058="","",IF(AND(J4058="P4",F4058="causal"),"P4-CAUSAL",""))</f>
        <v/>
      </c>
    </row>
    <row r="4059" ht="15" customHeight="1" s="1">
      <c r="P4059">
        <f>IF(OR(F4059="",H4059="",J4059=""),"",J4059&amp;"|"&amp;F4059&amp;"|"&amp;IF(H4059="W3","W3_"&amp;IF(I4059="","unknown",I4059),H4059))</f>
        <v/>
      </c>
      <c r="Q4059">
        <f>IF(P4059="","",IFERROR(IF(AND(H4059="W7",OR(F4059="causal",F4059="predictive")),IF(AND(OR(K4059=1,K4059="1"),OR(L4059=1,L4059="1"),OR(M4059=1,M4059="1")),"adequate","partial"),IF(AND(H4059="W4",F4059="predictive",OR(J4059="P2",J4059="P3",J4059="P4")),IF(OR(U4059=1,U4059="1"),"adequate","partial"),INDEX(Fit_Matrix!$B:$B,MATCH(P4059,Fit_Matrix!$A:$A,0)))),"CHECK KEY"))</f>
        <v/>
      </c>
      <c r="U4059" s="10" t="n"/>
      <c r="V4059" s="10" t="n"/>
      <c r="W4059" s="10" t="n"/>
      <c r="X4059" s="10" t="n"/>
      <c r="Y4059" s="10" t="n"/>
      <c r="Z4059" s="10" t="n"/>
      <c r="AA4059" s="11">
        <f>IF(A4059="","",IF(AND(J4059="P4",F4059="causal"),"P4-CAUSAL",""))</f>
        <v/>
      </c>
    </row>
    <row r="4060" ht="15" customHeight="1" s="1">
      <c r="P4060">
        <f>IF(OR(F4060="",H4060="",J4060=""),"",J4060&amp;"|"&amp;F4060&amp;"|"&amp;IF(H4060="W3","W3_"&amp;IF(I4060="","unknown",I4060),H4060))</f>
        <v/>
      </c>
      <c r="Q4060">
        <f>IF(P4060="","",IFERROR(IF(AND(H4060="W7",OR(F4060="causal",F4060="predictive")),IF(AND(OR(K4060=1,K4060="1"),OR(L4060=1,L4060="1"),OR(M4060=1,M4060="1")),"adequate","partial"),IF(AND(H4060="W4",F4060="predictive",OR(J4060="P2",J4060="P3",J4060="P4")),IF(OR(U4060=1,U4060="1"),"adequate","partial"),INDEX(Fit_Matrix!$B:$B,MATCH(P4060,Fit_Matrix!$A:$A,0)))),"CHECK KEY"))</f>
        <v/>
      </c>
      <c r="U4060" s="10" t="n"/>
      <c r="V4060" s="10" t="n"/>
      <c r="W4060" s="10" t="n"/>
      <c r="X4060" s="10" t="n"/>
      <c r="Y4060" s="10" t="n"/>
      <c r="Z4060" s="10" t="n"/>
      <c r="AA4060" s="11">
        <f>IF(A4060="","",IF(AND(J4060="P4",F4060="causal"),"P4-CAUSAL",""))</f>
        <v/>
      </c>
    </row>
    <row r="4061" ht="15" customHeight="1" s="1">
      <c r="P4061">
        <f>IF(OR(F4061="",H4061="",J4061=""),"",J4061&amp;"|"&amp;F4061&amp;"|"&amp;IF(H4061="W3","W3_"&amp;IF(I4061="","unknown",I4061),H4061))</f>
        <v/>
      </c>
      <c r="Q4061">
        <f>IF(P4061="","",IFERROR(IF(AND(H4061="W7",OR(F4061="causal",F4061="predictive")),IF(AND(OR(K4061=1,K4061="1"),OR(L4061=1,L4061="1"),OR(M4061=1,M4061="1")),"adequate","partial"),IF(AND(H4061="W4",F4061="predictive",OR(J4061="P2",J4061="P3",J4061="P4")),IF(OR(U4061=1,U4061="1"),"adequate","partial"),INDEX(Fit_Matrix!$B:$B,MATCH(P4061,Fit_Matrix!$A:$A,0)))),"CHECK KEY"))</f>
        <v/>
      </c>
      <c r="U4061" s="10" t="n"/>
      <c r="V4061" s="10" t="n"/>
      <c r="W4061" s="10" t="n"/>
      <c r="X4061" s="10" t="n"/>
      <c r="Y4061" s="10" t="n"/>
      <c r="Z4061" s="10" t="n"/>
      <c r="AA4061" s="11">
        <f>IF(A4061="","",IF(AND(J4061="P4",F4061="causal"),"P4-CAUSAL",""))</f>
        <v/>
      </c>
    </row>
    <row r="4062" ht="15" customHeight="1" s="1">
      <c r="P4062">
        <f>IF(OR(F4062="",H4062="",J4062=""),"",J4062&amp;"|"&amp;F4062&amp;"|"&amp;IF(H4062="W3","W3_"&amp;IF(I4062="","unknown",I4062),H4062))</f>
        <v/>
      </c>
      <c r="Q4062">
        <f>IF(P4062="","",IFERROR(IF(AND(H4062="W7",OR(F4062="causal",F4062="predictive")),IF(AND(OR(K4062=1,K4062="1"),OR(L4062=1,L4062="1"),OR(M4062=1,M4062="1")),"adequate","partial"),IF(AND(H4062="W4",F4062="predictive",OR(J4062="P2",J4062="P3",J4062="P4")),IF(OR(U4062=1,U4062="1"),"adequate","partial"),INDEX(Fit_Matrix!$B:$B,MATCH(P4062,Fit_Matrix!$A:$A,0)))),"CHECK KEY"))</f>
        <v/>
      </c>
      <c r="U4062" s="10" t="n"/>
      <c r="V4062" s="10" t="n"/>
      <c r="W4062" s="10" t="n"/>
      <c r="X4062" s="10" t="n"/>
      <c r="Y4062" s="10" t="n"/>
      <c r="Z4062" s="10" t="n"/>
      <c r="AA4062" s="11">
        <f>IF(A4062="","",IF(AND(J4062="P4",F4062="causal"),"P4-CAUSAL",""))</f>
        <v/>
      </c>
    </row>
    <row r="4063" ht="15" customHeight="1" s="1">
      <c r="P4063">
        <f>IF(OR(F4063="",H4063="",J4063=""),"",J4063&amp;"|"&amp;F4063&amp;"|"&amp;IF(H4063="W3","W3_"&amp;IF(I4063="","unknown",I4063),H4063))</f>
        <v/>
      </c>
      <c r="Q4063">
        <f>IF(P4063="","",IFERROR(IF(AND(H4063="W7",OR(F4063="causal",F4063="predictive")),IF(AND(OR(K4063=1,K4063="1"),OR(L4063=1,L4063="1"),OR(M4063=1,M4063="1")),"adequate","partial"),IF(AND(H4063="W4",F4063="predictive",OR(J4063="P2",J4063="P3",J4063="P4")),IF(OR(U4063=1,U4063="1"),"adequate","partial"),INDEX(Fit_Matrix!$B:$B,MATCH(P4063,Fit_Matrix!$A:$A,0)))),"CHECK KEY"))</f>
        <v/>
      </c>
      <c r="U4063" s="10" t="n"/>
      <c r="V4063" s="10" t="n"/>
      <c r="W4063" s="10" t="n"/>
      <c r="X4063" s="10" t="n"/>
      <c r="Y4063" s="10" t="n"/>
      <c r="Z4063" s="10" t="n"/>
      <c r="AA4063" s="11">
        <f>IF(A4063="","",IF(AND(J4063="P4",F4063="causal"),"P4-CAUSAL",""))</f>
        <v/>
      </c>
    </row>
    <row r="4064" ht="15" customHeight="1" s="1">
      <c r="P4064">
        <f>IF(OR(F4064="",H4064="",J4064=""),"",J4064&amp;"|"&amp;F4064&amp;"|"&amp;IF(H4064="W3","W3_"&amp;IF(I4064="","unknown",I4064),H4064))</f>
        <v/>
      </c>
      <c r="Q4064">
        <f>IF(P4064="","",IFERROR(IF(AND(H4064="W7",OR(F4064="causal",F4064="predictive")),IF(AND(OR(K4064=1,K4064="1"),OR(L4064=1,L4064="1"),OR(M4064=1,M4064="1")),"adequate","partial"),IF(AND(H4064="W4",F4064="predictive",OR(J4064="P2",J4064="P3",J4064="P4")),IF(OR(U4064=1,U4064="1"),"adequate","partial"),INDEX(Fit_Matrix!$B:$B,MATCH(P4064,Fit_Matrix!$A:$A,0)))),"CHECK KEY"))</f>
        <v/>
      </c>
      <c r="U4064" s="10" t="n"/>
      <c r="V4064" s="10" t="n"/>
      <c r="W4064" s="10" t="n"/>
      <c r="X4064" s="10" t="n"/>
      <c r="Y4064" s="10" t="n"/>
      <c r="Z4064" s="10" t="n"/>
      <c r="AA4064" s="11">
        <f>IF(A4064="","",IF(AND(J4064="P4",F4064="causal"),"P4-CAUSAL",""))</f>
        <v/>
      </c>
    </row>
    <row r="4065" ht="15" customHeight="1" s="1">
      <c r="P4065">
        <f>IF(OR(F4065="",H4065="",J4065=""),"",J4065&amp;"|"&amp;F4065&amp;"|"&amp;IF(H4065="W3","W3_"&amp;IF(I4065="","unknown",I4065),H4065))</f>
        <v/>
      </c>
      <c r="Q4065">
        <f>IF(P4065="","",IFERROR(IF(AND(H4065="W7",OR(F4065="causal",F4065="predictive")),IF(AND(OR(K4065=1,K4065="1"),OR(L4065=1,L4065="1"),OR(M4065=1,M4065="1")),"adequate","partial"),IF(AND(H4065="W4",F4065="predictive",OR(J4065="P2",J4065="P3",J4065="P4")),IF(OR(U4065=1,U4065="1"),"adequate","partial"),INDEX(Fit_Matrix!$B:$B,MATCH(P4065,Fit_Matrix!$A:$A,0)))),"CHECK KEY"))</f>
        <v/>
      </c>
      <c r="U4065" s="10" t="n"/>
      <c r="V4065" s="10" t="n"/>
      <c r="W4065" s="10" t="n"/>
      <c r="X4065" s="10" t="n"/>
      <c r="Y4065" s="10" t="n"/>
      <c r="Z4065" s="10" t="n"/>
      <c r="AA4065" s="11">
        <f>IF(A4065="","",IF(AND(J4065="P4",F4065="causal"),"P4-CAUSAL",""))</f>
        <v/>
      </c>
    </row>
    <row r="4066" ht="15" customHeight="1" s="1">
      <c r="P4066">
        <f>IF(OR(F4066="",H4066="",J4066=""),"",J4066&amp;"|"&amp;F4066&amp;"|"&amp;IF(H4066="W3","W3_"&amp;IF(I4066="","unknown",I4066),H4066))</f>
        <v/>
      </c>
      <c r="Q4066">
        <f>IF(P4066="","",IFERROR(IF(AND(H4066="W7",OR(F4066="causal",F4066="predictive")),IF(AND(OR(K4066=1,K4066="1"),OR(L4066=1,L4066="1"),OR(M4066=1,M4066="1")),"adequate","partial"),IF(AND(H4066="W4",F4066="predictive",OR(J4066="P2",J4066="P3",J4066="P4")),IF(OR(U4066=1,U4066="1"),"adequate","partial"),INDEX(Fit_Matrix!$B:$B,MATCH(P4066,Fit_Matrix!$A:$A,0)))),"CHECK KEY"))</f>
        <v/>
      </c>
      <c r="U4066" s="10" t="n"/>
      <c r="V4066" s="10" t="n"/>
      <c r="W4066" s="10" t="n"/>
      <c r="X4066" s="10" t="n"/>
      <c r="Y4066" s="10" t="n"/>
      <c r="Z4066" s="10" t="n"/>
      <c r="AA4066" s="11">
        <f>IF(A4066="","",IF(AND(J4066="P4",F4066="causal"),"P4-CAUSAL",""))</f>
        <v/>
      </c>
    </row>
    <row r="4067" ht="15" customHeight="1" s="1">
      <c r="P4067">
        <f>IF(OR(F4067="",H4067="",J4067=""),"",J4067&amp;"|"&amp;F4067&amp;"|"&amp;IF(H4067="W3","W3_"&amp;IF(I4067="","unknown",I4067),H4067))</f>
        <v/>
      </c>
      <c r="Q4067">
        <f>IF(P4067="","",IFERROR(IF(AND(H4067="W7",OR(F4067="causal",F4067="predictive")),IF(AND(OR(K4067=1,K4067="1"),OR(L4067=1,L4067="1"),OR(M4067=1,M4067="1")),"adequate","partial"),IF(AND(H4067="W4",F4067="predictive",OR(J4067="P2",J4067="P3",J4067="P4")),IF(OR(U4067=1,U4067="1"),"adequate","partial"),INDEX(Fit_Matrix!$B:$B,MATCH(P4067,Fit_Matrix!$A:$A,0)))),"CHECK KEY"))</f>
        <v/>
      </c>
      <c r="U4067" s="10" t="n"/>
      <c r="V4067" s="10" t="n"/>
      <c r="W4067" s="10" t="n"/>
      <c r="X4067" s="10" t="n"/>
      <c r="Y4067" s="10" t="n"/>
      <c r="Z4067" s="10" t="n"/>
      <c r="AA4067" s="11">
        <f>IF(A4067="","",IF(AND(J4067="P4",F4067="causal"),"P4-CAUSAL",""))</f>
        <v/>
      </c>
    </row>
    <row r="4068" ht="15" customHeight="1" s="1">
      <c r="P4068">
        <f>IF(OR(F4068="",H4068="",J4068=""),"",J4068&amp;"|"&amp;F4068&amp;"|"&amp;IF(H4068="W3","W3_"&amp;IF(I4068="","unknown",I4068),H4068))</f>
        <v/>
      </c>
      <c r="Q4068">
        <f>IF(P4068="","",IFERROR(IF(AND(H4068="W7",OR(F4068="causal",F4068="predictive")),IF(AND(OR(K4068=1,K4068="1"),OR(L4068=1,L4068="1"),OR(M4068=1,M4068="1")),"adequate","partial"),IF(AND(H4068="W4",F4068="predictive",OR(J4068="P2",J4068="P3",J4068="P4")),IF(OR(U4068=1,U4068="1"),"adequate","partial"),INDEX(Fit_Matrix!$B:$B,MATCH(P4068,Fit_Matrix!$A:$A,0)))),"CHECK KEY"))</f>
        <v/>
      </c>
      <c r="U4068" s="10" t="n"/>
      <c r="V4068" s="10" t="n"/>
      <c r="W4068" s="10" t="n"/>
      <c r="X4068" s="10" t="n"/>
      <c r="Y4068" s="10" t="n"/>
      <c r="Z4068" s="10" t="n"/>
      <c r="AA4068" s="11">
        <f>IF(A4068="","",IF(AND(J4068="P4",F4068="causal"),"P4-CAUSAL",""))</f>
        <v/>
      </c>
    </row>
    <row r="4069" ht="15" customHeight="1" s="1">
      <c r="P4069">
        <f>IF(OR(F4069="",H4069="",J4069=""),"",J4069&amp;"|"&amp;F4069&amp;"|"&amp;IF(H4069="W3","W3_"&amp;IF(I4069="","unknown",I4069),H4069))</f>
        <v/>
      </c>
      <c r="Q4069">
        <f>IF(P4069="","",IFERROR(IF(AND(H4069="W7",OR(F4069="causal",F4069="predictive")),IF(AND(OR(K4069=1,K4069="1"),OR(L4069=1,L4069="1"),OR(M4069=1,M4069="1")),"adequate","partial"),IF(AND(H4069="W4",F4069="predictive",OR(J4069="P2",J4069="P3",J4069="P4")),IF(OR(U4069=1,U4069="1"),"adequate","partial"),INDEX(Fit_Matrix!$B:$B,MATCH(P4069,Fit_Matrix!$A:$A,0)))),"CHECK KEY"))</f>
        <v/>
      </c>
      <c r="U4069" s="10" t="n"/>
      <c r="V4069" s="10" t="n"/>
      <c r="W4069" s="10" t="n"/>
      <c r="X4069" s="10" t="n"/>
      <c r="Y4069" s="10" t="n"/>
      <c r="Z4069" s="10" t="n"/>
      <c r="AA4069" s="11">
        <f>IF(A4069="","",IF(AND(J4069="P4",F4069="causal"),"P4-CAUSAL",""))</f>
        <v/>
      </c>
    </row>
    <row r="4070" ht="15" customHeight="1" s="1">
      <c r="P4070">
        <f>IF(OR(F4070="",H4070="",J4070=""),"",J4070&amp;"|"&amp;F4070&amp;"|"&amp;IF(H4070="W3","W3_"&amp;IF(I4070="","unknown",I4070),H4070))</f>
        <v/>
      </c>
      <c r="Q4070">
        <f>IF(P4070="","",IFERROR(IF(AND(H4070="W7",OR(F4070="causal",F4070="predictive")),IF(AND(OR(K4070=1,K4070="1"),OR(L4070=1,L4070="1"),OR(M4070=1,M4070="1")),"adequate","partial"),IF(AND(H4070="W4",F4070="predictive",OR(J4070="P2",J4070="P3",J4070="P4")),IF(OR(U4070=1,U4070="1"),"adequate","partial"),INDEX(Fit_Matrix!$B:$B,MATCH(P4070,Fit_Matrix!$A:$A,0)))),"CHECK KEY"))</f>
        <v/>
      </c>
      <c r="U4070" s="10" t="n"/>
      <c r="V4070" s="10" t="n"/>
      <c r="W4070" s="10" t="n"/>
      <c r="X4070" s="10" t="n"/>
      <c r="Y4070" s="10" t="n"/>
      <c r="Z4070" s="10" t="n"/>
      <c r="AA4070" s="11">
        <f>IF(A4070="","",IF(AND(J4070="P4",F4070="causal"),"P4-CAUSAL",""))</f>
        <v/>
      </c>
    </row>
    <row r="4071" ht="15" customHeight="1" s="1">
      <c r="P4071">
        <f>IF(OR(F4071="",H4071="",J4071=""),"",J4071&amp;"|"&amp;F4071&amp;"|"&amp;IF(H4071="W3","W3_"&amp;IF(I4071="","unknown",I4071),H4071))</f>
        <v/>
      </c>
      <c r="Q4071">
        <f>IF(P4071="","",IFERROR(IF(AND(H4071="W7",OR(F4071="causal",F4071="predictive")),IF(AND(OR(K4071=1,K4071="1"),OR(L4071=1,L4071="1"),OR(M4071=1,M4071="1")),"adequate","partial"),IF(AND(H4071="W4",F4071="predictive",OR(J4071="P2",J4071="P3",J4071="P4")),IF(OR(U4071=1,U4071="1"),"adequate","partial"),INDEX(Fit_Matrix!$B:$B,MATCH(P4071,Fit_Matrix!$A:$A,0)))),"CHECK KEY"))</f>
        <v/>
      </c>
      <c r="U4071" s="10" t="n"/>
      <c r="V4071" s="10" t="n"/>
      <c r="W4071" s="10" t="n"/>
      <c r="X4071" s="10" t="n"/>
      <c r="Y4071" s="10" t="n"/>
      <c r="Z4071" s="10" t="n"/>
      <c r="AA4071" s="11">
        <f>IF(A4071="","",IF(AND(J4071="P4",F4071="causal"),"P4-CAUSAL",""))</f>
        <v/>
      </c>
    </row>
    <row r="4072" ht="15" customHeight="1" s="1">
      <c r="P4072">
        <f>IF(OR(F4072="",H4072="",J4072=""),"",J4072&amp;"|"&amp;F4072&amp;"|"&amp;IF(H4072="W3","W3_"&amp;IF(I4072="","unknown",I4072),H4072))</f>
        <v/>
      </c>
      <c r="Q4072">
        <f>IF(P4072="","",IFERROR(IF(AND(H4072="W7",OR(F4072="causal",F4072="predictive")),IF(AND(OR(K4072=1,K4072="1"),OR(L4072=1,L4072="1"),OR(M4072=1,M4072="1")),"adequate","partial"),IF(AND(H4072="W4",F4072="predictive",OR(J4072="P2",J4072="P3",J4072="P4")),IF(OR(U4072=1,U4072="1"),"adequate","partial"),INDEX(Fit_Matrix!$B:$B,MATCH(P4072,Fit_Matrix!$A:$A,0)))),"CHECK KEY"))</f>
        <v/>
      </c>
      <c r="U4072" s="10" t="n"/>
      <c r="V4072" s="10" t="n"/>
      <c r="W4072" s="10" t="n"/>
      <c r="X4072" s="10" t="n"/>
      <c r="Y4072" s="10" t="n"/>
      <c r="Z4072" s="10" t="n"/>
      <c r="AA4072" s="11">
        <f>IF(A4072="","",IF(AND(J4072="P4",F4072="causal"),"P4-CAUSAL",""))</f>
        <v/>
      </c>
    </row>
    <row r="4073" ht="15" customHeight="1" s="1">
      <c r="P4073">
        <f>IF(OR(F4073="",H4073="",J4073=""),"",J4073&amp;"|"&amp;F4073&amp;"|"&amp;IF(H4073="W3","W3_"&amp;IF(I4073="","unknown",I4073),H4073))</f>
        <v/>
      </c>
      <c r="Q4073">
        <f>IF(P4073="","",IFERROR(IF(AND(H4073="W7",OR(F4073="causal",F4073="predictive")),IF(AND(OR(K4073=1,K4073="1"),OR(L4073=1,L4073="1"),OR(M4073=1,M4073="1")),"adequate","partial"),IF(AND(H4073="W4",F4073="predictive",OR(J4073="P2",J4073="P3",J4073="P4")),IF(OR(U4073=1,U4073="1"),"adequate","partial"),INDEX(Fit_Matrix!$B:$B,MATCH(P4073,Fit_Matrix!$A:$A,0)))),"CHECK KEY"))</f>
        <v/>
      </c>
      <c r="U4073" s="10" t="n"/>
      <c r="V4073" s="10" t="n"/>
      <c r="W4073" s="10" t="n"/>
      <c r="X4073" s="10" t="n"/>
      <c r="Y4073" s="10" t="n"/>
      <c r="Z4073" s="10" t="n"/>
      <c r="AA4073" s="11">
        <f>IF(A4073="","",IF(AND(J4073="P4",F4073="causal"),"P4-CAUSAL",""))</f>
        <v/>
      </c>
    </row>
    <row r="4074" ht="15" customHeight="1" s="1">
      <c r="P4074">
        <f>IF(OR(F4074="",H4074="",J4074=""),"",J4074&amp;"|"&amp;F4074&amp;"|"&amp;IF(H4074="W3","W3_"&amp;IF(I4074="","unknown",I4074),H4074))</f>
        <v/>
      </c>
      <c r="Q4074">
        <f>IF(P4074="","",IFERROR(IF(AND(H4074="W7",OR(F4074="causal",F4074="predictive")),IF(AND(OR(K4074=1,K4074="1"),OR(L4074=1,L4074="1"),OR(M4074=1,M4074="1")),"adequate","partial"),IF(AND(H4074="W4",F4074="predictive",OR(J4074="P2",J4074="P3",J4074="P4")),IF(OR(U4074=1,U4074="1"),"adequate","partial"),INDEX(Fit_Matrix!$B:$B,MATCH(P4074,Fit_Matrix!$A:$A,0)))),"CHECK KEY"))</f>
        <v/>
      </c>
      <c r="U4074" s="10" t="n"/>
      <c r="V4074" s="10" t="n"/>
      <c r="W4074" s="10" t="n"/>
      <c r="X4074" s="10" t="n"/>
      <c r="Y4074" s="10" t="n"/>
      <c r="Z4074" s="10" t="n"/>
      <c r="AA4074" s="11">
        <f>IF(A4074="","",IF(AND(J4074="P4",F4074="causal"),"P4-CAUSAL",""))</f>
        <v/>
      </c>
    </row>
    <row r="4075" ht="15" customHeight="1" s="1">
      <c r="P4075">
        <f>IF(OR(F4075="",H4075="",J4075=""),"",J4075&amp;"|"&amp;F4075&amp;"|"&amp;IF(H4075="W3","W3_"&amp;IF(I4075="","unknown",I4075),H4075))</f>
        <v/>
      </c>
      <c r="Q4075">
        <f>IF(P4075="","",IFERROR(IF(AND(H4075="W7",OR(F4075="causal",F4075="predictive")),IF(AND(OR(K4075=1,K4075="1"),OR(L4075=1,L4075="1"),OR(M4075=1,M4075="1")),"adequate","partial"),IF(AND(H4075="W4",F4075="predictive",OR(J4075="P2",J4075="P3",J4075="P4")),IF(OR(U4075=1,U4075="1"),"adequate","partial"),INDEX(Fit_Matrix!$B:$B,MATCH(P4075,Fit_Matrix!$A:$A,0)))),"CHECK KEY"))</f>
        <v/>
      </c>
      <c r="U4075" s="10" t="n"/>
      <c r="V4075" s="10" t="n"/>
      <c r="W4075" s="10" t="n"/>
      <c r="X4075" s="10" t="n"/>
      <c r="Y4075" s="10" t="n"/>
      <c r="Z4075" s="10" t="n"/>
      <c r="AA4075" s="11">
        <f>IF(A4075="","",IF(AND(J4075="P4",F4075="causal"),"P4-CAUSAL",""))</f>
        <v/>
      </c>
    </row>
    <row r="4076" ht="15" customHeight="1" s="1">
      <c r="P4076">
        <f>IF(OR(F4076="",H4076="",J4076=""),"",J4076&amp;"|"&amp;F4076&amp;"|"&amp;IF(H4076="W3","W3_"&amp;IF(I4076="","unknown",I4076),H4076))</f>
        <v/>
      </c>
      <c r="Q4076">
        <f>IF(P4076="","",IFERROR(IF(AND(H4076="W7",OR(F4076="causal",F4076="predictive")),IF(AND(OR(K4076=1,K4076="1"),OR(L4076=1,L4076="1"),OR(M4076=1,M4076="1")),"adequate","partial"),IF(AND(H4076="W4",F4076="predictive",OR(J4076="P2",J4076="P3",J4076="P4")),IF(OR(U4076=1,U4076="1"),"adequate","partial"),INDEX(Fit_Matrix!$B:$B,MATCH(P4076,Fit_Matrix!$A:$A,0)))),"CHECK KEY"))</f>
        <v/>
      </c>
      <c r="U4076" s="10" t="n"/>
      <c r="V4076" s="10" t="n"/>
      <c r="W4076" s="10" t="n"/>
      <c r="X4076" s="10" t="n"/>
      <c r="Y4076" s="10" t="n"/>
      <c r="Z4076" s="10" t="n"/>
      <c r="AA4076" s="11">
        <f>IF(A4076="","",IF(AND(J4076="P4",F4076="causal"),"P4-CAUSAL",""))</f>
        <v/>
      </c>
    </row>
    <row r="4077" ht="15" customHeight="1" s="1">
      <c r="P4077">
        <f>IF(OR(F4077="",H4077="",J4077=""),"",J4077&amp;"|"&amp;F4077&amp;"|"&amp;IF(H4077="W3","W3_"&amp;IF(I4077="","unknown",I4077),H4077))</f>
        <v/>
      </c>
      <c r="Q4077">
        <f>IF(P4077="","",IFERROR(IF(AND(H4077="W7",OR(F4077="causal",F4077="predictive")),IF(AND(OR(K4077=1,K4077="1"),OR(L4077=1,L4077="1"),OR(M4077=1,M4077="1")),"adequate","partial"),IF(AND(H4077="W4",F4077="predictive",OR(J4077="P2",J4077="P3",J4077="P4")),IF(OR(U4077=1,U4077="1"),"adequate","partial"),INDEX(Fit_Matrix!$B:$B,MATCH(P4077,Fit_Matrix!$A:$A,0)))),"CHECK KEY"))</f>
        <v/>
      </c>
      <c r="U4077" s="10" t="n"/>
      <c r="V4077" s="10" t="n"/>
      <c r="W4077" s="10" t="n"/>
      <c r="X4077" s="10" t="n"/>
      <c r="Y4077" s="10" t="n"/>
      <c r="Z4077" s="10" t="n"/>
      <c r="AA4077" s="11">
        <f>IF(A4077="","",IF(AND(J4077="P4",F4077="causal"),"P4-CAUSAL",""))</f>
        <v/>
      </c>
    </row>
    <row r="4078" ht="15" customHeight="1" s="1">
      <c r="P4078">
        <f>IF(OR(F4078="",H4078="",J4078=""),"",J4078&amp;"|"&amp;F4078&amp;"|"&amp;IF(H4078="W3","W3_"&amp;IF(I4078="","unknown",I4078),H4078))</f>
        <v/>
      </c>
      <c r="Q4078">
        <f>IF(P4078="","",IFERROR(IF(AND(H4078="W7",OR(F4078="causal",F4078="predictive")),IF(AND(OR(K4078=1,K4078="1"),OR(L4078=1,L4078="1"),OR(M4078=1,M4078="1")),"adequate","partial"),IF(AND(H4078="W4",F4078="predictive",OR(J4078="P2",J4078="P3",J4078="P4")),IF(OR(U4078=1,U4078="1"),"adequate","partial"),INDEX(Fit_Matrix!$B:$B,MATCH(P4078,Fit_Matrix!$A:$A,0)))),"CHECK KEY"))</f>
        <v/>
      </c>
      <c r="U4078" s="10" t="n"/>
      <c r="V4078" s="10" t="n"/>
      <c r="W4078" s="10" t="n"/>
      <c r="X4078" s="10" t="n"/>
      <c r="Y4078" s="10" t="n"/>
      <c r="Z4078" s="10" t="n"/>
      <c r="AA4078" s="11">
        <f>IF(A4078="","",IF(AND(J4078="P4",F4078="causal"),"P4-CAUSAL",""))</f>
        <v/>
      </c>
    </row>
    <row r="4079" ht="15" customHeight="1" s="1">
      <c r="P4079">
        <f>IF(OR(F4079="",H4079="",J4079=""),"",J4079&amp;"|"&amp;F4079&amp;"|"&amp;IF(H4079="W3","W3_"&amp;IF(I4079="","unknown",I4079),H4079))</f>
        <v/>
      </c>
      <c r="Q4079">
        <f>IF(P4079="","",IFERROR(IF(AND(H4079="W7",OR(F4079="causal",F4079="predictive")),IF(AND(OR(K4079=1,K4079="1"),OR(L4079=1,L4079="1"),OR(M4079=1,M4079="1")),"adequate","partial"),IF(AND(H4079="W4",F4079="predictive",OR(J4079="P2",J4079="P3",J4079="P4")),IF(OR(U4079=1,U4079="1"),"adequate","partial"),INDEX(Fit_Matrix!$B:$B,MATCH(P4079,Fit_Matrix!$A:$A,0)))),"CHECK KEY"))</f>
        <v/>
      </c>
      <c r="U4079" s="10" t="n"/>
      <c r="V4079" s="10" t="n"/>
      <c r="W4079" s="10" t="n"/>
      <c r="X4079" s="10" t="n"/>
      <c r="Y4079" s="10" t="n"/>
      <c r="Z4079" s="10" t="n"/>
      <c r="AA4079" s="11">
        <f>IF(A4079="","",IF(AND(J4079="P4",F4079="causal"),"P4-CAUSAL",""))</f>
        <v/>
      </c>
    </row>
    <row r="4080" ht="15" customHeight="1" s="1">
      <c r="P4080">
        <f>IF(OR(F4080="",H4080="",J4080=""),"",J4080&amp;"|"&amp;F4080&amp;"|"&amp;IF(H4080="W3","W3_"&amp;IF(I4080="","unknown",I4080),H4080))</f>
        <v/>
      </c>
      <c r="Q4080">
        <f>IF(P4080="","",IFERROR(IF(AND(H4080="W7",OR(F4080="causal",F4080="predictive")),IF(AND(OR(K4080=1,K4080="1"),OR(L4080=1,L4080="1"),OR(M4080=1,M4080="1")),"adequate","partial"),IF(AND(H4080="W4",F4080="predictive",OR(J4080="P2",J4080="P3",J4080="P4")),IF(OR(U4080=1,U4080="1"),"adequate","partial"),INDEX(Fit_Matrix!$B:$B,MATCH(P4080,Fit_Matrix!$A:$A,0)))),"CHECK KEY"))</f>
        <v/>
      </c>
      <c r="U4080" s="10" t="n"/>
      <c r="V4080" s="10" t="n"/>
      <c r="W4080" s="10" t="n"/>
      <c r="X4080" s="10" t="n"/>
      <c r="Y4080" s="10" t="n"/>
      <c r="Z4080" s="10" t="n"/>
      <c r="AA4080" s="11">
        <f>IF(A4080="","",IF(AND(J4080="P4",F4080="causal"),"P4-CAUSAL",""))</f>
        <v/>
      </c>
    </row>
    <row r="4081" ht="15" customHeight="1" s="1">
      <c r="P4081">
        <f>IF(OR(F4081="",H4081="",J4081=""),"",J4081&amp;"|"&amp;F4081&amp;"|"&amp;IF(H4081="W3","W3_"&amp;IF(I4081="","unknown",I4081),H4081))</f>
        <v/>
      </c>
      <c r="Q4081">
        <f>IF(P4081="","",IFERROR(IF(AND(H4081="W7",OR(F4081="causal",F4081="predictive")),IF(AND(OR(K4081=1,K4081="1"),OR(L4081=1,L4081="1"),OR(M4081=1,M4081="1")),"adequate","partial"),IF(AND(H4081="W4",F4081="predictive",OR(J4081="P2",J4081="P3",J4081="P4")),IF(OR(U4081=1,U4081="1"),"adequate","partial"),INDEX(Fit_Matrix!$B:$B,MATCH(P4081,Fit_Matrix!$A:$A,0)))),"CHECK KEY"))</f>
        <v/>
      </c>
      <c r="U4081" s="10" t="n"/>
      <c r="V4081" s="10" t="n"/>
      <c r="W4081" s="10" t="n"/>
      <c r="X4081" s="10" t="n"/>
      <c r="Y4081" s="10" t="n"/>
      <c r="Z4081" s="10" t="n"/>
      <c r="AA4081" s="11">
        <f>IF(A4081="","",IF(AND(J4081="P4",F4081="causal"),"P4-CAUSAL",""))</f>
        <v/>
      </c>
    </row>
    <row r="4082" ht="15" customHeight="1" s="1">
      <c r="P4082">
        <f>IF(OR(F4082="",H4082="",J4082=""),"",J4082&amp;"|"&amp;F4082&amp;"|"&amp;IF(H4082="W3","W3_"&amp;IF(I4082="","unknown",I4082),H4082))</f>
        <v/>
      </c>
      <c r="Q4082">
        <f>IF(P4082="","",IFERROR(IF(AND(H4082="W7",OR(F4082="causal",F4082="predictive")),IF(AND(OR(K4082=1,K4082="1"),OR(L4082=1,L4082="1"),OR(M4082=1,M4082="1")),"adequate","partial"),IF(AND(H4082="W4",F4082="predictive",OR(J4082="P2",J4082="P3",J4082="P4")),IF(OR(U4082=1,U4082="1"),"adequate","partial"),INDEX(Fit_Matrix!$B:$B,MATCH(P4082,Fit_Matrix!$A:$A,0)))),"CHECK KEY"))</f>
        <v/>
      </c>
      <c r="U4082" s="10" t="n"/>
      <c r="V4082" s="10" t="n"/>
      <c r="W4082" s="10" t="n"/>
      <c r="X4082" s="10" t="n"/>
      <c r="Y4082" s="10" t="n"/>
      <c r="Z4082" s="10" t="n"/>
      <c r="AA4082" s="11">
        <f>IF(A4082="","",IF(AND(J4082="P4",F4082="causal"),"P4-CAUSAL",""))</f>
        <v/>
      </c>
    </row>
    <row r="4083" ht="15" customHeight="1" s="1">
      <c r="P4083">
        <f>IF(OR(F4083="",H4083="",J4083=""),"",J4083&amp;"|"&amp;F4083&amp;"|"&amp;IF(H4083="W3","W3_"&amp;IF(I4083="","unknown",I4083),H4083))</f>
        <v/>
      </c>
      <c r="Q4083">
        <f>IF(P4083="","",IFERROR(IF(AND(H4083="W7",OR(F4083="causal",F4083="predictive")),IF(AND(OR(K4083=1,K4083="1"),OR(L4083=1,L4083="1"),OR(M4083=1,M4083="1")),"adequate","partial"),IF(AND(H4083="W4",F4083="predictive",OR(J4083="P2",J4083="P3",J4083="P4")),IF(OR(U4083=1,U4083="1"),"adequate","partial"),INDEX(Fit_Matrix!$B:$B,MATCH(P4083,Fit_Matrix!$A:$A,0)))),"CHECK KEY"))</f>
        <v/>
      </c>
      <c r="U4083" s="10" t="n"/>
      <c r="V4083" s="10" t="n"/>
      <c r="W4083" s="10" t="n"/>
      <c r="X4083" s="10" t="n"/>
      <c r="Y4083" s="10" t="n"/>
      <c r="Z4083" s="10" t="n"/>
      <c r="AA4083" s="11">
        <f>IF(A4083="","",IF(AND(J4083="P4",F4083="causal"),"P4-CAUSAL",""))</f>
        <v/>
      </c>
    </row>
    <row r="4084" ht="15" customHeight="1" s="1">
      <c r="P4084">
        <f>IF(OR(F4084="",H4084="",J4084=""),"",J4084&amp;"|"&amp;F4084&amp;"|"&amp;IF(H4084="W3","W3_"&amp;IF(I4084="","unknown",I4084),H4084))</f>
        <v/>
      </c>
      <c r="Q4084">
        <f>IF(P4084="","",IFERROR(IF(AND(H4084="W7",OR(F4084="causal",F4084="predictive")),IF(AND(OR(K4084=1,K4084="1"),OR(L4084=1,L4084="1"),OR(M4084=1,M4084="1")),"adequate","partial"),IF(AND(H4084="W4",F4084="predictive",OR(J4084="P2",J4084="P3",J4084="P4")),IF(OR(U4084=1,U4084="1"),"adequate","partial"),INDEX(Fit_Matrix!$B:$B,MATCH(P4084,Fit_Matrix!$A:$A,0)))),"CHECK KEY"))</f>
        <v/>
      </c>
      <c r="U4084" s="10" t="n"/>
      <c r="V4084" s="10" t="n"/>
      <c r="W4084" s="10" t="n"/>
      <c r="X4084" s="10" t="n"/>
      <c r="Y4084" s="10" t="n"/>
      <c r="Z4084" s="10" t="n"/>
      <c r="AA4084" s="11">
        <f>IF(A4084="","",IF(AND(J4084="P4",F4084="causal"),"P4-CAUSAL",""))</f>
        <v/>
      </c>
    </row>
    <row r="4085" ht="15" customHeight="1" s="1">
      <c r="P4085">
        <f>IF(OR(F4085="",H4085="",J4085=""),"",J4085&amp;"|"&amp;F4085&amp;"|"&amp;IF(H4085="W3","W3_"&amp;IF(I4085="","unknown",I4085),H4085))</f>
        <v/>
      </c>
      <c r="Q4085">
        <f>IF(P4085="","",IFERROR(IF(AND(H4085="W7",OR(F4085="causal",F4085="predictive")),IF(AND(OR(K4085=1,K4085="1"),OR(L4085=1,L4085="1"),OR(M4085=1,M4085="1")),"adequate","partial"),IF(AND(H4085="W4",F4085="predictive",OR(J4085="P2",J4085="P3",J4085="P4")),IF(OR(U4085=1,U4085="1"),"adequate","partial"),INDEX(Fit_Matrix!$B:$B,MATCH(P4085,Fit_Matrix!$A:$A,0)))),"CHECK KEY"))</f>
        <v/>
      </c>
      <c r="U4085" s="10" t="n"/>
      <c r="V4085" s="10" t="n"/>
      <c r="W4085" s="10" t="n"/>
      <c r="X4085" s="10" t="n"/>
      <c r="Y4085" s="10" t="n"/>
      <c r="Z4085" s="10" t="n"/>
      <c r="AA4085" s="11">
        <f>IF(A4085="","",IF(AND(J4085="P4",F4085="causal"),"P4-CAUSAL",""))</f>
        <v/>
      </c>
    </row>
    <row r="4086" ht="15" customHeight="1" s="1">
      <c r="P4086">
        <f>IF(OR(F4086="",H4086="",J4086=""),"",J4086&amp;"|"&amp;F4086&amp;"|"&amp;IF(H4086="W3","W3_"&amp;IF(I4086="","unknown",I4086),H4086))</f>
        <v/>
      </c>
      <c r="Q4086">
        <f>IF(P4086="","",IFERROR(IF(AND(H4086="W7",OR(F4086="causal",F4086="predictive")),IF(AND(OR(K4086=1,K4086="1"),OR(L4086=1,L4086="1"),OR(M4086=1,M4086="1")),"adequate","partial"),IF(AND(H4086="W4",F4086="predictive",OR(J4086="P2",J4086="P3",J4086="P4")),IF(OR(U4086=1,U4086="1"),"adequate","partial"),INDEX(Fit_Matrix!$B:$B,MATCH(P4086,Fit_Matrix!$A:$A,0)))),"CHECK KEY"))</f>
        <v/>
      </c>
      <c r="U4086" s="10" t="n"/>
      <c r="V4086" s="10" t="n"/>
      <c r="W4086" s="10" t="n"/>
      <c r="X4086" s="10" t="n"/>
      <c r="Y4086" s="10" t="n"/>
      <c r="Z4086" s="10" t="n"/>
      <c r="AA4086" s="11">
        <f>IF(A4086="","",IF(AND(J4086="P4",F4086="causal"),"P4-CAUSAL",""))</f>
        <v/>
      </c>
    </row>
    <row r="4087" ht="15" customHeight="1" s="1">
      <c r="P4087">
        <f>IF(OR(F4087="",H4087="",J4087=""),"",J4087&amp;"|"&amp;F4087&amp;"|"&amp;IF(H4087="W3","W3_"&amp;IF(I4087="","unknown",I4087),H4087))</f>
        <v/>
      </c>
      <c r="Q4087">
        <f>IF(P4087="","",IFERROR(IF(AND(H4087="W7",OR(F4087="causal",F4087="predictive")),IF(AND(OR(K4087=1,K4087="1"),OR(L4087=1,L4087="1"),OR(M4087=1,M4087="1")),"adequate","partial"),IF(AND(H4087="W4",F4087="predictive",OR(J4087="P2",J4087="P3",J4087="P4")),IF(OR(U4087=1,U4087="1"),"adequate","partial"),INDEX(Fit_Matrix!$B:$B,MATCH(P4087,Fit_Matrix!$A:$A,0)))),"CHECK KEY"))</f>
        <v/>
      </c>
      <c r="U4087" s="10" t="n"/>
      <c r="V4087" s="10" t="n"/>
      <c r="W4087" s="10" t="n"/>
      <c r="X4087" s="10" t="n"/>
      <c r="Y4087" s="10" t="n"/>
      <c r="Z4087" s="10" t="n"/>
      <c r="AA4087" s="11">
        <f>IF(A4087="","",IF(AND(J4087="P4",F4087="causal"),"P4-CAUSAL",""))</f>
        <v/>
      </c>
    </row>
    <row r="4088" ht="15" customHeight="1" s="1">
      <c r="P4088">
        <f>IF(OR(F4088="",H4088="",J4088=""),"",J4088&amp;"|"&amp;F4088&amp;"|"&amp;IF(H4088="W3","W3_"&amp;IF(I4088="","unknown",I4088),H4088))</f>
        <v/>
      </c>
      <c r="Q4088">
        <f>IF(P4088="","",IFERROR(IF(AND(H4088="W7",OR(F4088="causal",F4088="predictive")),IF(AND(OR(K4088=1,K4088="1"),OR(L4088=1,L4088="1"),OR(M4088=1,M4088="1")),"adequate","partial"),IF(AND(H4088="W4",F4088="predictive",OR(J4088="P2",J4088="P3",J4088="P4")),IF(OR(U4088=1,U4088="1"),"adequate","partial"),INDEX(Fit_Matrix!$B:$B,MATCH(P4088,Fit_Matrix!$A:$A,0)))),"CHECK KEY"))</f>
        <v/>
      </c>
      <c r="U4088" s="10" t="n"/>
      <c r="V4088" s="10" t="n"/>
      <c r="W4088" s="10" t="n"/>
      <c r="X4088" s="10" t="n"/>
      <c r="Y4088" s="10" t="n"/>
      <c r="Z4088" s="10" t="n"/>
      <c r="AA4088" s="11">
        <f>IF(A4088="","",IF(AND(J4088="P4",F4088="causal"),"P4-CAUSAL",""))</f>
        <v/>
      </c>
    </row>
    <row r="4089" ht="15" customHeight="1" s="1">
      <c r="P4089">
        <f>IF(OR(F4089="",H4089="",J4089=""),"",J4089&amp;"|"&amp;F4089&amp;"|"&amp;IF(H4089="W3","W3_"&amp;IF(I4089="","unknown",I4089),H4089))</f>
        <v/>
      </c>
      <c r="Q4089">
        <f>IF(P4089="","",IFERROR(IF(AND(H4089="W7",OR(F4089="causal",F4089="predictive")),IF(AND(OR(K4089=1,K4089="1"),OR(L4089=1,L4089="1"),OR(M4089=1,M4089="1")),"adequate","partial"),IF(AND(H4089="W4",F4089="predictive",OR(J4089="P2",J4089="P3",J4089="P4")),IF(OR(U4089=1,U4089="1"),"adequate","partial"),INDEX(Fit_Matrix!$B:$B,MATCH(P4089,Fit_Matrix!$A:$A,0)))),"CHECK KEY"))</f>
        <v/>
      </c>
      <c r="U4089" s="10" t="n"/>
      <c r="V4089" s="10" t="n"/>
      <c r="W4089" s="10" t="n"/>
      <c r="X4089" s="10" t="n"/>
      <c r="Y4089" s="10" t="n"/>
      <c r="Z4089" s="10" t="n"/>
      <c r="AA4089" s="11">
        <f>IF(A4089="","",IF(AND(J4089="P4",F4089="causal"),"P4-CAUSAL",""))</f>
        <v/>
      </c>
    </row>
    <row r="4090" ht="15" customHeight="1" s="1">
      <c r="P4090">
        <f>IF(OR(F4090="",H4090="",J4090=""),"",J4090&amp;"|"&amp;F4090&amp;"|"&amp;IF(H4090="W3","W3_"&amp;IF(I4090="","unknown",I4090),H4090))</f>
        <v/>
      </c>
      <c r="Q4090">
        <f>IF(P4090="","",IFERROR(IF(AND(H4090="W7",OR(F4090="causal",F4090="predictive")),IF(AND(OR(K4090=1,K4090="1"),OR(L4090=1,L4090="1"),OR(M4090=1,M4090="1")),"adequate","partial"),IF(AND(H4090="W4",F4090="predictive",OR(J4090="P2",J4090="P3",J4090="P4")),IF(OR(U4090=1,U4090="1"),"adequate","partial"),INDEX(Fit_Matrix!$B:$B,MATCH(P4090,Fit_Matrix!$A:$A,0)))),"CHECK KEY"))</f>
        <v/>
      </c>
      <c r="U4090" s="10" t="n"/>
      <c r="V4090" s="10" t="n"/>
      <c r="W4090" s="10" t="n"/>
      <c r="X4090" s="10" t="n"/>
      <c r="Y4090" s="10" t="n"/>
      <c r="Z4090" s="10" t="n"/>
      <c r="AA4090" s="11">
        <f>IF(A4090="","",IF(AND(J4090="P4",F4090="causal"),"P4-CAUSAL",""))</f>
        <v/>
      </c>
    </row>
    <row r="4091" ht="15" customHeight="1" s="1">
      <c r="P4091">
        <f>IF(OR(F4091="",H4091="",J4091=""),"",J4091&amp;"|"&amp;F4091&amp;"|"&amp;IF(H4091="W3","W3_"&amp;IF(I4091="","unknown",I4091),H4091))</f>
        <v/>
      </c>
      <c r="Q4091">
        <f>IF(P4091="","",IFERROR(IF(AND(H4091="W7",OR(F4091="causal",F4091="predictive")),IF(AND(OR(K4091=1,K4091="1"),OR(L4091=1,L4091="1"),OR(M4091=1,M4091="1")),"adequate","partial"),IF(AND(H4091="W4",F4091="predictive",OR(J4091="P2",J4091="P3",J4091="P4")),IF(OR(U4091=1,U4091="1"),"adequate","partial"),INDEX(Fit_Matrix!$B:$B,MATCH(P4091,Fit_Matrix!$A:$A,0)))),"CHECK KEY"))</f>
        <v/>
      </c>
      <c r="U4091" s="10" t="n"/>
      <c r="V4091" s="10" t="n"/>
      <c r="W4091" s="10" t="n"/>
      <c r="X4091" s="10" t="n"/>
      <c r="Y4091" s="10" t="n"/>
      <c r="Z4091" s="10" t="n"/>
      <c r="AA4091" s="11">
        <f>IF(A4091="","",IF(AND(J4091="P4",F4091="causal"),"P4-CAUSAL",""))</f>
        <v/>
      </c>
    </row>
    <row r="4092" ht="15" customHeight="1" s="1">
      <c r="P4092">
        <f>IF(OR(F4092="",H4092="",J4092=""),"",J4092&amp;"|"&amp;F4092&amp;"|"&amp;IF(H4092="W3","W3_"&amp;IF(I4092="","unknown",I4092),H4092))</f>
        <v/>
      </c>
      <c r="Q4092">
        <f>IF(P4092="","",IFERROR(IF(AND(H4092="W7",OR(F4092="causal",F4092="predictive")),IF(AND(OR(K4092=1,K4092="1"),OR(L4092=1,L4092="1"),OR(M4092=1,M4092="1")),"adequate","partial"),IF(AND(H4092="W4",F4092="predictive",OR(J4092="P2",J4092="P3",J4092="P4")),IF(OR(U4092=1,U4092="1"),"adequate","partial"),INDEX(Fit_Matrix!$B:$B,MATCH(P4092,Fit_Matrix!$A:$A,0)))),"CHECK KEY"))</f>
        <v/>
      </c>
      <c r="U4092" s="10" t="n"/>
      <c r="V4092" s="10" t="n"/>
      <c r="W4092" s="10" t="n"/>
      <c r="X4092" s="10" t="n"/>
      <c r="Y4092" s="10" t="n"/>
      <c r="Z4092" s="10" t="n"/>
      <c r="AA4092" s="11">
        <f>IF(A4092="","",IF(AND(J4092="P4",F4092="causal"),"P4-CAUSAL",""))</f>
        <v/>
      </c>
    </row>
    <row r="4093" ht="15" customHeight="1" s="1">
      <c r="P4093">
        <f>IF(OR(F4093="",H4093="",J4093=""),"",J4093&amp;"|"&amp;F4093&amp;"|"&amp;IF(H4093="W3","W3_"&amp;IF(I4093="","unknown",I4093),H4093))</f>
        <v/>
      </c>
      <c r="Q4093">
        <f>IF(P4093="","",IFERROR(IF(AND(H4093="W7",OR(F4093="causal",F4093="predictive")),IF(AND(OR(K4093=1,K4093="1"),OR(L4093=1,L4093="1"),OR(M4093=1,M4093="1")),"adequate","partial"),IF(AND(H4093="W4",F4093="predictive",OR(J4093="P2",J4093="P3",J4093="P4")),IF(OR(U4093=1,U4093="1"),"adequate","partial"),INDEX(Fit_Matrix!$B:$B,MATCH(P4093,Fit_Matrix!$A:$A,0)))),"CHECK KEY"))</f>
        <v/>
      </c>
      <c r="U4093" s="10" t="n"/>
      <c r="V4093" s="10" t="n"/>
      <c r="W4093" s="10" t="n"/>
      <c r="X4093" s="10" t="n"/>
      <c r="Y4093" s="10" t="n"/>
      <c r="Z4093" s="10" t="n"/>
      <c r="AA4093" s="11">
        <f>IF(A4093="","",IF(AND(J4093="P4",F4093="causal"),"P4-CAUSAL",""))</f>
        <v/>
      </c>
    </row>
    <row r="4094" ht="15" customHeight="1" s="1">
      <c r="P4094">
        <f>IF(OR(F4094="",H4094="",J4094=""),"",J4094&amp;"|"&amp;F4094&amp;"|"&amp;IF(H4094="W3","W3_"&amp;IF(I4094="","unknown",I4094),H4094))</f>
        <v/>
      </c>
      <c r="Q4094">
        <f>IF(P4094="","",IFERROR(IF(AND(H4094="W7",OR(F4094="causal",F4094="predictive")),IF(AND(OR(K4094=1,K4094="1"),OR(L4094=1,L4094="1"),OR(M4094=1,M4094="1")),"adequate","partial"),IF(AND(H4094="W4",F4094="predictive",OR(J4094="P2",J4094="P3",J4094="P4")),IF(OR(U4094=1,U4094="1"),"adequate","partial"),INDEX(Fit_Matrix!$B:$B,MATCH(P4094,Fit_Matrix!$A:$A,0)))),"CHECK KEY"))</f>
        <v/>
      </c>
      <c r="U4094" s="10" t="n"/>
      <c r="V4094" s="10" t="n"/>
      <c r="W4094" s="10" t="n"/>
      <c r="X4094" s="10" t="n"/>
      <c r="Y4094" s="10" t="n"/>
      <c r="Z4094" s="10" t="n"/>
      <c r="AA4094" s="11">
        <f>IF(A4094="","",IF(AND(J4094="P4",F4094="causal"),"P4-CAUSAL",""))</f>
        <v/>
      </c>
    </row>
    <row r="4095" ht="15" customHeight="1" s="1">
      <c r="P4095">
        <f>IF(OR(F4095="",H4095="",J4095=""),"",J4095&amp;"|"&amp;F4095&amp;"|"&amp;IF(H4095="W3","W3_"&amp;IF(I4095="","unknown",I4095),H4095))</f>
        <v/>
      </c>
      <c r="Q4095">
        <f>IF(P4095="","",IFERROR(IF(AND(H4095="W7",OR(F4095="causal",F4095="predictive")),IF(AND(OR(K4095=1,K4095="1"),OR(L4095=1,L4095="1"),OR(M4095=1,M4095="1")),"adequate","partial"),IF(AND(H4095="W4",F4095="predictive",OR(J4095="P2",J4095="P3",J4095="P4")),IF(OR(U4095=1,U4095="1"),"adequate","partial"),INDEX(Fit_Matrix!$B:$B,MATCH(P4095,Fit_Matrix!$A:$A,0)))),"CHECK KEY"))</f>
        <v/>
      </c>
      <c r="U4095" s="10" t="n"/>
      <c r="V4095" s="10" t="n"/>
      <c r="W4095" s="10" t="n"/>
      <c r="X4095" s="10" t="n"/>
      <c r="Y4095" s="10" t="n"/>
      <c r="Z4095" s="10" t="n"/>
      <c r="AA4095" s="11">
        <f>IF(A4095="","",IF(AND(J4095="P4",F4095="causal"),"P4-CAUSAL",""))</f>
        <v/>
      </c>
    </row>
    <row r="4096" ht="15" customHeight="1" s="1">
      <c r="P4096">
        <f>IF(OR(F4096="",H4096="",J4096=""),"",J4096&amp;"|"&amp;F4096&amp;"|"&amp;IF(H4096="W3","W3_"&amp;IF(I4096="","unknown",I4096),H4096))</f>
        <v/>
      </c>
      <c r="Q4096">
        <f>IF(P4096="","",IFERROR(IF(AND(H4096="W7",OR(F4096="causal",F4096="predictive")),IF(AND(OR(K4096=1,K4096="1"),OR(L4096=1,L4096="1"),OR(M4096=1,M4096="1")),"adequate","partial"),IF(AND(H4096="W4",F4096="predictive",OR(J4096="P2",J4096="P3",J4096="P4")),IF(OR(U4096=1,U4096="1"),"adequate","partial"),INDEX(Fit_Matrix!$B:$B,MATCH(P4096,Fit_Matrix!$A:$A,0)))),"CHECK KEY"))</f>
        <v/>
      </c>
      <c r="U4096" s="10" t="n"/>
      <c r="V4096" s="10" t="n"/>
      <c r="W4096" s="10" t="n"/>
      <c r="X4096" s="10" t="n"/>
      <c r="Y4096" s="10" t="n"/>
      <c r="Z4096" s="10" t="n"/>
      <c r="AA4096" s="11">
        <f>IF(A4096="","",IF(AND(J4096="P4",F4096="causal"),"P4-CAUSAL",""))</f>
        <v/>
      </c>
    </row>
    <row r="4097" ht="15" customHeight="1" s="1">
      <c r="P4097">
        <f>IF(OR(F4097="",H4097="",J4097=""),"",J4097&amp;"|"&amp;F4097&amp;"|"&amp;IF(H4097="W3","W3_"&amp;IF(I4097="","unknown",I4097),H4097))</f>
        <v/>
      </c>
      <c r="Q4097">
        <f>IF(P4097="","",IFERROR(IF(AND(H4097="W7",OR(F4097="causal",F4097="predictive")),IF(AND(OR(K4097=1,K4097="1"),OR(L4097=1,L4097="1"),OR(M4097=1,M4097="1")),"adequate","partial"),IF(AND(H4097="W4",F4097="predictive",OR(J4097="P2",J4097="P3",J4097="P4")),IF(OR(U4097=1,U4097="1"),"adequate","partial"),INDEX(Fit_Matrix!$B:$B,MATCH(P4097,Fit_Matrix!$A:$A,0)))),"CHECK KEY"))</f>
        <v/>
      </c>
      <c r="U4097" s="10" t="n"/>
      <c r="V4097" s="10" t="n"/>
      <c r="W4097" s="10" t="n"/>
      <c r="X4097" s="10" t="n"/>
      <c r="Y4097" s="10" t="n"/>
      <c r="Z4097" s="10" t="n"/>
      <c r="AA4097" s="11">
        <f>IF(A4097="","",IF(AND(J4097="P4",F4097="causal"),"P4-CAUSAL",""))</f>
        <v/>
      </c>
    </row>
    <row r="4098" ht="15" customHeight="1" s="1">
      <c r="P4098">
        <f>IF(OR(F4098="",H4098="",J4098=""),"",J4098&amp;"|"&amp;F4098&amp;"|"&amp;IF(H4098="W3","W3_"&amp;IF(I4098="","unknown",I4098),H4098))</f>
        <v/>
      </c>
      <c r="Q4098">
        <f>IF(P4098="","",IFERROR(IF(AND(H4098="W7",OR(F4098="causal",F4098="predictive")),IF(AND(OR(K4098=1,K4098="1"),OR(L4098=1,L4098="1"),OR(M4098=1,M4098="1")),"adequate","partial"),IF(AND(H4098="W4",F4098="predictive",OR(J4098="P2",J4098="P3",J4098="P4")),IF(OR(U4098=1,U4098="1"),"adequate","partial"),INDEX(Fit_Matrix!$B:$B,MATCH(P4098,Fit_Matrix!$A:$A,0)))),"CHECK KEY"))</f>
        <v/>
      </c>
      <c r="U4098" s="10" t="n"/>
      <c r="V4098" s="10" t="n"/>
      <c r="W4098" s="10" t="n"/>
      <c r="X4098" s="10" t="n"/>
      <c r="Y4098" s="10" t="n"/>
      <c r="Z4098" s="10" t="n"/>
      <c r="AA4098" s="11">
        <f>IF(A4098="","",IF(AND(J4098="P4",F4098="causal"),"P4-CAUSAL",""))</f>
        <v/>
      </c>
    </row>
    <row r="4099" ht="15" customHeight="1" s="1">
      <c r="P4099">
        <f>IF(OR(F4099="",H4099="",J4099=""),"",J4099&amp;"|"&amp;F4099&amp;"|"&amp;IF(H4099="W3","W3_"&amp;IF(I4099="","unknown",I4099),H4099))</f>
        <v/>
      </c>
      <c r="Q4099">
        <f>IF(P4099="","",IFERROR(IF(AND(H4099="W7",OR(F4099="causal",F4099="predictive")),IF(AND(OR(K4099=1,K4099="1"),OR(L4099=1,L4099="1"),OR(M4099=1,M4099="1")),"adequate","partial"),IF(AND(H4099="W4",F4099="predictive",OR(J4099="P2",J4099="P3",J4099="P4")),IF(OR(U4099=1,U4099="1"),"adequate","partial"),INDEX(Fit_Matrix!$B:$B,MATCH(P4099,Fit_Matrix!$A:$A,0)))),"CHECK KEY"))</f>
        <v/>
      </c>
      <c r="U4099" s="10" t="n"/>
      <c r="V4099" s="10" t="n"/>
      <c r="W4099" s="10" t="n"/>
      <c r="X4099" s="10" t="n"/>
      <c r="Y4099" s="10" t="n"/>
      <c r="Z4099" s="10" t="n"/>
      <c r="AA4099" s="11">
        <f>IF(A4099="","",IF(AND(J4099="P4",F4099="causal"),"P4-CAUSAL",""))</f>
        <v/>
      </c>
    </row>
    <row r="4100" ht="15" customHeight="1" s="1">
      <c r="P4100">
        <f>IF(OR(F4100="",H4100="",J4100=""),"",J4100&amp;"|"&amp;F4100&amp;"|"&amp;IF(H4100="W3","W3_"&amp;IF(I4100="","unknown",I4100),H4100))</f>
        <v/>
      </c>
      <c r="Q4100">
        <f>IF(P4100="","",IFERROR(IF(AND(H4100="W7",OR(F4100="causal",F4100="predictive")),IF(AND(OR(K4100=1,K4100="1"),OR(L4100=1,L4100="1"),OR(M4100=1,M4100="1")),"adequate","partial"),IF(AND(H4100="W4",F4100="predictive",OR(J4100="P2",J4100="P3",J4100="P4")),IF(OR(U4100=1,U4100="1"),"adequate","partial"),INDEX(Fit_Matrix!$B:$B,MATCH(P4100,Fit_Matrix!$A:$A,0)))),"CHECK KEY"))</f>
        <v/>
      </c>
      <c r="U4100" s="10" t="n"/>
      <c r="V4100" s="10" t="n"/>
      <c r="W4100" s="10" t="n"/>
      <c r="X4100" s="10" t="n"/>
      <c r="Y4100" s="10" t="n"/>
      <c r="Z4100" s="10" t="n"/>
      <c r="AA4100" s="11">
        <f>IF(A4100="","",IF(AND(J4100="P4",F4100="causal"),"P4-CAUSAL",""))</f>
        <v/>
      </c>
    </row>
    <row r="4101" ht="15" customHeight="1" s="1">
      <c r="P4101">
        <f>IF(OR(F4101="",H4101="",J4101=""),"",J4101&amp;"|"&amp;F4101&amp;"|"&amp;IF(H4101="W3","W3_"&amp;IF(I4101="","unknown",I4101),H4101))</f>
        <v/>
      </c>
      <c r="Q4101">
        <f>IF(P4101="","",IFERROR(IF(AND(H4101="W7",OR(F4101="causal",F4101="predictive")),IF(AND(OR(K4101=1,K4101="1"),OR(L4101=1,L4101="1"),OR(M4101=1,M4101="1")),"adequate","partial"),IF(AND(H4101="W4",F4101="predictive",OR(J4101="P2",J4101="P3",J4101="P4")),IF(OR(U4101=1,U4101="1"),"adequate","partial"),INDEX(Fit_Matrix!$B:$B,MATCH(P4101,Fit_Matrix!$A:$A,0)))),"CHECK KEY"))</f>
        <v/>
      </c>
      <c r="U4101" s="10" t="n"/>
      <c r="V4101" s="10" t="n"/>
      <c r="W4101" s="10" t="n"/>
      <c r="X4101" s="10" t="n"/>
      <c r="Y4101" s="10" t="n"/>
      <c r="Z4101" s="10" t="n"/>
      <c r="AA4101" s="11">
        <f>IF(A4101="","",IF(AND(J4101="P4",F4101="causal"),"P4-CAUSAL",""))</f>
        <v/>
      </c>
    </row>
    <row r="4102" ht="15" customHeight="1" s="1">
      <c r="P4102">
        <f>IF(OR(F4102="",H4102="",J4102=""),"",J4102&amp;"|"&amp;F4102&amp;"|"&amp;IF(H4102="W3","W3_"&amp;IF(I4102="","unknown",I4102),H4102))</f>
        <v/>
      </c>
      <c r="Q4102">
        <f>IF(P4102="","",IFERROR(IF(AND(H4102="W7",OR(F4102="causal",F4102="predictive")),IF(AND(OR(K4102=1,K4102="1"),OR(L4102=1,L4102="1"),OR(M4102=1,M4102="1")),"adequate","partial"),IF(AND(H4102="W4",F4102="predictive",OR(J4102="P2",J4102="P3",J4102="P4")),IF(OR(U4102=1,U4102="1"),"adequate","partial"),INDEX(Fit_Matrix!$B:$B,MATCH(P4102,Fit_Matrix!$A:$A,0)))),"CHECK KEY"))</f>
        <v/>
      </c>
      <c r="U4102" s="10" t="n"/>
      <c r="V4102" s="10" t="n"/>
      <c r="W4102" s="10" t="n"/>
      <c r="X4102" s="10" t="n"/>
      <c r="Y4102" s="10" t="n"/>
      <c r="Z4102" s="10" t="n"/>
      <c r="AA4102" s="11">
        <f>IF(A4102="","",IF(AND(J4102="P4",F4102="causal"),"P4-CAUSAL",""))</f>
        <v/>
      </c>
    </row>
    <row r="4103" ht="15" customHeight="1" s="1">
      <c r="P4103">
        <f>IF(OR(F4103="",H4103="",J4103=""),"",J4103&amp;"|"&amp;F4103&amp;"|"&amp;IF(H4103="W3","W3_"&amp;IF(I4103="","unknown",I4103),H4103))</f>
        <v/>
      </c>
      <c r="Q4103">
        <f>IF(P4103="","",IFERROR(IF(AND(H4103="W7",OR(F4103="causal",F4103="predictive")),IF(AND(OR(K4103=1,K4103="1"),OR(L4103=1,L4103="1"),OR(M4103=1,M4103="1")),"adequate","partial"),IF(AND(H4103="W4",F4103="predictive",OR(J4103="P2",J4103="P3",J4103="P4")),IF(OR(U4103=1,U4103="1"),"adequate","partial"),INDEX(Fit_Matrix!$B:$B,MATCH(P4103,Fit_Matrix!$A:$A,0)))),"CHECK KEY"))</f>
        <v/>
      </c>
      <c r="U4103" s="10" t="n"/>
      <c r="V4103" s="10" t="n"/>
      <c r="W4103" s="10" t="n"/>
      <c r="X4103" s="10" t="n"/>
      <c r="Y4103" s="10" t="n"/>
      <c r="Z4103" s="10" t="n"/>
      <c r="AA4103" s="11">
        <f>IF(A4103="","",IF(AND(J4103="P4",F4103="causal"),"P4-CAUSAL",""))</f>
        <v/>
      </c>
    </row>
    <row r="4104" ht="15" customHeight="1" s="1">
      <c r="P4104">
        <f>IF(OR(F4104="",H4104="",J4104=""),"",J4104&amp;"|"&amp;F4104&amp;"|"&amp;IF(H4104="W3","W3_"&amp;IF(I4104="","unknown",I4104),H4104))</f>
        <v/>
      </c>
      <c r="Q4104">
        <f>IF(P4104="","",IFERROR(IF(AND(H4104="W7",OR(F4104="causal",F4104="predictive")),IF(AND(OR(K4104=1,K4104="1"),OR(L4104=1,L4104="1"),OR(M4104=1,M4104="1")),"adequate","partial"),IF(AND(H4104="W4",F4104="predictive",OR(J4104="P2",J4104="P3",J4104="P4")),IF(OR(U4104=1,U4104="1"),"adequate","partial"),INDEX(Fit_Matrix!$B:$B,MATCH(P4104,Fit_Matrix!$A:$A,0)))),"CHECK KEY"))</f>
        <v/>
      </c>
      <c r="U4104" s="10" t="n"/>
      <c r="V4104" s="10" t="n"/>
      <c r="W4104" s="10" t="n"/>
      <c r="X4104" s="10" t="n"/>
      <c r="Y4104" s="10" t="n"/>
      <c r="Z4104" s="10" t="n"/>
      <c r="AA4104" s="11">
        <f>IF(A4104="","",IF(AND(J4104="P4",F4104="causal"),"P4-CAUSAL",""))</f>
        <v/>
      </c>
    </row>
    <row r="4105" ht="15" customHeight="1" s="1">
      <c r="P4105">
        <f>IF(OR(F4105="",H4105="",J4105=""),"",J4105&amp;"|"&amp;F4105&amp;"|"&amp;IF(H4105="W3","W3_"&amp;IF(I4105="","unknown",I4105),H4105))</f>
        <v/>
      </c>
      <c r="Q4105">
        <f>IF(P4105="","",IFERROR(IF(AND(H4105="W7",OR(F4105="causal",F4105="predictive")),IF(AND(OR(K4105=1,K4105="1"),OR(L4105=1,L4105="1"),OR(M4105=1,M4105="1")),"adequate","partial"),IF(AND(H4105="W4",F4105="predictive",OR(J4105="P2",J4105="P3",J4105="P4")),IF(OR(U4105=1,U4105="1"),"adequate","partial"),INDEX(Fit_Matrix!$B:$B,MATCH(P4105,Fit_Matrix!$A:$A,0)))),"CHECK KEY"))</f>
        <v/>
      </c>
      <c r="U4105" s="10" t="n"/>
      <c r="V4105" s="10" t="n"/>
      <c r="W4105" s="10" t="n"/>
      <c r="X4105" s="10" t="n"/>
      <c r="Y4105" s="10" t="n"/>
      <c r="Z4105" s="10" t="n"/>
      <c r="AA4105" s="11">
        <f>IF(A4105="","",IF(AND(J4105="P4",F4105="causal"),"P4-CAUSAL",""))</f>
        <v/>
      </c>
    </row>
    <row r="4106" ht="15" customHeight="1" s="1">
      <c r="P4106">
        <f>IF(OR(F4106="",H4106="",J4106=""),"",J4106&amp;"|"&amp;F4106&amp;"|"&amp;IF(H4106="W3","W3_"&amp;IF(I4106="","unknown",I4106),H4106))</f>
        <v/>
      </c>
      <c r="Q4106">
        <f>IF(P4106="","",IFERROR(IF(AND(H4106="W7",OR(F4106="causal",F4106="predictive")),IF(AND(OR(K4106=1,K4106="1"),OR(L4106=1,L4106="1"),OR(M4106=1,M4106="1")),"adequate","partial"),IF(AND(H4106="W4",F4106="predictive",OR(J4106="P2",J4106="P3",J4106="P4")),IF(OR(U4106=1,U4106="1"),"adequate","partial"),INDEX(Fit_Matrix!$B:$B,MATCH(P4106,Fit_Matrix!$A:$A,0)))),"CHECK KEY"))</f>
        <v/>
      </c>
      <c r="U4106" s="10" t="n"/>
      <c r="V4106" s="10" t="n"/>
      <c r="W4106" s="10" t="n"/>
      <c r="X4106" s="10" t="n"/>
      <c r="Y4106" s="10" t="n"/>
      <c r="Z4106" s="10" t="n"/>
      <c r="AA4106" s="11">
        <f>IF(A4106="","",IF(AND(J4106="P4",F4106="causal"),"P4-CAUSAL",""))</f>
        <v/>
      </c>
    </row>
    <row r="4107" ht="15" customHeight="1" s="1">
      <c r="P4107">
        <f>IF(OR(F4107="",H4107="",J4107=""),"",J4107&amp;"|"&amp;F4107&amp;"|"&amp;IF(H4107="W3","W3_"&amp;IF(I4107="","unknown",I4107),H4107))</f>
        <v/>
      </c>
      <c r="Q4107">
        <f>IF(P4107="","",IFERROR(IF(AND(H4107="W7",OR(F4107="causal",F4107="predictive")),IF(AND(OR(K4107=1,K4107="1"),OR(L4107=1,L4107="1"),OR(M4107=1,M4107="1")),"adequate","partial"),IF(AND(H4107="W4",F4107="predictive",OR(J4107="P2",J4107="P3",J4107="P4")),IF(OR(U4107=1,U4107="1"),"adequate","partial"),INDEX(Fit_Matrix!$B:$B,MATCH(P4107,Fit_Matrix!$A:$A,0)))),"CHECK KEY"))</f>
        <v/>
      </c>
      <c r="U4107" s="10" t="n"/>
      <c r="V4107" s="10" t="n"/>
      <c r="W4107" s="10" t="n"/>
      <c r="X4107" s="10" t="n"/>
      <c r="Y4107" s="10" t="n"/>
      <c r="Z4107" s="10" t="n"/>
      <c r="AA4107" s="11">
        <f>IF(A4107="","",IF(AND(J4107="P4",F4107="causal"),"P4-CAUSAL",""))</f>
        <v/>
      </c>
    </row>
    <row r="4108" ht="15" customHeight="1" s="1">
      <c r="P4108">
        <f>IF(OR(F4108="",H4108="",J4108=""),"",J4108&amp;"|"&amp;F4108&amp;"|"&amp;IF(H4108="W3","W3_"&amp;IF(I4108="","unknown",I4108),H4108))</f>
        <v/>
      </c>
      <c r="Q4108">
        <f>IF(P4108="","",IFERROR(IF(AND(H4108="W7",OR(F4108="causal",F4108="predictive")),IF(AND(OR(K4108=1,K4108="1"),OR(L4108=1,L4108="1"),OR(M4108=1,M4108="1")),"adequate","partial"),IF(AND(H4108="W4",F4108="predictive",OR(J4108="P2",J4108="P3",J4108="P4")),IF(OR(U4108=1,U4108="1"),"adequate","partial"),INDEX(Fit_Matrix!$B:$B,MATCH(P4108,Fit_Matrix!$A:$A,0)))),"CHECK KEY"))</f>
        <v/>
      </c>
      <c r="U4108" s="10" t="n"/>
      <c r="V4108" s="10" t="n"/>
      <c r="W4108" s="10" t="n"/>
      <c r="X4108" s="10" t="n"/>
      <c r="Y4108" s="10" t="n"/>
      <c r="Z4108" s="10" t="n"/>
      <c r="AA4108" s="11">
        <f>IF(A4108="","",IF(AND(J4108="P4",F4108="causal"),"P4-CAUSAL",""))</f>
        <v/>
      </c>
    </row>
    <row r="4109" ht="15" customHeight="1" s="1">
      <c r="P4109">
        <f>IF(OR(F4109="",H4109="",J4109=""),"",J4109&amp;"|"&amp;F4109&amp;"|"&amp;IF(H4109="W3","W3_"&amp;IF(I4109="","unknown",I4109),H4109))</f>
        <v/>
      </c>
      <c r="Q4109">
        <f>IF(P4109="","",IFERROR(IF(AND(H4109="W7",OR(F4109="causal",F4109="predictive")),IF(AND(OR(K4109=1,K4109="1"),OR(L4109=1,L4109="1"),OR(M4109=1,M4109="1")),"adequate","partial"),IF(AND(H4109="W4",F4109="predictive",OR(J4109="P2",J4109="P3",J4109="P4")),IF(OR(U4109=1,U4109="1"),"adequate","partial"),INDEX(Fit_Matrix!$B:$B,MATCH(P4109,Fit_Matrix!$A:$A,0)))),"CHECK KEY"))</f>
        <v/>
      </c>
      <c r="U4109" s="10" t="n"/>
      <c r="V4109" s="10" t="n"/>
      <c r="W4109" s="10" t="n"/>
      <c r="X4109" s="10" t="n"/>
      <c r="Y4109" s="10" t="n"/>
      <c r="Z4109" s="10" t="n"/>
      <c r="AA4109" s="11">
        <f>IF(A4109="","",IF(AND(J4109="P4",F4109="causal"),"P4-CAUSAL",""))</f>
        <v/>
      </c>
    </row>
    <row r="4110" ht="15" customHeight="1" s="1">
      <c r="P4110">
        <f>IF(OR(F4110="",H4110="",J4110=""),"",J4110&amp;"|"&amp;F4110&amp;"|"&amp;IF(H4110="W3","W3_"&amp;IF(I4110="","unknown",I4110),H4110))</f>
        <v/>
      </c>
      <c r="Q4110">
        <f>IF(P4110="","",IFERROR(IF(AND(H4110="W7",OR(F4110="causal",F4110="predictive")),IF(AND(OR(K4110=1,K4110="1"),OR(L4110=1,L4110="1"),OR(M4110=1,M4110="1")),"adequate","partial"),IF(AND(H4110="W4",F4110="predictive",OR(J4110="P2",J4110="P3",J4110="P4")),IF(OR(U4110=1,U4110="1"),"adequate","partial"),INDEX(Fit_Matrix!$B:$B,MATCH(P4110,Fit_Matrix!$A:$A,0)))),"CHECK KEY"))</f>
        <v/>
      </c>
      <c r="U4110" s="10" t="n"/>
      <c r="V4110" s="10" t="n"/>
      <c r="W4110" s="10" t="n"/>
      <c r="X4110" s="10" t="n"/>
      <c r="Y4110" s="10" t="n"/>
      <c r="Z4110" s="10" t="n"/>
      <c r="AA4110" s="11">
        <f>IF(A4110="","",IF(AND(J4110="P4",F4110="causal"),"P4-CAUSAL",""))</f>
        <v/>
      </c>
    </row>
    <row r="4111" ht="15" customHeight="1" s="1">
      <c r="P4111">
        <f>IF(OR(F4111="",H4111="",J4111=""),"",J4111&amp;"|"&amp;F4111&amp;"|"&amp;IF(H4111="W3","W3_"&amp;IF(I4111="","unknown",I4111),H4111))</f>
        <v/>
      </c>
      <c r="Q4111">
        <f>IF(P4111="","",IFERROR(IF(AND(H4111="W7",OR(F4111="causal",F4111="predictive")),IF(AND(OR(K4111=1,K4111="1"),OR(L4111=1,L4111="1"),OR(M4111=1,M4111="1")),"adequate","partial"),IF(AND(H4111="W4",F4111="predictive",OR(J4111="P2",J4111="P3",J4111="P4")),IF(OR(U4111=1,U4111="1"),"adequate","partial"),INDEX(Fit_Matrix!$B:$B,MATCH(P4111,Fit_Matrix!$A:$A,0)))),"CHECK KEY"))</f>
        <v/>
      </c>
      <c r="U4111" s="10" t="n"/>
      <c r="V4111" s="10" t="n"/>
      <c r="W4111" s="10" t="n"/>
      <c r="X4111" s="10" t="n"/>
      <c r="Y4111" s="10" t="n"/>
      <c r="Z4111" s="10" t="n"/>
      <c r="AA4111" s="11">
        <f>IF(A4111="","",IF(AND(J4111="P4",F4111="causal"),"P4-CAUSAL",""))</f>
        <v/>
      </c>
    </row>
    <row r="4112" ht="15" customHeight="1" s="1">
      <c r="P4112">
        <f>IF(OR(F4112="",H4112="",J4112=""),"",J4112&amp;"|"&amp;F4112&amp;"|"&amp;IF(H4112="W3","W3_"&amp;IF(I4112="","unknown",I4112),H4112))</f>
        <v/>
      </c>
      <c r="Q4112">
        <f>IF(P4112="","",IFERROR(IF(AND(H4112="W7",OR(F4112="causal",F4112="predictive")),IF(AND(OR(K4112=1,K4112="1"),OR(L4112=1,L4112="1"),OR(M4112=1,M4112="1")),"adequate","partial"),IF(AND(H4112="W4",F4112="predictive",OR(J4112="P2",J4112="P3",J4112="P4")),IF(OR(U4112=1,U4112="1"),"adequate","partial"),INDEX(Fit_Matrix!$B:$B,MATCH(P4112,Fit_Matrix!$A:$A,0)))),"CHECK KEY"))</f>
        <v/>
      </c>
      <c r="U4112" s="10" t="n"/>
      <c r="V4112" s="10" t="n"/>
      <c r="W4112" s="10" t="n"/>
      <c r="X4112" s="10" t="n"/>
      <c r="Y4112" s="10" t="n"/>
      <c r="Z4112" s="10" t="n"/>
      <c r="AA4112" s="11">
        <f>IF(A4112="","",IF(AND(J4112="P4",F4112="causal"),"P4-CAUSAL",""))</f>
        <v/>
      </c>
    </row>
    <row r="4113" ht="15" customHeight="1" s="1">
      <c r="P4113">
        <f>IF(OR(F4113="",H4113="",J4113=""),"",J4113&amp;"|"&amp;F4113&amp;"|"&amp;IF(H4113="W3","W3_"&amp;IF(I4113="","unknown",I4113),H4113))</f>
        <v/>
      </c>
      <c r="Q4113">
        <f>IF(P4113="","",IFERROR(IF(AND(H4113="W7",OR(F4113="causal",F4113="predictive")),IF(AND(OR(K4113=1,K4113="1"),OR(L4113=1,L4113="1"),OR(M4113=1,M4113="1")),"adequate","partial"),IF(AND(H4113="W4",F4113="predictive",OR(J4113="P2",J4113="P3",J4113="P4")),IF(OR(U4113=1,U4113="1"),"adequate","partial"),INDEX(Fit_Matrix!$B:$B,MATCH(P4113,Fit_Matrix!$A:$A,0)))),"CHECK KEY"))</f>
        <v/>
      </c>
      <c r="U4113" s="10" t="n"/>
      <c r="V4113" s="10" t="n"/>
      <c r="W4113" s="10" t="n"/>
      <c r="X4113" s="10" t="n"/>
      <c r="Y4113" s="10" t="n"/>
      <c r="Z4113" s="10" t="n"/>
      <c r="AA4113" s="11">
        <f>IF(A4113="","",IF(AND(J4113="P4",F4113="causal"),"P4-CAUSAL",""))</f>
        <v/>
      </c>
    </row>
    <row r="4114" ht="15" customHeight="1" s="1">
      <c r="P4114">
        <f>IF(OR(F4114="",H4114="",J4114=""),"",J4114&amp;"|"&amp;F4114&amp;"|"&amp;IF(H4114="W3","W3_"&amp;IF(I4114="","unknown",I4114),H4114))</f>
        <v/>
      </c>
      <c r="Q4114">
        <f>IF(P4114="","",IFERROR(IF(AND(H4114="W7",OR(F4114="causal",F4114="predictive")),IF(AND(OR(K4114=1,K4114="1"),OR(L4114=1,L4114="1"),OR(M4114=1,M4114="1")),"adequate","partial"),IF(AND(H4114="W4",F4114="predictive",OR(J4114="P2",J4114="P3",J4114="P4")),IF(OR(U4114=1,U4114="1"),"adequate","partial"),INDEX(Fit_Matrix!$B:$B,MATCH(P4114,Fit_Matrix!$A:$A,0)))),"CHECK KEY"))</f>
        <v/>
      </c>
      <c r="U4114" s="10" t="n"/>
      <c r="V4114" s="10" t="n"/>
      <c r="W4114" s="10" t="n"/>
      <c r="X4114" s="10" t="n"/>
      <c r="Y4114" s="10" t="n"/>
      <c r="Z4114" s="10" t="n"/>
      <c r="AA4114" s="11">
        <f>IF(A4114="","",IF(AND(J4114="P4",F4114="causal"),"P4-CAUSAL",""))</f>
        <v/>
      </c>
    </row>
    <row r="4115" ht="15" customHeight="1" s="1">
      <c r="P4115">
        <f>IF(OR(F4115="",H4115="",J4115=""),"",J4115&amp;"|"&amp;F4115&amp;"|"&amp;IF(H4115="W3","W3_"&amp;IF(I4115="","unknown",I4115),H4115))</f>
        <v/>
      </c>
      <c r="Q4115">
        <f>IF(P4115="","",IFERROR(IF(AND(H4115="W7",OR(F4115="causal",F4115="predictive")),IF(AND(OR(K4115=1,K4115="1"),OR(L4115=1,L4115="1"),OR(M4115=1,M4115="1")),"adequate","partial"),IF(AND(H4115="W4",F4115="predictive",OR(J4115="P2",J4115="P3",J4115="P4")),IF(OR(U4115=1,U4115="1"),"adequate","partial"),INDEX(Fit_Matrix!$B:$B,MATCH(P4115,Fit_Matrix!$A:$A,0)))),"CHECK KEY"))</f>
        <v/>
      </c>
      <c r="U4115" s="10" t="n"/>
      <c r="V4115" s="10" t="n"/>
      <c r="W4115" s="10" t="n"/>
      <c r="X4115" s="10" t="n"/>
      <c r="Y4115" s="10" t="n"/>
      <c r="Z4115" s="10" t="n"/>
      <c r="AA4115" s="11">
        <f>IF(A4115="","",IF(AND(J4115="P4",F4115="causal"),"P4-CAUSAL",""))</f>
        <v/>
      </c>
    </row>
    <row r="4116" ht="15" customHeight="1" s="1">
      <c r="P4116">
        <f>IF(OR(F4116="",H4116="",J4116=""),"",J4116&amp;"|"&amp;F4116&amp;"|"&amp;IF(H4116="W3","W3_"&amp;IF(I4116="","unknown",I4116),H4116))</f>
        <v/>
      </c>
      <c r="Q4116">
        <f>IF(P4116="","",IFERROR(IF(AND(H4116="W7",OR(F4116="causal",F4116="predictive")),IF(AND(OR(K4116=1,K4116="1"),OR(L4116=1,L4116="1"),OR(M4116=1,M4116="1")),"adequate","partial"),IF(AND(H4116="W4",F4116="predictive",OR(J4116="P2",J4116="P3",J4116="P4")),IF(OR(U4116=1,U4116="1"),"adequate","partial"),INDEX(Fit_Matrix!$B:$B,MATCH(P4116,Fit_Matrix!$A:$A,0)))),"CHECK KEY"))</f>
        <v/>
      </c>
      <c r="U4116" s="10" t="n"/>
      <c r="V4116" s="10" t="n"/>
      <c r="W4116" s="10" t="n"/>
      <c r="X4116" s="10" t="n"/>
      <c r="Y4116" s="10" t="n"/>
      <c r="Z4116" s="10" t="n"/>
      <c r="AA4116" s="11">
        <f>IF(A4116="","",IF(AND(J4116="P4",F4116="causal"),"P4-CAUSAL",""))</f>
        <v/>
      </c>
    </row>
    <row r="4117" ht="15" customHeight="1" s="1">
      <c r="P4117">
        <f>IF(OR(F4117="",H4117="",J4117=""),"",J4117&amp;"|"&amp;F4117&amp;"|"&amp;IF(H4117="W3","W3_"&amp;IF(I4117="","unknown",I4117),H4117))</f>
        <v/>
      </c>
      <c r="Q4117">
        <f>IF(P4117="","",IFERROR(IF(AND(H4117="W7",OR(F4117="causal",F4117="predictive")),IF(AND(OR(K4117=1,K4117="1"),OR(L4117=1,L4117="1"),OR(M4117=1,M4117="1")),"adequate","partial"),IF(AND(H4117="W4",F4117="predictive",OR(J4117="P2",J4117="P3",J4117="P4")),IF(OR(U4117=1,U4117="1"),"adequate","partial"),INDEX(Fit_Matrix!$B:$B,MATCH(P4117,Fit_Matrix!$A:$A,0)))),"CHECK KEY"))</f>
        <v/>
      </c>
      <c r="U4117" s="10" t="n"/>
      <c r="V4117" s="10" t="n"/>
      <c r="W4117" s="10" t="n"/>
      <c r="X4117" s="10" t="n"/>
      <c r="Y4117" s="10" t="n"/>
      <c r="Z4117" s="10" t="n"/>
      <c r="AA4117" s="11">
        <f>IF(A4117="","",IF(AND(J4117="P4",F4117="causal"),"P4-CAUSAL",""))</f>
        <v/>
      </c>
    </row>
    <row r="4118" ht="15" customHeight="1" s="1">
      <c r="P4118">
        <f>IF(OR(F4118="",H4118="",J4118=""),"",J4118&amp;"|"&amp;F4118&amp;"|"&amp;IF(H4118="W3","W3_"&amp;IF(I4118="","unknown",I4118),H4118))</f>
        <v/>
      </c>
      <c r="Q4118">
        <f>IF(P4118="","",IFERROR(IF(AND(H4118="W7",OR(F4118="causal",F4118="predictive")),IF(AND(OR(K4118=1,K4118="1"),OR(L4118=1,L4118="1"),OR(M4118=1,M4118="1")),"adequate","partial"),IF(AND(H4118="W4",F4118="predictive",OR(J4118="P2",J4118="P3",J4118="P4")),IF(OR(U4118=1,U4118="1"),"adequate","partial"),INDEX(Fit_Matrix!$B:$B,MATCH(P4118,Fit_Matrix!$A:$A,0)))),"CHECK KEY"))</f>
        <v/>
      </c>
      <c r="U4118" s="10" t="n"/>
      <c r="V4118" s="10" t="n"/>
      <c r="W4118" s="10" t="n"/>
      <c r="X4118" s="10" t="n"/>
      <c r="Y4118" s="10" t="n"/>
      <c r="Z4118" s="10" t="n"/>
      <c r="AA4118" s="11">
        <f>IF(A4118="","",IF(AND(J4118="P4",F4118="causal"),"P4-CAUSAL",""))</f>
        <v/>
      </c>
    </row>
    <row r="4119" ht="15" customHeight="1" s="1">
      <c r="P4119">
        <f>IF(OR(F4119="",H4119="",J4119=""),"",J4119&amp;"|"&amp;F4119&amp;"|"&amp;IF(H4119="W3","W3_"&amp;IF(I4119="","unknown",I4119),H4119))</f>
        <v/>
      </c>
      <c r="Q4119">
        <f>IF(P4119="","",IFERROR(IF(AND(H4119="W7",OR(F4119="causal",F4119="predictive")),IF(AND(OR(K4119=1,K4119="1"),OR(L4119=1,L4119="1"),OR(M4119=1,M4119="1")),"adequate","partial"),IF(AND(H4119="W4",F4119="predictive",OR(J4119="P2",J4119="P3",J4119="P4")),IF(OR(U4119=1,U4119="1"),"adequate","partial"),INDEX(Fit_Matrix!$B:$B,MATCH(P4119,Fit_Matrix!$A:$A,0)))),"CHECK KEY"))</f>
        <v/>
      </c>
      <c r="U4119" s="10" t="n"/>
      <c r="V4119" s="10" t="n"/>
      <c r="W4119" s="10" t="n"/>
      <c r="X4119" s="10" t="n"/>
      <c r="Y4119" s="10" t="n"/>
      <c r="Z4119" s="10" t="n"/>
      <c r="AA4119" s="11">
        <f>IF(A4119="","",IF(AND(J4119="P4",F4119="causal"),"P4-CAUSAL",""))</f>
        <v/>
      </c>
    </row>
    <row r="4120" ht="15" customHeight="1" s="1">
      <c r="P4120">
        <f>IF(OR(F4120="",H4120="",J4120=""),"",J4120&amp;"|"&amp;F4120&amp;"|"&amp;IF(H4120="W3","W3_"&amp;IF(I4120="","unknown",I4120),H4120))</f>
        <v/>
      </c>
      <c r="Q4120">
        <f>IF(P4120="","",IFERROR(IF(AND(H4120="W7",OR(F4120="causal",F4120="predictive")),IF(AND(OR(K4120=1,K4120="1"),OR(L4120=1,L4120="1"),OR(M4120=1,M4120="1")),"adequate","partial"),IF(AND(H4120="W4",F4120="predictive",OR(J4120="P2",J4120="P3",J4120="P4")),IF(OR(U4120=1,U4120="1"),"adequate","partial"),INDEX(Fit_Matrix!$B:$B,MATCH(P4120,Fit_Matrix!$A:$A,0)))),"CHECK KEY"))</f>
        <v/>
      </c>
      <c r="U4120" s="10" t="n"/>
      <c r="V4120" s="10" t="n"/>
      <c r="W4120" s="10" t="n"/>
      <c r="X4120" s="10" t="n"/>
      <c r="Y4120" s="10" t="n"/>
      <c r="Z4120" s="10" t="n"/>
      <c r="AA4120" s="11">
        <f>IF(A4120="","",IF(AND(J4120="P4",F4120="causal"),"P4-CAUSAL",""))</f>
        <v/>
      </c>
    </row>
    <row r="4121" ht="15" customHeight="1" s="1">
      <c r="P4121">
        <f>IF(OR(F4121="",H4121="",J4121=""),"",J4121&amp;"|"&amp;F4121&amp;"|"&amp;IF(H4121="W3","W3_"&amp;IF(I4121="","unknown",I4121),H4121))</f>
        <v/>
      </c>
      <c r="Q4121">
        <f>IF(P4121="","",IFERROR(IF(AND(H4121="W7",OR(F4121="causal",F4121="predictive")),IF(AND(OR(K4121=1,K4121="1"),OR(L4121=1,L4121="1"),OR(M4121=1,M4121="1")),"adequate","partial"),IF(AND(H4121="W4",F4121="predictive",OR(J4121="P2",J4121="P3",J4121="P4")),IF(OR(U4121=1,U4121="1"),"adequate","partial"),INDEX(Fit_Matrix!$B:$B,MATCH(P4121,Fit_Matrix!$A:$A,0)))),"CHECK KEY"))</f>
        <v/>
      </c>
      <c r="U4121" s="10" t="n"/>
      <c r="V4121" s="10" t="n"/>
      <c r="W4121" s="10" t="n"/>
      <c r="X4121" s="10" t="n"/>
      <c r="Y4121" s="10" t="n"/>
      <c r="Z4121" s="10" t="n"/>
      <c r="AA4121" s="11">
        <f>IF(A4121="","",IF(AND(J4121="P4",F4121="causal"),"P4-CAUSAL",""))</f>
        <v/>
      </c>
    </row>
    <row r="4122" ht="15" customHeight="1" s="1">
      <c r="P4122">
        <f>IF(OR(F4122="",H4122="",J4122=""),"",J4122&amp;"|"&amp;F4122&amp;"|"&amp;IF(H4122="W3","W3_"&amp;IF(I4122="","unknown",I4122),H4122))</f>
        <v/>
      </c>
      <c r="Q4122">
        <f>IF(P4122="","",IFERROR(IF(AND(H4122="W7",OR(F4122="causal",F4122="predictive")),IF(AND(OR(K4122=1,K4122="1"),OR(L4122=1,L4122="1"),OR(M4122=1,M4122="1")),"adequate","partial"),IF(AND(H4122="W4",F4122="predictive",OR(J4122="P2",J4122="P3",J4122="P4")),IF(OR(U4122=1,U4122="1"),"adequate","partial"),INDEX(Fit_Matrix!$B:$B,MATCH(P4122,Fit_Matrix!$A:$A,0)))),"CHECK KEY"))</f>
        <v/>
      </c>
      <c r="U4122" s="10" t="n"/>
      <c r="V4122" s="10" t="n"/>
      <c r="W4122" s="10" t="n"/>
      <c r="X4122" s="10" t="n"/>
      <c r="Y4122" s="10" t="n"/>
      <c r="Z4122" s="10" t="n"/>
      <c r="AA4122" s="11">
        <f>IF(A4122="","",IF(AND(J4122="P4",F4122="causal"),"P4-CAUSAL",""))</f>
        <v/>
      </c>
    </row>
    <row r="4123" ht="15" customHeight="1" s="1">
      <c r="P4123">
        <f>IF(OR(F4123="",H4123="",J4123=""),"",J4123&amp;"|"&amp;F4123&amp;"|"&amp;IF(H4123="W3","W3_"&amp;IF(I4123="","unknown",I4123),H4123))</f>
        <v/>
      </c>
      <c r="Q4123">
        <f>IF(P4123="","",IFERROR(IF(AND(H4123="W7",OR(F4123="causal",F4123="predictive")),IF(AND(OR(K4123=1,K4123="1"),OR(L4123=1,L4123="1"),OR(M4123=1,M4123="1")),"adequate","partial"),IF(AND(H4123="W4",F4123="predictive",OR(J4123="P2",J4123="P3",J4123="P4")),IF(OR(U4123=1,U4123="1"),"adequate","partial"),INDEX(Fit_Matrix!$B:$B,MATCH(P4123,Fit_Matrix!$A:$A,0)))),"CHECK KEY"))</f>
        <v/>
      </c>
      <c r="U4123" s="10" t="n"/>
      <c r="V4123" s="10" t="n"/>
      <c r="W4123" s="10" t="n"/>
      <c r="X4123" s="10" t="n"/>
      <c r="Y4123" s="10" t="n"/>
      <c r="Z4123" s="10" t="n"/>
      <c r="AA4123" s="11">
        <f>IF(A4123="","",IF(AND(J4123="P4",F4123="causal"),"P4-CAUSAL",""))</f>
        <v/>
      </c>
    </row>
    <row r="4124" ht="15" customHeight="1" s="1">
      <c r="P4124">
        <f>IF(OR(F4124="",H4124="",J4124=""),"",J4124&amp;"|"&amp;F4124&amp;"|"&amp;IF(H4124="W3","W3_"&amp;IF(I4124="","unknown",I4124),H4124))</f>
        <v/>
      </c>
      <c r="Q4124">
        <f>IF(P4124="","",IFERROR(IF(AND(H4124="W7",OR(F4124="causal",F4124="predictive")),IF(AND(OR(K4124=1,K4124="1"),OR(L4124=1,L4124="1"),OR(M4124=1,M4124="1")),"adequate","partial"),IF(AND(H4124="W4",F4124="predictive",OR(J4124="P2",J4124="P3",J4124="P4")),IF(OR(U4124=1,U4124="1"),"adequate","partial"),INDEX(Fit_Matrix!$B:$B,MATCH(P4124,Fit_Matrix!$A:$A,0)))),"CHECK KEY"))</f>
        <v/>
      </c>
      <c r="U4124" s="10" t="n"/>
      <c r="V4124" s="10" t="n"/>
      <c r="W4124" s="10" t="n"/>
      <c r="X4124" s="10" t="n"/>
      <c r="Y4124" s="10" t="n"/>
      <c r="Z4124" s="10" t="n"/>
      <c r="AA4124" s="11">
        <f>IF(A4124="","",IF(AND(J4124="P4",F4124="causal"),"P4-CAUSAL",""))</f>
        <v/>
      </c>
    </row>
    <row r="4125" ht="15" customHeight="1" s="1">
      <c r="P4125">
        <f>IF(OR(F4125="",H4125="",J4125=""),"",J4125&amp;"|"&amp;F4125&amp;"|"&amp;IF(H4125="W3","W3_"&amp;IF(I4125="","unknown",I4125),H4125))</f>
        <v/>
      </c>
      <c r="Q4125">
        <f>IF(P4125="","",IFERROR(IF(AND(H4125="W7",OR(F4125="causal",F4125="predictive")),IF(AND(OR(K4125=1,K4125="1"),OR(L4125=1,L4125="1"),OR(M4125=1,M4125="1")),"adequate","partial"),IF(AND(H4125="W4",F4125="predictive",OR(J4125="P2",J4125="P3",J4125="P4")),IF(OR(U4125=1,U4125="1"),"adequate","partial"),INDEX(Fit_Matrix!$B:$B,MATCH(P4125,Fit_Matrix!$A:$A,0)))),"CHECK KEY"))</f>
        <v/>
      </c>
      <c r="U4125" s="10" t="n"/>
      <c r="V4125" s="10" t="n"/>
      <c r="W4125" s="10" t="n"/>
      <c r="X4125" s="10" t="n"/>
      <c r="Y4125" s="10" t="n"/>
      <c r="Z4125" s="10" t="n"/>
      <c r="AA4125" s="11">
        <f>IF(A4125="","",IF(AND(J4125="P4",F4125="causal"),"P4-CAUSAL",""))</f>
        <v/>
      </c>
    </row>
    <row r="4126" ht="15" customHeight="1" s="1">
      <c r="P4126">
        <f>IF(OR(F4126="",H4126="",J4126=""),"",J4126&amp;"|"&amp;F4126&amp;"|"&amp;IF(H4126="W3","W3_"&amp;IF(I4126="","unknown",I4126),H4126))</f>
        <v/>
      </c>
      <c r="Q4126">
        <f>IF(P4126="","",IFERROR(IF(AND(H4126="W7",OR(F4126="causal",F4126="predictive")),IF(AND(OR(K4126=1,K4126="1"),OR(L4126=1,L4126="1"),OR(M4126=1,M4126="1")),"adequate","partial"),IF(AND(H4126="W4",F4126="predictive",OR(J4126="P2",J4126="P3",J4126="P4")),IF(OR(U4126=1,U4126="1"),"adequate","partial"),INDEX(Fit_Matrix!$B:$B,MATCH(P4126,Fit_Matrix!$A:$A,0)))),"CHECK KEY"))</f>
        <v/>
      </c>
      <c r="U4126" s="10" t="n"/>
      <c r="V4126" s="10" t="n"/>
      <c r="W4126" s="10" t="n"/>
      <c r="X4126" s="10" t="n"/>
      <c r="Y4126" s="10" t="n"/>
      <c r="Z4126" s="10" t="n"/>
      <c r="AA4126" s="11">
        <f>IF(A4126="","",IF(AND(J4126="P4",F4126="causal"),"P4-CAUSAL",""))</f>
        <v/>
      </c>
    </row>
    <row r="4127" ht="15" customHeight="1" s="1">
      <c r="P4127">
        <f>IF(OR(F4127="",H4127="",J4127=""),"",J4127&amp;"|"&amp;F4127&amp;"|"&amp;IF(H4127="W3","W3_"&amp;IF(I4127="","unknown",I4127),H4127))</f>
        <v/>
      </c>
      <c r="Q4127">
        <f>IF(P4127="","",IFERROR(IF(AND(H4127="W7",OR(F4127="causal",F4127="predictive")),IF(AND(OR(K4127=1,K4127="1"),OR(L4127=1,L4127="1"),OR(M4127=1,M4127="1")),"adequate","partial"),IF(AND(H4127="W4",F4127="predictive",OR(J4127="P2",J4127="P3",J4127="P4")),IF(OR(U4127=1,U4127="1"),"adequate","partial"),INDEX(Fit_Matrix!$B:$B,MATCH(P4127,Fit_Matrix!$A:$A,0)))),"CHECK KEY"))</f>
        <v/>
      </c>
      <c r="U4127" s="10" t="n"/>
      <c r="V4127" s="10" t="n"/>
      <c r="W4127" s="10" t="n"/>
      <c r="X4127" s="10" t="n"/>
      <c r="Y4127" s="10" t="n"/>
      <c r="Z4127" s="10" t="n"/>
      <c r="AA4127" s="11">
        <f>IF(A4127="","",IF(AND(J4127="P4",F4127="causal"),"P4-CAUSAL",""))</f>
        <v/>
      </c>
    </row>
    <row r="4128" ht="15" customHeight="1" s="1">
      <c r="P4128">
        <f>IF(OR(F4128="",H4128="",J4128=""),"",J4128&amp;"|"&amp;F4128&amp;"|"&amp;IF(H4128="W3","W3_"&amp;IF(I4128="","unknown",I4128),H4128))</f>
        <v/>
      </c>
      <c r="Q4128">
        <f>IF(P4128="","",IFERROR(IF(AND(H4128="W7",OR(F4128="causal",F4128="predictive")),IF(AND(OR(K4128=1,K4128="1"),OR(L4128=1,L4128="1"),OR(M4128=1,M4128="1")),"adequate","partial"),IF(AND(H4128="W4",F4128="predictive",OR(J4128="P2",J4128="P3",J4128="P4")),IF(OR(U4128=1,U4128="1"),"adequate","partial"),INDEX(Fit_Matrix!$B:$B,MATCH(P4128,Fit_Matrix!$A:$A,0)))),"CHECK KEY"))</f>
        <v/>
      </c>
      <c r="U4128" s="10" t="n"/>
      <c r="V4128" s="10" t="n"/>
      <c r="W4128" s="10" t="n"/>
      <c r="X4128" s="10" t="n"/>
      <c r="Y4128" s="10" t="n"/>
      <c r="Z4128" s="10" t="n"/>
      <c r="AA4128" s="11">
        <f>IF(A4128="","",IF(AND(J4128="P4",F4128="causal"),"P4-CAUSAL",""))</f>
        <v/>
      </c>
    </row>
    <row r="4129" ht="15" customHeight="1" s="1">
      <c r="P4129">
        <f>IF(OR(F4129="",H4129="",J4129=""),"",J4129&amp;"|"&amp;F4129&amp;"|"&amp;IF(H4129="W3","W3_"&amp;IF(I4129="","unknown",I4129),H4129))</f>
        <v/>
      </c>
      <c r="Q4129">
        <f>IF(P4129="","",IFERROR(IF(AND(H4129="W7",OR(F4129="causal",F4129="predictive")),IF(AND(OR(K4129=1,K4129="1"),OR(L4129=1,L4129="1"),OR(M4129=1,M4129="1")),"adequate","partial"),IF(AND(H4129="W4",F4129="predictive",OR(J4129="P2",J4129="P3",J4129="P4")),IF(OR(U4129=1,U4129="1"),"adequate","partial"),INDEX(Fit_Matrix!$B:$B,MATCH(P4129,Fit_Matrix!$A:$A,0)))),"CHECK KEY"))</f>
        <v/>
      </c>
      <c r="U4129" s="10" t="n"/>
      <c r="V4129" s="10" t="n"/>
      <c r="W4129" s="10" t="n"/>
      <c r="X4129" s="10" t="n"/>
      <c r="Y4129" s="10" t="n"/>
      <c r="Z4129" s="10" t="n"/>
      <c r="AA4129" s="11">
        <f>IF(A4129="","",IF(AND(J4129="P4",F4129="causal"),"P4-CAUSAL",""))</f>
        <v/>
      </c>
    </row>
    <row r="4130" ht="15" customHeight="1" s="1">
      <c r="P4130">
        <f>IF(OR(F4130="",H4130="",J4130=""),"",J4130&amp;"|"&amp;F4130&amp;"|"&amp;IF(H4130="W3","W3_"&amp;IF(I4130="","unknown",I4130),H4130))</f>
        <v/>
      </c>
      <c r="Q4130">
        <f>IF(P4130="","",IFERROR(IF(AND(H4130="W7",OR(F4130="causal",F4130="predictive")),IF(AND(OR(K4130=1,K4130="1"),OR(L4130=1,L4130="1"),OR(M4130=1,M4130="1")),"adequate","partial"),IF(AND(H4130="W4",F4130="predictive",OR(J4130="P2",J4130="P3",J4130="P4")),IF(OR(U4130=1,U4130="1"),"adequate","partial"),INDEX(Fit_Matrix!$B:$B,MATCH(P4130,Fit_Matrix!$A:$A,0)))),"CHECK KEY"))</f>
        <v/>
      </c>
      <c r="U4130" s="10" t="n"/>
      <c r="V4130" s="10" t="n"/>
      <c r="W4130" s="10" t="n"/>
      <c r="X4130" s="10" t="n"/>
      <c r="Y4130" s="10" t="n"/>
      <c r="Z4130" s="10" t="n"/>
      <c r="AA4130" s="11">
        <f>IF(A4130="","",IF(AND(J4130="P4",F4130="causal"),"P4-CAUSAL",""))</f>
        <v/>
      </c>
    </row>
    <row r="4131" ht="15" customHeight="1" s="1">
      <c r="P4131">
        <f>IF(OR(F4131="",H4131="",J4131=""),"",J4131&amp;"|"&amp;F4131&amp;"|"&amp;IF(H4131="W3","W3_"&amp;IF(I4131="","unknown",I4131),H4131))</f>
        <v/>
      </c>
      <c r="Q4131">
        <f>IF(P4131="","",IFERROR(IF(AND(H4131="W7",OR(F4131="causal",F4131="predictive")),IF(AND(OR(K4131=1,K4131="1"),OR(L4131=1,L4131="1"),OR(M4131=1,M4131="1")),"adequate","partial"),IF(AND(H4131="W4",F4131="predictive",OR(J4131="P2",J4131="P3",J4131="P4")),IF(OR(U4131=1,U4131="1"),"adequate","partial"),INDEX(Fit_Matrix!$B:$B,MATCH(P4131,Fit_Matrix!$A:$A,0)))),"CHECK KEY"))</f>
        <v/>
      </c>
      <c r="U4131" s="10" t="n"/>
      <c r="V4131" s="10" t="n"/>
      <c r="W4131" s="10" t="n"/>
      <c r="X4131" s="10" t="n"/>
      <c r="Y4131" s="10" t="n"/>
      <c r="Z4131" s="10" t="n"/>
      <c r="AA4131" s="11">
        <f>IF(A4131="","",IF(AND(J4131="P4",F4131="causal"),"P4-CAUSAL",""))</f>
        <v/>
      </c>
    </row>
    <row r="4132" ht="15" customHeight="1" s="1">
      <c r="P4132">
        <f>IF(OR(F4132="",H4132="",J4132=""),"",J4132&amp;"|"&amp;F4132&amp;"|"&amp;IF(H4132="W3","W3_"&amp;IF(I4132="","unknown",I4132),H4132))</f>
        <v/>
      </c>
      <c r="Q4132">
        <f>IF(P4132="","",IFERROR(IF(AND(H4132="W7",OR(F4132="causal",F4132="predictive")),IF(AND(OR(K4132=1,K4132="1"),OR(L4132=1,L4132="1"),OR(M4132=1,M4132="1")),"adequate","partial"),IF(AND(H4132="W4",F4132="predictive",OR(J4132="P2",J4132="P3",J4132="P4")),IF(OR(U4132=1,U4132="1"),"adequate","partial"),INDEX(Fit_Matrix!$B:$B,MATCH(P4132,Fit_Matrix!$A:$A,0)))),"CHECK KEY"))</f>
        <v/>
      </c>
      <c r="U4132" s="10" t="n"/>
      <c r="V4132" s="10" t="n"/>
      <c r="W4132" s="10" t="n"/>
      <c r="X4132" s="10" t="n"/>
      <c r="Y4132" s="10" t="n"/>
      <c r="Z4132" s="10" t="n"/>
      <c r="AA4132" s="11">
        <f>IF(A4132="","",IF(AND(J4132="P4",F4132="causal"),"P4-CAUSAL",""))</f>
        <v/>
      </c>
    </row>
    <row r="4133" ht="15" customHeight="1" s="1">
      <c r="P4133">
        <f>IF(OR(F4133="",H4133="",J4133=""),"",J4133&amp;"|"&amp;F4133&amp;"|"&amp;IF(H4133="W3","W3_"&amp;IF(I4133="","unknown",I4133),H4133))</f>
        <v/>
      </c>
      <c r="Q4133">
        <f>IF(P4133="","",IFERROR(IF(AND(H4133="W7",OR(F4133="causal",F4133="predictive")),IF(AND(OR(K4133=1,K4133="1"),OR(L4133=1,L4133="1"),OR(M4133=1,M4133="1")),"adequate","partial"),IF(AND(H4133="W4",F4133="predictive",OR(J4133="P2",J4133="P3",J4133="P4")),IF(OR(U4133=1,U4133="1"),"adequate","partial"),INDEX(Fit_Matrix!$B:$B,MATCH(P4133,Fit_Matrix!$A:$A,0)))),"CHECK KEY"))</f>
        <v/>
      </c>
      <c r="U4133" s="10" t="n"/>
      <c r="V4133" s="10" t="n"/>
      <c r="W4133" s="10" t="n"/>
      <c r="X4133" s="10" t="n"/>
      <c r="Y4133" s="10" t="n"/>
      <c r="Z4133" s="10" t="n"/>
      <c r="AA4133" s="11">
        <f>IF(A4133="","",IF(AND(J4133="P4",F4133="causal"),"P4-CAUSAL",""))</f>
        <v/>
      </c>
    </row>
    <row r="4134" ht="15" customHeight="1" s="1">
      <c r="P4134">
        <f>IF(OR(F4134="",H4134="",J4134=""),"",J4134&amp;"|"&amp;F4134&amp;"|"&amp;IF(H4134="W3","W3_"&amp;IF(I4134="","unknown",I4134),H4134))</f>
        <v/>
      </c>
      <c r="Q4134">
        <f>IF(P4134="","",IFERROR(IF(AND(H4134="W7",OR(F4134="causal",F4134="predictive")),IF(AND(OR(K4134=1,K4134="1"),OR(L4134=1,L4134="1"),OR(M4134=1,M4134="1")),"adequate","partial"),IF(AND(H4134="W4",F4134="predictive",OR(J4134="P2",J4134="P3",J4134="P4")),IF(OR(U4134=1,U4134="1"),"adequate","partial"),INDEX(Fit_Matrix!$B:$B,MATCH(P4134,Fit_Matrix!$A:$A,0)))),"CHECK KEY"))</f>
        <v/>
      </c>
      <c r="U4134" s="10" t="n"/>
      <c r="V4134" s="10" t="n"/>
      <c r="W4134" s="10" t="n"/>
      <c r="X4134" s="10" t="n"/>
      <c r="Y4134" s="10" t="n"/>
      <c r="Z4134" s="10" t="n"/>
      <c r="AA4134" s="11">
        <f>IF(A4134="","",IF(AND(J4134="P4",F4134="causal"),"P4-CAUSAL",""))</f>
        <v/>
      </c>
    </row>
    <row r="4135" ht="15" customHeight="1" s="1">
      <c r="P4135">
        <f>IF(OR(F4135="",H4135="",J4135=""),"",J4135&amp;"|"&amp;F4135&amp;"|"&amp;IF(H4135="W3","W3_"&amp;IF(I4135="","unknown",I4135),H4135))</f>
        <v/>
      </c>
      <c r="Q4135">
        <f>IF(P4135="","",IFERROR(IF(AND(H4135="W7",OR(F4135="causal",F4135="predictive")),IF(AND(OR(K4135=1,K4135="1"),OR(L4135=1,L4135="1"),OR(M4135=1,M4135="1")),"adequate","partial"),IF(AND(H4135="W4",F4135="predictive",OR(J4135="P2",J4135="P3",J4135="P4")),IF(OR(U4135=1,U4135="1"),"adequate","partial"),INDEX(Fit_Matrix!$B:$B,MATCH(P4135,Fit_Matrix!$A:$A,0)))),"CHECK KEY"))</f>
        <v/>
      </c>
      <c r="U4135" s="10" t="n"/>
      <c r="V4135" s="10" t="n"/>
      <c r="W4135" s="10" t="n"/>
      <c r="X4135" s="10" t="n"/>
      <c r="Y4135" s="10" t="n"/>
      <c r="Z4135" s="10" t="n"/>
      <c r="AA4135" s="11">
        <f>IF(A4135="","",IF(AND(J4135="P4",F4135="causal"),"P4-CAUSAL",""))</f>
        <v/>
      </c>
    </row>
    <row r="4136" ht="15" customHeight="1" s="1">
      <c r="P4136">
        <f>IF(OR(F4136="",H4136="",J4136=""),"",J4136&amp;"|"&amp;F4136&amp;"|"&amp;IF(H4136="W3","W3_"&amp;IF(I4136="","unknown",I4136),H4136))</f>
        <v/>
      </c>
      <c r="Q4136">
        <f>IF(P4136="","",IFERROR(IF(AND(H4136="W7",OR(F4136="causal",F4136="predictive")),IF(AND(OR(K4136=1,K4136="1"),OR(L4136=1,L4136="1"),OR(M4136=1,M4136="1")),"adequate","partial"),IF(AND(H4136="W4",F4136="predictive",OR(J4136="P2",J4136="P3",J4136="P4")),IF(OR(U4136=1,U4136="1"),"adequate","partial"),INDEX(Fit_Matrix!$B:$B,MATCH(P4136,Fit_Matrix!$A:$A,0)))),"CHECK KEY"))</f>
        <v/>
      </c>
      <c r="U4136" s="10" t="n"/>
      <c r="V4136" s="10" t="n"/>
      <c r="W4136" s="10" t="n"/>
      <c r="X4136" s="10" t="n"/>
      <c r="Y4136" s="10" t="n"/>
      <c r="Z4136" s="10" t="n"/>
      <c r="AA4136" s="11">
        <f>IF(A4136="","",IF(AND(J4136="P4",F4136="causal"),"P4-CAUSAL",""))</f>
        <v/>
      </c>
    </row>
    <row r="4137" ht="15" customHeight="1" s="1">
      <c r="P4137">
        <f>IF(OR(F4137="",H4137="",J4137=""),"",J4137&amp;"|"&amp;F4137&amp;"|"&amp;IF(H4137="W3","W3_"&amp;IF(I4137="","unknown",I4137),H4137))</f>
        <v/>
      </c>
      <c r="Q4137">
        <f>IF(P4137="","",IFERROR(IF(AND(H4137="W7",OR(F4137="causal",F4137="predictive")),IF(AND(OR(K4137=1,K4137="1"),OR(L4137=1,L4137="1"),OR(M4137=1,M4137="1")),"adequate","partial"),IF(AND(H4137="W4",F4137="predictive",OR(J4137="P2",J4137="P3",J4137="P4")),IF(OR(U4137=1,U4137="1"),"adequate","partial"),INDEX(Fit_Matrix!$B:$B,MATCH(P4137,Fit_Matrix!$A:$A,0)))),"CHECK KEY"))</f>
        <v/>
      </c>
      <c r="U4137" s="10" t="n"/>
      <c r="V4137" s="10" t="n"/>
      <c r="W4137" s="10" t="n"/>
      <c r="X4137" s="10" t="n"/>
      <c r="Y4137" s="10" t="n"/>
      <c r="Z4137" s="10" t="n"/>
      <c r="AA4137" s="11">
        <f>IF(A4137="","",IF(AND(J4137="P4",F4137="causal"),"P4-CAUSAL",""))</f>
        <v/>
      </c>
    </row>
    <row r="4138" ht="15" customHeight="1" s="1">
      <c r="P4138">
        <f>IF(OR(F4138="",H4138="",J4138=""),"",J4138&amp;"|"&amp;F4138&amp;"|"&amp;IF(H4138="W3","W3_"&amp;IF(I4138="","unknown",I4138),H4138))</f>
        <v/>
      </c>
      <c r="Q4138">
        <f>IF(P4138="","",IFERROR(IF(AND(H4138="W7",OR(F4138="causal",F4138="predictive")),IF(AND(OR(K4138=1,K4138="1"),OR(L4138=1,L4138="1"),OR(M4138=1,M4138="1")),"adequate","partial"),IF(AND(H4138="W4",F4138="predictive",OR(J4138="P2",J4138="P3",J4138="P4")),IF(OR(U4138=1,U4138="1"),"adequate","partial"),INDEX(Fit_Matrix!$B:$B,MATCH(P4138,Fit_Matrix!$A:$A,0)))),"CHECK KEY"))</f>
        <v/>
      </c>
      <c r="U4138" s="10" t="n"/>
      <c r="V4138" s="10" t="n"/>
      <c r="W4138" s="10" t="n"/>
      <c r="X4138" s="10" t="n"/>
      <c r="Y4138" s="10" t="n"/>
      <c r="Z4138" s="10" t="n"/>
      <c r="AA4138" s="11">
        <f>IF(A4138="","",IF(AND(J4138="P4",F4138="causal"),"P4-CAUSAL",""))</f>
        <v/>
      </c>
    </row>
    <row r="4139" ht="15" customHeight="1" s="1">
      <c r="P4139">
        <f>IF(OR(F4139="",H4139="",J4139=""),"",J4139&amp;"|"&amp;F4139&amp;"|"&amp;IF(H4139="W3","W3_"&amp;IF(I4139="","unknown",I4139),H4139))</f>
        <v/>
      </c>
      <c r="Q4139">
        <f>IF(P4139="","",IFERROR(IF(AND(H4139="W7",OR(F4139="causal",F4139="predictive")),IF(AND(OR(K4139=1,K4139="1"),OR(L4139=1,L4139="1"),OR(M4139=1,M4139="1")),"adequate","partial"),IF(AND(H4139="W4",F4139="predictive",OR(J4139="P2",J4139="P3",J4139="P4")),IF(OR(U4139=1,U4139="1"),"adequate","partial"),INDEX(Fit_Matrix!$B:$B,MATCH(P4139,Fit_Matrix!$A:$A,0)))),"CHECK KEY"))</f>
        <v/>
      </c>
      <c r="U4139" s="10" t="n"/>
      <c r="V4139" s="10" t="n"/>
      <c r="W4139" s="10" t="n"/>
      <c r="X4139" s="10" t="n"/>
      <c r="Y4139" s="10" t="n"/>
      <c r="Z4139" s="10" t="n"/>
      <c r="AA4139" s="11">
        <f>IF(A4139="","",IF(AND(J4139="P4",F4139="causal"),"P4-CAUSAL",""))</f>
        <v/>
      </c>
    </row>
    <row r="4140" ht="15" customHeight="1" s="1">
      <c r="P4140">
        <f>IF(OR(F4140="",H4140="",J4140=""),"",J4140&amp;"|"&amp;F4140&amp;"|"&amp;IF(H4140="W3","W3_"&amp;IF(I4140="","unknown",I4140),H4140))</f>
        <v/>
      </c>
      <c r="Q4140">
        <f>IF(P4140="","",IFERROR(IF(AND(H4140="W7",OR(F4140="causal",F4140="predictive")),IF(AND(OR(K4140=1,K4140="1"),OR(L4140=1,L4140="1"),OR(M4140=1,M4140="1")),"adequate","partial"),IF(AND(H4140="W4",F4140="predictive",OR(J4140="P2",J4140="P3",J4140="P4")),IF(OR(U4140=1,U4140="1"),"adequate","partial"),INDEX(Fit_Matrix!$B:$B,MATCH(P4140,Fit_Matrix!$A:$A,0)))),"CHECK KEY"))</f>
        <v/>
      </c>
      <c r="U4140" s="10" t="n"/>
      <c r="V4140" s="10" t="n"/>
      <c r="W4140" s="10" t="n"/>
      <c r="X4140" s="10" t="n"/>
      <c r="Y4140" s="10" t="n"/>
      <c r="Z4140" s="10" t="n"/>
      <c r="AA4140" s="11">
        <f>IF(A4140="","",IF(AND(J4140="P4",F4140="causal"),"P4-CAUSAL",""))</f>
        <v/>
      </c>
    </row>
    <row r="4141" ht="15" customHeight="1" s="1">
      <c r="P4141">
        <f>IF(OR(F4141="",H4141="",J4141=""),"",J4141&amp;"|"&amp;F4141&amp;"|"&amp;IF(H4141="W3","W3_"&amp;IF(I4141="","unknown",I4141),H4141))</f>
        <v/>
      </c>
      <c r="Q4141">
        <f>IF(P4141="","",IFERROR(IF(AND(H4141="W7",OR(F4141="causal",F4141="predictive")),IF(AND(OR(K4141=1,K4141="1"),OR(L4141=1,L4141="1"),OR(M4141=1,M4141="1")),"adequate","partial"),IF(AND(H4141="W4",F4141="predictive",OR(J4141="P2",J4141="P3",J4141="P4")),IF(OR(U4141=1,U4141="1"),"adequate","partial"),INDEX(Fit_Matrix!$B:$B,MATCH(P4141,Fit_Matrix!$A:$A,0)))),"CHECK KEY"))</f>
        <v/>
      </c>
      <c r="U4141" s="10" t="n"/>
      <c r="V4141" s="10" t="n"/>
      <c r="W4141" s="10" t="n"/>
      <c r="X4141" s="10" t="n"/>
      <c r="Y4141" s="10" t="n"/>
      <c r="Z4141" s="10" t="n"/>
      <c r="AA4141" s="11">
        <f>IF(A4141="","",IF(AND(J4141="P4",F4141="causal"),"P4-CAUSAL",""))</f>
        <v/>
      </c>
    </row>
    <row r="4142" ht="15" customHeight="1" s="1">
      <c r="P4142">
        <f>IF(OR(F4142="",H4142="",J4142=""),"",J4142&amp;"|"&amp;F4142&amp;"|"&amp;IF(H4142="W3","W3_"&amp;IF(I4142="","unknown",I4142),H4142))</f>
        <v/>
      </c>
      <c r="Q4142">
        <f>IF(P4142="","",IFERROR(IF(AND(H4142="W7",OR(F4142="causal",F4142="predictive")),IF(AND(OR(K4142=1,K4142="1"),OR(L4142=1,L4142="1"),OR(M4142=1,M4142="1")),"adequate","partial"),IF(AND(H4142="W4",F4142="predictive",OR(J4142="P2",J4142="P3",J4142="P4")),IF(OR(U4142=1,U4142="1"),"adequate","partial"),INDEX(Fit_Matrix!$B:$B,MATCH(P4142,Fit_Matrix!$A:$A,0)))),"CHECK KEY"))</f>
        <v/>
      </c>
      <c r="U4142" s="10" t="n"/>
      <c r="V4142" s="10" t="n"/>
      <c r="W4142" s="10" t="n"/>
      <c r="X4142" s="10" t="n"/>
      <c r="Y4142" s="10" t="n"/>
      <c r="Z4142" s="10" t="n"/>
      <c r="AA4142" s="11">
        <f>IF(A4142="","",IF(AND(J4142="P4",F4142="causal"),"P4-CAUSAL",""))</f>
        <v/>
      </c>
    </row>
    <row r="4143" ht="15" customHeight="1" s="1">
      <c r="P4143">
        <f>IF(OR(F4143="",H4143="",J4143=""),"",J4143&amp;"|"&amp;F4143&amp;"|"&amp;IF(H4143="W3","W3_"&amp;IF(I4143="","unknown",I4143),H4143))</f>
        <v/>
      </c>
      <c r="Q4143">
        <f>IF(P4143="","",IFERROR(IF(AND(H4143="W7",OR(F4143="causal",F4143="predictive")),IF(AND(OR(K4143=1,K4143="1"),OR(L4143=1,L4143="1"),OR(M4143=1,M4143="1")),"adequate","partial"),IF(AND(H4143="W4",F4143="predictive",OR(J4143="P2",J4143="P3",J4143="P4")),IF(OR(U4143=1,U4143="1"),"adequate","partial"),INDEX(Fit_Matrix!$B:$B,MATCH(P4143,Fit_Matrix!$A:$A,0)))),"CHECK KEY"))</f>
        <v/>
      </c>
      <c r="U4143" s="10" t="n"/>
      <c r="V4143" s="10" t="n"/>
      <c r="W4143" s="10" t="n"/>
      <c r="X4143" s="10" t="n"/>
      <c r="Y4143" s="10" t="n"/>
      <c r="Z4143" s="10" t="n"/>
      <c r="AA4143" s="11">
        <f>IF(A4143="","",IF(AND(J4143="P4",F4143="causal"),"P4-CAUSAL",""))</f>
        <v/>
      </c>
    </row>
    <row r="4144" ht="15" customHeight="1" s="1">
      <c r="P4144">
        <f>IF(OR(F4144="",H4144="",J4144=""),"",J4144&amp;"|"&amp;F4144&amp;"|"&amp;IF(H4144="W3","W3_"&amp;IF(I4144="","unknown",I4144),H4144))</f>
        <v/>
      </c>
      <c r="Q4144">
        <f>IF(P4144="","",IFERROR(IF(AND(H4144="W7",OR(F4144="causal",F4144="predictive")),IF(AND(OR(K4144=1,K4144="1"),OR(L4144=1,L4144="1"),OR(M4144=1,M4144="1")),"adequate","partial"),IF(AND(H4144="W4",F4144="predictive",OR(J4144="P2",J4144="P3",J4144="P4")),IF(OR(U4144=1,U4144="1"),"adequate","partial"),INDEX(Fit_Matrix!$B:$B,MATCH(P4144,Fit_Matrix!$A:$A,0)))),"CHECK KEY"))</f>
        <v/>
      </c>
      <c r="U4144" s="10" t="n"/>
      <c r="V4144" s="10" t="n"/>
      <c r="W4144" s="10" t="n"/>
      <c r="X4144" s="10" t="n"/>
      <c r="Y4144" s="10" t="n"/>
      <c r="Z4144" s="10" t="n"/>
      <c r="AA4144" s="11">
        <f>IF(A4144="","",IF(AND(J4144="P4",F4144="causal"),"P4-CAUSAL",""))</f>
        <v/>
      </c>
    </row>
    <row r="4145" ht="15" customHeight="1" s="1">
      <c r="P4145">
        <f>IF(OR(F4145="",H4145="",J4145=""),"",J4145&amp;"|"&amp;F4145&amp;"|"&amp;IF(H4145="W3","W3_"&amp;IF(I4145="","unknown",I4145),H4145))</f>
        <v/>
      </c>
      <c r="Q4145">
        <f>IF(P4145="","",IFERROR(IF(AND(H4145="W7",OR(F4145="causal",F4145="predictive")),IF(AND(OR(K4145=1,K4145="1"),OR(L4145=1,L4145="1"),OR(M4145=1,M4145="1")),"adequate","partial"),IF(AND(H4145="W4",F4145="predictive",OR(J4145="P2",J4145="P3",J4145="P4")),IF(OR(U4145=1,U4145="1"),"adequate","partial"),INDEX(Fit_Matrix!$B:$B,MATCH(P4145,Fit_Matrix!$A:$A,0)))),"CHECK KEY"))</f>
        <v/>
      </c>
      <c r="U4145" s="10" t="n"/>
      <c r="V4145" s="10" t="n"/>
      <c r="W4145" s="10" t="n"/>
      <c r="X4145" s="10" t="n"/>
      <c r="Y4145" s="10" t="n"/>
      <c r="Z4145" s="10" t="n"/>
      <c r="AA4145" s="11">
        <f>IF(A4145="","",IF(AND(J4145="P4",F4145="causal"),"P4-CAUSAL",""))</f>
        <v/>
      </c>
    </row>
    <row r="4146" ht="15" customHeight="1" s="1">
      <c r="P4146">
        <f>IF(OR(F4146="",H4146="",J4146=""),"",J4146&amp;"|"&amp;F4146&amp;"|"&amp;IF(H4146="W3","W3_"&amp;IF(I4146="","unknown",I4146),H4146))</f>
        <v/>
      </c>
      <c r="Q4146">
        <f>IF(P4146="","",IFERROR(IF(AND(H4146="W7",OR(F4146="causal",F4146="predictive")),IF(AND(OR(K4146=1,K4146="1"),OR(L4146=1,L4146="1"),OR(M4146=1,M4146="1")),"adequate","partial"),IF(AND(H4146="W4",F4146="predictive",OR(J4146="P2",J4146="P3",J4146="P4")),IF(OR(U4146=1,U4146="1"),"adequate","partial"),INDEX(Fit_Matrix!$B:$B,MATCH(P4146,Fit_Matrix!$A:$A,0)))),"CHECK KEY"))</f>
        <v/>
      </c>
      <c r="U4146" s="10" t="n"/>
      <c r="V4146" s="10" t="n"/>
      <c r="W4146" s="10" t="n"/>
      <c r="X4146" s="10" t="n"/>
      <c r="Y4146" s="10" t="n"/>
      <c r="Z4146" s="10" t="n"/>
      <c r="AA4146" s="11">
        <f>IF(A4146="","",IF(AND(J4146="P4",F4146="causal"),"P4-CAUSAL",""))</f>
        <v/>
      </c>
    </row>
    <row r="4147" ht="15" customHeight="1" s="1">
      <c r="P4147">
        <f>IF(OR(F4147="",H4147="",J4147=""),"",J4147&amp;"|"&amp;F4147&amp;"|"&amp;IF(H4147="W3","W3_"&amp;IF(I4147="","unknown",I4147),H4147))</f>
        <v/>
      </c>
      <c r="Q4147">
        <f>IF(P4147="","",IFERROR(IF(AND(H4147="W7",OR(F4147="causal",F4147="predictive")),IF(AND(OR(K4147=1,K4147="1"),OR(L4147=1,L4147="1"),OR(M4147=1,M4147="1")),"adequate","partial"),IF(AND(H4147="W4",F4147="predictive",OR(J4147="P2",J4147="P3",J4147="P4")),IF(OR(U4147=1,U4147="1"),"adequate","partial"),INDEX(Fit_Matrix!$B:$B,MATCH(P4147,Fit_Matrix!$A:$A,0)))),"CHECK KEY"))</f>
        <v/>
      </c>
      <c r="U4147" s="10" t="n"/>
      <c r="V4147" s="10" t="n"/>
      <c r="W4147" s="10" t="n"/>
      <c r="X4147" s="10" t="n"/>
      <c r="Y4147" s="10" t="n"/>
      <c r="Z4147" s="10" t="n"/>
      <c r="AA4147" s="11">
        <f>IF(A4147="","",IF(AND(J4147="P4",F4147="causal"),"P4-CAUSAL",""))</f>
        <v/>
      </c>
    </row>
    <row r="4148" ht="15" customHeight="1" s="1">
      <c r="P4148">
        <f>IF(OR(F4148="",H4148="",J4148=""),"",J4148&amp;"|"&amp;F4148&amp;"|"&amp;IF(H4148="W3","W3_"&amp;IF(I4148="","unknown",I4148),H4148))</f>
        <v/>
      </c>
      <c r="Q4148">
        <f>IF(P4148="","",IFERROR(IF(AND(H4148="W7",OR(F4148="causal",F4148="predictive")),IF(AND(OR(K4148=1,K4148="1"),OR(L4148=1,L4148="1"),OR(M4148=1,M4148="1")),"adequate","partial"),IF(AND(H4148="W4",F4148="predictive",OR(J4148="P2",J4148="P3",J4148="P4")),IF(OR(U4148=1,U4148="1"),"adequate","partial"),INDEX(Fit_Matrix!$B:$B,MATCH(P4148,Fit_Matrix!$A:$A,0)))),"CHECK KEY"))</f>
        <v/>
      </c>
      <c r="U4148" s="10" t="n"/>
      <c r="V4148" s="10" t="n"/>
      <c r="W4148" s="10" t="n"/>
      <c r="X4148" s="10" t="n"/>
      <c r="Y4148" s="10" t="n"/>
      <c r="Z4148" s="10" t="n"/>
      <c r="AA4148" s="11">
        <f>IF(A4148="","",IF(AND(J4148="P4",F4148="causal"),"P4-CAUSAL",""))</f>
        <v/>
      </c>
    </row>
    <row r="4149" ht="15" customHeight="1" s="1">
      <c r="P4149">
        <f>IF(OR(F4149="",H4149="",J4149=""),"",J4149&amp;"|"&amp;F4149&amp;"|"&amp;IF(H4149="W3","W3_"&amp;IF(I4149="","unknown",I4149),H4149))</f>
        <v/>
      </c>
      <c r="Q4149">
        <f>IF(P4149="","",IFERROR(IF(AND(H4149="W7",OR(F4149="causal",F4149="predictive")),IF(AND(OR(K4149=1,K4149="1"),OR(L4149=1,L4149="1"),OR(M4149=1,M4149="1")),"adequate","partial"),IF(AND(H4149="W4",F4149="predictive",OR(J4149="P2",J4149="P3",J4149="P4")),IF(OR(U4149=1,U4149="1"),"adequate","partial"),INDEX(Fit_Matrix!$B:$B,MATCH(P4149,Fit_Matrix!$A:$A,0)))),"CHECK KEY"))</f>
        <v/>
      </c>
      <c r="U4149" s="10" t="n"/>
      <c r="V4149" s="10" t="n"/>
      <c r="W4149" s="10" t="n"/>
      <c r="X4149" s="10" t="n"/>
      <c r="Y4149" s="10" t="n"/>
      <c r="Z4149" s="10" t="n"/>
      <c r="AA4149" s="11">
        <f>IF(A4149="","",IF(AND(J4149="P4",F4149="causal"),"P4-CAUSAL",""))</f>
        <v/>
      </c>
    </row>
    <row r="4150" ht="15" customHeight="1" s="1">
      <c r="P4150">
        <f>IF(OR(F4150="",H4150="",J4150=""),"",J4150&amp;"|"&amp;F4150&amp;"|"&amp;IF(H4150="W3","W3_"&amp;IF(I4150="","unknown",I4150),H4150))</f>
        <v/>
      </c>
      <c r="Q4150">
        <f>IF(P4150="","",IFERROR(IF(AND(H4150="W7",OR(F4150="causal",F4150="predictive")),IF(AND(OR(K4150=1,K4150="1"),OR(L4150=1,L4150="1"),OR(M4150=1,M4150="1")),"adequate","partial"),IF(AND(H4150="W4",F4150="predictive",OR(J4150="P2",J4150="P3",J4150="P4")),IF(OR(U4150=1,U4150="1"),"adequate","partial"),INDEX(Fit_Matrix!$B:$B,MATCH(P4150,Fit_Matrix!$A:$A,0)))),"CHECK KEY"))</f>
        <v/>
      </c>
      <c r="U4150" s="10" t="n"/>
      <c r="V4150" s="10" t="n"/>
      <c r="W4150" s="10" t="n"/>
      <c r="X4150" s="10" t="n"/>
      <c r="Y4150" s="10" t="n"/>
      <c r="Z4150" s="10" t="n"/>
      <c r="AA4150" s="11">
        <f>IF(A4150="","",IF(AND(J4150="P4",F4150="causal"),"P4-CAUSAL",""))</f>
        <v/>
      </c>
    </row>
    <row r="4151" ht="15" customHeight="1" s="1">
      <c r="P4151">
        <f>IF(OR(F4151="",H4151="",J4151=""),"",J4151&amp;"|"&amp;F4151&amp;"|"&amp;IF(H4151="W3","W3_"&amp;IF(I4151="","unknown",I4151),H4151))</f>
        <v/>
      </c>
      <c r="Q4151">
        <f>IF(P4151="","",IFERROR(IF(AND(H4151="W7",OR(F4151="causal",F4151="predictive")),IF(AND(OR(K4151=1,K4151="1"),OR(L4151=1,L4151="1"),OR(M4151=1,M4151="1")),"adequate","partial"),IF(AND(H4151="W4",F4151="predictive",OR(J4151="P2",J4151="P3",J4151="P4")),IF(OR(U4151=1,U4151="1"),"adequate","partial"),INDEX(Fit_Matrix!$B:$B,MATCH(P4151,Fit_Matrix!$A:$A,0)))),"CHECK KEY"))</f>
        <v/>
      </c>
      <c r="U4151" s="10" t="n"/>
      <c r="V4151" s="10" t="n"/>
      <c r="W4151" s="10" t="n"/>
      <c r="X4151" s="10" t="n"/>
      <c r="Y4151" s="10" t="n"/>
      <c r="Z4151" s="10" t="n"/>
      <c r="AA4151" s="11">
        <f>IF(A4151="","",IF(AND(J4151="P4",F4151="causal"),"P4-CAUSAL",""))</f>
        <v/>
      </c>
    </row>
    <row r="4152" ht="15" customHeight="1" s="1">
      <c r="P4152">
        <f>IF(OR(F4152="",H4152="",J4152=""),"",J4152&amp;"|"&amp;F4152&amp;"|"&amp;IF(H4152="W3","W3_"&amp;IF(I4152="","unknown",I4152),H4152))</f>
        <v/>
      </c>
      <c r="Q4152">
        <f>IF(P4152="","",IFERROR(IF(AND(H4152="W7",OR(F4152="causal",F4152="predictive")),IF(AND(OR(K4152=1,K4152="1"),OR(L4152=1,L4152="1"),OR(M4152=1,M4152="1")),"adequate","partial"),IF(AND(H4152="W4",F4152="predictive",OR(J4152="P2",J4152="P3",J4152="P4")),IF(OR(U4152=1,U4152="1"),"adequate","partial"),INDEX(Fit_Matrix!$B:$B,MATCH(P4152,Fit_Matrix!$A:$A,0)))),"CHECK KEY"))</f>
        <v/>
      </c>
      <c r="U4152" s="10" t="n"/>
      <c r="V4152" s="10" t="n"/>
      <c r="W4152" s="10" t="n"/>
      <c r="X4152" s="10" t="n"/>
      <c r="Y4152" s="10" t="n"/>
      <c r="Z4152" s="10" t="n"/>
      <c r="AA4152" s="11">
        <f>IF(A4152="","",IF(AND(J4152="P4",F4152="causal"),"P4-CAUSAL",""))</f>
        <v/>
      </c>
    </row>
    <row r="4153" ht="15" customHeight="1" s="1">
      <c r="P4153">
        <f>IF(OR(F4153="",H4153="",J4153=""),"",J4153&amp;"|"&amp;F4153&amp;"|"&amp;IF(H4153="W3","W3_"&amp;IF(I4153="","unknown",I4153),H4153))</f>
        <v/>
      </c>
      <c r="Q4153">
        <f>IF(P4153="","",IFERROR(IF(AND(H4153="W7",OR(F4153="causal",F4153="predictive")),IF(AND(OR(K4153=1,K4153="1"),OR(L4153=1,L4153="1"),OR(M4153=1,M4153="1")),"adequate","partial"),IF(AND(H4153="W4",F4153="predictive",OR(J4153="P2",J4153="P3",J4153="P4")),IF(OR(U4153=1,U4153="1"),"adequate","partial"),INDEX(Fit_Matrix!$B:$B,MATCH(P4153,Fit_Matrix!$A:$A,0)))),"CHECK KEY"))</f>
        <v/>
      </c>
      <c r="U4153" s="10" t="n"/>
      <c r="V4153" s="10" t="n"/>
      <c r="W4153" s="10" t="n"/>
      <c r="X4153" s="10" t="n"/>
      <c r="Y4153" s="10" t="n"/>
      <c r="Z4153" s="10" t="n"/>
      <c r="AA4153" s="11">
        <f>IF(A4153="","",IF(AND(J4153="P4",F4153="causal"),"P4-CAUSAL",""))</f>
        <v/>
      </c>
    </row>
    <row r="4154" ht="15" customHeight="1" s="1">
      <c r="P4154">
        <f>IF(OR(F4154="",H4154="",J4154=""),"",J4154&amp;"|"&amp;F4154&amp;"|"&amp;IF(H4154="W3","W3_"&amp;IF(I4154="","unknown",I4154),H4154))</f>
        <v/>
      </c>
      <c r="Q4154">
        <f>IF(P4154="","",IFERROR(IF(AND(H4154="W7",OR(F4154="causal",F4154="predictive")),IF(AND(OR(K4154=1,K4154="1"),OR(L4154=1,L4154="1"),OR(M4154=1,M4154="1")),"adequate","partial"),IF(AND(H4154="W4",F4154="predictive",OR(J4154="P2",J4154="P3",J4154="P4")),IF(OR(U4154=1,U4154="1"),"adequate","partial"),INDEX(Fit_Matrix!$B:$B,MATCH(P4154,Fit_Matrix!$A:$A,0)))),"CHECK KEY"))</f>
        <v/>
      </c>
      <c r="U4154" s="10" t="n"/>
      <c r="V4154" s="10" t="n"/>
      <c r="W4154" s="10" t="n"/>
      <c r="X4154" s="10" t="n"/>
      <c r="Y4154" s="10" t="n"/>
      <c r="Z4154" s="10" t="n"/>
      <c r="AA4154" s="11">
        <f>IF(A4154="","",IF(AND(J4154="P4",F4154="causal"),"P4-CAUSAL",""))</f>
        <v/>
      </c>
    </row>
    <row r="4155" ht="15" customHeight="1" s="1">
      <c r="P4155">
        <f>IF(OR(F4155="",H4155="",J4155=""),"",J4155&amp;"|"&amp;F4155&amp;"|"&amp;IF(H4155="W3","W3_"&amp;IF(I4155="","unknown",I4155),H4155))</f>
        <v/>
      </c>
      <c r="Q4155">
        <f>IF(P4155="","",IFERROR(IF(AND(H4155="W7",OR(F4155="causal",F4155="predictive")),IF(AND(OR(K4155=1,K4155="1"),OR(L4155=1,L4155="1"),OR(M4155=1,M4155="1")),"adequate","partial"),IF(AND(H4155="W4",F4155="predictive",OR(J4155="P2",J4155="P3",J4155="P4")),IF(OR(U4155=1,U4155="1"),"adequate","partial"),INDEX(Fit_Matrix!$B:$B,MATCH(P4155,Fit_Matrix!$A:$A,0)))),"CHECK KEY"))</f>
        <v/>
      </c>
      <c r="U4155" s="10" t="n"/>
      <c r="V4155" s="10" t="n"/>
      <c r="W4155" s="10" t="n"/>
      <c r="X4155" s="10" t="n"/>
      <c r="Y4155" s="10" t="n"/>
      <c r="Z4155" s="10" t="n"/>
      <c r="AA4155" s="11">
        <f>IF(A4155="","",IF(AND(J4155="P4",F4155="causal"),"P4-CAUSAL",""))</f>
        <v/>
      </c>
    </row>
    <row r="4156" ht="15" customHeight="1" s="1">
      <c r="P4156">
        <f>IF(OR(F4156="",H4156="",J4156=""),"",J4156&amp;"|"&amp;F4156&amp;"|"&amp;IF(H4156="W3","W3_"&amp;IF(I4156="","unknown",I4156),H4156))</f>
        <v/>
      </c>
      <c r="Q4156">
        <f>IF(P4156="","",IFERROR(IF(AND(H4156="W7",OR(F4156="causal",F4156="predictive")),IF(AND(OR(K4156=1,K4156="1"),OR(L4156=1,L4156="1"),OR(M4156=1,M4156="1")),"adequate","partial"),IF(AND(H4156="W4",F4156="predictive",OR(J4156="P2",J4156="P3",J4156="P4")),IF(OR(U4156=1,U4156="1"),"adequate","partial"),INDEX(Fit_Matrix!$B:$B,MATCH(P4156,Fit_Matrix!$A:$A,0)))),"CHECK KEY"))</f>
        <v/>
      </c>
      <c r="U4156" s="10" t="n"/>
      <c r="V4156" s="10" t="n"/>
      <c r="W4156" s="10" t="n"/>
      <c r="X4156" s="10" t="n"/>
      <c r="Y4156" s="10" t="n"/>
      <c r="Z4156" s="10" t="n"/>
      <c r="AA4156" s="11">
        <f>IF(A4156="","",IF(AND(J4156="P4",F4156="causal"),"P4-CAUSAL",""))</f>
        <v/>
      </c>
    </row>
    <row r="4157" ht="15" customHeight="1" s="1">
      <c r="P4157">
        <f>IF(OR(F4157="",H4157="",J4157=""),"",J4157&amp;"|"&amp;F4157&amp;"|"&amp;IF(H4157="W3","W3_"&amp;IF(I4157="","unknown",I4157),H4157))</f>
        <v/>
      </c>
      <c r="Q4157">
        <f>IF(P4157="","",IFERROR(IF(AND(H4157="W7",OR(F4157="causal",F4157="predictive")),IF(AND(OR(K4157=1,K4157="1"),OR(L4157=1,L4157="1"),OR(M4157=1,M4157="1")),"adequate","partial"),IF(AND(H4157="W4",F4157="predictive",OR(J4157="P2",J4157="P3",J4157="P4")),IF(OR(U4157=1,U4157="1"),"adequate","partial"),INDEX(Fit_Matrix!$B:$B,MATCH(P4157,Fit_Matrix!$A:$A,0)))),"CHECK KEY"))</f>
        <v/>
      </c>
      <c r="U4157" s="10" t="n"/>
      <c r="V4157" s="10" t="n"/>
      <c r="W4157" s="10" t="n"/>
      <c r="X4157" s="10" t="n"/>
      <c r="Y4157" s="10" t="n"/>
      <c r="Z4157" s="10" t="n"/>
      <c r="AA4157" s="11">
        <f>IF(A4157="","",IF(AND(J4157="P4",F4157="causal"),"P4-CAUSAL",""))</f>
        <v/>
      </c>
    </row>
    <row r="4158" ht="15" customHeight="1" s="1">
      <c r="P4158">
        <f>IF(OR(F4158="",H4158="",J4158=""),"",J4158&amp;"|"&amp;F4158&amp;"|"&amp;IF(H4158="W3","W3_"&amp;IF(I4158="","unknown",I4158),H4158))</f>
        <v/>
      </c>
      <c r="Q4158">
        <f>IF(P4158="","",IFERROR(IF(AND(H4158="W7",OR(F4158="causal",F4158="predictive")),IF(AND(OR(K4158=1,K4158="1"),OR(L4158=1,L4158="1"),OR(M4158=1,M4158="1")),"adequate","partial"),IF(AND(H4158="W4",F4158="predictive",OR(J4158="P2",J4158="P3",J4158="P4")),IF(OR(U4158=1,U4158="1"),"adequate","partial"),INDEX(Fit_Matrix!$B:$B,MATCH(P4158,Fit_Matrix!$A:$A,0)))),"CHECK KEY"))</f>
        <v/>
      </c>
      <c r="U4158" s="10" t="n"/>
      <c r="V4158" s="10" t="n"/>
      <c r="W4158" s="10" t="n"/>
      <c r="X4158" s="10" t="n"/>
      <c r="Y4158" s="10" t="n"/>
      <c r="Z4158" s="10" t="n"/>
      <c r="AA4158" s="11">
        <f>IF(A4158="","",IF(AND(J4158="P4",F4158="causal"),"P4-CAUSAL",""))</f>
        <v/>
      </c>
    </row>
    <row r="4159" ht="15" customHeight="1" s="1">
      <c r="P4159">
        <f>IF(OR(F4159="",H4159="",J4159=""),"",J4159&amp;"|"&amp;F4159&amp;"|"&amp;IF(H4159="W3","W3_"&amp;IF(I4159="","unknown",I4159),H4159))</f>
        <v/>
      </c>
      <c r="Q4159">
        <f>IF(P4159="","",IFERROR(IF(AND(H4159="W7",OR(F4159="causal",F4159="predictive")),IF(AND(OR(K4159=1,K4159="1"),OR(L4159=1,L4159="1"),OR(M4159=1,M4159="1")),"adequate","partial"),IF(AND(H4159="W4",F4159="predictive",OR(J4159="P2",J4159="P3",J4159="P4")),IF(OR(U4159=1,U4159="1"),"adequate","partial"),INDEX(Fit_Matrix!$B:$B,MATCH(P4159,Fit_Matrix!$A:$A,0)))),"CHECK KEY"))</f>
        <v/>
      </c>
      <c r="U4159" s="10" t="n"/>
      <c r="V4159" s="10" t="n"/>
      <c r="W4159" s="10" t="n"/>
      <c r="X4159" s="10" t="n"/>
      <c r="Y4159" s="10" t="n"/>
      <c r="Z4159" s="10" t="n"/>
      <c r="AA4159" s="11">
        <f>IF(A4159="","",IF(AND(J4159="P4",F4159="causal"),"P4-CAUSAL",""))</f>
        <v/>
      </c>
    </row>
    <row r="4160" ht="15" customHeight="1" s="1">
      <c r="P4160">
        <f>IF(OR(F4160="",H4160="",J4160=""),"",J4160&amp;"|"&amp;F4160&amp;"|"&amp;IF(H4160="W3","W3_"&amp;IF(I4160="","unknown",I4160),H4160))</f>
        <v/>
      </c>
      <c r="Q4160">
        <f>IF(P4160="","",IFERROR(IF(AND(H4160="W7",OR(F4160="causal",F4160="predictive")),IF(AND(OR(K4160=1,K4160="1"),OR(L4160=1,L4160="1"),OR(M4160=1,M4160="1")),"adequate","partial"),IF(AND(H4160="W4",F4160="predictive",OR(J4160="P2",J4160="P3",J4160="P4")),IF(OR(U4160=1,U4160="1"),"adequate","partial"),INDEX(Fit_Matrix!$B:$B,MATCH(P4160,Fit_Matrix!$A:$A,0)))),"CHECK KEY"))</f>
        <v/>
      </c>
      <c r="U4160" s="10" t="n"/>
      <c r="V4160" s="10" t="n"/>
      <c r="W4160" s="10" t="n"/>
      <c r="X4160" s="10" t="n"/>
      <c r="Y4160" s="10" t="n"/>
      <c r="Z4160" s="10" t="n"/>
      <c r="AA4160" s="11">
        <f>IF(A4160="","",IF(AND(J4160="P4",F4160="causal"),"P4-CAUSAL",""))</f>
        <v/>
      </c>
    </row>
    <row r="4161" ht="15" customHeight="1" s="1">
      <c r="P4161">
        <f>IF(OR(F4161="",H4161="",J4161=""),"",J4161&amp;"|"&amp;F4161&amp;"|"&amp;IF(H4161="W3","W3_"&amp;IF(I4161="","unknown",I4161),H4161))</f>
        <v/>
      </c>
      <c r="Q4161">
        <f>IF(P4161="","",IFERROR(IF(AND(H4161="W7",OR(F4161="causal",F4161="predictive")),IF(AND(OR(K4161=1,K4161="1"),OR(L4161=1,L4161="1"),OR(M4161=1,M4161="1")),"adequate","partial"),IF(AND(H4161="W4",F4161="predictive",OR(J4161="P2",J4161="P3",J4161="P4")),IF(OR(U4161=1,U4161="1"),"adequate","partial"),INDEX(Fit_Matrix!$B:$B,MATCH(P4161,Fit_Matrix!$A:$A,0)))),"CHECK KEY"))</f>
        <v/>
      </c>
      <c r="U4161" s="10" t="n"/>
      <c r="V4161" s="10" t="n"/>
      <c r="W4161" s="10" t="n"/>
      <c r="X4161" s="10" t="n"/>
      <c r="Y4161" s="10" t="n"/>
      <c r="Z4161" s="10" t="n"/>
      <c r="AA4161" s="11">
        <f>IF(A4161="","",IF(AND(J4161="P4",F4161="causal"),"P4-CAUSAL",""))</f>
        <v/>
      </c>
    </row>
    <row r="4162" ht="15" customHeight="1" s="1">
      <c r="P4162">
        <f>IF(OR(F4162="",H4162="",J4162=""),"",J4162&amp;"|"&amp;F4162&amp;"|"&amp;IF(H4162="W3","W3_"&amp;IF(I4162="","unknown",I4162),H4162))</f>
        <v/>
      </c>
      <c r="Q4162">
        <f>IF(P4162="","",IFERROR(IF(AND(H4162="W7",OR(F4162="causal",F4162="predictive")),IF(AND(OR(K4162=1,K4162="1"),OR(L4162=1,L4162="1"),OR(M4162=1,M4162="1")),"adequate","partial"),IF(AND(H4162="W4",F4162="predictive",OR(J4162="P2",J4162="P3",J4162="P4")),IF(OR(U4162=1,U4162="1"),"adequate","partial"),INDEX(Fit_Matrix!$B:$B,MATCH(P4162,Fit_Matrix!$A:$A,0)))),"CHECK KEY"))</f>
        <v/>
      </c>
      <c r="U4162" s="10" t="n"/>
      <c r="V4162" s="10" t="n"/>
      <c r="W4162" s="10" t="n"/>
      <c r="X4162" s="10" t="n"/>
      <c r="Y4162" s="10" t="n"/>
      <c r="Z4162" s="10" t="n"/>
      <c r="AA4162" s="11">
        <f>IF(A4162="","",IF(AND(J4162="P4",F4162="causal"),"P4-CAUSAL",""))</f>
        <v/>
      </c>
    </row>
    <row r="4163" ht="15" customHeight="1" s="1">
      <c r="P4163">
        <f>IF(OR(F4163="",H4163="",J4163=""),"",J4163&amp;"|"&amp;F4163&amp;"|"&amp;IF(H4163="W3","W3_"&amp;IF(I4163="","unknown",I4163),H4163))</f>
        <v/>
      </c>
      <c r="Q4163">
        <f>IF(P4163="","",IFERROR(IF(AND(H4163="W7",OR(F4163="causal",F4163="predictive")),IF(AND(OR(K4163=1,K4163="1"),OR(L4163=1,L4163="1"),OR(M4163=1,M4163="1")),"adequate","partial"),IF(AND(H4163="W4",F4163="predictive",OR(J4163="P2",J4163="P3",J4163="P4")),IF(OR(U4163=1,U4163="1"),"adequate","partial"),INDEX(Fit_Matrix!$B:$B,MATCH(P4163,Fit_Matrix!$A:$A,0)))),"CHECK KEY"))</f>
        <v/>
      </c>
      <c r="U4163" s="10" t="n"/>
      <c r="V4163" s="10" t="n"/>
      <c r="W4163" s="10" t="n"/>
      <c r="X4163" s="10" t="n"/>
      <c r="Y4163" s="10" t="n"/>
      <c r="Z4163" s="10" t="n"/>
      <c r="AA4163" s="11">
        <f>IF(A4163="","",IF(AND(J4163="P4",F4163="causal"),"P4-CAUSAL",""))</f>
        <v/>
      </c>
    </row>
    <row r="4164" ht="15" customHeight="1" s="1">
      <c r="P4164">
        <f>IF(OR(F4164="",H4164="",J4164=""),"",J4164&amp;"|"&amp;F4164&amp;"|"&amp;IF(H4164="W3","W3_"&amp;IF(I4164="","unknown",I4164),H4164))</f>
        <v/>
      </c>
      <c r="Q4164">
        <f>IF(P4164="","",IFERROR(IF(AND(H4164="W7",OR(F4164="causal",F4164="predictive")),IF(AND(OR(K4164=1,K4164="1"),OR(L4164=1,L4164="1"),OR(M4164=1,M4164="1")),"adequate","partial"),IF(AND(H4164="W4",F4164="predictive",OR(J4164="P2",J4164="P3",J4164="P4")),IF(OR(U4164=1,U4164="1"),"adequate","partial"),INDEX(Fit_Matrix!$B:$B,MATCH(P4164,Fit_Matrix!$A:$A,0)))),"CHECK KEY"))</f>
        <v/>
      </c>
      <c r="U4164" s="10" t="n"/>
      <c r="V4164" s="10" t="n"/>
      <c r="W4164" s="10" t="n"/>
      <c r="X4164" s="10" t="n"/>
      <c r="Y4164" s="10" t="n"/>
      <c r="Z4164" s="10" t="n"/>
      <c r="AA4164" s="11">
        <f>IF(A4164="","",IF(AND(J4164="P4",F4164="causal"),"P4-CAUSAL",""))</f>
        <v/>
      </c>
    </row>
    <row r="4165" ht="15" customHeight="1" s="1">
      <c r="P4165">
        <f>IF(OR(F4165="",H4165="",J4165=""),"",J4165&amp;"|"&amp;F4165&amp;"|"&amp;IF(H4165="W3","W3_"&amp;IF(I4165="","unknown",I4165),H4165))</f>
        <v/>
      </c>
      <c r="Q4165">
        <f>IF(P4165="","",IFERROR(IF(AND(H4165="W7",OR(F4165="causal",F4165="predictive")),IF(AND(OR(K4165=1,K4165="1"),OR(L4165=1,L4165="1"),OR(M4165=1,M4165="1")),"adequate","partial"),IF(AND(H4165="W4",F4165="predictive",OR(J4165="P2",J4165="P3",J4165="P4")),IF(OR(U4165=1,U4165="1"),"adequate","partial"),INDEX(Fit_Matrix!$B:$B,MATCH(P4165,Fit_Matrix!$A:$A,0)))),"CHECK KEY"))</f>
        <v/>
      </c>
      <c r="U4165" s="10" t="n"/>
      <c r="V4165" s="10" t="n"/>
      <c r="W4165" s="10" t="n"/>
      <c r="X4165" s="10" t="n"/>
      <c r="Y4165" s="10" t="n"/>
      <c r="Z4165" s="10" t="n"/>
      <c r="AA4165" s="11">
        <f>IF(A4165="","",IF(AND(J4165="P4",F4165="causal"),"P4-CAUSAL",""))</f>
        <v/>
      </c>
    </row>
    <row r="4166" ht="15" customHeight="1" s="1">
      <c r="P4166">
        <f>IF(OR(F4166="",H4166="",J4166=""),"",J4166&amp;"|"&amp;F4166&amp;"|"&amp;IF(H4166="W3","W3_"&amp;IF(I4166="","unknown",I4166),H4166))</f>
        <v/>
      </c>
      <c r="Q4166">
        <f>IF(P4166="","",IFERROR(IF(AND(H4166="W7",OR(F4166="causal",F4166="predictive")),IF(AND(OR(K4166=1,K4166="1"),OR(L4166=1,L4166="1"),OR(M4166=1,M4166="1")),"adequate","partial"),IF(AND(H4166="W4",F4166="predictive",OR(J4166="P2",J4166="P3",J4166="P4")),IF(OR(U4166=1,U4166="1"),"adequate","partial"),INDEX(Fit_Matrix!$B:$B,MATCH(P4166,Fit_Matrix!$A:$A,0)))),"CHECK KEY"))</f>
        <v/>
      </c>
      <c r="U4166" s="10" t="n"/>
      <c r="V4166" s="10" t="n"/>
      <c r="W4166" s="10" t="n"/>
      <c r="X4166" s="10" t="n"/>
      <c r="Y4166" s="10" t="n"/>
      <c r="Z4166" s="10" t="n"/>
      <c r="AA4166" s="11">
        <f>IF(A4166="","",IF(AND(J4166="P4",F4166="causal"),"P4-CAUSAL",""))</f>
        <v/>
      </c>
    </row>
    <row r="4167" ht="15" customHeight="1" s="1">
      <c r="P4167">
        <f>IF(OR(F4167="",H4167="",J4167=""),"",J4167&amp;"|"&amp;F4167&amp;"|"&amp;IF(H4167="W3","W3_"&amp;IF(I4167="","unknown",I4167),H4167))</f>
        <v/>
      </c>
      <c r="Q4167">
        <f>IF(P4167="","",IFERROR(IF(AND(H4167="W7",OR(F4167="causal",F4167="predictive")),IF(AND(OR(K4167=1,K4167="1"),OR(L4167=1,L4167="1"),OR(M4167=1,M4167="1")),"adequate","partial"),IF(AND(H4167="W4",F4167="predictive",OR(J4167="P2",J4167="P3",J4167="P4")),IF(OR(U4167=1,U4167="1"),"adequate","partial"),INDEX(Fit_Matrix!$B:$B,MATCH(P4167,Fit_Matrix!$A:$A,0)))),"CHECK KEY"))</f>
        <v/>
      </c>
      <c r="U4167" s="10" t="n"/>
      <c r="V4167" s="10" t="n"/>
      <c r="W4167" s="10" t="n"/>
      <c r="X4167" s="10" t="n"/>
      <c r="Y4167" s="10" t="n"/>
      <c r="Z4167" s="10" t="n"/>
      <c r="AA4167" s="11">
        <f>IF(A4167="","",IF(AND(J4167="P4",F4167="causal"),"P4-CAUSAL",""))</f>
        <v/>
      </c>
    </row>
    <row r="4168" ht="15" customHeight="1" s="1">
      <c r="P4168">
        <f>IF(OR(F4168="",H4168="",J4168=""),"",J4168&amp;"|"&amp;F4168&amp;"|"&amp;IF(H4168="W3","W3_"&amp;IF(I4168="","unknown",I4168),H4168))</f>
        <v/>
      </c>
      <c r="Q4168">
        <f>IF(P4168="","",IFERROR(IF(AND(H4168="W7",OR(F4168="causal",F4168="predictive")),IF(AND(OR(K4168=1,K4168="1"),OR(L4168=1,L4168="1"),OR(M4168=1,M4168="1")),"adequate","partial"),IF(AND(H4168="W4",F4168="predictive",OR(J4168="P2",J4168="P3",J4168="P4")),IF(OR(U4168=1,U4168="1"),"adequate","partial"),INDEX(Fit_Matrix!$B:$B,MATCH(P4168,Fit_Matrix!$A:$A,0)))),"CHECK KEY"))</f>
        <v/>
      </c>
      <c r="U4168" s="10" t="n"/>
      <c r="V4168" s="10" t="n"/>
      <c r="W4168" s="10" t="n"/>
      <c r="X4168" s="10" t="n"/>
      <c r="Y4168" s="10" t="n"/>
      <c r="Z4168" s="10" t="n"/>
      <c r="AA4168" s="11">
        <f>IF(A4168="","",IF(AND(J4168="P4",F4168="causal"),"P4-CAUSAL",""))</f>
        <v/>
      </c>
    </row>
    <row r="4169" ht="15" customHeight="1" s="1">
      <c r="P4169">
        <f>IF(OR(F4169="",H4169="",J4169=""),"",J4169&amp;"|"&amp;F4169&amp;"|"&amp;IF(H4169="W3","W3_"&amp;IF(I4169="","unknown",I4169),H4169))</f>
        <v/>
      </c>
      <c r="Q4169">
        <f>IF(P4169="","",IFERROR(IF(AND(H4169="W7",OR(F4169="causal",F4169="predictive")),IF(AND(OR(K4169=1,K4169="1"),OR(L4169=1,L4169="1"),OR(M4169=1,M4169="1")),"adequate","partial"),IF(AND(H4169="W4",F4169="predictive",OR(J4169="P2",J4169="P3",J4169="P4")),IF(OR(U4169=1,U4169="1"),"adequate","partial"),INDEX(Fit_Matrix!$B:$B,MATCH(P4169,Fit_Matrix!$A:$A,0)))),"CHECK KEY"))</f>
        <v/>
      </c>
      <c r="U4169" s="10" t="n"/>
      <c r="V4169" s="10" t="n"/>
      <c r="W4169" s="10" t="n"/>
      <c r="X4169" s="10" t="n"/>
      <c r="Y4169" s="10" t="n"/>
      <c r="Z4169" s="10" t="n"/>
      <c r="AA4169" s="11">
        <f>IF(A4169="","",IF(AND(J4169="P4",F4169="causal"),"P4-CAUSAL",""))</f>
        <v/>
      </c>
    </row>
    <row r="4170" ht="15" customHeight="1" s="1">
      <c r="P4170">
        <f>IF(OR(F4170="",H4170="",J4170=""),"",J4170&amp;"|"&amp;F4170&amp;"|"&amp;IF(H4170="W3","W3_"&amp;IF(I4170="","unknown",I4170),H4170))</f>
        <v/>
      </c>
      <c r="Q4170">
        <f>IF(P4170="","",IFERROR(IF(AND(H4170="W7",OR(F4170="causal",F4170="predictive")),IF(AND(OR(K4170=1,K4170="1"),OR(L4170=1,L4170="1"),OR(M4170=1,M4170="1")),"adequate","partial"),IF(AND(H4170="W4",F4170="predictive",OR(J4170="P2",J4170="P3",J4170="P4")),IF(OR(U4170=1,U4170="1"),"adequate","partial"),INDEX(Fit_Matrix!$B:$B,MATCH(P4170,Fit_Matrix!$A:$A,0)))),"CHECK KEY"))</f>
        <v/>
      </c>
      <c r="U4170" s="10" t="n"/>
      <c r="V4170" s="10" t="n"/>
      <c r="W4170" s="10" t="n"/>
      <c r="X4170" s="10" t="n"/>
      <c r="Y4170" s="10" t="n"/>
      <c r="Z4170" s="10" t="n"/>
      <c r="AA4170" s="11">
        <f>IF(A4170="","",IF(AND(J4170="P4",F4170="causal"),"P4-CAUSAL",""))</f>
        <v/>
      </c>
    </row>
    <row r="4171" ht="15" customHeight="1" s="1">
      <c r="P4171">
        <f>IF(OR(F4171="",H4171="",J4171=""),"",J4171&amp;"|"&amp;F4171&amp;"|"&amp;IF(H4171="W3","W3_"&amp;IF(I4171="","unknown",I4171),H4171))</f>
        <v/>
      </c>
      <c r="Q4171">
        <f>IF(P4171="","",IFERROR(IF(AND(H4171="W7",OR(F4171="causal",F4171="predictive")),IF(AND(OR(K4171=1,K4171="1"),OR(L4171=1,L4171="1"),OR(M4171=1,M4171="1")),"adequate","partial"),IF(AND(H4171="W4",F4171="predictive",OR(J4171="P2",J4171="P3",J4171="P4")),IF(OR(U4171=1,U4171="1"),"adequate","partial"),INDEX(Fit_Matrix!$B:$B,MATCH(P4171,Fit_Matrix!$A:$A,0)))),"CHECK KEY"))</f>
        <v/>
      </c>
      <c r="U4171" s="10" t="n"/>
      <c r="V4171" s="10" t="n"/>
      <c r="W4171" s="10" t="n"/>
      <c r="X4171" s="10" t="n"/>
      <c r="Y4171" s="10" t="n"/>
      <c r="Z4171" s="10" t="n"/>
      <c r="AA4171" s="11">
        <f>IF(A4171="","",IF(AND(J4171="P4",F4171="causal"),"P4-CAUSAL",""))</f>
        <v/>
      </c>
    </row>
    <row r="4172" ht="15" customHeight="1" s="1">
      <c r="P4172">
        <f>IF(OR(F4172="",H4172="",J4172=""),"",J4172&amp;"|"&amp;F4172&amp;"|"&amp;IF(H4172="W3","W3_"&amp;IF(I4172="","unknown",I4172),H4172))</f>
        <v/>
      </c>
      <c r="Q4172">
        <f>IF(P4172="","",IFERROR(IF(AND(H4172="W7",OR(F4172="causal",F4172="predictive")),IF(AND(OR(K4172=1,K4172="1"),OR(L4172=1,L4172="1"),OR(M4172=1,M4172="1")),"adequate","partial"),IF(AND(H4172="W4",F4172="predictive",OR(J4172="P2",J4172="P3",J4172="P4")),IF(OR(U4172=1,U4172="1"),"adequate","partial"),INDEX(Fit_Matrix!$B:$B,MATCH(P4172,Fit_Matrix!$A:$A,0)))),"CHECK KEY"))</f>
        <v/>
      </c>
      <c r="U4172" s="10" t="n"/>
      <c r="V4172" s="10" t="n"/>
      <c r="W4172" s="10" t="n"/>
      <c r="X4172" s="10" t="n"/>
      <c r="Y4172" s="10" t="n"/>
      <c r="Z4172" s="10" t="n"/>
      <c r="AA4172" s="11">
        <f>IF(A4172="","",IF(AND(J4172="P4",F4172="causal"),"P4-CAUSAL",""))</f>
        <v/>
      </c>
    </row>
    <row r="4173" ht="15" customHeight="1" s="1">
      <c r="P4173">
        <f>IF(OR(F4173="",H4173="",J4173=""),"",J4173&amp;"|"&amp;F4173&amp;"|"&amp;IF(H4173="W3","W3_"&amp;IF(I4173="","unknown",I4173),H4173))</f>
        <v/>
      </c>
      <c r="Q4173">
        <f>IF(P4173="","",IFERROR(IF(AND(H4173="W7",OR(F4173="causal",F4173="predictive")),IF(AND(OR(K4173=1,K4173="1"),OR(L4173=1,L4173="1"),OR(M4173=1,M4173="1")),"adequate","partial"),IF(AND(H4173="W4",F4173="predictive",OR(J4173="P2",J4173="P3",J4173="P4")),IF(OR(U4173=1,U4173="1"),"adequate","partial"),INDEX(Fit_Matrix!$B:$B,MATCH(P4173,Fit_Matrix!$A:$A,0)))),"CHECK KEY"))</f>
        <v/>
      </c>
      <c r="U4173" s="10" t="n"/>
      <c r="V4173" s="10" t="n"/>
      <c r="W4173" s="10" t="n"/>
      <c r="X4173" s="10" t="n"/>
      <c r="Y4173" s="10" t="n"/>
      <c r="Z4173" s="10" t="n"/>
      <c r="AA4173" s="11">
        <f>IF(A4173="","",IF(AND(J4173="P4",F4173="causal"),"P4-CAUSAL",""))</f>
        <v/>
      </c>
    </row>
    <row r="4174" ht="15" customHeight="1" s="1">
      <c r="P4174">
        <f>IF(OR(F4174="",H4174="",J4174=""),"",J4174&amp;"|"&amp;F4174&amp;"|"&amp;IF(H4174="W3","W3_"&amp;IF(I4174="","unknown",I4174),H4174))</f>
        <v/>
      </c>
      <c r="Q4174">
        <f>IF(P4174="","",IFERROR(IF(AND(H4174="W7",OR(F4174="causal",F4174="predictive")),IF(AND(OR(K4174=1,K4174="1"),OR(L4174=1,L4174="1"),OR(M4174=1,M4174="1")),"adequate","partial"),IF(AND(H4174="W4",F4174="predictive",OR(J4174="P2",J4174="P3",J4174="P4")),IF(OR(U4174=1,U4174="1"),"adequate","partial"),INDEX(Fit_Matrix!$B:$B,MATCH(P4174,Fit_Matrix!$A:$A,0)))),"CHECK KEY"))</f>
        <v/>
      </c>
      <c r="U4174" s="10" t="n"/>
      <c r="V4174" s="10" t="n"/>
      <c r="W4174" s="10" t="n"/>
      <c r="X4174" s="10" t="n"/>
      <c r="Y4174" s="10" t="n"/>
      <c r="Z4174" s="10" t="n"/>
      <c r="AA4174" s="11">
        <f>IF(A4174="","",IF(AND(J4174="P4",F4174="causal"),"P4-CAUSAL",""))</f>
        <v/>
      </c>
    </row>
    <row r="4175" ht="15" customHeight="1" s="1">
      <c r="P4175">
        <f>IF(OR(F4175="",H4175="",J4175=""),"",J4175&amp;"|"&amp;F4175&amp;"|"&amp;IF(H4175="W3","W3_"&amp;IF(I4175="","unknown",I4175),H4175))</f>
        <v/>
      </c>
      <c r="Q4175">
        <f>IF(P4175="","",IFERROR(IF(AND(H4175="W7",OR(F4175="causal",F4175="predictive")),IF(AND(OR(K4175=1,K4175="1"),OR(L4175=1,L4175="1"),OR(M4175=1,M4175="1")),"adequate","partial"),IF(AND(H4175="W4",F4175="predictive",OR(J4175="P2",J4175="P3",J4175="P4")),IF(OR(U4175=1,U4175="1"),"adequate","partial"),INDEX(Fit_Matrix!$B:$B,MATCH(P4175,Fit_Matrix!$A:$A,0)))),"CHECK KEY"))</f>
        <v/>
      </c>
      <c r="U4175" s="10" t="n"/>
      <c r="V4175" s="10" t="n"/>
      <c r="W4175" s="10" t="n"/>
      <c r="X4175" s="10" t="n"/>
      <c r="Y4175" s="10" t="n"/>
      <c r="Z4175" s="10" t="n"/>
      <c r="AA4175" s="11">
        <f>IF(A4175="","",IF(AND(J4175="P4",F4175="causal"),"P4-CAUSAL",""))</f>
        <v/>
      </c>
    </row>
    <row r="4176" ht="15" customHeight="1" s="1">
      <c r="P4176">
        <f>IF(OR(F4176="",H4176="",J4176=""),"",J4176&amp;"|"&amp;F4176&amp;"|"&amp;IF(H4176="W3","W3_"&amp;IF(I4176="","unknown",I4176),H4176))</f>
        <v/>
      </c>
      <c r="Q4176">
        <f>IF(P4176="","",IFERROR(IF(AND(H4176="W7",OR(F4176="causal",F4176="predictive")),IF(AND(OR(K4176=1,K4176="1"),OR(L4176=1,L4176="1"),OR(M4176=1,M4176="1")),"adequate","partial"),IF(AND(H4176="W4",F4176="predictive",OR(J4176="P2",J4176="P3",J4176="P4")),IF(OR(U4176=1,U4176="1"),"adequate","partial"),INDEX(Fit_Matrix!$B:$B,MATCH(P4176,Fit_Matrix!$A:$A,0)))),"CHECK KEY"))</f>
        <v/>
      </c>
      <c r="U4176" s="10" t="n"/>
      <c r="V4176" s="10" t="n"/>
      <c r="W4176" s="10" t="n"/>
      <c r="X4176" s="10" t="n"/>
      <c r="Y4176" s="10" t="n"/>
      <c r="Z4176" s="10" t="n"/>
      <c r="AA4176" s="11">
        <f>IF(A4176="","",IF(AND(J4176="P4",F4176="causal"),"P4-CAUSAL",""))</f>
        <v/>
      </c>
    </row>
    <row r="4177" ht="15" customHeight="1" s="1">
      <c r="P4177">
        <f>IF(OR(F4177="",H4177="",J4177=""),"",J4177&amp;"|"&amp;F4177&amp;"|"&amp;IF(H4177="W3","W3_"&amp;IF(I4177="","unknown",I4177),H4177))</f>
        <v/>
      </c>
      <c r="Q4177">
        <f>IF(P4177="","",IFERROR(IF(AND(H4177="W7",OR(F4177="causal",F4177="predictive")),IF(AND(OR(K4177=1,K4177="1"),OR(L4177=1,L4177="1"),OR(M4177=1,M4177="1")),"adequate","partial"),IF(AND(H4177="W4",F4177="predictive",OR(J4177="P2",J4177="P3",J4177="P4")),IF(OR(U4177=1,U4177="1"),"adequate","partial"),INDEX(Fit_Matrix!$B:$B,MATCH(P4177,Fit_Matrix!$A:$A,0)))),"CHECK KEY"))</f>
        <v/>
      </c>
      <c r="U4177" s="10" t="n"/>
      <c r="V4177" s="10" t="n"/>
      <c r="W4177" s="10" t="n"/>
      <c r="X4177" s="10" t="n"/>
      <c r="Y4177" s="10" t="n"/>
      <c r="Z4177" s="10" t="n"/>
      <c r="AA4177" s="11">
        <f>IF(A4177="","",IF(AND(J4177="P4",F4177="causal"),"P4-CAUSAL",""))</f>
        <v/>
      </c>
    </row>
    <row r="4178" ht="15" customHeight="1" s="1">
      <c r="P4178">
        <f>IF(OR(F4178="",H4178="",J4178=""),"",J4178&amp;"|"&amp;F4178&amp;"|"&amp;IF(H4178="W3","W3_"&amp;IF(I4178="","unknown",I4178),H4178))</f>
        <v/>
      </c>
      <c r="Q4178">
        <f>IF(P4178="","",IFERROR(IF(AND(H4178="W7",OR(F4178="causal",F4178="predictive")),IF(AND(OR(K4178=1,K4178="1"),OR(L4178=1,L4178="1"),OR(M4178=1,M4178="1")),"adequate","partial"),IF(AND(H4178="W4",F4178="predictive",OR(J4178="P2",J4178="P3",J4178="P4")),IF(OR(U4178=1,U4178="1"),"adequate","partial"),INDEX(Fit_Matrix!$B:$B,MATCH(P4178,Fit_Matrix!$A:$A,0)))),"CHECK KEY"))</f>
        <v/>
      </c>
      <c r="U4178" s="10" t="n"/>
      <c r="V4178" s="10" t="n"/>
      <c r="W4178" s="10" t="n"/>
      <c r="X4178" s="10" t="n"/>
      <c r="Y4178" s="10" t="n"/>
      <c r="Z4178" s="10" t="n"/>
      <c r="AA4178" s="11">
        <f>IF(A4178="","",IF(AND(J4178="P4",F4178="causal"),"P4-CAUSAL",""))</f>
        <v/>
      </c>
    </row>
    <row r="4179" ht="15" customHeight="1" s="1">
      <c r="P4179">
        <f>IF(OR(F4179="",H4179="",J4179=""),"",J4179&amp;"|"&amp;F4179&amp;"|"&amp;IF(H4179="W3","W3_"&amp;IF(I4179="","unknown",I4179),H4179))</f>
        <v/>
      </c>
      <c r="Q4179">
        <f>IF(P4179="","",IFERROR(IF(AND(H4179="W7",OR(F4179="causal",F4179="predictive")),IF(AND(OR(K4179=1,K4179="1"),OR(L4179=1,L4179="1"),OR(M4179=1,M4179="1")),"adequate","partial"),IF(AND(H4179="W4",F4179="predictive",OR(J4179="P2",J4179="P3",J4179="P4")),IF(OR(U4179=1,U4179="1"),"adequate","partial"),INDEX(Fit_Matrix!$B:$B,MATCH(P4179,Fit_Matrix!$A:$A,0)))),"CHECK KEY"))</f>
        <v/>
      </c>
      <c r="U4179" s="10" t="n"/>
      <c r="V4179" s="10" t="n"/>
      <c r="W4179" s="10" t="n"/>
      <c r="X4179" s="10" t="n"/>
      <c r="Y4179" s="10" t="n"/>
      <c r="Z4179" s="10" t="n"/>
      <c r="AA4179" s="11">
        <f>IF(A4179="","",IF(AND(J4179="P4",F4179="causal"),"P4-CAUSAL",""))</f>
        <v/>
      </c>
    </row>
    <row r="4180" ht="15" customHeight="1" s="1">
      <c r="P4180">
        <f>IF(OR(F4180="",H4180="",J4180=""),"",J4180&amp;"|"&amp;F4180&amp;"|"&amp;IF(H4180="W3","W3_"&amp;IF(I4180="","unknown",I4180),H4180))</f>
        <v/>
      </c>
      <c r="Q4180">
        <f>IF(P4180="","",IFERROR(IF(AND(H4180="W7",OR(F4180="causal",F4180="predictive")),IF(AND(OR(K4180=1,K4180="1"),OR(L4180=1,L4180="1"),OR(M4180=1,M4180="1")),"adequate","partial"),IF(AND(H4180="W4",F4180="predictive",OR(J4180="P2",J4180="P3",J4180="P4")),IF(OR(U4180=1,U4180="1"),"adequate","partial"),INDEX(Fit_Matrix!$B:$B,MATCH(P4180,Fit_Matrix!$A:$A,0)))),"CHECK KEY"))</f>
        <v/>
      </c>
      <c r="U4180" s="10" t="n"/>
      <c r="V4180" s="10" t="n"/>
      <c r="W4180" s="10" t="n"/>
      <c r="X4180" s="10" t="n"/>
      <c r="Y4180" s="10" t="n"/>
      <c r="Z4180" s="10" t="n"/>
      <c r="AA4180" s="11">
        <f>IF(A4180="","",IF(AND(J4180="P4",F4180="causal"),"P4-CAUSAL",""))</f>
        <v/>
      </c>
    </row>
    <row r="4181" ht="15" customHeight="1" s="1">
      <c r="P4181">
        <f>IF(OR(F4181="",H4181="",J4181=""),"",J4181&amp;"|"&amp;F4181&amp;"|"&amp;IF(H4181="W3","W3_"&amp;IF(I4181="","unknown",I4181),H4181))</f>
        <v/>
      </c>
      <c r="Q4181">
        <f>IF(P4181="","",IFERROR(IF(AND(H4181="W7",OR(F4181="causal",F4181="predictive")),IF(AND(OR(K4181=1,K4181="1"),OR(L4181=1,L4181="1"),OR(M4181=1,M4181="1")),"adequate","partial"),IF(AND(H4181="W4",F4181="predictive",OR(J4181="P2",J4181="P3",J4181="P4")),IF(OR(U4181=1,U4181="1"),"adequate","partial"),INDEX(Fit_Matrix!$B:$B,MATCH(P4181,Fit_Matrix!$A:$A,0)))),"CHECK KEY"))</f>
        <v/>
      </c>
      <c r="U4181" s="10" t="n"/>
      <c r="V4181" s="10" t="n"/>
      <c r="W4181" s="10" t="n"/>
      <c r="X4181" s="10" t="n"/>
      <c r="Y4181" s="10" t="n"/>
      <c r="Z4181" s="10" t="n"/>
      <c r="AA4181" s="11">
        <f>IF(A4181="","",IF(AND(J4181="P4",F4181="causal"),"P4-CAUSAL",""))</f>
        <v/>
      </c>
    </row>
    <row r="4182" ht="15" customHeight="1" s="1">
      <c r="P4182">
        <f>IF(OR(F4182="",H4182="",J4182=""),"",J4182&amp;"|"&amp;F4182&amp;"|"&amp;IF(H4182="W3","W3_"&amp;IF(I4182="","unknown",I4182),H4182))</f>
        <v/>
      </c>
      <c r="Q4182">
        <f>IF(P4182="","",IFERROR(IF(AND(H4182="W7",OR(F4182="causal",F4182="predictive")),IF(AND(OR(K4182=1,K4182="1"),OR(L4182=1,L4182="1"),OR(M4182=1,M4182="1")),"adequate","partial"),IF(AND(H4182="W4",F4182="predictive",OR(J4182="P2",J4182="P3",J4182="P4")),IF(OR(U4182=1,U4182="1"),"adequate","partial"),INDEX(Fit_Matrix!$B:$B,MATCH(P4182,Fit_Matrix!$A:$A,0)))),"CHECK KEY"))</f>
        <v/>
      </c>
      <c r="U4182" s="10" t="n"/>
      <c r="V4182" s="10" t="n"/>
      <c r="W4182" s="10" t="n"/>
      <c r="X4182" s="10" t="n"/>
      <c r="Y4182" s="10" t="n"/>
      <c r="Z4182" s="10" t="n"/>
      <c r="AA4182" s="11">
        <f>IF(A4182="","",IF(AND(J4182="P4",F4182="causal"),"P4-CAUSAL",""))</f>
        <v/>
      </c>
    </row>
    <row r="4183" ht="15" customHeight="1" s="1">
      <c r="P4183">
        <f>IF(OR(F4183="",H4183="",J4183=""),"",J4183&amp;"|"&amp;F4183&amp;"|"&amp;IF(H4183="W3","W3_"&amp;IF(I4183="","unknown",I4183),H4183))</f>
        <v/>
      </c>
      <c r="Q4183">
        <f>IF(P4183="","",IFERROR(IF(AND(H4183="W7",OR(F4183="causal",F4183="predictive")),IF(AND(OR(K4183=1,K4183="1"),OR(L4183=1,L4183="1"),OR(M4183=1,M4183="1")),"adequate","partial"),IF(AND(H4183="W4",F4183="predictive",OR(J4183="P2",J4183="P3",J4183="P4")),IF(OR(U4183=1,U4183="1"),"adequate","partial"),INDEX(Fit_Matrix!$B:$B,MATCH(P4183,Fit_Matrix!$A:$A,0)))),"CHECK KEY"))</f>
        <v/>
      </c>
      <c r="U4183" s="10" t="n"/>
      <c r="V4183" s="10" t="n"/>
      <c r="W4183" s="10" t="n"/>
      <c r="X4183" s="10" t="n"/>
      <c r="Y4183" s="10" t="n"/>
      <c r="Z4183" s="10" t="n"/>
      <c r="AA4183" s="11">
        <f>IF(A4183="","",IF(AND(J4183="P4",F4183="causal"),"P4-CAUSAL",""))</f>
        <v/>
      </c>
    </row>
    <row r="4184" ht="15" customHeight="1" s="1">
      <c r="P4184">
        <f>IF(OR(F4184="",H4184="",J4184=""),"",J4184&amp;"|"&amp;F4184&amp;"|"&amp;IF(H4184="W3","W3_"&amp;IF(I4184="","unknown",I4184),H4184))</f>
        <v/>
      </c>
      <c r="Q4184">
        <f>IF(P4184="","",IFERROR(IF(AND(H4184="W7",OR(F4184="causal",F4184="predictive")),IF(AND(OR(K4184=1,K4184="1"),OR(L4184=1,L4184="1"),OR(M4184=1,M4184="1")),"adequate","partial"),IF(AND(H4184="W4",F4184="predictive",OR(J4184="P2",J4184="P3",J4184="P4")),IF(OR(U4184=1,U4184="1"),"adequate","partial"),INDEX(Fit_Matrix!$B:$B,MATCH(P4184,Fit_Matrix!$A:$A,0)))),"CHECK KEY"))</f>
        <v/>
      </c>
      <c r="U4184" s="10" t="n"/>
      <c r="V4184" s="10" t="n"/>
      <c r="W4184" s="10" t="n"/>
      <c r="X4184" s="10" t="n"/>
      <c r="Y4184" s="10" t="n"/>
      <c r="Z4184" s="10" t="n"/>
      <c r="AA4184" s="11">
        <f>IF(A4184="","",IF(AND(J4184="P4",F4184="causal"),"P4-CAUSAL",""))</f>
        <v/>
      </c>
    </row>
    <row r="4185" ht="15" customHeight="1" s="1">
      <c r="P4185">
        <f>IF(OR(F4185="",H4185="",J4185=""),"",J4185&amp;"|"&amp;F4185&amp;"|"&amp;IF(H4185="W3","W3_"&amp;IF(I4185="","unknown",I4185),H4185))</f>
        <v/>
      </c>
      <c r="Q4185">
        <f>IF(P4185="","",IFERROR(IF(AND(H4185="W7",OR(F4185="causal",F4185="predictive")),IF(AND(OR(K4185=1,K4185="1"),OR(L4185=1,L4185="1"),OR(M4185=1,M4185="1")),"adequate","partial"),IF(AND(H4185="W4",F4185="predictive",OR(J4185="P2",J4185="P3",J4185="P4")),IF(OR(U4185=1,U4185="1"),"adequate","partial"),INDEX(Fit_Matrix!$B:$B,MATCH(P4185,Fit_Matrix!$A:$A,0)))),"CHECK KEY"))</f>
        <v/>
      </c>
      <c r="U4185" s="10" t="n"/>
      <c r="V4185" s="10" t="n"/>
      <c r="W4185" s="10" t="n"/>
      <c r="X4185" s="10" t="n"/>
      <c r="Y4185" s="10" t="n"/>
      <c r="Z4185" s="10" t="n"/>
      <c r="AA4185" s="11">
        <f>IF(A4185="","",IF(AND(J4185="P4",F4185="causal"),"P4-CAUSAL",""))</f>
        <v/>
      </c>
    </row>
    <row r="4186" ht="15" customHeight="1" s="1">
      <c r="P4186">
        <f>IF(OR(F4186="",H4186="",J4186=""),"",J4186&amp;"|"&amp;F4186&amp;"|"&amp;IF(H4186="W3","W3_"&amp;IF(I4186="","unknown",I4186),H4186))</f>
        <v/>
      </c>
      <c r="Q4186">
        <f>IF(P4186="","",IFERROR(IF(AND(H4186="W7",OR(F4186="causal",F4186="predictive")),IF(AND(OR(K4186=1,K4186="1"),OR(L4186=1,L4186="1"),OR(M4186=1,M4186="1")),"adequate","partial"),IF(AND(H4186="W4",F4186="predictive",OR(J4186="P2",J4186="P3",J4186="P4")),IF(OR(U4186=1,U4186="1"),"adequate","partial"),INDEX(Fit_Matrix!$B:$B,MATCH(P4186,Fit_Matrix!$A:$A,0)))),"CHECK KEY"))</f>
        <v/>
      </c>
      <c r="U4186" s="10" t="n"/>
      <c r="V4186" s="10" t="n"/>
      <c r="W4186" s="10" t="n"/>
      <c r="X4186" s="10" t="n"/>
      <c r="Y4186" s="10" t="n"/>
      <c r="Z4186" s="10" t="n"/>
      <c r="AA4186" s="11">
        <f>IF(A4186="","",IF(AND(J4186="P4",F4186="causal"),"P4-CAUSAL",""))</f>
        <v/>
      </c>
    </row>
    <row r="4187" ht="15" customHeight="1" s="1">
      <c r="P4187">
        <f>IF(OR(F4187="",H4187="",J4187=""),"",J4187&amp;"|"&amp;F4187&amp;"|"&amp;IF(H4187="W3","W3_"&amp;IF(I4187="","unknown",I4187),H4187))</f>
        <v/>
      </c>
      <c r="Q4187">
        <f>IF(P4187="","",IFERROR(IF(AND(H4187="W7",OR(F4187="causal",F4187="predictive")),IF(AND(OR(K4187=1,K4187="1"),OR(L4187=1,L4187="1"),OR(M4187=1,M4187="1")),"adequate","partial"),IF(AND(H4187="W4",F4187="predictive",OR(J4187="P2",J4187="P3",J4187="P4")),IF(OR(U4187=1,U4187="1"),"adequate","partial"),INDEX(Fit_Matrix!$B:$B,MATCH(P4187,Fit_Matrix!$A:$A,0)))),"CHECK KEY"))</f>
        <v/>
      </c>
      <c r="U4187" s="10" t="n"/>
      <c r="V4187" s="10" t="n"/>
      <c r="W4187" s="10" t="n"/>
      <c r="X4187" s="10" t="n"/>
      <c r="Y4187" s="10" t="n"/>
      <c r="Z4187" s="10" t="n"/>
      <c r="AA4187" s="11">
        <f>IF(A4187="","",IF(AND(J4187="P4",F4187="causal"),"P4-CAUSAL",""))</f>
        <v/>
      </c>
    </row>
    <row r="4188" ht="15" customHeight="1" s="1">
      <c r="P4188">
        <f>IF(OR(F4188="",H4188="",J4188=""),"",J4188&amp;"|"&amp;F4188&amp;"|"&amp;IF(H4188="W3","W3_"&amp;IF(I4188="","unknown",I4188),H4188))</f>
        <v/>
      </c>
      <c r="Q4188">
        <f>IF(P4188="","",IFERROR(IF(AND(H4188="W7",OR(F4188="causal",F4188="predictive")),IF(AND(OR(K4188=1,K4188="1"),OR(L4188=1,L4188="1"),OR(M4188=1,M4188="1")),"adequate","partial"),IF(AND(H4188="W4",F4188="predictive",OR(J4188="P2",J4188="P3",J4188="P4")),IF(OR(U4188=1,U4188="1"),"adequate","partial"),INDEX(Fit_Matrix!$B:$B,MATCH(P4188,Fit_Matrix!$A:$A,0)))),"CHECK KEY"))</f>
        <v/>
      </c>
      <c r="U4188" s="10" t="n"/>
      <c r="V4188" s="10" t="n"/>
      <c r="W4188" s="10" t="n"/>
      <c r="X4188" s="10" t="n"/>
      <c r="Y4188" s="10" t="n"/>
      <c r="Z4188" s="10" t="n"/>
      <c r="AA4188" s="11">
        <f>IF(A4188="","",IF(AND(J4188="P4",F4188="causal"),"P4-CAUSAL",""))</f>
        <v/>
      </c>
    </row>
    <row r="4189" ht="15" customHeight="1" s="1">
      <c r="P4189">
        <f>IF(OR(F4189="",H4189="",J4189=""),"",J4189&amp;"|"&amp;F4189&amp;"|"&amp;IF(H4189="W3","W3_"&amp;IF(I4189="","unknown",I4189),H4189))</f>
        <v/>
      </c>
      <c r="Q4189">
        <f>IF(P4189="","",IFERROR(IF(AND(H4189="W7",OR(F4189="causal",F4189="predictive")),IF(AND(OR(K4189=1,K4189="1"),OR(L4189=1,L4189="1"),OR(M4189=1,M4189="1")),"adequate","partial"),IF(AND(H4189="W4",F4189="predictive",OR(J4189="P2",J4189="P3",J4189="P4")),IF(OR(U4189=1,U4189="1"),"adequate","partial"),INDEX(Fit_Matrix!$B:$B,MATCH(P4189,Fit_Matrix!$A:$A,0)))),"CHECK KEY"))</f>
        <v/>
      </c>
      <c r="U4189" s="10" t="n"/>
      <c r="V4189" s="10" t="n"/>
      <c r="W4189" s="10" t="n"/>
      <c r="X4189" s="10" t="n"/>
      <c r="Y4189" s="10" t="n"/>
      <c r="Z4189" s="10" t="n"/>
      <c r="AA4189" s="11">
        <f>IF(A4189="","",IF(AND(J4189="P4",F4189="causal"),"P4-CAUSAL",""))</f>
        <v/>
      </c>
    </row>
    <row r="4190" ht="15" customHeight="1" s="1">
      <c r="P4190">
        <f>IF(OR(F4190="",H4190="",J4190=""),"",J4190&amp;"|"&amp;F4190&amp;"|"&amp;IF(H4190="W3","W3_"&amp;IF(I4190="","unknown",I4190),H4190))</f>
        <v/>
      </c>
      <c r="Q4190">
        <f>IF(P4190="","",IFERROR(IF(AND(H4190="W7",OR(F4190="causal",F4190="predictive")),IF(AND(OR(K4190=1,K4190="1"),OR(L4190=1,L4190="1"),OR(M4190=1,M4190="1")),"adequate","partial"),IF(AND(H4190="W4",F4190="predictive",OR(J4190="P2",J4190="P3",J4190="P4")),IF(OR(U4190=1,U4190="1"),"adequate","partial"),INDEX(Fit_Matrix!$B:$B,MATCH(P4190,Fit_Matrix!$A:$A,0)))),"CHECK KEY"))</f>
        <v/>
      </c>
      <c r="U4190" s="10" t="n"/>
      <c r="V4190" s="10" t="n"/>
      <c r="W4190" s="10" t="n"/>
      <c r="X4190" s="10" t="n"/>
      <c r="Y4190" s="10" t="n"/>
      <c r="Z4190" s="10" t="n"/>
      <c r="AA4190" s="11">
        <f>IF(A4190="","",IF(AND(J4190="P4",F4190="causal"),"P4-CAUSAL",""))</f>
        <v/>
      </c>
    </row>
    <row r="4191" ht="15" customHeight="1" s="1">
      <c r="P4191">
        <f>IF(OR(F4191="",H4191="",J4191=""),"",J4191&amp;"|"&amp;F4191&amp;"|"&amp;IF(H4191="W3","W3_"&amp;IF(I4191="","unknown",I4191),H4191))</f>
        <v/>
      </c>
      <c r="Q4191">
        <f>IF(P4191="","",IFERROR(IF(AND(H4191="W7",OR(F4191="causal",F4191="predictive")),IF(AND(OR(K4191=1,K4191="1"),OR(L4191=1,L4191="1"),OR(M4191=1,M4191="1")),"adequate","partial"),IF(AND(H4191="W4",F4191="predictive",OR(J4191="P2",J4191="P3",J4191="P4")),IF(OR(U4191=1,U4191="1"),"adequate","partial"),INDEX(Fit_Matrix!$B:$B,MATCH(P4191,Fit_Matrix!$A:$A,0)))),"CHECK KEY"))</f>
        <v/>
      </c>
      <c r="U4191" s="10" t="n"/>
      <c r="V4191" s="10" t="n"/>
      <c r="W4191" s="10" t="n"/>
      <c r="X4191" s="10" t="n"/>
      <c r="Y4191" s="10" t="n"/>
      <c r="Z4191" s="10" t="n"/>
      <c r="AA4191" s="11">
        <f>IF(A4191="","",IF(AND(J4191="P4",F4191="causal"),"P4-CAUSAL",""))</f>
        <v/>
      </c>
    </row>
    <row r="4192" ht="15" customHeight="1" s="1">
      <c r="P4192">
        <f>IF(OR(F4192="",H4192="",J4192=""),"",J4192&amp;"|"&amp;F4192&amp;"|"&amp;IF(H4192="W3","W3_"&amp;IF(I4192="","unknown",I4192),H4192))</f>
        <v/>
      </c>
      <c r="Q4192">
        <f>IF(P4192="","",IFERROR(IF(AND(H4192="W7",OR(F4192="causal",F4192="predictive")),IF(AND(OR(K4192=1,K4192="1"),OR(L4192=1,L4192="1"),OR(M4192=1,M4192="1")),"adequate","partial"),IF(AND(H4192="W4",F4192="predictive",OR(J4192="P2",J4192="P3",J4192="P4")),IF(OR(U4192=1,U4192="1"),"adequate","partial"),INDEX(Fit_Matrix!$B:$B,MATCH(P4192,Fit_Matrix!$A:$A,0)))),"CHECK KEY"))</f>
        <v/>
      </c>
      <c r="U4192" s="10" t="n"/>
      <c r="V4192" s="10" t="n"/>
      <c r="W4192" s="10" t="n"/>
      <c r="X4192" s="10" t="n"/>
      <c r="Y4192" s="10" t="n"/>
      <c r="Z4192" s="10" t="n"/>
      <c r="AA4192" s="11">
        <f>IF(A4192="","",IF(AND(J4192="P4",F4192="causal"),"P4-CAUSAL",""))</f>
        <v/>
      </c>
    </row>
    <row r="4193" ht="15" customHeight="1" s="1">
      <c r="P4193">
        <f>IF(OR(F4193="",H4193="",J4193=""),"",J4193&amp;"|"&amp;F4193&amp;"|"&amp;IF(H4193="W3","W3_"&amp;IF(I4193="","unknown",I4193),H4193))</f>
        <v/>
      </c>
      <c r="Q4193">
        <f>IF(P4193="","",IFERROR(IF(AND(H4193="W7",OR(F4193="causal",F4193="predictive")),IF(AND(OR(K4193=1,K4193="1"),OR(L4193=1,L4193="1"),OR(M4193=1,M4193="1")),"adequate","partial"),IF(AND(H4193="W4",F4193="predictive",OR(J4193="P2",J4193="P3",J4193="P4")),IF(OR(U4193=1,U4193="1"),"adequate","partial"),INDEX(Fit_Matrix!$B:$B,MATCH(P4193,Fit_Matrix!$A:$A,0)))),"CHECK KEY"))</f>
        <v/>
      </c>
      <c r="U4193" s="10" t="n"/>
      <c r="V4193" s="10" t="n"/>
      <c r="W4193" s="10" t="n"/>
      <c r="X4193" s="10" t="n"/>
      <c r="Y4193" s="10" t="n"/>
      <c r="Z4193" s="10" t="n"/>
      <c r="AA4193" s="11">
        <f>IF(A4193="","",IF(AND(J4193="P4",F4193="causal"),"P4-CAUSAL",""))</f>
        <v/>
      </c>
    </row>
    <row r="4194" ht="15" customHeight="1" s="1">
      <c r="P4194">
        <f>IF(OR(F4194="",H4194="",J4194=""),"",J4194&amp;"|"&amp;F4194&amp;"|"&amp;IF(H4194="W3","W3_"&amp;IF(I4194="","unknown",I4194),H4194))</f>
        <v/>
      </c>
      <c r="Q4194">
        <f>IF(P4194="","",IFERROR(IF(AND(H4194="W7",OR(F4194="causal",F4194="predictive")),IF(AND(OR(K4194=1,K4194="1"),OR(L4194=1,L4194="1"),OR(M4194=1,M4194="1")),"adequate","partial"),IF(AND(H4194="W4",F4194="predictive",OR(J4194="P2",J4194="P3",J4194="P4")),IF(OR(U4194=1,U4194="1"),"adequate","partial"),INDEX(Fit_Matrix!$B:$B,MATCH(P4194,Fit_Matrix!$A:$A,0)))),"CHECK KEY"))</f>
        <v/>
      </c>
      <c r="U4194" s="10" t="n"/>
      <c r="V4194" s="10" t="n"/>
      <c r="W4194" s="10" t="n"/>
      <c r="X4194" s="10" t="n"/>
      <c r="Y4194" s="10" t="n"/>
      <c r="Z4194" s="10" t="n"/>
      <c r="AA4194" s="11">
        <f>IF(A4194="","",IF(AND(J4194="P4",F4194="causal"),"P4-CAUSAL",""))</f>
        <v/>
      </c>
    </row>
    <row r="4195" ht="15" customHeight="1" s="1">
      <c r="P4195">
        <f>IF(OR(F4195="",H4195="",J4195=""),"",J4195&amp;"|"&amp;F4195&amp;"|"&amp;IF(H4195="W3","W3_"&amp;IF(I4195="","unknown",I4195),H4195))</f>
        <v/>
      </c>
      <c r="Q4195">
        <f>IF(P4195="","",IFERROR(IF(AND(H4195="W7",OR(F4195="causal",F4195="predictive")),IF(AND(OR(K4195=1,K4195="1"),OR(L4195=1,L4195="1"),OR(M4195=1,M4195="1")),"adequate","partial"),IF(AND(H4195="W4",F4195="predictive",OR(J4195="P2",J4195="P3",J4195="P4")),IF(OR(U4195=1,U4195="1"),"adequate","partial"),INDEX(Fit_Matrix!$B:$B,MATCH(P4195,Fit_Matrix!$A:$A,0)))),"CHECK KEY"))</f>
        <v/>
      </c>
      <c r="U4195" s="10" t="n"/>
      <c r="V4195" s="10" t="n"/>
      <c r="W4195" s="10" t="n"/>
      <c r="X4195" s="10" t="n"/>
      <c r="Y4195" s="10" t="n"/>
      <c r="Z4195" s="10" t="n"/>
      <c r="AA4195" s="11">
        <f>IF(A4195="","",IF(AND(J4195="P4",F4195="causal"),"P4-CAUSAL",""))</f>
        <v/>
      </c>
    </row>
    <row r="4196" ht="15" customHeight="1" s="1">
      <c r="P4196">
        <f>IF(OR(F4196="",H4196="",J4196=""),"",J4196&amp;"|"&amp;F4196&amp;"|"&amp;IF(H4196="W3","W3_"&amp;IF(I4196="","unknown",I4196),H4196))</f>
        <v/>
      </c>
      <c r="Q4196">
        <f>IF(P4196="","",IFERROR(IF(AND(H4196="W7",OR(F4196="causal",F4196="predictive")),IF(AND(OR(K4196=1,K4196="1"),OR(L4196=1,L4196="1"),OR(M4196=1,M4196="1")),"adequate","partial"),IF(AND(H4196="W4",F4196="predictive",OR(J4196="P2",J4196="P3",J4196="P4")),IF(OR(U4196=1,U4196="1"),"adequate","partial"),INDEX(Fit_Matrix!$B:$B,MATCH(P4196,Fit_Matrix!$A:$A,0)))),"CHECK KEY"))</f>
        <v/>
      </c>
      <c r="U4196" s="10" t="n"/>
      <c r="V4196" s="10" t="n"/>
      <c r="W4196" s="10" t="n"/>
      <c r="X4196" s="10" t="n"/>
      <c r="Y4196" s="10" t="n"/>
      <c r="Z4196" s="10" t="n"/>
      <c r="AA4196" s="11">
        <f>IF(A4196="","",IF(AND(J4196="P4",F4196="causal"),"P4-CAUSAL",""))</f>
        <v/>
      </c>
    </row>
    <row r="4197" ht="15" customHeight="1" s="1">
      <c r="P4197">
        <f>IF(OR(F4197="",H4197="",J4197=""),"",J4197&amp;"|"&amp;F4197&amp;"|"&amp;IF(H4197="W3","W3_"&amp;IF(I4197="","unknown",I4197),H4197))</f>
        <v/>
      </c>
      <c r="Q4197">
        <f>IF(P4197="","",IFERROR(IF(AND(H4197="W7",OR(F4197="causal",F4197="predictive")),IF(AND(OR(K4197=1,K4197="1"),OR(L4197=1,L4197="1"),OR(M4197=1,M4197="1")),"adequate","partial"),IF(AND(H4197="W4",F4197="predictive",OR(J4197="P2",J4197="P3",J4197="P4")),IF(OR(U4197=1,U4197="1"),"adequate","partial"),INDEX(Fit_Matrix!$B:$B,MATCH(P4197,Fit_Matrix!$A:$A,0)))),"CHECK KEY"))</f>
        <v/>
      </c>
      <c r="U4197" s="10" t="n"/>
      <c r="V4197" s="10" t="n"/>
      <c r="W4197" s="10" t="n"/>
      <c r="X4197" s="10" t="n"/>
      <c r="Y4197" s="10" t="n"/>
      <c r="Z4197" s="10" t="n"/>
      <c r="AA4197" s="11">
        <f>IF(A4197="","",IF(AND(J4197="P4",F4197="causal"),"P4-CAUSAL",""))</f>
        <v/>
      </c>
    </row>
    <row r="4198" ht="15" customHeight="1" s="1">
      <c r="P4198">
        <f>IF(OR(F4198="",H4198="",J4198=""),"",J4198&amp;"|"&amp;F4198&amp;"|"&amp;IF(H4198="W3","W3_"&amp;IF(I4198="","unknown",I4198),H4198))</f>
        <v/>
      </c>
      <c r="Q4198">
        <f>IF(P4198="","",IFERROR(IF(AND(H4198="W7",OR(F4198="causal",F4198="predictive")),IF(AND(OR(K4198=1,K4198="1"),OR(L4198=1,L4198="1"),OR(M4198=1,M4198="1")),"adequate","partial"),IF(AND(H4198="W4",F4198="predictive",OR(J4198="P2",J4198="P3",J4198="P4")),IF(OR(U4198=1,U4198="1"),"adequate","partial"),INDEX(Fit_Matrix!$B:$B,MATCH(P4198,Fit_Matrix!$A:$A,0)))),"CHECK KEY"))</f>
        <v/>
      </c>
      <c r="U4198" s="10" t="n"/>
      <c r="V4198" s="10" t="n"/>
      <c r="W4198" s="10" t="n"/>
      <c r="X4198" s="10" t="n"/>
      <c r="Y4198" s="10" t="n"/>
      <c r="Z4198" s="10" t="n"/>
      <c r="AA4198" s="11">
        <f>IF(A4198="","",IF(AND(J4198="P4",F4198="causal"),"P4-CAUSAL",""))</f>
        <v/>
      </c>
    </row>
    <row r="4199" ht="15" customHeight="1" s="1">
      <c r="P4199">
        <f>IF(OR(F4199="",H4199="",J4199=""),"",J4199&amp;"|"&amp;F4199&amp;"|"&amp;IF(H4199="W3","W3_"&amp;IF(I4199="","unknown",I4199),H4199))</f>
        <v/>
      </c>
      <c r="Q4199">
        <f>IF(P4199="","",IFERROR(IF(AND(H4199="W7",OR(F4199="causal",F4199="predictive")),IF(AND(OR(K4199=1,K4199="1"),OR(L4199=1,L4199="1"),OR(M4199=1,M4199="1")),"adequate","partial"),IF(AND(H4199="W4",F4199="predictive",OR(J4199="P2",J4199="P3",J4199="P4")),IF(OR(U4199=1,U4199="1"),"adequate","partial"),INDEX(Fit_Matrix!$B:$B,MATCH(P4199,Fit_Matrix!$A:$A,0)))),"CHECK KEY"))</f>
        <v/>
      </c>
      <c r="U4199" s="10" t="n"/>
      <c r="V4199" s="10" t="n"/>
      <c r="W4199" s="10" t="n"/>
      <c r="X4199" s="10" t="n"/>
      <c r="Y4199" s="10" t="n"/>
      <c r="Z4199" s="10" t="n"/>
      <c r="AA4199" s="11">
        <f>IF(A4199="","",IF(AND(J4199="P4",F4199="causal"),"P4-CAUSAL",""))</f>
        <v/>
      </c>
    </row>
    <row r="4200" ht="15" customHeight="1" s="1">
      <c r="P4200">
        <f>IF(OR(F4200="",H4200="",J4200=""),"",J4200&amp;"|"&amp;F4200&amp;"|"&amp;IF(H4200="W3","W3_"&amp;IF(I4200="","unknown",I4200),H4200))</f>
        <v/>
      </c>
      <c r="Q4200">
        <f>IF(P4200="","",IFERROR(IF(AND(H4200="W7",OR(F4200="causal",F4200="predictive")),IF(AND(OR(K4200=1,K4200="1"),OR(L4200=1,L4200="1"),OR(M4200=1,M4200="1")),"adequate","partial"),IF(AND(H4200="W4",F4200="predictive",OR(J4200="P2",J4200="P3",J4200="P4")),IF(OR(U4200=1,U4200="1"),"adequate","partial"),INDEX(Fit_Matrix!$B:$B,MATCH(P4200,Fit_Matrix!$A:$A,0)))),"CHECK KEY"))</f>
        <v/>
      </c>
      <c r="U4200" s="10" t="n"/>
      <c r="V4200" s="10" t="n"/>
      <c r="W4200" s="10" t="n"/>
      <c r="X4200" s="10" t="n"/>
      <c r="Y4200" s="10" t="n"/>
      <c r="Z4200" s="10" t="n"/>
      <c r="AA4200" s="11">
        <f>IF(A4200="","",IF(AND(J4200="P4",F4200="causal"),"P4-CAUSAL",""))</f>
        <v/>
      </c>
    </row>
    <row r="4201" ht="15" customHeight="1" s="1">
      <c r="P4201">
        <f>IF(OR(F4201="",H4201="",J4201=""),"",J4201&amp;"|"&amp;F4201&amp;"|"&amp;IF(H4201="W3","W3_"&amp;IF(I4201="","unknown",I4201),H4201))</f>
        <v/>
      </c>
      <c r="Q4201">
        <f>IF(P4201="","",IFERROR(IF(AND(H4201="W7",OR(F4201="causal",F4201="predictive")),IF(AND(OR(K4201=1,K4201="1"),OR(L4201=1,L4201="1"),OR(M4201=1,M4201="1")),"adequate","partial"),IF(AND(H4201="W4",F4201="predictive",OR(J4201="P2",J4201="P3",J4201="P4")),IF(OR(U4201=1,U4201="1"),"adequate","partial"),INDEX(Fit_Matrix!$B:$B,MATCH(P4201,Fit_Matrix!$A:$A,0)))),"CHECK KEY"))</f>
        <v/>
      </c>
      <c r="U4201" s="10" t="n"/>
      <c r="V4201" s="10" t="n"/>
      <c r="W4201" s="10" t="n"/>
      <c r="X4201" s="10" t="n"/>
      <c r="Y4201" s="10" t="n"/>
      <c r="Z4201" s="10" t="n"/>
      <c r="AA4201" s="11">
        <f>IF(A4201="","",IF(AND(J4201="P4",F4201="causal"),"P4-CAUSAL",""))</f>
        <v/>
      </c>
    </row>
    <row r="4202" ht="15" customHeight="1" s="1">
      <c r="P4202">
        <f>IF(OR(F4202="",H4202="",J4202=""),"",J4202&amp;"|"&amp;F4202&amp;"|"&amp;IF(H4202="W3","W3_"&amp;IF(I4202="","unknown",I4202),H4202))</f>
        <v/>
      </c>
      <c r="Q4202">
        <f>IF(P4202="","",IFERROR(IF(AND(H4202="W7",OR(F4202="causal",F4202="predictive")),IF(AND(OR(K4202=1,K4202="1"),OR(L4202=1,L4202="1"),OR(M4202=1,M4202="1")),"adequate","partial"),IF(AND(H4202="W4",F4202="predictive",OR(J4202="P2",J4202="P3",J4202="P4")),IF(OR(U4202=1,U4202="1"),"adequate","partial"),INDEX(Fit_Matrix!$B:$B,MATCH(P4202,Fit_Matrix!$A:$A,0)))),"CHECK KEY"))</f>
        <v/>
      </c>
      <c r="U4202" s="10" t="n"/>
      <c r="V4202" s="10" t="n"/>
      <c r="W4202" s="10" t="n"/>
      <c r="X4202" s="10" t="n"/>
      <c r="Y4202" s="10" t="n"/>
      <c r="Z4202" s="10" t="n"/>
      <c r="AA4202" s="11">
        <f>IF(A4202="","",IF(AND(J4202="P4",F4202="causal"),"P4-CAUSAL",""))</f>
        <v/>
      </c>
    </row>
    <row r="4203" ht="15" customHeight="1" s="1">
      <c r="P4203">
        <f>IF(OR(F4203="",H4203="",J4203=""),"",J4203&amp;"|"&amp;F4203&amp;"|"&amp;IF(H4203="W3","W3_"&amp;IF(I4203="","unknown",I4203),H4203))</f>
        <v/>
      </c>
      <c r="Q4203">
        <f>IF(P4203="","",IFERROR(IF(AND(H4203="W7",OR(F4203="causal",F4203="predictive")),IF(AND(OR(K4203=1,K4203="1"),OR(L4203=1,L4203="1"),OR(M4203=1,M4203="1")),"adequate","partial"),IF(AND(H4203="W4",F4203="predictive",OR(J4203="P2",J4203="P3",J4203="P4")),IF(OR(U4203=1,U4203="1"),"adequate","partial"),INDEX(Fit_Matrix!$B:$B,MATCH(P4203,Fit_Matrix!$A:$A,0)))),"CHECK KEY"))</f>
        <v/>
      </c>
      <c r="U4203" s="10" t="n"/>
      <c r="V4203" s="10" t="n"/>
      <c r="W4203" s="10" t="n"/>
      <c r="X4203" s="10" t="n"/>
      <c r="Y4203" s="10" t="n"/>
      <c r="Z4203" s="10" t="n"/>
      <c r="AA4203" s="11">
        <f>IF(A4203="","",IF(AND(J4203="P4",F4203="causal"),"P4-CAUSAL",""))</f>
        <v/>
      </c>
    </row>
    <row r="4204" ht="15" customHeight="1" s="1">
      <c r="P4204">
        <f>IF(OR(F4204="",H4204="",J4204=""),"",J4204&amp;"|"&amp;F4204&amp;"|"&amp;IF(H4204="W3","W3_"&amp;IF(I4204="","unknown",I4204),H4204))</f>
        <v/>
      </c>
      <c r="Q4204">
        <f>IF(P4204="","",IFERROR(IF(AND(H4204="W7",OR(F4204="causal",F4204="predictive")),IF(AND(OR(K4204=1,K4204="1"),OR(L4204=1,L4204="1"),OR(M4204=1,M4204="1")),"adequate","partial"),IF(AND(H4204="W4",F4204="predictive",OR(J4204="P2",J4204="P3",J4204="P4")),IF(OR(U4204=1,U4204="1"),"adequate","partial"),INDEX(Fit_Matrix!$B:$B,MATCH(P4204,Fit_Matrix!$A:$A,0)))),"CHECK KEY"))</f>
        <v/>
      </c>
      <c r="U4204" s="10" t="n"/>
      <c r="V4204" s="10" t="n"/>
      <c r="W4204" s="10" t="n"/>
      <c r="X4204" s="10" t="n"/>
      <c r="Y4204" s="10" t="n"/>
      <c r="Z4204" s="10" t="n"/>
      <c r="AA4204" s="11">
        <f>IF(A4204="","",IF(AND(J4204="P4",F4204="causal"),"P4-CAUSAL",""))</f>
        <v/>
      </c>
    </row>
    <row r="4205" ht="15" customHeight="1" s="1">
      <c r="P4205">
        <f>IF(OR(F4205="",H4205="",J4205=""),"",J4205&amp;"|"&amp;F4205&amp;"|"&amp;IF(H4205="W3","W3_"&amp;IF(I4205="","unknown",I4205),H4205))</f>
        <v/>
      </c>
      <c r="Q4205">
        <f>IF(P4205="","",IFERROR(IF(AND(H4205="W7",OR(F4205="causal",F4205="predictive")),IF(AND(OR(K4205=1,K4205="1"),OR(L4205=1,L4205="1"),OR(M4205=1,M4205="1")),"adequate","partial"),IF(AND(H4205="W4",F4205="predictive",OR(J4205="P2",J4205="P3",J4205="P4")),IF(OR(U4205=1,U4205="1"),"adequate","partial"),INDEX(Fit_Matrix!$B:$B,MATCH(P4205,Fit_Matrix!$A:$A,0)))),"CHECK KEY"))</f>
        <v/>
      </c>
      <c r="U4205" s="10" t="n"/>
      <c r="V4205" s="10" t="n"/>
      <c r="W4205" s="10" t="n"/>
      <c r="X4205" s="10" t="n"/>
      <c r="Y4205" s="10" t="n"/>
      <c r="Z4205" s="10" t="n"/>
      <c r="AA4205" s="11">
        <f>IF(A4205="","",IF(AND(J4205="P4",F4205="causal"),"P4-CAUSAL",""))</f>
        <v/>
      </c>
    </row>
    <row r="4206" ht="15" customHeight="1" s="1">
      <c r="P4206">
        <f>IF(OR(F4206="",H4206="",J4206=""),"",J4206&amp;"|"&amp;F4206&amp;"|"&amp;IF(H4206="W3","W3_"&amp;IF(I4206="","unknown",I4206),H4206))</f>
        <v/>
      </c>
      <c r="Q4206">
        <f>IF(P4206="","",IFERROR(IF(AND(H4206="W7",OR(F4206="causal",F4206="predictive")),IF(AND(OR(K4206=1,K4206="1"),OR(L4206=1,L4206="1"),OR(M4206=1,M4206="1")),"adequate","partial"),IF(AND(H4206="W4",F4206="predictive",OR(J4206="P2",J4206="P3",J4206="P4")),IF(OR(U4206=1,U4206="1"),"adequate","partial"),INDEX(Fit_Matrix!$B:$B,MATCH(P4206,Fit_Matrix!$A:$A,0)))),"CHECK KEY"))</f>
        <v/>
      </c>
      <c r="U4206" s="10" t="n"/>
      <c r="V4206" s="10" t="n"/>
      <c r="W4206" s="10" t="n"/>
      <c r="X4206" s="10" t="n"/>
      <c r="Y4206" s="10" t="n"/>
      <c r="Z4206" s="10" t="n"/>
      <c r="AA4206" s="11">
        <f>IF(A4206="","",IF(AND(J4206="P4",F4206="causal"),"P4-CAUSAL",""))</f>
        <v/>
      </c>
    </row>
    <row r="4207" ht="15" customHeight="1" s="1">
      <c r="P4207">
        <f>IF(OR(F4207="",H4207="",J4207=""),"",J4207&amp;"|"&amp;F4207&amp;"|"&amp;IF(H4207="W3","W3_"&amp;IF(I4207="","unknown",I4207),H4207))</f>
        <v/>
      </c>
      <c r="Q4207">
        <f>IF(P4207="","",IFERROR(IF(AND(H4207="W7",OR(F4207="causal",F4207="predictive")),IF(AND(OR(K4207=1,K4207="1"),OR(L4207=1,L4207="1"),OR(M4207=1,M4207="1")),"adequate","partial"),IF(AND(H4207="W4",F4207="predictive",OR(J4207="P2",J4207="P3",J4207="P4")),IF(OR(U4207=1,U4207="1"),"adequate","partial"),INDEX(Fit_Matrix!$B:$B,MATCH(P4207,Fit_Matrix!$A:$A,0)))),"CHECK KEY"))</f>
        <v/>
      </c>
      <c r="U4207" s="10" t="n"/>
      <c r="V4207" s="10" t="n"/>
      <c r="W4207" s="10" t="n"/>
      <c r="X4207" s="10" t="n"/>
      <c r="Y4207" s="10" t="n"/>
      <c r="Z4207" s="10" t="n"/>
      <c r="AA4207" s="11">
        <f>IF(A4207="","",IF(AND(J4207="P4",F4207="causal"),"P4-CAUSAL",""))</f>
        <v/>
      </c>
    </row>
    <row r="4208" ht="15" customHeight="1" s="1">
      <c r="P4208">
        <f>IF(OR(F4208="",H4208="",J4208=""),"",J4208&amp;"|"&amp;F4208&amp;"|"&amp;IF(H4208="W3","W3_"&amp;IF(I4208="","unknown",I4208),H4208))</f>
        <v/>
      </c>
      <c r="Q4208">
        <f>IF(P4208="","",IFERROR(IF(AND(H4208="W7",OR(F4208="causal",F4208="predictive")),IF(AND(OR(K4208=1,K4208="1"),OR(L4208=1,L4208="1"),OR(M4208=1,M4208="1")),"adequate","partial"),IF(AND(H4208="W4",F4208="predictive",OR(J4208="P2",J4208="P3",J4208="P4")),IF(OR(U4208=1,U4208="1"),"adequate","partial"),INDEX(Fit_Matrix!$B:$B,MATCH(P4208,Fit_Matrix!$A:$A,0)))),"CHECK KEY"))</f>
        <v/>
      </c>
      <c r="U4208" s="10" t="n"/>
      <c r="V4208" s="10" t="n"/>
      <c r="W4208" s="10" t="n"/>
      <c r="X4208" s="10" t="n"/>
      <c r="Y4208" s="10" t="n"/>
      <c r="Z4208" s="10" t="n"/>
      <c r="AA4208" s="11">
        <f>IF(A4208="","",IF(AND(J4208="P4",F4208="causal"),"P4-CAUSAL",""))</f>
        <v/>
      </c>
    </row>
    <row r="4209" ht="15" customHeight="1" s="1">
      <c r="P4209">
        <f>IF(OR(F4209="",H4209="",J4209=""),"",J4209&amp;"|"&amp;F4209&amp;"|"&amp;IF(H4209="W3","W3_"&amp;IF(I4209="","unknown",I4209),H4209))</f>
        <v/>
      </c>
      <c r="Q4209">
        <f>IF(P4209="","",IFERROR(IF(AND(H4209="W7",OR(F4209="causal",F4209="predictive")),IF(AND(OR(K4209=1,K4209="1"),OR(L4209=1,L4209="1"),OR(M4209=1,M4209="1")),"adequate","partial"),IF(AND(H4209="W4",F4209="predictive",OR(J4209="P2",J4209="P3",J4209="P4")),IF(OR(U4209=1,U4209="1"),"adequate","partial"),INDEX(Fit_Matrix!$B:$B,MATCH(P4209,Fit_Matrix!$A:$A,0)))),"CHECK KEY"))</f>
        <v/>
      </c>
      <c r="U4209" s="10" t="n"/>
      <c r="V4209" s="10" t="n"/>
      <c r="W4209" s="10" t="n"/>
      <c r="X4209" s="10" t="n"/>
      <c r="Y4209" s="10" t="n"/>
      <c r="Z4209" s="10" t="n"/>
      <c r="AA4209" s="11">
        <f>IF(A4209="","",IF(AND(J4209="P4",F4209="causal"),"P4-CAUSAL",""))</f>
        <v/>
      </c>
    </row>
    <row r="4210" ht="15" customHeight="1" s="1">
      <c r="P4210">
        <f>IF(OR(F4210="",H4210="",J4210=""),"",J4210&amp;"|"&amp;F4210&amp;"|"&amp;IF(H4210="W3","W3_"&amp;IF(I4210="","unknown",I4210),H4210))</f>
        <v/>
      </c>
      <c r="Q4210">
        <f>IF(P4210="","",IFERROR(IF(AND(H4210="W7",OR(F4210="causal",F4210="predictive")),IF(AND(OR(K4210=1,K4210="1"),OR(L4210=1,L4210="1"),OR(M4210=1,M4210="1")),"adequate","partial"),IF(AND(H4210="W4",F4210="predictive",OR(J4210="P2",J4210="P3",J4210="P4")),IF(OR(U4210=1,U4210="1"),"adequate","partial"),INDEX(Fit_Matrix!$B:$B,MATCH(P4210,Fit_Matrix!$A:$A,0)))),"CHECK KEY"))</f>
        <v/>
      </c>
      <c r="U4210" s="10" t="n"/>
      <c r="V4210" s="10" t="n"/>
      <c r="W4210" s="10" t="n"/>
      <c r="X4210" s="10" t="n"/>
      <c r="Y4210" s="10" t="n"/>
      <c r="Z4210" s="10" t="n"/>
      <c r="AA4210" s="11">
        <f>IF(A4210="","",IF(AND(J4210="P4",F4210="causal"),"P4-CAUSAL",""))</f>
        <v/>
      </c>
    </row>
    <row r="4211" ht="15" customHeight="1" s="1">
      <c r="P4211">
        <f>IF(OR(F4211="",H4211="",J4211=""),"",J4211&amp;"|"&amp;F4211&amp;"|"&amp;IF(H4211="W3","W3_"&amp;IF(I4211="","unknown",I4211),H4211))</f>
        <v/>
      </c>
      <c r="Q4211">
        <f>IF(P4211="","",IFERROR(IF(AND(H4211="W7",OR(F4211="causal",F4211="predictive")),IF(AND(OR(K4211=1,K4211="1"),OR(L4211=1,L4211="1"),OR(M4211=1,M4211="1")),"adequate","partial"),IF(AND(H4211="W4",F4211="predictive",OR(J4211="P2",J4211="P3",J4211="P4")),IF(OR(U4211=1,U4211="1"),"adequate","partial"),INDEX(Fit_Matrix!$B:$B,MATCH(P4211,Fit_Matrix!$A:$A,0)))),"CHECK KEY"))</f>
        <v/>
      </c>
      <c r="U4211" s="10" t="n"/>
      <c r="V4211" s="10" t="n"/>
      <c r="W4211" s="10" t="n"/>
      <c r="X4211" s="10" t="n"/>
      <c r="Y4211" s="10" t="n"/>
      <c r="Z4211" s="10" t="n"/>
      <c r="AA4211" s="11">
        <f>IF(A4211="","",IF(AND(J4211="P4",F4211="causal"),"P4-CAUSAL",""))</f>
        <v/>
      </c>
    </row>
    <row r="4212" ht="15" customHeight="1" s="1">
      <c r="P4212">
        <f>IF(OR(F4212="",H4212="",J4212=""),"",J4212&amp;"|"&amp;F4212&amp;"|"&amp;IF(H4212="W3","W3_"&amp;IF(I4212="","unknown",I4212),H4212))</f>
        <v/>
      </c>
      <c r="Q4212">
        <f>IF(P4212="","",IFERROR(IF(AND(H4212="W7",OR(F4212="causal",F4212="predictive")),IF(AND(OR(K4212=1,K4212="1"),OR(L4212=1,L4212="1"),OR(M4212=1,M4212="1")),"adequate","partial"),IF(AND(H4212="W4",F4212="predictive",OR(J4212="P2",J4212="P3",J4212="P4")),IF(OR(U4212=1,U4212="1"),"adequate","partial"),INDEX(Fit_Matrix!$B:$B,MATCH(P4212,Fit_Matrix!$A:$A,0)))),"CHECK KEY"))</f>
        <v/>
      </c>
      <c r="U4212" s="10" t="n"/>
      <c r="V4212" s="10" t="n"/>
      <c r="W4212" s="10" t="n"/>
      <c r="X4212" s="10" t="n"/>
      <c r="Y4212" s="10" t="n"/>
      <c r="Z4212" s="10" t="n"/>
      <c r="AA4212" s="11">
        <f>IF(A4212="","",IF(AND(J4212="P4",F4212="causal"),"P4-CAUSAL",""))</f>
        <v/>
      </c>
    </row>
    <row r="4213" ht="15" customHeight="1" s="1">
      <c r="P4213">
        <f>IF(OR(F4213="",H4213="",J4213=""),"",J4213&amp;"|"&amp;F4213&amp;"|"&amp;IF(H4213="W3","W3_"&amp;IF(I4213="","unknown",I4213),H4213))</f>
        <v/>
      </c>
      <c r="Q4213">
        <f>IF(P4213="","",IFERROR(IF(AND(H4213="W7",OR(F4213="causal",F4213="predictive")),IF(AND(OR(K4213=1,K4213="1"),OR(L4213=1,L4213="1"),OR(M4213=1,M4213="1")),"adequate","partial"),IF(AND(H4213="W4",F4213="predictive",OR(J4213="P2",J4213="P3",J4213="P4")),IF(OR(U4213=1,U4213="1"),"adequate","partial"),INDEX(Fit_Matrix!$B:$B,MATCH(P4213,Fit_Matrix!$A:$A,0)))),"CHECK KEY"))</f>
        <v/>
      </c>
      <c r="U4213" s="10" t="n"/>
      <c r="V4213" s="10" t="n"/>
      <c r="W4213" s="10" t="n"/>
      <c r="X4213" s="10" t="n"/>
      <c r="Y4213" s="10" t="n"/>
      <c r="Z4213" s="10" t="n"/>
      <c r="AA4213" s="11">
        <f>IF(A4213="","",IF(AND(J4213="P4",F4213="causal"),"P4-CAUSAL",""))</f>
        <v/>
      </c>
    </row>
    <row r="4214" ht="15" customHeight="1" s="1">
      <c r="P4214">
        <f>IF(OR(F4214="",H4214="",J4214=""),"",J4214&amp;"|"&amp;F4214&amp;"|"&amp;IF(H4214="W3","W3_"&amp;IF(I4214="","unknown",I4214),H4214))</f>
        <v/>
      </c>
      <c r="Q4214">
        <f>IF(P4214="","",IFERROR(IF(AND(H4214="W7",OR(F4214="causal",F4214="predictive")),IF(AND(OR(K4214=1,K4214="1"),OR(L4214=1,L4214="1"),OR(M4214=1,M4214="1")),"adequate","partial"),IF(AND(H4214="W4",F4214="predictive",OR(J4214="P2",J4214="P3",J4214="P4")),IF(OR(U4214=1,U4214="1"),"adequate","partial"),INDEX(Fit_Matrix!$B:$B,MATCH(P4214,Fit_Matrix!$A:$A,0)))),"CHECK KEY"))</f>
        <v/>
      </c>
      <c r="U4214" s="10" t="n"/>
      <c r="V4214" s="10" t="n"/>
      <c r="W4214" s="10" t="n"/>
      <c r="X4214" s="10" t="n"/>
      <c r="Y4214" s="10" t="n"/>
      <c r="Z4214" s="10" t="n"/>
      <c r="AA4214" s="11">
        <f>IF(A4214="","",IF(AND(J4214="P4",F4214="causal"),"P4-CAUSAL",""))</f>
        <v/>
      </c>
    </row>
    <row r="4215" ht="15" customHeight="1" s="1">
      <c r="P4215">
        <f>IF(OR(F4215="",H4215="",J4215=""),"",J4215&amp;"|"&amp;F4215&amp;"|"&amp;IF(H4215="W3","W3_"&amp;IF(I4215="","unknown",I4215),H4215))</f>
        <v/>
      </c>
      <c r="Q4215">
        <f>IF(P4215="","",IFERROR(IF(AND(H4215="W7",OR(F4215="causal",F4215="predictive")),IF(AND(OR(K4215=1,K4215="1"),OR(L4215=1,L4215="1"),OR(M4215=1,M4215="1")),"adequate","partial"),IF(AND(H4215="W4",F4215="predictive",OR(J4215="P2",J4215="P3",J4215="P4")),IF(OR(U4215=1,U4215="1"),"adequate","partial"),INDEX(Fit_Matrix!$B:$B,MATCH(P4215,Fit_Matrix!$A:$A,0)))),"CHECK KEY"))</f>
        <v/>
      </c>
      <c r="U4215" s="10" t="n"/>
      <c r="V4215" s="10" t="n"/>
      <c r="W4215" s="10" t="n"/>
      <c r="X4215" s="10" t="n"/>
      <c r="Y4215" s="10" t="n"/>
      <c r="Z4215" s="10" t="n"/>
      <c r="AA4215" s="11">
        <f>IF(A4215="","",IF(AND(J4215="P4",F4215="causal"),"P4-CAUSAL",""))</f>
        <v/>
      </c>
    </row>
    <row r="4216" ht="15" customHeight="1" s="1">
      <c r="P4216">
        <f>IF(OR(F4216="",H4216="",J4216=""),"",J4216&amp;"|"&amp;F4216&amp;"|"&amp;IF(H4216="W3","W3_"&amp;IF(I4216="","unknown",I4216),H4216))</f>
        <v/>
      </c>
      <c r="Q4216">
        <f>IF(P4216="","",IFERROR(IF(AND(H4216="W7",OR(F4216="causal",F4216="predictive")),IF(AND(OR(K4216=1,K4216="1"),OR(L4216=1,L4216="1"),OR(M4216=1,M4216="1")),"adequate","partial"),IF(AND(H4216="W4",F4216="predictive",OR(J4216="P2",J4216="P3",J4216="P4")),IF(OR(U4216=1,U4216="1"),"adequate","partial"),INDEX(Fit_Matrix!$B:$B,MATCH(P4216,Fit_Matrix!$A:$A,0)))),"CHECK KEY"))</f>
        <v/>
      </c>
      <c r="U4216" s="10" t="n"/>
      <c r="V4216" s="10" t="n"/>
      <c r="W4216" s="10" t="n"/>
      <c r="X4216" s="10" t="n"/>
      <c r="Y4216" s="10" t="n"/>
      <c r="Z4216" s="10" t="n"/>
      <c r="AA4216" s="11">
        <f>IF(A4216="","",IF(AND(J4216="P4",F4216="causal"),"P4-CAUSAL",""))</f>
        <v/>
      </c>
    </row>
    <row r="4217" ht="15" customHeight="1" s="1">
      <c r="P4217">
        <f>IF(OR(F4217="",H4217="",J4217=""),"",J4217&amp;"|"&amp;F4217&amp;"|"&amp;IF(H4217="W3","W3_"&amp;IF(I4217="","unknown",I4217),H4217))</f>
        <v/>
      </c>
      <c r="Q4217">
        <f>IF(P4217="","",IFERROR(IF(AND(H4217="W7",OR(F4217="causal",F4217="predictive")),IF(AND(OR(K4217=1,K4217="1"),OR(L4217=1,L4217="1"),OR(M4217=1,M4217="1")),"adequate","partial"),IF(AND(H4217="W4",F4217="predictive",OR(J4217="P2",J4217="P3",J4217="P4")),IF(OR(U4217=1,U4217="1"),"adequate","partial"),INDEX(Fit_Matrix!$B:$B,MATCH(P4217,Fit_Matrix!$A:$A,0)))),"CHECK KEY"))</f>
        <v/>
      </c>
      <c r="U4217" s="10" t="n"/>
      <c r="V4217" s="10" t="n"/>
      <c r="W4217" s="10" t="n"/>
      <c r="X4217" s="10" t="n"/>
      <c r="Y4217" s="10" t="n"/>
      <c r="Z4217" s="10" t="n"/>
      <c r="AA4217" s="11">
        <f>IF(A4217="","",IF(AND(J4217="P4",F4217="causal"),"P4-CAUSAL",""))</f>
        <v/>
      </c>
    </row>
    <row r="4218" ht="15" customHeight="1" s="1">
      <c r="P4218">
        <f>IF(OR(F4218="",H4218="",J4218=""),"",J4218&amp;"|"&amp;F4218&amp;"|"&amp;IF(H4218="W3","W3_"&amp;IF(I4218="","unknown",I4218),H4218))</f>
        <v/>
      </c>
      <c r="Q4218">
        <f>IF(P4218="","",IFERROR(IF(AND(H4218="W7",OR(F4218="causal",F4218="predictive")),IF(AND(OR(K4218=1,K4218="1"),OR(L4218=1,L4218="1"),OR(M4218=1,M4218="1")),"adequate","partial"),IF(AND(H4218="W4",F4218="predictive",OR(J4218="P2",J4218="P3",J4218="P4")),IF(OR(U4218=1,U4218="1"),"adequate","partial"),INDEX(Fit_Matrix!$B:$B,MATCH(P4218,Fit_Matrix!$A:$A,0)))),"CHECK KEY"))</f>
        <v/>
      </c>
      <c r="U4218" s="10" t="n"/>
      <c r="V4218" s="10" t="n"/>
      <c r="W4218" s="10" t="n"/>
      <c r="X4218" s="10" t="n"/>
      <c r="Y4218" s="10" t="n"/>
      <c r="Z4218" s="10" t="n"/>
      <c r="AA4218" s="11">
        <f>IF(A4218="","",IF(AND(J4218="P4",F4218="causal"),"P4-CAUSAL",""))</f>
        <v/>
      </c>
    </row>
    <row r="4219" ht="15" customHeight="1" s="1">
      <c r="P4219">
        <f>IF(OR(F4219="",H4219="",J4219=""),"",J4219&amp;"|"&amp;F4219&amp;"|"&amp;IF(H4219="W3","W3_"&amp;IF(I4219="","unknown",I4219),H4219))</f>
        <v/>
      </c>
      <c r="Q4219">
        <f>IF(P4219="","",IFERROR(IF(AND(H4219="W7",OR(F4219="causal",F4219="predictive")),IF(AND(OR(K4219=1,K4219="1"),OR(L4219=1,L4219="1"),OR(M4219=1,M4219="1")),"adequate","partial"),IF(AND(H4219="W4",F4219="predictive",OR(J4219="P2",J4219="P3",J4219="P4")),IF(OR(U4219=1,U4219="1"),"adequate","partial"),INDEX(Fit_Matrix!$B:$B,MATCH(P4219,Fit_Matrix!$A:$A,0)))),"CHECK KEY"))</f>
        <v/>
      </c>
      <c r="U4219" s="10" t="n"/>
      <c r="V4219" s="10" t="n"/>
      <c r="W4219" s="10" t="n"/>
      <c r="X4219" s="10" t="n"/>
      <c r="Y4219" s="10" t="n"/>
      <c r="Z4219" s="10" t="n"/>
      <c r="AA4219" s="11">
        <f>IF(A4219="","",IF(AND(J4219="P4",F4219="causal"),"P4-CAUSAL",""))</f>
        <v/>
      </c>
    </row>
    <row r="4220" ht="15" customHeight="1" s="1">
      <c r="P4220">
        <f>IF(OR(F4220="",H4220="",J4220=""),"",J4220&amp;"|"&amp;F4220&amp;"|"&amp;IF(H4220="W3","W3_"&amp;IF(I4220="","unknown",I4220),H4220))</f>
        <v/>
      </c>
      <c r="Q4220">
        <f>IF(P4220="","",IFERROR(IF(AND(H4220="W7",OR(F4220="causal",F4220="predictive")),IF(AND(OR(K4220=1,K4220="1"),OR(L4220=1,L4220="1"),OR(M4220=1,M4220="1")),"adequate","partial"),IF(AND(H4220="W4",F4220="predictive",OR(J4220="P2",J4220="P3",J4220="P4")),IF(OR(U4220=1,U4220="1"),"adequate","partial"),INDEX(Fit_Matrix!$B:$B,MATCH(P4220,Fit_Matrix!$A:$A,0)))),"CHECK KEY"))</f>
        <v/>
      </c>
      <c r="U4220" s="10" t="n"/>
      <c r="V4220" s="10" t="n"/>
      <c r="W4220" s="10" t="n"/>
      <c r="X4220" s="10" t="n"/>
      <c r="Y4220" s="10" t="n"/>
      <c r="Z4220" s="10" t="n"/>
      <c r="AA4220" s="11">
        <f>IF(A4220="","",IF(AND(J4220="P4",F4220="causal"),"P4-CAUSAL",""))</f>
        <v/>
      </c>
    </row>
    <row r="4221" ht="15" customHeight="1" s="1">
      <c r="P4221">
        <f>IF(OR(F4221="",H4221="",J4221=""),"",J4221&amp;"|"&amp;F4221&amp;"|"&amp;IF(H4221="W3","W3_"&amp;IF(I4221="","unknown",I4221),H4221))</f>
        <v/>
      </c>
      <c r="Q4221">
        <f>IF(P4221="","",IFERROR(IF(AND(H4221="W7",OR(F4221="causal",F4221="predictive")),IF(AND(OR(K4221=1,K4221="1"),OR(L4221=1,L4221="1"),OR(M4221=1,M4221="1")),"adequate","partial"),IF(AND(H4221="W4",F4221="predictive",OR(J4221="P2",J4221="P3",J4221="P4")),IF(OR(U4221=1,U4221="1"),"adequate","partial"),INDEX(Fit_Matrix!$B:$B,MATCH(P4221,Fit_Matrix!$A:$A,0)))),"CHECK KEY"))</f>
        <v/>
      </c>
      <c r="U4221" s="10" t="n"/>
      <c r="V4221" s="10" t="n"/>
      <c r="W4221" s="10" t="n"/>
      <c r="X4221" s="10" t="n"/>
      <c r="Y4221" s="10" t="n"/>
      <c r="Z4221" s="10" t="n"/>
      <c r="AA4221" s="11">
        <f>IF(A4221="","",IF(AND(J4221="P4",F4221="causal"),"P4-CAUSAL",""))</f>
        <v/>
      </c>
    </row>
    <row r="4222" ht="15" customHeight="1" s="1">
      <c r="P4222">
        <f>IF(OR(F4222="",H4222="",J4222=""),"",J4222&amp;"|"&amp;F4222&amp;"|"&amp;IF(H4222="W3","W3_"&amp;IF(I4222="","unknown",I4222),H4222))</f>
        <v/>
      </c>
      <c r="Q4222">
        <f>IF(P4222="","",IFERROR(IF(AND(H4222="W7",OR(F4222="causal",F4222="predictive")),IF(AND(OR(K4222=1,K4222="1"),OR(L4222=1,L4222="1"),OR(M4222=1,M4222="1")),"adequate","partial"),IF(AND(H4222="W4",F4222="predictive",OR(J4222="P2",J4222="P3",J4222="P4")),IF(OR(U4222=1,U4222="1"),"adequate","partial"),INDEX(Fit_Matrix!$B:$B,MATCH(P4222,Fit_Matrix!$A:$A,0)))),"CHECK KEY"))</f>
        <v/>
      </c>
      <c r="U4222" s="10" t="n"/>
      <c r="V4222" s="10" t="n"/>
      <c r="W4222" s="10" t="n"/>
      <c r="X4222" s="10" t="n"/>
      <c r="Y4222" s="10" t="n"/>
      <c r="Z4222" s="10" t="n"/>
      <c r="AA4222" s="11">
        <f>IF(A4222="","",IF(AND(J4222="P4",F4222="causal"),"P4-CAUSAL",""))</f>
        <v/>
      </c>
    </row>
    <row r="4223" ht="15" customHeight="1" s="1">
      <c r="P4223">
        <f>IF(OR(F4223="",H4223="",J4223=""),"",J4223&amp;"|"&amp;F4223&amp;"|"&amp;IF(H4223="W3","W3_"&amp;IF(I4223="","unknown",I4223),H4223))</f>
        <v/>
      </c>
      <c r="Q4223">
        <f>IF(P4223="","",IFERROR(IF(AND(H4223="W7",OR(F4223="causal",F4223="predictive")),IF(AND(OR(K4223=1,K4223="1"),OR(L4223=1,L4223="1"),OR(M4223=1,M4223="1")),"adequate","partial"),IF(AND(H4223="W4",F4223="predictive",OR(J4223="P2",J4223="P3",J4223="P4")),IF(OR(U4223=1,U4223="1"),"adequate","partial"),INDEX(Fit_Matrix!$B:$B,MATCH(P4223,Fit_Matrix!$A:$A,0)))),"CHECK KEY"))</f>
        <v/>
      </c>
      <c r="U4223" s="10" t="n"/>
      <c r="V4223" s="10" t="n"/>
      <c r="W4223" s="10" t="n"/>
      <c r="X4223" s="10" t="n"/>
      <c r="Y4223" s="10" t="n"/>
      <c r="Z4223" s="10" t="n"/>
      <c r="AA4223" s="11">
        <f>IF(A4223="","",IF(AND(J4223="P4",F4223="causal"),"P4-CAUSAL",""))</f>
        <v/>
      </c>
    </row>
    <row r="4224" ht="15" customHeight="1" s="1">
      <c r="P4224">
        <f>IF(OR(F4224="",H4224="",J4224=""),"",J4224&amp;"|"&amp;F4224&amp;"|"&amp;IF(H4224="W3","W3_"&amp;IF(I4224="","unknown",I4224),H4224))</f>
        <v/>
      </c>
      <c r="Q4224">
        <f>IF(P4224="","",IFERROR(IF(AND(H4224="W7",OR(F4224="causal",F4224="predictive")),IF(AND(OR(K4224=1,K4224="1"),OR(L4224=1,L4224="1"),OR(M4224=1,M4224="1")),"adequate","partial"),IF(AND(H4224="W4",F4224="predictive",OR(J4224="P2",J4224="P3",J4224="P4")),IF(OR(U4224=1,U4224="1"),"adequate","partial"),INDEX(Fit_Matrix!$B:$B,MATCH(P4224,Fit_Matrix!$A:$A,0)))),"CHECK KEY"))</f>
        <v/>
      </c>
      <c r="U4224" s="10" t="n"/>
      <c r="V4224" s="10" t="n"/>
      <c r="W4224" s="10" t="n"/>
      <c r="X4224" s="10" t="n"/>
      <c r="Y4224" s="10" t="n"/>
      <c r="Z4224" s="10" t="n"/>
      <c r="AA4224" s="11">
        <f>IF(A4224="","",IF(AND(J4224="P4",F4224="causal"),"P4-CAUSAL",""))</f>
        <v/>
      </c>
    </row>
    <row r="4225" ht="15" customHeight="1" s="1">
      <c r="P4225">
        <f>IF(OR(F4225="",H4225="",J4225=""),"",J4225&amp;"|"&amp;F4225&amp;"|"&amp;IF(H4225="W3","W3_"&amp;IF(I4225="","unknown",I4225),H4225))</f>
        <v/>
      </c>
      <c r="Q4225">
        <f>IF(P4225="","",IFERROR(IF(AND(H4225="W7",OR(F4225="causal",F4225="predictive")),IF(AND(OR(K4225=1,K4225="1"),OR(L4225=1,L4225="1"),OR(M4225=1,M4225="1")),"adequate","partial"),IF(AND(H4225="W4",F4225="predictive",OR(J4225="P2",J4225="P3",J4225="P4")),IF(OR(U4225=1,U4225="1"),"adequate","partial"),INDEX(Fit_Matrix!$B:$B,MATCH(P4225,Fit_Matrix!$A:$A,0)))),"CHECK KEY"))</f>
        <v/>
      </c>
      <c r="U4225" s="10" t="n"/>
      <c r="V4225" s="10" t="n"/>
      <c r="W4225" s="10" t="n"/>
      <c r="X4225" s="10" t="n"/>
      <c r="Y4225" s="10" t="n"/>
      <c r="Z4225" s="10" t="n"/>
      <c r="AA4225" s="11">
        <f>IF(A4225="","",IF(AND(J4225="P4",F4225="causal"),"P4-CAUSAL",""))</f>
        <v/>
      </c>
    </row>
    <row r="4226" ht="15" customHeight="1" s="1">
      <c r="P4226">
        <f>IF(OR(F4226="",H4226="",J4226=""),"",J4226&amp;"|"&amp;F4226&amp;"|"&amp;IF(H4226="W3","W3_"&amp;IF(I4226="","unknown",I4226),H4226))</f>
        <v/>
      </c>
      <c r="Q4226">
        <f>IF(P4226="","",IFERROR(IF(AND(H4226="W7",OR(F4226="causal",F4226="predictive")),IF(AND(OR(K4226=1,K4226="1"),OR(L4226=1,L4226="1"),OR(M4226=1,M4226="1")),"adequate","partial"),IF(AND(H4226="W4",F4226="predictive",OR(J4226="P2",J4226="P3",J4226="P4")),IF(OR(U4226=1,U4226="1"),"adequate","partial"),INDEX(Fit_Matrix!$B:$B,MATCH(P4226,Fit_Matrix!$A:$A,0)))),"CHECK KEY"))</f>
        <v/>
      </c>
      <c r="U4226" s="10" t="n"/>
      <c r="V4226" s="10" t="n"/>
      <c r="W4226" s="10" t="n"/>
      <c r="X4226" s="10" t="n"/>
      <c r="Y4226" s="10" t="n"/>
      <c r="Z4226" s="10" t="n"/>
      <c r="AA4226" s="11">
        <f>IF(A4226="","",IF(AND(J4226="P4",F4226="causal"),"P4-CAUSAL",""))</f>
        <v/>
      </c>
    </row>
    <row r="4227" ht="15" customHeight="1" s="1">
      <c r="P4227">
        <f>IF(OR(F4227="",H4227="",J4227=""),"",J4227&amp;"|"&amp;F4227&amp;"|"&amp;IF(H4227="W3","W3_"&amp;IF(I4227="","unknown",I4227),H4227))</f>
        <v/>
      </c>
      <c r="Q4227">
        <f>IF(P4227="","",IFERROR(IF(AND(H4227="W7",OR(F4227="causal",F4227="predictive")),IF(AND(OR(K4227=1,K4227="1"),OR(L4227=1,L4227="1"),OR(M4227=1,M4227="1")),"adequate","partial"),IF(AND(H4227="W4",F4227="predictive",OR(J4227="P2",J4227="P3",J4227="P4")),IF(OR(U4227=1,U4227="1"),"adequate","partial"),INDEX(Fit_Matrix!$B:$B,MATCH(P4227,Fit_Matrix!$A:$A,0)))),"CHECK KEY"))</f>
        <v/>
      </c>
      <c r="U4227" s="10" t="n"/>
      <c r="V4227" s="10" t="n"/>
      <c r="W4227" s="10" t="n"/>
      <c r="X4227" s="10" t="n"/>
      <c r="Y4227" s="10" t="n"/>
      <c r="Z4227" s="10" t="n"/>
      <c r="AA4227" s="11">
        <f>IF(A4227="","",IF(AND(J4227="P4",F4227="causal"),"P4-CAUSAL",""))</f>
        <v/>
      </c>
    </row>
    <row r="4228" ht="15" customHeight="1" s="1">
      <c r="P4228">
        <f>IF(OR(F4228="",H4228="",J4228=""),"",J4228&amp;"|"&amp;F4228&amp;"|"&amp;IF(H4228="W3","W3_"&amp;IF(I4228="","unknown",I4228),H4228))</f>
        <v/>
      </c>
      <c r="Q4228">
        <f>IF(P4228="","",IFERROR(IF(AND(H4228="W7",OR(F4228="causal",F4228="predictive")),IF(AND(OR(K4228=1,K4228="1"),OR(L4228=1,L4228="1"),OR(M4228=1,M4228="1")),"adequate","partial"),IF(AND(H4228="W4",F4228="predictive",OR(J4228="P2",J4228="P3",J4228="P4")),IF(OR(U4228=1,U4228="1"),"adequate","partial"),INDEX(Fit_Matrix!$B:$B,MATCH(P4228,Fit_Matrix!$A:$A,0)))),"CHECK KEY"))</f>
        <v/>
      </c>
      <c r="U4228" s="10" t="n"/>
      <c r="V4228" s="10" t="n"/>
      <c r="W4228" s="10" t="n"/>
      <c r="X4228" s="10" t="n"/>
      <c r="Y4228" s="10" t="n"/>
      <c r="Z4228" s="10" t="n"/>
      <c r="AA4228" s="11">
        <f>IF(A4228="","",IF(AND(J4228="P4",F4228="causal"),"P4-CAUSAL",""))</f>
        <v/>
      </c>
    </row>
    <row r="4229" ht="15" customHeight="1" s="1">
      <c r="P4229">
        <f>IF(OR(F4229="",H4229="",J4229=""),"",J4229&amp;"|"&amp;F4229&amp;"|"&amp;IF(H4229="W3","W3_"&amp;IF(I4229="","unknown",I4229),H4229))</f>
        <v/>
      </c>
      <c r="Q4229">
        <f>IF(P4229="","",IFERROR(IF(AND(H4229="W7",OR(F4229="causal",F4229="predictive")),IF(AND(OR(K4229=1,K4229="1"),OR(L4229=1,L4229="1"),OR(M4229=1,M4229="1")),"adequate","partial"),IF(AND(H4229="W4",F4229="predictive",OR(J4229="P2",J4229="P3",J4229="P4")),IF(OR(U4229=1,U4229="1"),"adequate","partial"),INDEX(Fit_Matrix!$B:$B,MATCH(P4229,Fit_Matrix!$A:$A,0)))),"CHECK KEY"))</f>
        <v/>
      </c>
      <c r="U4229" s="10" t="n"/>
      <c r="V4229" s="10" t="n"/>
      <c r="W4229" s="10" t="n"/>
      <c r="X4229" s="10" t="n"/>
      <c r="Y4229" s="10" t="n"/>
      <c r="Z4229" s="10" t="n"/>
      <c r="AA4229" s="11">
        <f>IF(A4229="","",IF(AND(J4229="P4",F4229="causal"),"P4-CAUSAL",""))</f>
        <v/>
      </c>
    </row>
    <row r="4230" ht="15" customHeight="1" s="1">
      <c r="P4230">
        <f>IF(OR(F4230="",H4230="",J4230=""),"",J4230&amp;"|"&amp;F4230&amp;"|"&amp;IF(H4230="W3","W3_"&amp;IF(I4230="","unknown",I4230),H4230))</f>
        <v/>
      </c>
      <c r="Q4230">
        <f>IF(P4230="","",IFERROR(IF(AND(H4230="W7",OR(F4230="causal",F4230="predictive")),IF(AND(OR(K4230=1,K4230="1"),OR(L4230=1,L4230="1"),OR(M4230=1,M4230="1")),"adequate","partial"),IF(AND(H4230="W4",F4230="predictive",OR(J4230="P2",J4230="P3",J4230="P4")),IF(OR(U4230=1,U4230="1"),"adequate","partial"),INDEX(Fit_Matrix!$B:$B,MATCH(P4230,Fit_Matrix!$A:$A,0)))),"CHECK KEY"))</f>
        <v/>
      </c>
      <c r="U4230" s="10" t="n"/>
      <c r="V4230" s="10" t="n"/>
      <c r="W4230" s="10" t="n"/>
      <c r="X4230" s="10" t="n"/>
      <c r="Y4230" s="10" t="n"/>
      <c r="Z4230" s="10" t="n"/>
      <c r="AA4230" s="11">
        <f>IF(A4230="","",IF(AND(J4230="P4",F4230="causal"),"P4-CAUSAL",""))</f>
        <v/>
      </c>
    </row>
    <row r="4231" ht="15" customHeight="1" s="1">
      <c r="P4231">
        <f>IF(OR(F4231="",H4231="",J4231=""),"",J4231&amp;"|"&amp;F4231&amp;"|"&amp;IF(H4231="W3","W3_"&amp;IF(I4231="","unknown",I4231),H4231))</f>
        <v/>
      </c>
      <c r="Q4231">
        <f>IF(P4231="","",IFERROR(IF(AND(H4231="W7",OR(F4231="causal",F4231="predictive")),IF(AND(OR(K4231=1,K4231="1"),OR(L4231=1,L4231="1"),OR(M4231=1,M4231="1")),"adequate","partial"),IF(AND(H4231="W4",F4231="predictive",OR(J4231="P2",J4231="P3",J4231="P4")),IF(OR(U4231=1,U4231="1"),"adequate","partial"),INDEX(Fit_Matrix!$B:$B,MATCH(P4231,Fit_Matrix!$A:$A,0)))),"CHECK KEY"))</f>
        <v/>
      </c>
      <c r="U4231" s="10" t="n"/>
      <c r="V4231" s="10" t="n"/>
      <c r="W4231" s="10" t="n"/>
      <c r="X4231" s="10" t="n"/>
      <c r="Y4231" s="10" t="n"/>
      <c r="Z4231" s="10" t="n"/>
      <c r="AA4231" s="11">
        <f>IF(A4231="","",IF(AND(J4231="P4",F4231="causal"),"P4-CAUSAL",""))</f>
        <v/>
      </c>
    </row>
    <row r="4232" ht="15" customHeight="1" s="1">
      <c r="P4232">
        <f>IF(OR(F4232="",H4232="",J4232=""),"",J4232&amp;"|"&amp;F4232&amp;"|"&amp;IF(H4232="W3","W3_"&amp;IF(I4232="","unknown",I4232),H4232))</f>
        <v/>
      </c>
      <c r="Q4232">
        <f>IF(P4232="","",IFERROR(IF(AND(H4232="W7",OR(F4232="causal",F4232="predictive")),IF(AND(OR(K4232=1,K4232="1"),OR(L4232=1,L4232="1"),OR(M4232=1,M4232="1")),"adequate","partial"),IF(AND(H4232="W4",F4232="predictive",OR(J4232="P2",J4232="P3",J4232="P4")),IF(OR(U4232=1,U4232="1"),"adequate","partial"),INDEX(Fit_Matrix!$B:$B,MATCH(P4232,Fit_Matrix!$A:$A,0)))),"CHECK KEY"))</f>
        <v/>
      </c>
      <c r="U4232" s="10" t="n"/>
      <c r="V4232" s="10" t="n"/>
      <c r="W4232" s="10" t="n"/>
      <c r="X4232" s="10" t="n"/>
      <c r="Y4232" s="10" t="n"/>
      <c r="Z4232" s="10" t="n"/>
      <c r="AA4232" s="11">
        <f>IF(A4232="","",IF(AND(J4232="P4",F4232="causal"),"P4-CAUSAL",""))</f>
        <v/>
      </c>
    </row>
    <row r="4233" ht="15" customHeight="1" s="1">
      <c r="P4233">
        <f>IF(OR(F4233="",H4233="",J4233=""),"",J4233&amp;"|"&amp;F4233&amp;"|"&amp;IF(H4233="W3","W3_"&amp;IF(I4233="","unknown",I4233),H4233))</f>
        <v/>
      </c>
      <c r="Q4233">
        <f>IF(P4233="","",IFERROR(IF(AND(H4233="W7",OR(F4233="causal",F4233="predictive")),IF(AND(OR(K4233=1,K4233="1"),OR(L4233=1,L4233="1"),OR(M4233=1,M4233="1")),"adequate","partial"),IF(AND(H4233="W4",F4233="predictive",OR(J4233="P2",J4233="P3",J4233="P4")),IF(OR(U4233=1,U4233="1"),"adequate","partial"),INDEX(Fit_Matrix!$B:$B,MATCH(P4233,Fit_Matrix!$A:$A,0)))),"CHECK KEY"))</f>
        <v/>
      </c>
      <c r="U4233" s="10" t="n"/>
      <c r="V4233" s="10" t="n"/>
      <c r="W4233" s="10" t="n"/>
      <c r="X4233" s="10" t="n"/>
      <c r="Y4233" s="10" t="n"/>
      <c r="Z4233" s="10" t="n"/>
      <c r="AA4233" s="11">
        <f>IF(A4233="","",IF(AND(J4233="P4",F4233="causal"),"P4-CAUSAL",""))</f>
        <v/>
      </c>
    </row>
    <row r="4234" ht="15" customHeight="1" s="1">
      <c r="P4234">
        <f>IF(OR(F4234="",H4234="",J4234=""),"",J4234&amp;"|"&amp;F4234&amp;"|"&amp;IF(H4234="W3","W3_"&amp;IF(I4234="","unknown",I4234),H4234))</f>
        <v/>
      </c>
      <c r="Q4234">
        <f>IF(P4234="","",IFERROR(IF(AND(H4234="W7",OR(F4234="causal",F4234="predictive")),IF(AND(OR(K4234=1,K4234="1"),OR(L4234=1,L4234="1"),OR(M4234=1,M4234="1")),"adequate","partial"),IF(AND(H4234="W4",F4234="predictive",OR(J4234="P2",J4234="P3",J4234="P4")),IF(OR(U4234=1,U4234="1"),"adequate","partial"),INDEX(Fit_Matrix!$B:$B,MATCH(P4234,Fit_Matrix!$A:$A,0)))),"CHECK KEY"))</f>
        <v/>
      </c>
      <c r="U4234" s="10" t="n"/>
      <c r="V4234" s="10" t="n"/>
      <c r="W4234" s="10" t="n"/>
      <c r="X4234" s="10" t="n"/>
      <c r="Y4234" s="10" t="n"/>
      <c r="Z4234" s="10" t="n"/>
      <c r="AA4234" s="11">
        <f>IF(A4234="","",IF(AND(J4234="P4",F4234="causal"),"P4-CAUSAL",""))</f>
        <v/>
      </c>
    </row>
    <row r="4235" ht="15" customHeight="1" s="1">
      <c r="P4235">
        <f>IF(OR(F4235="",H4235="",J4235=""),"",J4235&amp;"|"&amp;F4235&amp;"|"&amp;IF(H4235="W3","W3_"&amp;IF(I4235="","unknown",I4235),H4235))</f>
        <v/>
      </c>
      <c r="Q4235">
        <f>IF(P4235="","",IFERROR(IF(AND(H4235="W7",OR(F4235="causal",F4235="predictive")),IF(AND(OR(K4235=1,K4235="1"),OR(L4235=1,L4235="1"),OR(M4235=1,M4235="1")),"adequate","partial"),IF(AND(H4235="W4",F4235="predictive",OR(J4235="P2",J4235="P3",J4235="P4")),IF(OR(U4235=1,U4235="1"),"adequate","partial"),INDEX(Fit_Matrix!$B:$B,MATCH(P4235,Fit_Matrix!$A:$A,0)))),"CHECK KEY"))</f>
        <v/>
      </c>
      <c r="U4235" s="10" t="n"/>
      <c r="V4235" s="10" t="n"/>
      <c r="W4235" s="10" t="n"/>
      <c r="X4235" s="10" t="n"/>
      <c r="Y4235" s="10" t="n"/>
      <c r="Z4235" s="10" t="n"/>
      <c r="AA4235" s="11">
        <f>IF(A4235="","",IF(AND(J4235="P4",F4235="causal"),"P4-CAUSAL",""))</f>
        <v/>
      </c>
    </row>
    <row r="4236" ht="15" customHeight="1" s="1">
      <c r="P4236">
        <f>IF(OR(F4236="",H4236="",J4236=""),"",J4236&amp;"|"&amp;F4236&amp;"|"&amp;IF(H4236="W3","W3_"&amp;IF(I4236="","unknown",I4236),H4236))</f>
        <v/>
      </c>
      <c r="Q4236">
        <f>IF(P4236="","",IFERROR(IF(AND(H4236="W7",OR(F4236="causal",F4236="predictive")),IF(AND(OR(K4236=1,K4236="1"),OR(L4236=1,L4236="1"),OR(M4236=1,M4236="1")),"adequate","partial"),IF(AND(H4236="W4",F4236="predictive",OR(J4236="P2",J4236="P3",J4236="P4")),IF(OR(U4236=1,U4236="1"),"adequate","partial"),INDEX(Fit_Matrix!$B:$B,MATCH(P4236,Fit_Matrix!$A:$A,0)))),"CHECK KEY"))</f>
        <v/>
      </c>
      <c r="U4236" s="10" t="n"/>
      <c r="V4236" s="10" t="n"/>
      <c r="W4236" s="10" t="n"/>
      <c r="X4236" s="10" t="n"/>
      <c r="Y4236" s="10" t="n"/>
      <c r="Z4236" s="10" t="n"/>
      <c r="AA4236" s="11">
        <f>IF(A4236="","",IF(AND(J4236="P4",F4236="causal"),"P4-CAUSAL",""))</f>
        <v/>
      </c>
    </row>
    <row r="4237" ht="15" customHeight="1" s="1">
      <c r="P4237">
        <f>IF(OR(F4237="",H4237="",J4237=""),"",J4237&amp;"|"&amp;F4237&amp;"|"&amp;IF(H4237="W3","W3_"&amp;IF(I4237="","unknown",I4237),H4237))</f>
        <v/>
      </c>
      <c r="Q4237">
        <f>IF(P4237="","",IFERROR(IF(AND(H4237="W7",OR(F4237="causal",F4237="predictive")),IF(AND(OR(K4237=1,K4237="1"),OR(L4237=1,L4237="1"),OR(M4237=1,M4237="1")),"adequate","partial"),IF(AND(H4237="W4",F4237="predictive",OR(J4237="P2",J4237="P3",J4237="P4")),IF(OR(U4237=1,U4237="1"),"adequate","partial"),INDEX(Fit_Matrix!$B:$B,MATCH(P4237,Fit_Matrix!$A:$A,0)))),"CHECK KEY"))</f>
        <v/>
      </c>
      <c r="U4237" s="10" t="n"/>
      <c r="V4237" s="10" t="n"/>
      <c r="W4237" s="10" t="n"/>
      <c r="X4237" s="10" t="n"/>
      <c r="Y4237" s="10" t="n"/>
      <c r="Z4237" s="10" t="n"/>
      <c r="AA4237" s="11">
        <f>IF(A4237="","",IF(AND(J4237="P4",F4237="causal"),"P4-CAUSAL",""))</f>
        <v/>
      </c>
    </row>
    <row r="4238" ht="15" customHeight="1" s="1">
      <c r="P4238">
        <f>IF(OR(F4238="",H4238="",J4238=""),"",J4238&amp;"|"&amp;F4238&amp;"|"&amp;IF(H4238="W3","W3_"&amp;IF(I4238="","unknown",I4238),H4238))</f>
        <v/>
      </c>
      <c r="Q4238">
        <f>IF(P4238="","",IFERROR(IF(AND(H4238="W7",OR(F4238="causal",F4238="predictive")),IF(AND(OR(K4238=1,K4238="1"),OR(L4238=1,L4238="1"),OR(M4238=1,M4238="1")),"adequate","partial"),IF(AND(H4238="W4",F4238="predictive",OR(J4238="P2",J4238="P3",J4238="P4")),IF(OR(U4238=1,U4238="1"),"adequate","partial"),INDEX(Fit_Matrix!$B:$B,MATCH(P4238,Fit_Matrix!$A:$A,0)))),"CHECK KEY"))</f>
        <v/>
      </c>
      <c r="U4238" s="10" t="n"/>
      <c r="V4238" s="10" t="n"/>
      <c r="W4238" s="10" t="n"/>
      <c r="X4238" s="10" t="n"/>
      <c r="Y4238" s="10" t="n"/>
      <c r="Z4238" s="10" t="n"/>
      <c r="AA4238" s="11">
        <f>IF(A4238="","",IF(AND(J4238="P4",F4238="causal"),"P4-CAUSAL",""))</f>
        <v/>
      </c>
    </row>
    <row r="4239" ht="15" customHeight="1" s="1">
      <c r="P4239">
        <f>IF(OR(F4239="",H4239="",J4239=""),"",J4239&amp;"|"&amp;F4239&amp;"|"&amp;IF(H4239="W3","W3_"&amp;IF(I4239="","unknown",I4239),H4239))</f>
        <v/>
      </c>
      <c r="Q4239">
        <f>IF(P4239="","",IFERROR(IF(AND(H4239="W7",OR(F4239="causal",F4239="predictive")),IF(AND(OR(K4239=1,K4239="1"),OR(L4239=1,L4239="1"),OR(M4239=1,M4239="1")),"adequate","partial"),IF(AND(H4239="W4",F4239="predictive",OR(J4239="P2",J4239="P3",J4239="P4")),IF(OR(U4239=1,U4239="1"),"adequate","partial"),INDEX(Fit_Matrix!$B:$B,MATCH(P4239,Fit_Matrix!$A:$A,0)))),"CHECK KEY"))</f>
        <v/>
      </c>
      <c r="U4239" s="10" t="n"/>
      <c r="V4239" s="10" t="n"/>
      <c r="W4239" s="10" t="n"/>
      <c r="X4239" s="10" t="n"/>
      <c r="Y4239" s="10" t="n"/>
      <c r="Z4239" s="10" t="n"/>
      <c r="AA4239" s="11">
        <f>IF(A4239="","",IF(AND(J4239="P4",F4239="causal"),"P4-CAUSAL",""))</f>
        <v/>
      </c>
    </row>
    <row r="4240" ht="15" customHeight="1" s="1">
      <c r="P4240">
        <f>IF(OR(F4240="",H4240="",J4240=""),"",J4240&amp;"|"&amp;F4240&amp;"|"&amp;IF(H4240="W3","W3_"&amp;IF(I4240="","unknown",I4240),H4240))</f>
        <v/>
      </c>
      <c r="Q4240">
        <f>IF(P4240="","",IFERROR(IF(AND(H4240="W7",OR(F4240="causal",F4240="predictive")),IF(AND(OR(K4240=1,K4240="1"),OR(L4240=1,L4240="1"),OR(M4240=1,M4240="1")),"adequate","partial"),IF(AND(H4240="W4",F4240="predictive",OR(J4240="P2",J4240="P3",J4240="P4")),IF(OR(U4240=1,U4240="1"),"adequate","partial"),INDEX(Fit_Matrix!$B:$B,MATCH(P4240,Fit_Matrix!$A:$A,0)))),"CHECK KEY"))</f>
        <v/>
      </c>
      <c r="U4240" s="10" t="n"/>
      <c r="V4240" s="10" t="n"/>
      <c r="W4240" s="10" t="n"/>
      <c r="X4240" s="10" t="n"/>
      <c r="Y4240" s="10" t="n"/>
      <c r="Z4240" s="10" t="n"/>
      <c r="AA4240" s="11">
        <f>IF(A4240="","",IF(AND(J4240="P4",F4240="causal"),"P4-CAUSAL",""))</f>
        <v/>
      </c>
    </row>
    <row r="4241" ht="15" customHeight="1" s="1">
      <c r="P4241">
        <f>IF(OR(F4241="",H4241="",J4241=""),"",J4241&amp;"|"&amp;F4241&amp;"|"&amp;IF(H4241="W3","W3_"&amp;IF(I4241="","unknown",I4241),H4241))</f>
        <v/>
      </c>
      <c r="Q4241">
        <f>IF(P4241="","",IFERROR(IF(AND(H4241="W7",OR(F4241="causal",F4241="predictive")),IF(AND(OR(K4241=1,K4241="1"),OR(L4241=1,L4241="1"),OR(M4241=1,M4241="1")),"adequate","partial"),IF(AND(H4241="W4",F4241="predictive",OR(J4241="P2",J4241="P3",J4241="P4")),IF(OR(U4241=1,U4241="1"),"adequate","partial"),INDEX(Fit_Matrix!$B:$B,MATCH(P4241,Fit_Matrix!$A:$A,0)))),"CHECK KEY"))</f>
        <v/>
      </c>
      <c r="U4241" s="10" t="n"/>
      <c r="V4241" s="10" t="n"/>
      <c r="W4241" s="10" t="n"/>
      <c r="X4241" s="10" t="n"/>
      <c r="Y4241" s="10" t="n"/>
      <c r="Z4241" s="10" t="n"/>
      <c r="AA4241" s="11">
        <f>IF(A4241="","",IF(AND(J4241="P4",F4241="causal"),"P4-CAUSAL",""))</f>
        <v/>
      </c>
    </row>
    <row r="4242" ht="15" customHeight="1" s="1">
      <c r="P4242">
        <f>IF(OR(F4242="",H4242="",J4242=""),"",J4242&amp;"|"&amp;F4242&amp;"|"&amp;IF(H4242="W3","W3_"&amp;IF(I4242="","unknown",I4242),H4242))</f>
        <v/>
      </c>
      <c r="Q4242">
        <f>IF(P4242="","",IFERROR(IF(AND(H4242="W7",OR(F4242="causal",F4242="predictive")),IF(AND(OR(K4242=1,K4242="1"),OR(L4242=1,L4242="1"),OR(M4242=1,M4242="1")),"adequate","partial"),IF(AND(H4242="W4",F4242="predictive",OR(J4242="P2",J4242="P3",J4242="P4")),IF(OR(U4242=1,U4242="1"),"adequate","partial"),INDEX(Fit_Matrix!$B:$B,MATCH(P4242,Fit_Matrix!$A:$A,0)))),"CHECK KEY"))</f>
        <v/>
      </c>
      <c r="U4242" s="10" t="n"/>
      <c r="V4242" s="10" t="n"/>
      <c r="W4242" s="10" t="n"/>
      <c r="X4242" s="10" t="n"/>
      <c r="Y4242" s="10" t="n"/>
      <c r="Z4242" s="10" t="n"/>
      <c r="AA4242" s="11">
        <f>IF(A4242="","",IF(AND(J4242="P4",F4242="causal"),"P4-CAUSAL",""))</f>
        <v/>
      </c>
    </row>
    <row r="4243" ht="15" customHeight="1" s="1">
      <c r="P4243">
        <f>IF(OR(F4243="",H4243="",J4243=""),"",J4243&amp;"|"&amp;F4243&amp;"|"&amp;IF(H4243="W3","W3_"&amp;IF(I4243="","unknown",I4243),H4243))</f>
        <v/>
      </c>
      <c r="Q4243">
        <f>IF(P4243="","",IFERROR(IF(AND(H4243="W7",OR(F4243="causal",F4243="predictive")),IF(AND(OR(K4243=1,K4243="1"),OR(L4243=1,L4243="1"),OR(M4243=1,M4243="1")),"adequate","partial"),IF(AND(H4243="W4",F4243="predictive",OR(J4243="P2",J4243="P3",J4243="P4")),IF(OR(U4243=1,U4243="1"),"adequate","partial"),INDEX(Fit_Matrix!$B:$B,MATCH(P4243,Fit_Matrix!$A:$A,0)))),"CHECK KEY"))</f>
        <v/>
      </c>
      <c r="U4243" s="10" t="n"/>
      <c r="V4243" s="10" t="n"/>
      <c r="W4243" s="10" t="n"/>
      <c r="X4243" s="10" t="n"/>
      <c r="Y4243" s="10" t="n"/>
      <c r="Z4243" s="10" t="n"/>
      <c r="AA4243" s="11">
        <f>IF(A4243="","",IF(AND(J4243="P4",F4243="causal"),"P4-CAUSAL",""))</f>
        <v/>
      </c>
    </row>
    <row r="4244" ht="15" customHeight="1" s="1">
      <c r="P4244">
        <f>IF(OR(F4244="",H4244="",J4244=""),"",J4244&amp;"|"&amp;F4244&amp;"|"&amp;IF(H4244="W3","W3_"&amp;IF(I4244="","unknown",I4244),H4244))</f>
        <v/>
      </c>
      <c r="Q4244">
        <f>IF(P4244="","",IFERROR(IF(AND(H4244="W7",OR(F4244="causal",F4244="predictive")),IF(AND(OR(K4244=1,K4244="1"),OR(L4244=1,L4244="1"),OR(M4244=1,M4244="1")),"adequate","partial"),IF(AND(H4244="W4",F4244="predictive",OR(J4244="P2",J4244="P3",J4244="P4")),IF(OR(U4244=1,U4244="1"),"adequate","partial"),INDEX(Fit_Matrix!$B:$B,MATCH(P4244,Fit_Matrix!$A:$A,0)))),"CHECK KEY"))</f>
        <v/>
      </c>
      <c r="U4244" s="10" t="n"/>
      <c r="V4244" s="10" t="n"/>
      <c r="W4244" s="10" t="n"/>
      <c r="X4244" s="10" t="n"/>
      <c r="Y4244" s="10" t="n"/>
      <c r="Z4244" s="10" t="n"/>
      <c r="AA4244" s="11">
        <f>IF(A4244="","",IF(AND(J4244="P4",F4244="causal"),"P4-CAUSAL",""))</f>
        <v/>
      </c>
    </row>
    <row r="4245" ht="15" customHeight="1" s="1">
      <c r="P4245">
        <f>IF(OR(F4245="",H4245="",J4245=""),"",J4245&amp;"|"&amp;F4245&amp;"|"&amp;IF(H4245="W3","W3_"&amp;IF(I4245="","unknown",I4245),H4245))</f>
        <v/>
      </c>
      <c r="Q4245">
        <f>IF(P4245="","",IFERROR(IF(AND(H4245="W7",OR(F4245="causal",F4245="predictive")),IF(AND(OR(K4245=1,K4245="1"),OR(L4245=1,L4245="1"),OR(M4245=1,M4245="1")),"adequate","partial"),IF(AND(H4245="W4",F4245="predictive",OR(J4245="P2",J4245="P3",J4245="P4")),IF(OR(U4245=1,U4245="1"),"adequate","partial"),INDEX(Fit_Matrix!$B:$B,MATCH(P4245,Fit_Matrix!$A:$A,0)))),"CHECK KEY"))</f>
        <v/>
      </c>
      <c r="U4245" s="10" t="n"/>
      <c r="V4245" s="10" t="n"/>
      <c r="W4245" s="10" t="n"/>
      <c r="X4245" s="10" t="n"/>
      <c r="Y4245" s="10" t="n"/>
      <c r="Z4245" s="10" t="n"/>
      <c r="AA4245" s="11">
        <f>IF(A4245="","",IF(AND(J4245="P4",F4245="causal"),"P4-CAUSAL",""))</f>
        <v/>
      </c>
    </row>
    <row r="4246" ht="15" customHeight="1" s="1">
      <c r="P4246">
        <f>IF(OR(F4246="",H4246="",J4246=""),"",J4246&amp;"|"&amp;F4246&amp;"|"&amp;IF(H4246="W3","W3_"&amp;IF(I4246="","unknown",I4246),H4246))</f>
        <v/>
      </c>
      <c r="Q4246">
        <f>IF(P4246="","",IFERROR(IF(AND(H4246="W7",OR(F4246="causal",F4246="predictive")),IF(AND(OR(K4246=1,K4246="1"),OR(L4246=1,L4246="1"),OR(M4246=1,M4246="1")),"adequate","partial"),IF(AND(H4246="W4",F4246="predictive",OR(J4246="P2",J4246="P3",J4246="P4")),IF(OR(U4246=1,U4246="1"),"adequate","partial"),INDEX(Fit_Matrix!$B:$B,MATCH(P4246,Fit_Matrix!$A:$A,0)))),"CHECK KEY"))</f>
        <v/>
      </c>
      <c r="U4246" s="10" t="n"/>
      <c r="V4246" s="10" t="n"/>
      <c r="W4246" s="10" t="n"/>
      <c r="X4246" s="10" t="n"/>
      <c r="Y4246" s="10" t="n"/>
      <c r="Z4246" s="10" t="n"/>
      <c r="AA4246" s="11">
        <f>IF(A4246="","",IF(AND(J4246="P4",F4246="causal"),"P4-CAUSAL",""))</f>
        <v/>
      </c>
    </row>
    <row r="4247" ht="15" customHeight="1" s="1">
      <c r="P4247">
        <f>IF(OR(F4247="",H4247="",J4247=""),"",J4247&amp;"|"&amp;F4247&amp;"|"&amp;IF(H4247="W3","W3_"&amp;IF(I4247="","unknown",I4247),H4247))</f>
        <v/>
      </c>
      <c r="Q4247">
        <f>IF(P4247="","",IFERROR(IF(AND(H4247="W7",OR(F4247="causal",F4247="predictive")),IF(AND(OR(K4247=1,K4247="1"),OR(L4247=1,L4247="1"),OR(M4247=1,M4247="1")),"adequate","partial"),IF(AND(H4247="W4",F4247="predictive",OR(J4247="P2",J4247="P3",J4247="P4")),IF(OR(U4247=1,U4247="1"),"adequate","partial"),INDEX(Fit_Matrix!$B:$B,MATCH(P4247,Fit_Matrix!$A:$A,0)))),"CHECK KEY"))</f>
        <v/>
      </c>
      <c r="U4247" s="10" t="n"/>
      <c r="V4247" s="10" t="n"/>
      <c r="W4247" s="10" t="n"/>
      <c r="X4247" s="10" t="n"/>
      <c r="Y4247" s="10" t="n"/>
      <c r="Z4247" s="10" t="n"/>
      <c r="AA4247" s="11">
        <f>IF(A4247="","",IF(AND(J4247="P4",F4247="causal"),"P4-CAUSAL",""))</f>
        <v/>
      </c>
    </row>
    <row r="4248" ht="15" customHeight="1" s="1">
      <c r="P4248">
        <f>IF(OR(F4248="",H4248="",J4248=""),"",J4248&amp;"|"&amp;F4248&amp;"|"&amp;IF(H4248="W3","W3_"&amp;IF(I4248="","unknown",I4248),H4248))</f>
        <v/>
      </c>
      <c r="Q4248">
        <f>IF(P4248="","",IFERROR(IF(AND(H4248="W7",OR(F4248="causal",F4248="predictive")),IF(AND(OR(K4248=1,K4248="1"),OR(L4248=1,L4248="1"),OR(M4248=1,M4248="1")),"adequate","partial"),IF(AND(H4248="W4",F4248="predictive",OR(J4248="P2",J4248="P3",J4248="P4")),IF(OR(U4248=1,U4248="1"),"adequate","partial"),INDEX(Fit_Matrix!$B:$B,MATCH(P4248,Fit_Matrix!$A:$A,0)))),"CHECK KEY"))</f>
        <v/>
      </c>
      <c r="U4248" s="10" t="n"/>
      <c r="V4248" s="10" t="n"/>
      <c r="W4248" s="10" t="n"/>
      <c r="X4248" s="10" t="n"/>
      <c r="Y4248" s="10" t="n"/>
      <c r="Z4248" s="10" t="n"/>
      <c r="AA4248" s="11">
        <f>IF(A4248="","",IF(AND(J4248="P4",F4248="causal"),"P4-CAUSAL",""))</f>
        <v/>
      </c>
    </row>
    <row r="4249" ht="15" customHeight="1" s="1">
      <c r="P4249">
        <f>IF(OR(F4249="",H4249="",J4249=""),"",J4249&amp;"|"&amp;F4249&amp;"|"&amp;IF(H4249="W3","W3_"&amp;IF(I4249="","unknown",I4249),H4249))</f>
        <v/>
      </c>
      <c r="Q4249">
        <f>IF(P4249="","",IFERROR(IF(AND(H4249="W7",OR(F4249="causal",F4249="predictive")),IF(AND(OR(K4249=1,K4249="1"),OR(L4249=1,L4249="1"),OR(M4249=1,M4249="1")),"adequate","partial"),IF(AND(H4249="W4",F4249="predictive",OR(J4249="P2",J4249="P3",J4249="P4")),IF(OR(U4249=1,U4249="1"),"adequate","partial"),INDEX(Fit_Matrix!$B:$B,MATCH(P4249,Fit_Matrix!$A:$A,0)))),"CHECK KEY"))</f>
        <v/>
      </c>
      <c r="U4249" s="10" t="n"/>
      <c r="V4249" s="10" t="n"/>
      <c r="W4249" s="10" t="n"/>
      <c r="X4249" s="10" t="n"/>
      <c r="Y4249" s="10" t="n"/>
      <c r="Z4249" s="10" t="n"/>
      <c r="AA4249" s="11">
        <f>IF(A4249="","",IF(AND(J4249="P4",F4249="causal"),"P4-CAUSAL",""))</f>
        <v/>
      </c>
    </row>
    <row r="4250" ht="15" customHeight="1" s="1">
      <c r="P4250">
        <f>IF(OR(F4250="",H4250="",J4250=""),"",J4250&amp;"|"&amp;F4250&amp;"|"&amp;IF(H4250="W3","W3_"&amp;IF(I4250="","unknown",I4250),H4250))</f>
        <v/>
      </c>
      <c r="Q4250">
        <f>IF(P4250="","",IFERROR(IF(AND(H4250="W7",OR(F4250="causal",F4250="predictive")),IF(AND(OR(K4250=1,K4250="1"),OR(L4250=1,L4250="1"),OR(M4250=1,M4250="1")),"adequate","partial"),IF(AND(H4250="W4",F4250="predictive",OR(J4250="P2",J4250="P3",J4250="P4")),IF(OR(U4250=1,U4250="1"),"adequate","partial"),INDEX(Fit_Matrix!$B:$B,MATCH(P4250,Fit_Matrix!$A:$A,0)))),"CHECK KEY"))</f>
        <v/>
      </c>
      <c r="U4250" s="10" t="n"/>
      <c r="V4250" s="10" t="n"/>
      <c r="W4250" s="10" t="n"/>
      <c r="X4250" s="10" t="n"/>
      <c r="Y4250" s="10" t="n"/>
      <c r="Z4250" s="10" t="n"/>
      <c r="AA4250" s="11">
        <f>IF(A4250="","",IF(AND(J4250="P4",F4250="causal"),"P4-CAUSAL",""))</f>
        <v/>
      </c>
    </row>
    <row r="4251" ht="15" customHeight="1" s="1">
      <c r="P4251">
        <f>IF(OR(F4251="",H4251="",J4251=""),"",J4251&amp;"|"&amp;F4251&amp;"|"&amp;IF(H4251="W3","W3_"&amp;IF(I4251="","unknown",I4251),H4251))</f>
        <v/>
      </c>
      <c r="Q4251">
        <f>IF(P4251="","",IFERROR(IF(AND(H4251="W7",OR(F4251="causal",F4251="predictive")),IF(AND(OR(K4251=1,K4251="1"),OR(L4251=1,L4251="1"),OR(M4251=1,M4251="1")),"adequate","partial"),IF(AND(H4251="W4",F4251="predictive",OR(J4251="P2",J4251="P3",J4251="P4")),IF(OR(U4251=1,U4251="1"),"adequate","partial"),INDEX(Fit_Matrix!$B:$B,MATCH(P4251,Fit_Matrix!$A:$A,0)))),"CHECK KEY"))</f>
        <v/>
      </c>
      <c r="U4251" s="10" t="n"/>
      <c r="V4251" s="10" t="n"/>
      <c r="W4251" s="10" t="n"/>
      <c r="X4251" s="10" t="n"/>
      <c r="Y4251" s="10" t="n"/>
      <c r="Z4251" s="10" t="n"/>
      <c r="AA4251" s="11">
        <f>IF(A4251="","",IF(AND(J4251="P4",F4251="causal"),"P4-CAUSAL",""))</f>
        <v/>
      </c>
    </row>
    <row r="4252" ht="15" customHeight="1" s="1">
      <c r="P4252">
        <f>IF(OR(F4252="",H4252="",J4252=""),"",J4252&amp;"|"&amp;F4252&amp;"|"&amp;IF(H4252="W3","W3_"&amp;IF(I4252="","unknown",I4252),H4252))</f>
        <v/>
      </c>
      <c r="Q4252">
        <f>IF(P4252="","",IFERROR(IF(AND(H4252="W7",OR(F4252="causal",F4252="predictive")),IF(AND(OR(K4252=1,K4252="1"),OR(L4252=1,L4252="1"),OR(M4252=1,M4252="1")),"adequate","partial"),IF(AND(H4252="W4",F4252="predictive",OR(J4252="P2",J4252="P3",J4252="P4")),IF(OR(U4252=1,U4252="1"),"adequate","partial"),INDEX(Fit_Matrix!$B:$B,MATCH(P4252,Fit_Matrix!$A:$A,0)))),"CHECK KEY"))</f>
        <v/>
      </c>
      <c r="U4252" s="10" t="n"/>
      <c r="V4252" s="10" t="n"/>
      <c r="W4252" s="10" t="n"/>
      <c r="X4252" s="10" t="n"/>
      <c r="Y4252" s="10" t="n"/>
      <c r="Z4252" s="10" t="n"/>
      <c r="AA4252" s="11">
        <f>IF(A4252="","",IF(AND(J4252="P4",F4252="causal"),"P4-CAUSAL",""))</f>
        <v/>
      </c>
    </row>
    <row r="4253" ht="15" customHeight="1" s="1">
      <c r="P4253">
        <f>IF(OR(F4253="",H4253="",J4253=""),"",J4253&amp;"|"&amp;F4253&amp;"|"&amp;IF(H4253="W3","W3_"&amp;IF(I4253="","unknown",I4253),H4253))</f>
        <v/>
      </c>
      <c r="Q4253">
        <f>IF(P4253="","",IFERROR(IF(AND(H4253="W7",OR(F4253="causal",F4253="predictive")),IF(AND(OR(K4253=1,K4253="1"),OR(L4253=1,L4253="1"),OR(M4253=1,M4253="1")),"adequate","partial"),IF(AND(H4253="W4",F4253="predictive",OR(J4253="P2",J4253="P3",J4253="P4")),IF(OR(U4253=1,U4253="1"),"adequate","partial"),INDEX(Fit_Matrix!$B:$B,MATCH(P4253,Fit_Matrix!$A:$A,0)))),"CHECK KEY"))</f>
        <v/>
      </c>
      <c r="U4253" s="10" t="n"/>
      <c r="V4253" s="10" t="n"/>
      <c r="W4253" s="10" t="n"/>
      <c r="X4253" s="10" t="n"/>
      <c r="Y4253" s="10" t="n"/>
      <c r="Z4253" s="10" t="n"/>
      <c r="AA4253" s="11">
        <f>IF(A4253="","",IF(AND(J4253="P4",F4253="causal"),"P4-CAUSAL",""))</f>
        <v/>
      </c>
    </row>
    <row r="4254" ht="15" customHeight="1" s="1">
      <c r="P4254">
        <f>IF(OR(F4254="",H4254="",J4254=""),"",J4254&amp;"|"&amp;F4254&amp;"|"&amp;IF(H4254="W3","W3_"&amp;IF(I4254="","unknown",I4254),H4254))</f>
        <v/>
      </c>
      <c r="Q4254">
        <f>IF(P4254="","",IFERROR(IF(AND(H4254="W7",OR(F4254="causal",F4254="predictive")),IF(AND(OR(K4254=1,K4254="1"),OR(L4254=1,L4254="1"),OR(M4254=1,M4254="1")),"adequate","partial"),IF(AND(H4254="W4",F4254="predictive",OR(J4254="P2",J4254="P3",J4254="P4")),IF(OR(U4254=1,U4254="1"),"adequate","partial"),INDEX(Fit_Matrix!$B:$B,MATCH(P4254,Fit_Matrix!$A:$A,0)))),"CHECK KEY"))</f>
        <v/>
      </c>
      <c r="U4254" s="10" t="n"/>
      <c r="V4254" s="10" t="n"/>
      <c r="W4254" s="10" t="n"/>
      <c r="X4254" s="10" t="n"/>
      <c r="Y4254" s="10" t="n"/>
      <c r="Z4254" s="10" t="n"/>
      <c r="AA4254" s="11">
        <f>IF(A4254="","",IF(AND(J4254="P4",F4254="causal"),"P4-CAUSAL",""))</f>
        <v/>
      </c>
    </row>
    <row r="4255" ht="15" customHeight="1" s="1">
      <c r="P4255">
        <f>IF(OR(F4255="",H4255="",J4255=""),"",J4255&amp;"|"&amp;F4255&amp;"|"&amp;IF(H4255="W3","W3_"&amp;IF(I4255="","unknown",I4255),H4255))</f>
        <v/>
      </c>
      <c r="Q4255">
        <f>IF(P4255="","",IFERROR(IF(AND(H4255="W7",OR(F4255="causal",F4255="predictive")),IF(AND(OR(K4255=1,K4255="1"),OR(L4255=1,L4255="1"),OR(M4255=1,M4255="1")),"adequate","partial"),IF(AND(H4255="W4",F4255="predictive",OR(J4255="P2",J4255="P3",J4255="P4")),IF(OR(U4255=1,U4255="1"),"adequate","partial"),INDEX(Fit_Matrix!$B:$B,MATCH(P4255,Fit_Matrix!$A:$A,0)))),"CHECK KEY"))</f>
        <v/>
      </c>
      <c r="U4255" s="10" t="n"/>
      <c r="V4255" s="10" t="n"/>
      <c r="W4255" s="10" t="n"/>
      <c r="X4255" s="10" t="n"/>
      <c r="Y4255" s="10" t="n"/>
      <c r="Z4255" s="10" t="n"/>
      <c r="AA4255" s="11">
        <f>IF(A4255="","",IF(AND(J4255="P4",F4255="causal"),"P4-CAUSAL",""))</f>
        <v/>
      </c>
    </row>
    <row r="4256" ht="15" customHeight="1" s="1">
      <c r="P4256">
        <f>IF(OR(F4256="",H4256="",J4256=""),"",J4256&amp;"|"&amp;F4256&amp;"|"&amp;IF(H4256="W3","W3_"&amp;IF(I4256="","unknown",I4256),H4256))</f>
        <v/>
      </c>
      <c r="Q4256">
        <f>IF(P4256="","",IFERROR(IF(AND(H4256="W7",OR(F4256="causal",F4256="predictive")),IF(AND(OR(K4256=1,K4256="1"),OR(L4256=1,L4256="1"),OR(M4256=1,M4256="1")),"adequate","partial"),IF(AND(H4256="W4",F4256="predictive",OR(J4256="P2",J4256="P3",J4256="P4")),IF(OR(U4256=1,U4256="1"),"adequate","partial"),INDEX(Fit_Matrix!$B:$B,MATCH(P4256,Fit_Matrix!$A:$A,0)))),"CHECK KEY"))</f>
        <v/>
      </c>
      <c r="U4256" s="10" t="n"/>
      <c r="V4256" s="10" t="n"/>
      <c r="W4256" s="10" t="n"/>
      <c r="X4256" s="10" t="n"/>
      <c r="Y4256" s="10" t="n"/>
      <c r="Z4256" s="10" t="n"/>
      <c r="AA4256" s="11">
        <f>IF(A4256="","",IF(AND(J4256="P4",F4256="causal"),"P4-CAUSAL",""))</f>
        <v/>
      </c>
    </row>
    <row r="4257" ht="15" customHeight="1" s="1">
      <c r="P4257">
        <f>IF(OR(F4257="",H4257="",J4257=""),"",J4257&amp;"|"&amp;F4257&amp;"|"&amp;IF(H4257="W3","W3_"&amp;IF(I4257="","unknown",I4257),H4257))</f>
        <v/>
      </c>
      <c r="Q4257">
        <f>IF(P4257="","",IFERROR(IF(AND(H4257="W7",OR(F4257="causal",F4257="predictive")),IF(AND(OR(K4257=1,K4257="1"),OR(L4257=1,L4257="1"),OR(M4257=1,M4257="1")),"adequate","partial"),IF(AND(H4257="W4",F4257="predictive",OR(J4257="P2",J4257="P3",J4257="P4")),IF(OR(U4257=1,U4257="1"),"adequate","partial"),INDEX(Fit_Matrix!$B:$B,MATCH(P4257,Fit_Matrix!$A:$A,0)))),"CHECK KEY"))</f>
        <v/>
      </c>
      <c r="U4257" s="10" t="n"/>
      <c r="V4257" s="10" t="n"/>
      <c r="W4257" s="10" t="n"/>
      <c r="X4257" s="10" t="n"/>
      <c r="Y4257" s="10" t="n"/>
      <c r="Z4257" s="10" t="n"/>
      <c r="AA4257" s="11">
        <f>IF(A4257="","",IF(AND(J4257="P4",F4257="causal"),"P4-CAUSAL",""))</f>
        <v/>
      </c>
    </row>
    <row r="4258" ht="15" customHeight="1" s="1">
      <c r="P4258">
        <f>IF(OR(F4258="",H4258="",J4258=""),"",J4258&amp;"|"&amp;F4258&amp;"|"&amp;IF(H4258="W3","W3_"&amp;IF(I4258="","unknown",I4258),H4258))</f>
        <v/>
      </c>
      <c r="Q4258">
        <f>IF(P4258="","",IFERROR(IF(AND(H4258="W7",OR(F4258="causal",F4258="predictive")),IF(AND(OR(K4258=1,K4258="1"),OR(L4258=1,L4258="1"),OR(M4258=1,M4258="1")),"adequate","partial"),IF(AND(H4258="W4",F4258="predictive",OR(J4258="P2",J4258="P3",J4258="P4")),IF(OR(U4258=1,U4258="1"),"adequate","partial"),INDEX(Fit_Matrix!$B:$B,MATCH(P4258,Fit_Matrix!$A:$A,0)))),"CHECK KEY"))</f>
        <v/>
      </c>
      <c r="U4258" s="10" t="n"/>
      <c r="V4258" s="10" t="n"/>
      <c r="W4258" s="10" t="n"/>
      <c r="X4258" s="10" t="n"/>
      <c r="Y4258" s="10" t="n"/>
      <c r="Z4258" s="10" t="n"/>
      <c r="AA4258" s="11">
        <f>IF(A4258="","",IF(AND(J4258="P4",F4258="causal"),"P4-CAUSAL",""))</f>
        <v/>
      </c>
    </row>
    <row r="4259" ht="15" customHeight="1" s="1">
      <c r="P4259">
        <f>IF(OR(F4259="",H4259="",J4259=""),"",J4259&amp;"|"&amp;F4259&amp;"|"&amp;IF(H4259="W3","W3_"&amp;IF(I4259="","unknown",I4259),H4259))</f>
        <v/>
      </c>
      <c r="Q4259">
        <f>IF(P4259="","",IFERROR(IF(AND(H4259="W7",OR(F4259="causal",F4259="predictive")),IF(AND(OR(K4259=1,K4259="1"),OR(L4259=1,L4259="1"),OR(M4259=1,M4259="1")),"adequate","partial"),IF(AND(H4259="W4",F4259="predictive",OR(J4259="P2",J4259="P3",J4259="P4")),IF(OR(U4259=1,U4259="1"),"adequate","partial"),INDEX(Fit_Matrix!$B:$B,MATCH(P4259,Fit_Matrix!$A:$A,0)))),"CHECK KEY"))</f>
        <v/>
      </c>
      <c r="U4259" s="10" t="n"/>
      <c r="V4259" s="10" t="n"/>
      <c r="W4259" s="10" t="n"/>
      <c r="X4259" s="10" t="n"/>
      <c r="Y4259" s="10" t="n"/>
      <c r="Z4259" s="10" t="n"/>
      <c r="AA4259" s="11">
        <f>IF(A4259="","",IF(AND(J4259="P4",F4259="causal"),"P4-CAUSAL",""))</f>
        <v/>
      </c>
    </row>
    <row r="4260" ht="15" customHeight="1" s="1">
      <c r="P4260">
        <f>IF(OR(F4260="",H4260="",J4260=""),"",J4260&amp;"|"&amp;F4260&amp;"|"&amp;IF(H4260="W3","W3_"&amp;IF(I4260="","unknown",I4260),H4260))</f>
        <v/>
      </c>
      <c r="Q4260">
        <f>IF(P4260="","",IFERROR(IF(AND(H4260="W7",OR(F4260="causal",F4260="predictive")),IF(AND(OR(K4260=1,K4260="1"),OR(L4260=1,L4260="1"),OR(M4260=1,M4260="1")),"adequate","partial"),IF(AND(H4260="W4",F4260="predictive",OR(J4260="P2",J4260="P3",J4260="P4")),IF(OR(U4260=1,U4260="1"),"adequate","partial"),INDEX(Fit_Matrix!$B:$B,MATCH(P4260,Fit_Matrix!$A:$A,0)))),"CHECK KEY"))</f>
        <v/>
      </c>
      <c r="U4260" s="10" t="n"/>
      <c r="V4260" s="10" t="n"/>
      <c r="W4260" s="10" t="n"/>
      <c r="X4260" s="10" t="n"/>
      <c r="Y4260" s="10" t="n"/>
      <c r="Z4260" s="10" t="n"/>
      <c r="AA4260" s="11">
        <f>IF(A4260="","",IF(AND(J4260="P4",F4260="causal"),"P4-CAUSAL",""))</f>
        <v/>
      </c>
    </row>
    <row r="4261" ht="15" customHeight="1" s="1">
      <c r="P4261">
        <f>IF(OR(F4261="",H4261="",J4261=""),"",J4261&amp;"|"&amp;F4261&amp;"|"&amp;IF(H4261="W3","W3_"&amp;IF(I4261="","unknown",I4261),H4261))</f>
        <v/>
      </c>
      <c r="Q4261">
        <f>IF(P4261="","",IFERROR(IF(AND(H4261="W7",OR(F4261="causal",F4261="predictive")),IF(AND(OR(K4261=1,K4261="1"),OR(L4261=1,L4261="1"),OR(M4261=1,M4261="1")),"adequate","partial"),IF(AND(H4261="W4",F4261="predictive",OR(J4261="P2",J4261="P3",J4261="P4")),IF(OR(U4261=1,U4261="1"),"adequate","partial"),INDEX(Fit_Matrix!$B:$B,MATCH(P4261,Fit_Matrix!$A:$A,0)))),"CHECK KEY"))</f>
        <v/>
      </c>
      <c r="U4261" s="10" t="n"/>
      <c r="V4261" s="10" t="n"/>
      <c r="W4261" s="10" t="n"/>
      <c r="X4261" s="10" t="n"/>
      <c r="Y4261" s="10" t="n"/>
      <c r="Z4261" s="10" t="n"/>
      <c r="AA4261" s="11">
        <f>IF(A4261="","",IF(AND(J4261="P4",F4261="causal"),"P4-CAUSAL",""))</f>
        <v/>
      </c>
    </row>
    <row r="4262" ht="15" customHeight="1" s="1">
      <c r="P4262">
        <f>IF(OR(F4262="",H4262="",J4262=""),"",J4262&amp;"|"&amp;F4262&amp;"|"&amp;IF(H4262="W3","W3_"&amp;IF(I4262="","unknown",I4262),H4262))</f>
        <v/>
      </c>
      <c r="Q4262">
        <f>IF(P4262="","",IFERROR(IF(AND(H4262="W7",OR(F4262="causal",F4262="predictive")),IF(AND(OR(K4262=1,K4262="1"),OR(L4262=1,L4262="1"),OR(M4262=1,M4262="1")),"adequate","partial"),IF(AND(H4262="W4",F4262="predictive",OR(J4262="P2",J4262="P3",J4262="P4")),IF(OR(U4262=1,U4262="1"),"adequate","partial"),INDEX(Fit_Matrix!$B:$B,MATCH(P4262,Fit_Matrix!$A:$A,0)))),"CHECK KEY"))</f>
        <v/>
      </c>
      <c r="U4262" s="10" t="n"/>
      <c r="V4262" s="10" t="n"/>
      <c r="W4262" s="10" t="n"/>
      <c r="X4262" s="10" t="n"/>
      <c r="Y4262" s="10" t="n"/>
      <c r="Z4262" s="10" t="n"/>
      <c r="AA4262" s="11">
        <f>IF(A4262="","",IF(AND(J4262="P4",F4262="causal"),"P4-CAUSAL",""))</f>
        <v/>
      </c>
    </row>
    <row r="4263" ht="15" customHeight="1" s="1">
      <c r="P4263">
        <f>IF(OR(F4263="",H4263="",J4263=""),"",J4263&amp;"|"&amp;F4263&amp;"|"&amp;IF(H4263="W3","W3_"&amp;IF(I4263="","unknown",I4263),H4263))</f>
        <v/>
      </c>
      <c r="Q4263">
        <f>IF(P4263="","",IFERROR(IF(AND(H4263="W7",OR(F4263="causal",F4263="predictive")),IF(AND(OR(K4263=1,K4263="1"),OR(L4263=1,L4263="1"),OR(M4263=1,M4263="1")),"adequate","partial"),IF(AND(H4263="W4",F4263="predictive",OR(J4263="P2",J4263="P3",J4263="P4")),IF(OR(U4263=1,U4263="1"),"adequate","partial"),INDEX(Fit_Matrix!$B:$B,MATCH(P4263,Fit_Matrix!$A:$A,0)))),"CHECK KEY"))</f>
        <v/>
      </c>
      <c r="U4263" s="10" t="n"/>
      <c r="V4263" s="10" t="n"/>
      <c r="W4263" s="10" t="n"/>
      <c r="X4263" s="10" t="n"/>
      <c r="Y4263" s="10" t="n"/>
      <c r="Z4263" s="10" t="n"/>
      <c r="AA4263" s="11">
        <f>IF(A4263="","",IF(AND(J4263="P4",F4263="causal"),"P4-CAUSAL",""))</f>
        <v/>
      </c>
    </row>
    <row r="4264" ht="15" customHeight="1" s="1">
      <c r="P4264">
        <f>IF(OR(F4264="",H4264="",J4264=""),"",J4264&amp;"|"&amp;F4264&amp;"|"&amp;IF(H4264="W3","W3_"&amp;IF(I4264="","unknown",I4264),H4264))</f>
        <v/>
      </c>
      <c r="Q4264">
        <f>IF(P4264="","",IFERROR(IF(AND(H4264="W7",OR(F4264="causal",F4264="predictive")),IF(AND(OR(K4264=1,K4264="1"),OR(L4264=1,L4264="1"),OR(M4264=1,M4264="1")),"adequate","partial"),IF(AND(H4264="W4",F4264="predictive",OR(J4264="P2",J4264="P3",J4264="P4")),IF(OR(U4264=1,U4264="1"),"adequate","partial"),INDEX(Fit_Matrix!$B:$B,MATCH(P4264,Fit_Matrix!$A:$A,0)))),"CHECK KEY"))</f>
        <v/>
      </c>
      <c r="U4264" s="10" t="n"/>
      <c r="V4264" s="10" t="n"/>
      <c r="W4264" s="10" t="n"/>
      <c r="X4264" s="10" t="n"/>
      <c r="Y4264" s="10" t="n"/>
      <c r="Z4264" s="10" t="n"/>
      <c r="AA4264" s="11">
        <f>IF(A4264="","",IF(AND(J4264="P4",F4264="causal"),"P4-CAUSAL",""))</f>
        <v/>
      </c>
    </row>
    <row r="4265" ht="15" customHeight="1" s="1">
      <c r="P4265">
        <f>IF(OR(F4265="",H4265="",J4265=""),"",J4265&amp;"|"&amp;F4265&amp;"|"&amp;IF(H4265="W3","W3_"&amp;IF(I4265="","unknown",I4265),H4265))</f>
        <v/>
      </c>
      <c r="Q4265">
        <f>IF(P4265="","",IFERROR(IF(AND(H4265="W7",OR(F4265="causal",F4265="predictive")),IF(AND(OR(K4265=1,K4265="1"),OR(L4265=1,L4265="1"),OR(M4265=1,M4265="1")),"adequate","partial"),IF(AND(H4265="W4",F4265="predictive",OR(J4265="P2",J4265="P3",J4265="P4")),IF(OR(U4265=1,U4265="1"),"adequate","partial"),INDEX(Fit_Matrix!$B:$B,MATCH(P4265,Fit_Matrix!$A:$A,0)))),"CHECK KEY"))</f>
        <v/>
      </c>
      <c r="U4265" s="10" t="n"/>
      <c r="V4265" s="10" t="n"/>
      <c r="W4265" s="10" t="n"/>
      <c r="X4265" s="10" t="n"/>
      <c r="Y4265" s="10" t="n"/>
      <c r="Z4265" s="10" t="n"/>
      <c r="AA4265" s="11">
        <f>IF(A4265="","",IF(AND(J4265="P4",F4265="causal"),"P4-CAUSAL",""))</f>
        <v/>
      </c>
    </row>
    <row r="4266" ht="15" customHeight="1" s="1">
      <c r="P4266">
        <f>IF(OR(F4266="",H4266="",J4266=""),"",J4266&amp;"|"&amp;F4266&amp;"|"&amp;IF(H4266="W3","W3_"&amp;IF(I4266="","unknown",I4266),H4266))</f>
        <v/>
      </c>
      <c r="Q4266">
        <f>IF(P4266="","",IFERROR(IF(AND(H4266="W7",OR(F4266="causal",F4266="predictive")),IF(AND(OR(K4266=1,K4266="1"),OR(L4266=1,L4266="1"),OR(M4266=1,M4266="1")),"adequate","partial"),IF(AND(H4266="W4",F4266="predictive",OR(J4266="P2",J4266="P3",J4266="P4")),IF(OR(U4266=1,U4266="1"),"adequate","partial"),INDEX(Fit_Matrix!$B:$B,MATCH(P4266,Fit_Matrix!$A:$A,0)))),"CHECK KEY"))</f>
        <v/>
      </c>
      <c r="U4266" s="10" t="n"/>
      <c r="V4266" s="10" t="n"/>
      <c r="W4266" s="10" t="n"/>
      <c r="X4266" s="10" t="n"/>
      <c r="Y4266" s="10" t="n"/>
      <c r="Z4266" s="10" t="n"/>
      <c r="AA4266" s="11">
        <f>IF(A4266="","",IF(AND(J4266="P4",F4266="causal"),"P4-CAUSAL",""))</f>
        <v/>
      </c>
    </row>
    <row r="4267" ht="15" customHeight="1" s="1">
      <c r="P4267">
        <f>IF(OR(F4267="",H4267="",J4267=""),"",J4267&amp;"|"&amp;F4267&amp;"|"&amp;IF(H4267="W3","W3_"&amp;IF(I4267="","unknown",I4267),H4267))</f>
        <v/>
      </c>
      <c r="Q4267">
        <f>IF(P4267="","",IFERROR(IF(AND(H4267="W7",OR(F4267="causal",F4267="predictive")),IF(AND(OR(K4267=1,K4267="1"),OR(L4267=1,L4267="1"),OR(M4267=1,M4267="1")),"adequate","partial"),IF(AND(H4267="W4",F4267="predictive",OR(J4267="P2",J4267="P3",J4267="P4")),IF(OR(U4267=1,U4267="1"),"adequate","partial"),INDEX(Fit_Matrix!$B:$B,MATCH(P4267,Fit_Matrix!$A:$A,0)))),"CHECK KEY"))</f>
        <v/>
      </c>
      <c r="U4267" s="10" t="n"/>
      <c r="V4267" s="10" t="n"/>
      <c r="W4267" s="10" t="n"/>
      <c r="X4267" s="10" t="n"/>
      <c r="Y4267" s="10" t="n"/>
      <c r="Z4267" s="10" t="n"/>
      <c r="AA4267" s="11">
        <f>IF(A4267="","",IF(AND(J4267="P4",F4267="causal"),"P4-CAUSAL",""))</f>
        <v/>
      </c>
    </row>
    <row r="4268" ht="15" customHeight="1" s="1">
      <c r="P4268">
        <f>IF(OR(F4268="",H4268="",J4268=""),"",J4268&amp;"|"&amp;F4268&amp;"|"&amp;IF(H4268="W3","W3_"&amp;IF(I4268="","unknown",I4268),H4268))</f>
        <v/>
      </c>
      <c r="Q4268">
        <f>IF(P4268="","",IFERROR(IF(AND(H4268="W7",OR(F4268="causal",F4268="predictive")),IF(AND(OR(K4268=1,K4268="1"),OR(L4268=1,L4268="1"),OR(M4268=1,M4268="1")),"adequate","partial"),IF(AND(H4268="W4",F4268="predictive",OR(J4268="P2",J4268="P3",J4268="P4")),IF(OR(U4268=1,U4268="1"),"adequate","partial"),INDEX(Fit_Matrix!$B:$B,MATCH(P4268,Fit_Matrix!$A:$A,0)))),"CHECK KEY"))</f>
        <v/>
      </c>
      <c r="U4268" s="10" t="n"/>
      <c r="V4268" s="10" t="n"/>
      <c r="W4268" s="10" t="n"/>
      <c r="X4268" s="10" t="n"/>
      <c r="Y4268" s="10" t="n"/>
      <c r="Z4268" s="10" t="n"/>
      <c r="AA4268" s="11">
        <f>IF(A4268="","",IF(AND(J4268="P4",F4268="causal"),"P4-CAUSAL",""))</f>
        <v/>
      </c>
    </row>
    <row r="4269" ht="15" customHeight="1" s="1">
      <c r="P4269">
        <f>IF(OR(F4269="",H4269="",J4269=""),"",J4269&amp;"|"&amp;F4269&amp;"|"&amp;IF(H4269="W3","W3_"&amp;IF(I4269="","unknown",I4269),H4269))</f>
        <v/>
      </c>
      <c r="Q4269">
        <f>IF(P4269="","",IFERROR(IF(AND(H4269="W7",OR(F4269="causal",F4269="predictive")),IF(AND(OR(K4269=1,K4269="1"),OR(L4269=1,L4269="1"),OR(M4269=1,M4269="1")),"adequate","partial"),IF(AND(H4269="W4",F4269="predictive",OR(J4269="P2",J4269="P3",J4269="P4")),IF(OR(U4269=1,U4269="1"),"adequate","partial"),INDEX(Fit_Matrix!$B:$B,MATCH(P4269,Fit_Matrix!$A:$A,0)))),"CHECK KEY"))</f>
        <v/>
      </c>
      <c r="U4269" s="10" t="n"/>
      <c r="V4269" s="10" t="n"/>
      <c r="W4269" s="10" t="n"/>
      <c r="X4269" s="10" t="n"/>
      <c r="Y4269" s="10" t="n"/>
      <c r="Z4269" s="10" t="n"/>
      <c r="AA4269" s="11">
        <f>IF(A4269="","",IF(AND(J4269="P4",F4269="causal"),"P4-CAUSAL",""))</f>
        <v/>
      </c>
    </row>
    <row r="4270" ht="15" customHeight="1" s="1">
      <c r="P4270">
        <f>IF(OR(F4270="",H4270="",J4270=""),"",J4270&amp;"|"&amp;F4270&amp;"|"&amp;IF(H4270="W3","W3_"&amp;IF(I4270="","unknown",I4270),H4270))</f>
        <v/>
      </c>
      <c r="Q4270">
        <f>IF(P4270="","",IFERROR(IF(AND(H4270="W7",OR(F4270="causal",F4270="predictive")),IF(AND(OR(K4270=1,K4270="1"),OR(L4270=1,L4270="1"),OR(M4270=1,M4270="1")),"adequate","partial"),IF(AND(H4270="W4",F4270="predictive",OR(J4270="P2",J4270="P3",J4270="P4")),IF(OR(U4270=1,U4270="1"),"adequate","partial"),INDEX(Fit_Matrix!$B:$B,MATCH(P4270,Fit_Matrix!$A:$A,0)))),"CHECK KEY"))</f>
        <v/>
      </c>
      <c r="U4270" s="10" t="n"/>
      <c r="V4270" s="10" t="n"/>
      <c r="W4270" s="10" t="n"/>
      <c r="X4270" s="10" t="n"/>
      <c r="Y4270" s="10" t="n"/>
      <c r="Z4270" s="10" t="n"/>
      <c r="AA4270" s="11">
        <f>IF(A4270="","",IF(AND(J4270="P4",F4270="causal"),"P4-CAUSAL",""))</f>
        <v/>
      </c>
    </row>
    <row r="4271" ht="15" customHeight="1" s="1">
      <c r="P4271">
        <f>IF(OR(F4271="",H4271="",J4271=""),"",J4271&amp;"|"&amp;F4271&amp;"|"&amp;IF(H4271="W3","W3_"&amp;IF(I4271="","unknown",I4271),H4271))</f>
        <v/>
      </c>
      <c r="Q4271">
        <f>IF(P4271="","",IFERROR(IF(AND(H4271="W7",OR(F4271="causal",F4271="predictive")),IF(AND(OR(K4271=1,K4271="1"),OR(L4271=1,L4271="1"),OR(M4271=1,M4271="1")),"adequate","partial"),IF(AND(H4271="W4",F4271="predictive",OR(J4271="P2",J4271="P3",J4271="P4")),IF(OR(U4271=1,U4271="1"),"adequate","partial"),INDEX(Fit_Matrix!$B:$B,MATCH(P4271,Fit_Matrix!$A:$A,0)))),"CHECK KEY"))</f>
        <v/>
      </c>
      <c r="U4271" s="10" t="n"/>
      <c r="V4271" s="10" t="n"/>
      <c r="W4271" s="10" t="n"/>
      <c r="X4271" s="10" t="n"/>
      <c r="Y4271" s="10" t="n"/>
      <c r="Z4271" s="10" t="n"/>
      <c r="AA4271" s="11">
        <f>IF(A4271="","",IF(AND(J4271="P4",F4271="causal"),"P4-CAUSAL",""))</f>
        <v/>
      </c>
    </row>
    <row r="4272" ht="15" customHeight="1" s="1">
      <c r="P4272">
        <f>IF(OR(F4272="",H4272="",J4272=""),"",J4272&amp;"|"&amp;F4272&amp;"|"&amp;IF(H4272="W3","W3_"&amp;IF(I4272="","unknown",I4272),H4272))</f>
        <v/>
      </c>
      <c r="Q4272">
        <f>IF(P4272="","",IFERROR(IF(AND(H4272="W7",OR(F4272="causal",F4272="predictive")),IF(AND(OR(K4272=1,K4272="1"),OR(L4272=1,L4272="1"),OR(M4272=1,M4272="1")),"adequate","partial"),IF(AND(H4272="W4",F4272="predictive",OR(J4272="P2",J4272="P3",J4272="P4")),IF(OR(U4272=1,U4272="1"),"adequate","partial"),INDEX(Fit_Matrix!$B:$B,MATCH(P4272,Fit_Matrix!$A:$A,0)))),"CHECK KEY"))</f>
        <v/>
      </c>
      <c r="U4272" s="10" t="n"/>
      <c r="V4272" s="10" t="n"/>
      <c r="W4272" s="10" t="n"/>
      <c r="X4272" s="10" t="n"/>
      <c r="Y4272" s="10" t="n"/>
      <c r="Z4272" s="10" t="n"/>
      <c r="AA4272" s="11">
        <f>IF(A4272="","",IF(AND(J4272="P4",F4272="causal"),"P4-CAUSAL",""))</f>
        <v/>
      </c>
    </row>
    <row r="4273" ht="15" customHeight="1" s="1">
      <c r="P4273">
        <f>IF(OR(F4273="",H4273="",J4273=""),"",J4273&amp;"|"&amp;F4273&amp;"|"&amp;IF(H4273="W3","W3_"&amp;IF(I4273="","unknown",I4273),H4273))</f>
        <v/>
      </c>
      <c r="Q4273">
        <f>IF(P4273="","",IFERROR(IF(AND(H4273="W7",OR(F4273="causal",F4273="predictive")),IF(AND(OR(K4273=1,K4273="1"),OR(L4273=1,L4273="1"),OR(M4273=1,M4273="1")),"adequate","partial"),IF(AND(H4273="W4",F4273="predictive",OR(J4273="P2",J4273="P3",J4273="P4")),IF(OR(U4273=1,U4273="1"),"adequate","partial"),INDEX(Fit_Matrix!$B:$B,MATCH(P4273,Fit_Matrix!$A:$A,0)))),"CHECK KEY"))</f>
        <v/>
      </c>
      <c r="U4273" s="10" t="n"/>
      <c r="V4273" s="10" t="n"/>
      <c r="W4273" s="10" t="n"/>
      <c r="X4273" s="10" t="n"/>
      <c r="Y4273" s="10" t="n"/>
      <c r="Z4273" s="10" t="n"/>
      <c r="AA4273" s="11">
        <f>IF(A4273="","",IF(AND(J4273="P4",F4273="causal"),"P4-CAUSAL",""))</f>
        <v/>
      </c>
    </row>
    <row r="4274" ht="15" customHeight="1" s="1">
      <c r="P4274">
        <f>IF(OR(F4274="",H4274="",J4274=""),"",J4274&amp;"|"&amp;F4274&amp;"|"&amp;IF(H4274="W3","W3_"&amp;IF(I4274="","unknown",I4274),H4274))</f>
        <v/>
      </c>
      <c r="Q4274">
        <f>IF(P4274="","",IFERROR(IF(AND(H4274="W7",OR(F4274="causal",F4274="predictive")),IF(AND(OR(K4274=1,K4274="1"),OR(L4274=1,L4274="1"),OR(M4274=1,M4274="1")),"adequate","partial"),IF(AND(H4274="W4",F4274="predictive",OR(J4274="P2",J4274="P3",J4274="P4")),IF(OR(U4274=1,U4274="1"),"adequate","partial"),INDEX(Fit_Matrix!$B:$B,MATCH(P4274,Fit_Matrix!$A:$A,0)))),"CHECK KEY"))</f>
        <v/>
      </c>
      <c r="U4274" s="10" t="n"/>
      <c r="V4274" s="10" t="n"/>
      <c r="W4274" s="10" t="n"/>
      <c r="X4274" s="10" t="n"/>
      <c r="Y4274" s="10" t="n"/>
      <c r="Z4274" s="10" t="n"/>
      <c r="AA4274" s="11">
        <f>IF(A4274="","",IF(AND(J4274="P4",F4274="causal"),"P4-CAUSAL",""))</f>
        <v/>
      </c>
    </row>
    <row r="4275" ht="15" customHeight="1" s="1">
      <c r="P4275">
        <f>IF(OR(F4275="",H4275="",J4275=""),"",J4275&amp;"|"&amp;F4275&amp;"|"&amp;IF(H4275="W3","W3_"&amp;IF(I4275="","unknown",I4275),H4275))</f>
        <v/>
      </c>
      <c r="Q4275">
        <f>IF(P4275="","",IFERROR(IF(AND(H4275="W7",OR(F4275="causal",F4275="predictive")),IF(AND(OR(K4275=1,K4275="1"),OR(L4275=1,L4275="1"),OR(M4275=1,M4275="1")),"adequate","partial"),IF(AND(H4275="W4",F4275="predictive",OR(J4275="P2",J4275="P3",J4275="P4")),IF(OR(U4275=1,U4275="1"),"adequate","partial"),INDEX(Fit_Matrix!$B:$B,MATCH(P4275,Fit_Matrix!$A:$A,0)))),"CHECK KEY"))</f>
        <v/>
      </c>
      <c r="U4275" s="10" t="n"/>
      <c r="V4275" s="10" t="n"/>
      <c r="W4275" s="10" t="n"/>
      <c r="X4275" s="10" t="n"/>
      <c r="Y4275" s="10" t="n"/>
      <c r="Z4275" s="10" t="n"/>
      <c r="AA4275" s="11">
        <f>IF(A4275="","",IF(AND(J4275="P4",F4275="causal"),"P4-CAUSAL",""))</f>
        <v/>
      </c>
    </row>
    <row r="4276" ht="15" customHeight="1" s="1">
      <c r="P4276">
        <f>IF(OR(F4276="",H4276="",J4276=""),"",J4276&amp;"|"&amp;F4276&amp;"|"&amp;IF(H4276="W3","W3_"&amp;IF(I4276="","unknown",I4276),H4276))</f>
        <v/>
      </c>
      <c r="Q4276">
        <f>IF(P4276="","",IFERROR(IF(AND(H4276="W7",OR(F4276="causal",F4276="predictive")),IF(AND(OR(K4276=1,K4276="1"),OR(L4276=1,L4276="1"),OR(M4276=1,M4276="1")),"adequate","partial"),IF(AND(H4276="W4",F4276="predictive",OR(J4276="P2",J4276="P3",J4276="P4")),IF(OR(U4276=1,U4276="1"),"adequate","partial"),INDEX(Fit_Matrix!$B:$B,MATCH(P4276,Fit_Matrix!$A:$A,0)))),"CHECK KEY"))</f>
        <v/>
      </c>
      <c r="U4276" s="10" t="n"/>
      <c r="V4276" s="10" t="n"/>
      <c r="W4276" s="10" t="n"/>
      <c r="X4276" s="10" t="n"/>
      <c r="Y4276" s="10" t="n"/>
      <c r="Z4276" s="10" t="n"/>
      <c r="AA4276" s="11">
        <f>IF(A4276="","",IF(AND(J4276="P4",F4276="causal"),"P4-CAUSAL",""))</f>
        <v/>
      </c>
    </row>
    <row r="4277" ht="15" customHeight="1" s="1">
      <c r="P4277">
        <f>IF(OR(F4277="",H4277="",J4277=""),"",J4277&amp;"|"&amp;F4277&amp;"|"&amp;IF(H4277="W3","W3_"&amp;IF(I4277="","unknown",I4277),H4277))</f>
        <v/>
      </c>
      <c r="Q4277">
        <f>IF(P4277="","",IFERROR(IF(AND(H4277="W7",OR(F4277="causal",F4277="predictive")),IF(AND(OR(K4277=1,K4277="1"),OR(L4277=1,L4277="1"),OR(M4277=1,M4277="1")),"adequate","partial"),IF(AND(H4277="W4",F4277="predictive",OR(J4277="P2",J4277="P3",J4277="P4")),IF(OR(U4277=1,U4277="1"),"adequate","partial"),INDEX(Fit_Matrix!$B:$B,MATCH(P4277,Fit_Matrix!$A:$A,0)))),"CHECK KEY"))</f>
        <v/>
      </c>
      <c r="U4277" s="10" t="n"/>
      <c r="V4277" s="10" t="n"/>
      <c r="W4277" s="10" t="n"/>
      <c r="X4277" s="10" t="n"/>
      <c r="Y4277" s="10" t="n"/>
      <c r="Z4277" s="10" t="n"/>
      <c r="AA4277" s="11">
        <f>IF(A4277="","",IF(AND(J4277="P4",F4277="causal"),"P4-CAUSAL",""))</f>
        <v/>
      </c>
    </row>
    <row r="4278" ht="15" customHeight="1" s="1">
      <c r="P4278">
        <f>IF(OR(F4278="",H4278="",J4278=""),"",J4278&amp;"|"&amp;F4278&amp;"|"&amp;IF(H4278="W3","W3_"&amp;IF(I4278="","unknown",I4278),H4278))</f>
        <v/>
      </c>
      <c r="Q4278">
        <f>IF(P4278="","",IFERROR(IF(AND(H4278="W7",OR(F4278="causal",F4278="predictive")),IF(AND(OR(K4278=1,K4278="1"),OR(L4278=1,L4278="1"),OR(M4278=1,M4278="1")),"adequate","partial"),IF(AND(H4278="W4",F4278="predictive",OR(J4278="P2",J4278="P3",J4278="P4")),IF(OR(U4278=1,U4278="1"),"adequate","partial"),INDEX(Fit_Matrix!$B:$B,MATCH(P4278,Fit_Matrix!$A:$A,0)))),"CHECK KEY"))</f>
        <v/>
      </c>
      <c r="U4278" s="10" t="n"/>
      <c r="V4278" s="10" t="n"/>
      <c r="W4278" s="10" t="n"/>
      <c r="X4278" s="10" t="n"/>
      <c r="Y4278" s="10" t="n"/>
      <c r="Z4278" s="10" t="n"/>
      <c r="AA4278" s="11">
        <f>IF(A4278="","",IF(AND(J4278="P4",F4278="causal"),"P4-CAUSAL",""))</f>
        <v/>
      </c>
    </row>
    <row r="4279" ht="15" customHeight="1" s="1">
      <c r="P4279">
        <f>IF(OR(F4279="",H4279="",J4279=""),"",J4279&amp;"|"&amp;F4279&amp;"|"&amp;IF(H4279="W3","W3_"&amp;IF(I4279="","unknown",I4279),H4279))</f>
        <v/>
      </c>
      <c r="Q4279">
        <f>IF(P4279="","",IFERROR(IF(AND(H4279="W7",OR(F4279="causal",F4279="predictive")),IF(AND(OR(K4279=1,K4279="1"),OR(L4279=1,L4279="1"),OR(M4279=1,M4279="1")),"adequate","partial"),IF(AND(H4279="W4",F4279="predictive",OR(J4279="P2",J4279="P3",J4279="P4")),IF(OR(U4279=1,U4279="1"),"adequate","partial"),INDEX(Fit_Matrix!$B:$B,MATCH(P4279,Fit_Matrix!$A:$A,0)))),"CHECK KEY"))</f>
        <v/>
      </c>
      <c r="U4279" s="10" t="n"/>
      <c r="V4279" s="10" t="n"/>
      <c r="W4279" s="10" t="n"/>
      <c r="X4279" s="10" t="n"/>
      <c r="Y4279" s="10" t="n"/>
      <c r="Z4279" s="10" t="n"/>
      <c r="AA4279" s="11">
        <f>IF(A4279="","",IF(AND(J4279="P4",F4279="causal"),"P4-CAUSAL",""))</f>
        <v/>
      </c>
    </row>
    <row r="4280" ht="15" customHeight="1" s="1">
      <c r="P4280">
        <f>IF(OR(F4280="",H4280="",J4280=""),"",J4280&amp;"|"&amp;F4280&amp;"|"&amp;IF(H4280="W3","W3_"&amp;IF(I4280="","unknown",I4280),H4280))</f>
        <v/>
      </c>
      <c r="Q4280">
        <f>IF(P4280="","",IFERROR(IF(AND(H4280="W7",OR(F4280="causal",F4280="predictive")),IF(AND(OR(K4280=1,K4280="1"),OR(L4280=1,L4280="1"),OR(M4280=1,M4280="1")),"adequate","partial"),IF(AND(H4280="W4",F4280="predictive",OR(J4280="P2",J4280="P3",J4280="P4")),IF(OR(U4280=1,U4280="1"),"adequate","partial"),INDEX(Fit_Matrix!$B:$B,MATCH(P4280,Fit_Matrix!$A:$A,0)))),"CHECK KEY"))</f>
        <v/>
      </c>
      <c r="U4280" s="10" t="n"/>
      <c r="V4280" s="10" t="n"/>
      <c r="W4280" s="10" t="n"/>
      <c r="X4280" s="10" t="n"/>
      <c r="Y4280" s="10" t="n"/>
      <c r="Z4280" s="10" t="n"/>
      <c r="AA4280" s="11">
        <f>IF(A4280="","",IF(AND(J4280="P4",F4280="causal"),"P4-CAUSAL",""))</f>
        <v/>
      </c>
    </row>
    <row r="4281" ht="15" customHeight="1" s="1">
      <c r="P4281">
        <f>IF(OR(F4281="",H4281="",J4281=""),"",J4281&amp;"|"&amp;F4281&amp;"|"&amp;IF(H4281="W3","W3_"&amp;IF(I4281="","unknown",I4281),H4281))</f>
        <v/>
      </c>
      <c r="Q4281">
        <f>IF(P4281="","",IFERROR(IF(AND(H4281="W7",OR(F4281="causal",F4281="predictive")),IF(AND(OR(K4281=1,K4281="1"),OR(L4281=1,L4281="1"),OR(M4281=1,M4281="1")),"adequate","partial"),IF(AND(H4281="W4",F4281="predictive",OR(J4281="P2",J4281="P3",J4281="P4")),IF(OR(U4281=1,U4281="1"),"adequate","partial"),INDEX(Fit_Matrix!$B:$B,MATCH(P4281,Fit_Matrix!$A:$A,0)))),"CHECK KEY"))</f>
        <v/>
      </c>
      <c r="U4281" s="10" t="n"/>
      <c r="V4281" s="10" t="n"/>
      <c r="W4281" s="10" t="n"/>
      <c r="X4281" s="10" t="n"/>
      <c r="Y4281" s="10" t="n"/>
      <c r="Z4281" s="10" t="n"/>
      <c r="AA4281" s="11">
        <f>IF(A4281="","",IF(AND(J4281="P4",F4281="causal"),"P4-CAUSAL",""))</f>
        <v/>
      </c>
    </row>
    <row r="4282" ht="15" customHeight="1" s="1">
      <c r="P4282">
        <f>IF(OR(F4282="",H4282="",J4282=""),"",J4282&amp;"|"&amp;F4282&amp;"|"&amp;IF(H4282="W3","W3_"&amp;IF(I4282="","unknown",I4282),H4282))</f>
        <v/>
      </c>
      <c r="Q4282">
        <f>IF(P4282="","",IFERROR(IF(AND(H4282="W7",OR(F4282="causal",F4282="predictive")),IF(AND(OR(K4282=1,K4282="1"),OR(L4282=1,L4282="1"),OR(M4282=1,M4282="1")),"adequate","partial"),IF(AND(H4282="W4",F4282="predictive",OR(J4282="P2",J4282="P3",J4282="P4")),IF(OR(U4282=1,U4282="1"),"adequate","partial"),INDEX(Fit_Matrix!$B:$B,MATCH(P4282,Fit_Matrix!$A:$A,0)))),"CHECK KEY"))</f>
        <v/>
      </c>
      <c r="U4282" s="10" t="n"/>
      <c r="V4282" s="10" t="n"/>
      <c r="W4282" s="10" t="n"/>
      <c r="X4282" s="10" t="n"/>
      <c r="Y4282" s="10" t="n"/>
      <c r="Z4282" s="10" t="n"/>
      <c r="AA4282" s="11">
        <f>IF(A4282="","",IF(AND(J4282="P4",F4282="causal"),"P4-CAUSAL",""))</f>
        <v/>
      </c>
    </row>
    <row r="4283" ht="15" customHeight="1" s="1">
      <c r="P4283">
        <f>IF(OR(F4283="",H4283="",J4283=""),"",J4283&amp;"|"&amp;F4283&amp;"|"&amp;IF(H4283="W3","W3_"&amp;IF(I4283="","unknown",I4283),H4283))</f>
        <v/>
      </c>
      <c r="Q4283">
        <f>IF(P4283="","",IFERROR(IF(AND(H4283="W7",OR(F4283="causal",F4283="predictive")),IF(AND(OR(K4283=1,K4283="1"),OR(L4283=1,L4283="1"),OR(M4283=1,M4283="1")),"adequate","partial"),IF(AND(H4283="W4",F4283="predictive",OR(J4283="P2",J4283="P3",J4283="P4")),IF(OR(U4283=1,U4283="1"),"adequate","partial"),INDEX(Fit_Matrix!$B:$B,MATCH(P4283,Fit_Matrix!$A:$A,0)))),"CHECK KEY"))</f>
        <v/>
      </c>
      <c r="U4283" s="10" t="n"/>
      <c r="V4283" s="10" t="n"/>
      <c r="W4283" s="10" t="n"/>
      <c r="X4283" s="10" t="n"/>
      <c r="Y4283" s="10" t="n"/>
      <c r="Z4283" s="10" t="n"/>
      <c r="AA4283" s="11">
        <f>IF(A4283="","",IF(AND(J4283="P4",F4283="causal"),"P4-CAUSAL",""))</f>
        <v/>
      </c>
    </row>
    <row r="4284" ht="15" customHeight="1" s="1">
      <c r="P4284">
        <f>IF(OR(F4284="",H4284="",J4284=""),"",J4284&amp;"|"&amp;F4284&amp;"|"&amp;IF(H4284="W3","W3_"&amp;IF(I4284="","unknown",I4284),H4284))</f>
        <v/>
      </c>
      <c r="Q4284">
        <f>IF(P4284="","",IFERROR(IF(AND(H4284="W7",OR(F4284="causal",F4284="predictive")),IF(AND(OR(K4284=1,K4284="1"),OR(L4284=1,L4284="1"),OR(M4284=1,M4284="1")),"adequate","partial"),IF(AND(H4284="W4",F4284="predictive",OR(J4284="P2",J4284="P3",J4284="P4")),IF(OR(U4284=1,U4284="1"),"adequate","partial"),INDEX(Fit_Matrix!$B:$B,MATCH(P4284,Fit_Matrix!$A:$A,0)))),"CHECK KEY"))</f>
        <v/>
      </c>
      <c r="U4284" s="10" t="n"/>
      <c r="V4284" s="10" t="n"/>
      <c r="W4284" s="10" t="n"/>
      <c r="X4284" s="10" t="n"/>
      <c r="Y4284" s="10" t="n"/>
      <c r="Z4284" s="10" t="n"/>
      <c r="AA4284" s="11">
        <f>IF(A4284="","",IF(AND(J4284="P4",F4284="causal"),"P4-CAUSAL",""))</f>
        <v/>
      </c>
    </row>
    <row r="4285" ht="15" customHeight="1" s="1">
      <c r="P4285">
        <f>IF(OR(F4285="",H4285="",J4285=""),"",J4285&amp;"|"&amp;F4285&amp;"|"&amp;IF(H4285="W3","W3_"&amp;IF(I4285="","unknown",I4285),H4285))</f>
        <v/>
      </c>
      <c r="Q4285">
        <f>IF(P4285="","",IFERROR(IF(AND(H4285="W7",OR(F4285="causal",F4285="predictive")),IF(AND(OR(K4285=1,K4285="1"),OR(L4285=1,L4285="1"),OR(M4285=1,M4285="1")),"adequate","partial"),IF(AND(H4285="W4",F4285="predictive",OR(J4285="P2",J4285="P3",J4285="P4")),IF(OR(U4285=1,U4285="1"),"adequate","partial"),INDEX(Fit_Matrix!$B:$B,MATCH(P4285,Fit_Matrix!$A:$A,0)))),"CHECK KEY"))</f>
        <v/>
      </c>
      <c r="U4285" s="10" t="n"/>
      <c r="V4285" s="10" t="n"/>
      <c r="W4285" s="10" t="n"/>
      <c r="X4285" s="10" t="n"/>
      <c r="Y4285" s="10" t="n"/>
      <c r="Z4285" s="10" t="n"/>
      <c r="AA4285" s="11">
        <f>IF(A4285="","",IF(AND(J4285="P4",F4285="causal"),"P4-CAUSAL",""))</f>
        <v/>
      </c>
    </row>
    <row r="4286" ht="15" customHeight="1" s="1">
      <c r="P4286">
        <f>IF(OR(F4286="",H4286="",J4286=""),"",J4286&amp;"|"&amp;F4286&amp;"|"&amp;IF(H4286="W3","W3_"&amp;IF(I4286="","unknown",I4286),H4286))</f>
        <v/>
      </c>
      <c r="Q4286">
        <f>IF(P4286="","",IFERROR(IF(AND(H4286="W7",OR(F4286="causal",F4286="predictive")),IF(AND(OR(K4286=1,K4286="1"),OR(L4286=1,L4286="1"),OR(M4286=1,M4286="1")),"adequate","partial"),IF(AND(H4286="W4",F4286="predictive",OR(J4286="P2",J4286="P3",J4286="P4")),IF(OR(U4286=1,U4286="1"),"adequate","partial"),INDEX(Fit_Matrix!$B:$B,MATCH(P4286,Fit_Matrix!$A:$A,0)))),"CHECK KEY"))</f>
        <v/>
      </c>
      <c r="U4286" s="10" t="n"/>
      <c r="V4286" s="10" t="n"/>
      <c r="W4286" s="10" t="n"/>
      <c r="X4286" s="10" t="n"/>
      <c r="Y4286" s="10" t="n"/>
      <c r="Z4286" s="10" t="n"/>
      <c r="AA4286" s="11">
        <f>IF(A4286="","",IF(AND(J4286="P4",F4286="causal"),"P4-CAUSAL",""))</f>
        <v/>
      </c>
    </row>
    <row r="4287" ht="15" customHeight="1" s="1">
      <c r="P4287">
        <f>IF(OR(F4287="",H4287="",J4287=""),"",J4287&amp;"|"&amp;F4287&amp;"|"&amp;IF(H4287="W3","W3_"&amp;IF(I4287="","unknown",I4287),H4287))</f>
        <v/>
      </c>
      <c r="Q4287">
        <f>IF(P4287="","",IFERROR(IF(AND(H4287="W7",OR(F4287="causal",F4287="predictive")),IF(AND(OR(K4287=1,K4287="1"),OR(L4287=1,L4287="1"),OR(M4287=1,M4287="1")),"adequate","partial"),IF(AND(H4287="W4",F4287="predictive",OR(J4287="P2",J4287="P3",J4287="P4")),IF(OR(U4287=1,U4287="1"),"adequate","partial"),INDEX(Fit_Matrix!$B:$B,MATCH(P4287,Fit_Matrix!$A:$A,0)))),"CHECK KEY"))</f>
        <v/>
      </c>
      <c r="U4287" s="10" t="n"/>
      <c r="V4287" s="10" t="n"/>
      <c r="W4287" s="10" t="n"/>
      <c r="X4287" s="10" t="n"/>
      <c r="Y4287" s="10" t="n"/>
      <c r="Z4287" s="10" t="n"/>
      <c r="AA4287" s="11">
        <f>IF(A4287="","",IF(AND(J4287="P4",F4287="causal"),"P4-CAUSAL",""))</f>
        <v/>
      </c>
    </row>
    <row r="4288" ht="15" customHeight="1" s="1">
      <c r="P4288">
        <f>IF(OR(F4288="",H4288="",J4288=""),"",J4288&amp;"|"&amp;F4288&amp;"|"&amp;IF(H4288="W3","W3_"&amp;IF(I4288="","unknown",I4288),H4288))</f>
        <v/>
      </c>
      <c r="Q4288">
        <f>IF(P4288="","",IFERROR(IF(AND(H4288="W7",OR(F4288="causal",F4288="predictive")),IF(AND(OR(K4288=1,K4288="1"),OR(L4288=1,L4288="1"),OR(M4288=1,M4288="1")),"adequate","partial"),IF(AND(H4288="W4",F4288="predictive",OR(J4288="P2",J4288="P3",J4288="P4")),IF(OR(U4288=1,U4288="1"),"adequate","partial"),INDEX(Fit_Matrix!$B:$B,MATCH(P4288,Fit_Matrix!$A:$A,0)))),"CHECK KEY"))</f>
        <v/>
      </c>
      <c r="U4288" s="10" t="n"/>
      <c r="V4288" s="10" t="n"/>
      <c r="W4288" s="10" t="n"/>
      <c r="X4288" s="10" t="n"/>
      <c r="Y4288" s="10" t="n"/>
      <c r="Z4288" s="10" t="n"/>
      <c r="AA4288" s="11">
        <f>IF(A4288="","",IF(AND(J4288="P4",F4288="causal"),"P4-CAUSAL",""))</f>
        <v/>
      </c>
    </row>
    <row r="4289" ht="15" customHeight="1" s="1">
      <c r="P4289">
        <f>IF(OR(F4289="",H4289="",J4289=""),"",J4289&amp;"|"&amp;F4289&amp;"|"&amp;IF(H4289="W3","W3_"&amp;IF(I4289="","unknown",I4289),H4289))</f>
        <v/>
      </c>
      <c r="Q4289">
        <f>IF(P4289="","",IFERROR(IF(AND(H4289="W7",OR(F4289="causal",F4289="predictive")),IF(AND(OR(K4289=1,K4289="1"),OR(L4289=1,L4289="1"),OR(M4289=1,M4289="1")),"adequate","partial"),IF(AND(H4289="W4",F4289="predictive",OR(J4289="P2",J4289="P3",J4289="P4")),IF(OR(U4289=1,U4289="1"),"adequate","partial"),INDEX(Fit_Matrix!$B:$B,MATCH(P4289,Fit_Matrix!$A:$A,0)))),"CHECK KEY"))</f>
        <v/>
      </c>
      <c r="U4289" s="10" t="n"/>
      <c r="V4289" s="10" t="n"/>
      <c r="W4289" s="10" t="n"/>
      <c r="X4289" s="10" t="n"/>
      <c r="Y4289" s="10" t="n"/>
      <c r="Z4289" s="10" t="n"/>
      <c r="AA4289" s="11">
        <f>IF(A4289="","",IF(AND(J4289="P4",F4289="causal"),"P4-CAUSAL",""))</f>
        <v/>
      </c>
    </row>
    <row r="4290" ht="15" customHeight="1" s="1">
      <c r="P4290">
        <f>IF(OR(F4290="",H4290="",J4290=""),"",J4290&amp;"|"&amp;F4290&amp;"|"&amp;IF(H4290="W3","W3_"&amp;IF(I4290="","unknown",I4290),H4290))</f>
        <v/>
      </c>
      <c r="Q4290">
        <f>IF(P4290="","",IFERROR(IF(AND(H4290="W7",OR(F4290="causal",F4290="predictive")),IF(AND(OR(K4290=1,K4290="1"),OR(L4290=1,L4290="1"),OR(M4290=1,M4290="1")),"adequate","partial"),IF(AND(H4290="W4",F4290="predictive",OR(J4290="P2",J4290="P3",J4290="P4")),IF(OR(U4290=1,U4290="1"),"adequate","partial"),INDEX(Fit_Matrix!$B:$B,MATCH(P4290,Fit_Matrix!$A:$A,0)))),"CHECK KEY"))</f>
        <v/>
      </c>
      <c r="U4290" s="10" t="n"/>
      <c r="V4290" s="10" t="n"/>
      <c r="W4290" s="10" t="n"/>
      <c r="X4290" s="10" t="n"/>
      <c r="Y4290" s="10" t="n"/>
      <c r="Z4290" s="10" t="n"/>
      <c r="AA4290" s="11">
        <f>IF(A4290="","",IF(AND(J4290="P4",F4290="causal"),"P4-CAUSAL",""))</f>
        <v/>
      </c>
    </row>
    <row r="4291" ht="15" customHeight="1" s="1">
      <c r="P4291">
        <f>IF(OR(F4291="",H4291="",J4291=""),"",J4291&amp;"|"&amp;F4291&amp;"|"&amp;IF(H4291="W3","W3_"&amp;IF(I4291="","unknown",I4291),H4291))</f>
        <v/>
      </c>
      <c r="Q4291">
        <f>IF(P4291="","",IFERROR(IF(AND(H4291="W7",OR(F4291="causal",F4291="predictive")),IF(AND(OR(K4291=1,K4291="1"),OR(L4291=1,L4291="1"),OR(M4291=1,M4291="1")),"adequate","partial"),IF(AND(H4291="W4",F4291="predictive",OR(J4291="P2",J4291="P3",J4291="P4")),IF(OR(U4291=1,U4291="1"),"adequate","partial"),INDEX(Fit_Matrix!$B:$B,MATCH(P4291,Fit_Matrix!$A:$A,0)))),"CHECK KEY"))</f>
        <v/>
      </c>
      <c r="U4291" s="10" t="n"/>
      <c r="V4291" s="10" t="n"/>
      <c r="W4291" s="10" t="n"/>
      <c r="X4291" s="10" t="n"/>
      <c r="Y4291" s="10" t="n"/>
      <c r="Z4291" s="10" t="n"/>
      <c r="AA4291" s="11">
        <f>IF(A4291="","",IF(AND(J4291="P4",F4291="causal"),"P4-CAUSAL",""))</f>
        <v/>
      </c>
    </row>
    <row r="4292" ht="15" customHeight="1" s="1">
      <c r="P4292">
        <f>IF(OR(F4292="",H4292="",J4292=""),"",J4292&amp;"|"&amp;F4292&amp;"|"&amp;IF(H4292="W3","W3_"&amp;IF(I4292="","unknown",I4292),H4292))</f>
        <v/>
      </c>
      <c r="Q4292">
        <f>IF(P4292="","",IFERROR(IF(AND(H4292="W7",OR(F4292="causal",F4292="predictive")),IF(AND(OR(K4292=1,K4292="1"),OR(L4292=1,L4292="1"),OR(M4292=1,M4292="1")),"adequate","partial"),IF(AND(H4292="W4",F4292="predictive",OR(J4292="P2",J4292="P3",J4292="P4")),IF(OR(U4292=1,U4292="1"),"adequate","partial"),INDEX(Fit_Matrix!$B:$B,MATCH(P4292,Fit_Matrix!$A:$A,0)))),"CHECK KEY"))</f>
        <v/>
      </c>
      <c r="U4292" s="10" t="n"/>
      <c r="V4292" s="10" t="n"/>
      <c r="W4292" s="10" t="n"/>
      <c r="X4292" s="10" t="n"/>
      <c r="Y4292" s="10" t="n"/>
      <c r="Z4292" s="10" t="n"/>
      <c r="AA4292" s="11">
        <f>IF(A4292="","",IF(AND(J4292="P4",F4292="causal"),"P4-CAUSAL",""))</f>
        <v/>
      </c>
    </row>
    <row r="4293" ht="15" customHeight="1" s="1">
      <c r="P4293">
        <f>IF(OR(F4293="",H4293="",J4293=""),"",J4293&amp;"|"&amp;F4293&amp;"|"&amp;IF(H4293="W3","W3_"&amp;IF(I4293="","unknown",I4293),H4293))</f>
        <v/>
      </c>
      <c r="Q4293">
        <f>IF(P4293="","",IFERROR(IF(AND(H4293="W7",OR(F4293="causal",F4293="predictive")),IF(AND(OR(K4293=1,K4293="1"),OR(L4293=1,L4293="1"),OR(M4293=1,M4293="1")),"adequate","partial"),IF(AND(H4293="W4",F4293="predictive",OR(J4293="P2",J4293="P3",J4293="P4")),IF(OR(U4293=1,U4293="1"),"adequate","partial"),INDEX(Fit_Matrix!$B:$B,MATCH(P4293,Fit_Matrix!$A:$A,0)))),"CHECK KEY"))</f>
        <v/>
      </c>
      <c r="U4293" s="10" t="n"/>
      <c r="V4293" s="10" t="n"/>
      <c r="W4293" s="10" t="n"/>
      <c r="X4293" s="10" t="n"/>
      <c r="Y4293" s="10" t="n"/>
      <c r="Z4293" s="10" t="n"/>
      <c r="AA4293" s="11">
        <f>IF(A4293="","",IF(AND(J4293="P4",F4293="causal"),"P4-CAUSAL",""))</f>
        <v/>
      </c>
    </row>
    <row r="4294" ht="15" customHeight="1" s="1">
      <c r="P4294">
        <f>IF(OR(F4294="",H4294="",J4294=""),"",J4294&amp;"|"&amp;F4294&amp;"|"&amp;IF(H4294="W3","W3_"&amp;IF(I4294="","unknown",I4294),H4294))</f>
        <v/>
      </c>
      <c r="Q4294">
        <f>IF(P4294="","",IFERROR(IF(AND(H4294="W7",OR(F4294="causal",F4294="predictive")),IF(AND(OR(K4294=1,K4294="1"),OR(L4294=1,L4294="1"),OR(M4294=1,M4294="1")),"adequate","partial"),IF(AND(H4294="W4",F4294="predictive",OR(J4294="P2",J4294="P3",J4294="P4")),IF(OR(U4294=1,U4294="1"),"adequate","partial"),INDEX(Fit_Matrix!$B:$B,MATCH(P4294,Fit_Matrix!$A:$A,0)))),"CHECK KEY"))</f>
        <v/>
      </c>
      <c r="U4294" s="10" t="n"/>
      <c r="V4294" s="10" t="n"/>
      <c r="W4294" s="10" t="n"/>
      <c r="X4294" s="10" t="n"/>
      <c r="Y4294" s="10" t="n"/>
      <c r="Z4294" s="10" t="n"/>
      <c r="AA4294" s="11">
        <f>IF(A4294="","",IF(AND(J4294="P4",F4294="causal"),"P4-CAUSAL",""))</f>
        <v/>
      </c>
    </row>
    <row r="4295" ht="15" customHeight="1" s="1">
      <c r="P4295">
        <f>IF(OR(F4295="",H4295="",J4295=""),"",J4295&amp;"|"&amp;F4295&amp;"|"&amp;IF(H4295="W3","W3_"&amp;IF(I4295="","unknown",I4295),H4295))</f>
        <v/>
      </c>
      <c r="Q4295">
        <f>IF(P4295="","",IFERROR(IF(AND(H4295="W7",OR(F4295="causal",F4295="predictive")),IF(AND(OR(K4295=1,K4295="1"),OR(L4295=1,L4295="1"),OR(M4295=1,M4295="1")),"adequate","partial"),IF(AND(H4295="W4",F4295="predictive",OR(J4295="P2",J4295="P3",J4295="P4")),IF(OR(U4295=1,U4295="1"),"adequate","partial"),INDEX(Fit_Matrix!$B:$B,MATCH(P4295,Fit_Matrix!$A:$A,0)))),"CHECK KEY"))</f>
        <v/>
      </c>
      <c r="U4295" s="10" t="n"/>
      <c r="V4295" s="10" t="n"/>
      <c r="W4295" s="10" t="n"/>
      <c r="X4295" s="10" t="n"/>
      <c r="Y4295" s="10" t="n"/>
      <c r="Z4295" s="10" t="n"/>
      <c r="AA4295" s="11">
        <f>IF(A4295="","",IF(AND(J4295="P4",F4295="causal"),"P4-CAUSAL",""))</f>
        <v/>
      </c>
    </row>
    <row r="4296" ht="15" customHeight="1" s="1">
      <c r="P4296">
        <f>IF(OR(F4296="",H4296="",J4296=""),"",J4296&amp;"|"&amp;F4296&amp;"|"&amp;IF(H4296="W3","W3_"&amp;IF(I4296="","unknown",I4296),H4296))</f>
        <v/>
      </c>
      <c r="Q4296">
        <f>IF(P4296="","",IFERROR(IF(AND(H4296="W7",OR(F4296="causal",F4296="predictive")),IF(AND(OR(K4296=1,K4296="1"),OR(L4296=1,L4296="1"),OR(M4296=1,M4296="1")),"adequate","partial"),IF(AND(H4296="W4",F4296="predictive",OR(J4296="P2",J4296="P3",J4296="P4")),IF(OR(U4296=1,U4296="1"),"adequate","partial"),INDEX(Fit_Matrix!$B:$B,MATCH(P4296,Fit_Matrix!$A:$A,0)))),"CHECK KEY"))</f>
        <v/>
      </c>
      <c r="U4296" s="10" t="n"/>
      <c r="V4296" s="10" t="n"/>
      <c r="W4296" s="10" t="n"/>
      <c r="X4296" s="10" t="n"/>
      <c r="Y4296" s="10" t="n"/>
      <c r="Z4296" s="10" t="n"/>
      <c r="AA4296" s="11">
        <f>IF(A4296="","",IF(AND(J4296="P4",F4296="causal"),"P4-CAUSAL",""))</f>
        <v/>
      </c>
    </row>
    <row r="4297" ht="15" customHeight="1" s="1">
      <c r="P4297">
        <f>IF(OR(F4297="",H4297="",J4297=""),"",J4297&amp;"|"&amp;F4297&amp;"|"&amp;IF(H4297="W3","W3_"&amp;IF(I4297="","unknown",I4297),H4297))</f>
        <v/>
      </c>
      <c r="Q4297">
        <f>IF(P4297="","",IFERROR(IF(AND(H4297="W7",OR(F4297="causal",F4297="predictive")),IF(AND(OR(K4297=1,K4297="1"),OR(L4297=1,L4297="1"),OR(M4297=1,M4297="1")),"adequate","partial"),IF(AND(H4297="W4",F4297="predictive",OR(J4297="P2",J4297="P3",J4297="P4")),IF(OR(U4297=1,U4297="1"),"adequate","partial"),INDEX(Fit_Matrix!$B:$B,MATCH(P4297,Fit_Matrix!$A:$A,0)))),"CHECK KEY"))</f>
        <v/>
      </c>
      <c r="U4297" s="10" t="n"/>
      <c r="V4297" s="10" t="n"/>
      <c r="W4297" s="10" t="n"/>
      <c r="X4297" s="10" t="n"/>
      <c r="Y4297" s="10" t="n"/>
      <c r="Z4297" s="10" t="n"/>
      <c r="AA4297" s="11">
        <f>IF(A4297="","",IF(AND(J4297="P4",F4297="causal"),"P4-CAUSAL",""))</f>
        <v/>
      </c>
    </row>
    <row r="4298" ht="15" customHeight="1" s="1">
      <c r="P4298">
        <f>IF(OR(F4298="",H4298="",J4298=""),"",J4298&amp;"|"&amp;F4298&amp;"|"&amp;IF(H4298="W3","W3_"&amp;IF(I4298="","unknown",I4298),H4298))</f>
        <v/>
      </c>
      <c r="Q4298">
        <f>IF(P4298="","",IFERROR(IF(AND(H4298="W7",OR(F4298="causal",F4298="predictive")),IF(AND(OR(K4298=1,K4298="1"),OR(L4298=1,L4298="1"),OR(M4298=1,M4298="1")),"adequate","partial"),IF(AND(H4298="W4",F4298="predictive",OR(J4298="P2",J4298="P3",J4298="P4")),IF(OR(U4298=1,U4298="1"),"adequate","partial"),INDEX(Fit_Matrix!$B:$B,MATCH(P4298,Fit_Matrix!$A:$A,0)))),"CHECK KEY"))</f>
        <v/>
      </c>
      <c r="U4298" s="10" t="n"/>
      <c r="V4298" s="10" t="n"/>
      <c r="W4298" s="10" t="n"/>
      <c r="X4298" s="10" t="n"/>
      <c r="Y4298" s="10" t="n"/>
      <c r="Z4298" s="10" t="n"/>
      <c r="AA4298" s="11">
        <f>IF(A4298="","",IF(AND(J4298="P4",F4298="causal"),"P4-CAUSAL",""))</f>
        <v/>
      </c>
    </row>
    <row r="4299" ht="15" customHeight="1" s="1">
      <c r="P4299">
        <f>IF(OR(F4299="",H4299="",J4299=""),"",J4299&amp;"|"&amp;F4299&amp;"|"&amp;IF(H4299="W3","W3_"&amp;IF(I4299="","unknown",I4299),H4299))</f>
        <v/>
      </c>
      <c r="Q4299">
        <f>IF(P4299="","",IFERROR(IF(AND(H4299="W7",OR(F4299="causal",F4299="predictive")),IF(AND(OR(K4299=1,K4299="1"),OR(L4299=1,L4299="1"),OR(M4299=1,M4299="1")),"adequate","partial"),IF(AND(H4299="W4",F4299="predictive",OR(J4299="P2",J4299="P3",J4299="P4")),IF(OR(U4299=1,U4299="1"),"adequate","partial"),INDEX(Fit_Matrix!$B:$B,MATCH(P4299,Fit_Matrix!$A:$A,0)))),"CHECK KEY"))</f>
        <v/>
      </c>
      <c r="U4299" s="10" t="n"/>
      <c r="V4299" s="10" t="n"/>
      <c r="W4299" s="10" t="n"/>
      <c r="X4299" s="10" t="n"/>
      <c r="Y4299" s="10" t="n"/>
      <c r="Z4299" s="10" t="n"/>
      <c r="AA4299" s="11">
        <f>IF(A4299="","",IF(AND(J4299="P4",F4299="causal"),"P4-CAUSAL",""))</f>
        <v/>
      </c>
    </row>
    <row r="4300" ht="15" customHeight="1" s="1">
      <c r="P4300">
        <f>IF(OR(F4300="",H4300="",J4300=""),"",J4300&amp;"|"&amp;F4300&amp;"|"&amp;IF(H4300="W3","W3_"&amp;IF(I4300="","unknown",I4300),H4300))</f>
        <v/>
      </c>
      <c r="Q4300">
        <f>IF(P4300="","",IFERROR(IF(AND(H4300="W7",OR(F4300="causal",F4300="predictive")),IF(AND(OR(K4300=1,K4300="1"),OR(L4300=1,L4300="1"),OR(M4300=1,M4300="1")),"adequate","partial"),IF(AND(H4300="W4",F4300="predictive",OR(J4300="P2",J4300="P3",J4300="P4")),IF(OR(U4300=1,U4300="1"),"adequate","partial"),INDEX(Fit_Matrix!$B:$B,MATCH(P4300,Fit_Matrix!$A:$A,0)))),"CHECK KEY"))</f>
        <v/>
      </c>
      <c r="U4300" s="10" t="n"/>
      <c r="V4300" s="10" t="n"/>
      <c r="W4300" s="10" t="n"/>
      <c r="X4300" s="10" t="n"/>
      <c r="Y4300" s="10" t="n"/>
      <c r="Z4300" s="10" t="n"/>
      <c r="AA4300" s="11">
        <f>IF(A4300="","",IF(AND(J4300="P4",F4300="causal"),"P4-CAUSAL",""))</f>
        <v/>
      </c>
    </row>
    <row r="4301" ht="15" customHeight="1" s="1">
      <c r="P4301">
        <f>IF(OR(F4301="",H4301="",J4301=""),"",J4301&amp;"|"&amp;F4301&amp;"|"&amp;IF(H4301="W3","W3_"&amp;IF(I4301="","unknown",I4301),H4301))</f>
        <v/>
      </c>
      <c r="Q4301">
        <f>IF(P4301="","",IFERROR(IF(AND(H4301="W7",OR(F4301="causal",F4301="predictive")),IF(AND(OR(K4301=1,K4301="1"),OR(L4301=1,L4301="1"),OR(M4301=1,M4301="1")),"adequate","partial"),IF(AND(H4301="W4",F4301="predictive",OR(J4301="P2",J4301="P3",J4301="P4")),IF(OR(U4301=1,U4301="1"),"adequate","partial"),INDEX(Fit_Matrix!$B:$B,MATCH(P4301,Fit_Matrix!$A:$A,0)))),"CHECK KEY"))</f>
        <v/>
      </c>
      <c r="U4301" s="10" t="n"/>
      <c r="V4301" s="10" t="n"/>
      <c r="W4301" s="10" t="n"/>
      <c r="X4301" s="10" t="n"/>
      <c r="Y4301" s="10" t="n"/>
      <c r="Z4301" s="10" t="n"/>
      <c r="AA4301" s="11">
        <f>IF(A4301="","",IF(AND(J4301="P4",F4301="causal"),"P4-CAUSAL",""))</f>
        <v/>
      </c>
    </row>
    <row r="4302" ht="15" customHeight="1" s="1">
      <c r="P4302">
        <f>IF(OR(F4302="",H4302="",J4302=""),"",J4302&amp;"|"&amp;F4302&amp;"|"&amp;IF(H4302="W3","W3_"&amp;IF(I4302="","unknown",I4302),H4302))</f>
        <v/>
      </c>
      <c r="Q4302">
        <f>IF(P4302="","",IFERROR(IF(AND(H4302="W7",OR(F4302="causal",F4302="predictive")),IF(AND(OR(K4302=1,K4302="1"),OR(L4302=1,L4302="1"),OR(M4302=1,M4302="1")),"adequate","partial"),IF(AND(H4302="W4",F4302="predictive",OR(J4302="P2",J4302="P3",J4302="P4")),IF(OR(U4302=1,U4302="1"),"adequate","partial"),INDEX(Fit_Matrix!$B:$B,MATCH(P4302,Fit_Matrix!$A:$A,0)))),"CHECK KEY"))</f>
        <v/>
      </c>
      <c r="U4302" s="10" t="n"/>
      <c r="V4302" s="10" t="n"/>
      <c r="W4302" s="10" t="n"/>
      <c r="X4302" s="10" t="n"/>
      <c r="Y4302" s="10" t="n"/>
      <c r="Z4302" s="10" t="n"/>
      <c r="AA4302" s="11">
        <f>IF(A4302="","",IF(AND(J4302="P4",F4302="causal"),"P4-CAUSAL",""))</f>
        <v/>
      </c>
    </row>
    <row r="4303" ht="15" customHeight="1" s="1">
      <c r="P4303">
        <f>IF(OR(F4303="",H4303="",J4303=""),"",J4303&amp;"|"&amp;F4303&amp;"|"&amp;IF(H4303="W3","W3_"&amp;IF(I4303="","unknown",I4303),H4303))</f>
        <v/>
      </c>
      <c r="Q4303">
        <f>IF(P4303="","",IFERROR(IF(AND(H4303="W7",OR(F4303="causal",F4303="predictive")),IF(AND(OR(K4303=1,K4303="1"),OR(L4303=1,L4303="1"),OR(M4303=1,M4303="1")),"adequate","partial"),IF(AND(H4303="W4",F4303="predictive",OR(J4303="P2",J4303="P3",J4303="P4")),IF(OR(U4303=1,U4303="1"),"adequate","partial"),INDEX(Fit_Matrix!$B:$B,MATCH(P4303,Fit_Matrix!$A:$A,0)))),"CHECK KEY"))</f>
        <v/>
      </c>
      <c r="U4303" s="10" t="n"/>
      <c r="V4303" s="10" t="n"/>
      <c r="W4303" s="10" t="n"/>
      <c r="X4303" s="10" t="n"/>
      <c r="Y4303" s="10" t="n"/>
      <c r="Z4303" s="10" t="n"/>
      <c r="AA4303" s="11">
        <f>IF(A4303="","",IF(AND(J4303="P4",F4303="causal"),"P4-CAUSAL",""))</f>
        <v/>
      </c>
    </row>
    <row r="4304" ht="15" customHeight="1" s="1">
      <c r="P4304">
        <f>IF(OR(F4304="",H4304="",J4304=""),"",J4304&amp;"|"&amp;F4304&amp;"|"&amp;IF(H4304="W3","W3_"&amp;IF(I4304="","unknown",I4304),H4304))</f>
        <v/>
      </c>
      <c r="Q4304">
        <f>IF(P4304="","",IFERROR(IF(AND(H4304="W7",OR(F4304="causal",F4304="predictive")),IF(AND(OR(K4304=1,K4304="1"),OR(L4304=1,L4304="1"),OR(M4304=1,M4304="1")),"adequate","partial"),IF(AND(H4304="W4",F4304="predictive",OR(J4304="P2",J4304="P3",J4304="P4")),IF(OR(U4304=1,U4304="1"),"adequate","partial"),INDEX(Fit_Matrix!$B:$B,MATCH(P4304,Fit_Matrix!$A:$A,0)))),"CHECK KEY"))</f>
        <v/>
      </c>
      <c r="U4304" s="10" t="n"/>
      <c r="V4304" s="10" t="n"/>
      <c r="W4304" s="10" t="n"/>
      <c r="X4304" s="10" t="n"/>
      <c r="Y4304" s="10" t="n"/>
      <c r="Z4304" s="10" t="n"/>
      <c r="AA4304" s="11">
        <f>IF(A4304="","",IF(AND(J4304="P4",F4304="causal"),"P4-CAUSAL",""))</f>
        <v/>
      </c>
    </row>
    <row r="4305" ht="15" customHeight="1" s="1">
      <c r="P4305">
        <f>IF(OR(F4305="",H4305="",J4305=""),"",J4305&amp;"|"&amp;F4305&amp;"|"&amp;IF(H4305="W3","W3_"&amp;IF(I4305="","unknown",I4305),H4305))</f>
        <v/>
      </c>
      <c r="Q4305">
        <f>IF(P4305="","",IFERROR(IF(AND(H4305="W7",OR(F4305="causal",F4305="predictive")),IF(AND(OR(K4305=1,K4305="1"),OR(L4305=1,L4305="1"),OR(M4305=1,M4305="1")),"adequate","partial"),IF(AND(H4305="W4",F4305="predictive",OR(J4305="P2",J4305="P3",J4305="P4")),IF(OR(U4305=1,U4305="1"),"adequate","partial"),INDEX(Fit_Matrix!$B:$B,MATCH(P4305,Fit_Matrix!$A:$A,0)))),"CHECK KEY"))</f>
        <v/>
      </c>
      <c r="U4305" s="10" t="n"/>
      <c r="V4305" s="10" t="n"/>
      <c r="W4305" s="10" t="n"/>
      <c r="X4305" s="10" t="n"/>
      <c r="Y4305" s="10" t="n"/>
      <c r="Z4305" s="10" t="n"/>
      <c r="AA4305" s="11">
        <f>IF(A4305="","",IF(AND(J4305="P4",F4305="causal"),"P4-CAUSAL",""))</f>
        <v/>
      </c>
    </row>
    <row r="4306" ht="15" customHeight="1" s="1">
      <c r="P4306">
        <f>IF(OR(F4306="",H4306="",J4306=""),"",J4306&amp;"|"&amp;F4306&amp;"|"&amp;IF(H4306="W3","W3_"&amp;IF(I4306="","unknown",I4306),H4306))</f>
        <v/>
      </c>
      <c r="Q4306">
        <f>IF(P4306="","",IFERROR(IF(AND(H4306="W7",OR(F4306="causal",F4306="predictive")),IF(AND(OR(K4306=1,K4306="1"),OR(L4306=1,L4306="1"),OR(M4306=1,M4306="1")),"adequate","partial"),IF(AND(H4306="W4",F4306="predictive",OR(J4306="P2",J4306="P3",J4306="P4")),IF(OR(U4306=1,U4306="1"),"adequate","partial"),INDEX(Fit_Matrix!$B:$B,MATCH(P4306,Fit_Matrix!$A:$A,0)))),"CHECK KEY"))</f>
        <v/>
      </c>
      <c r="U4306" s="10" t="n"/>
      <c r="V4306" s="10" t="n"/>
      <c r="W4306" s="10" t="n"/>
      <c r="X4306" s="10" t="n"/>
      <c r="Y4306" s="10" t="n"/>
      <c r="Z4306" s="10" t="n"/>
      <c r="AA4306" s="11">
        <f>IF(A4306="","",IF(AND(J4306="P4",F4306="causal"),"P4-CAUSAL",""))</f>
        <v/>
      </c>
    </row>
    <row r="4307" ht="15" customHeight="1" s="1">
      <c r="P4307">
        <f>IF(OR(F4307="",H4307="",J4307=""),"",J4307&amp;"|"&amp;F4307&amp;"|"&amp;IF(H4307="W3","W3_"&amp;IF(I4307="","unknown",I4307),H4307))</f>
        <v/>
      </c>
      <c r="Q4307">
        <f>IF(P4307="","",IFERROR(IF(AND(H4307="W7",OR(F4307="causal",F4307="predictive")),IF(AND(OR(K4307=1,K4307="1"),OR(L4307=1,L4307="1"),OR(M4307=1,M4307="1")),"adequate","partial"),IF(AND(H4307="W4",F4307="predictive",OR(J4307="P2",J4307="P3",J4307="P4")),IF(OR(U4307=1,U4307="1"),"adequate","partial"),INDEX(Fit_Matrix!$B:$B,MATCH(P4307,Fit_Matrix!$A:$A,0)))),"CHECK KEY"))</f>
        <v/>
      </c>
      <c r="U4307" s="10" t="n"/>
      <c r="V4307" s="10" t="n"/>
      <c r="W4307" s="10" t="n"/>
      <c r="X4307" s="10" t="n"/>
      <c r="Y4307" s="10" t="n"/>
      <c r="Z4307" s="10" t="n"/>
      <c r="AA4307" s="11">
        <f>IF(A4307="","",IF(AND(J4307="P4",F4307="causal"),"P4-CAUSAL",""))</f>
        <v/>
      </c>
    </row>
    <row r="4308" ht="15" customHeight="1" s="1">
      <c r="P4308">
        <f>IF(OR(F4308="",H4308="",J4308=""),"",J4308&amp;"|"&amp;F4308&amp;"|"&amp;IF(H4308="W3","W3_"&amp;IF(I4308="","unknown",I4308),H4308))</f>
        <v/>
      </c>
      <c r="Q4308">
        <f>IF(P4308="","",IFERROR(IF(AND(H4308="W7",OR(F4308="causal",F4308="predictive")),IF(AND(OR(K4308=1,K4308="1"),OR(L4308=1,L4308="1"),OR(M4308=1,M4308="1")),"adequate","partial"),IF(AND(H4308="W4",F4308="predictive",OR(J4308="P2",J4308="P3",J4308="P4")),IF(OR(U4308=1,U4308="1"),"adequate","partial"),INDEX(Fit_Matrix!$B:$B,MATCH(P4308,Fit_Matrix!$A:$A,0)))),"CHECK KEY"))</f>
        <v/>
      </c>
      <c r="U4308" s="10" t="n"/>
      <c r="V4308" s="10" t="n"/>
      <c r="W4308" s="10" t="n"/>
      <c r="X4308" s="10" t="n"/>
      <c r="Y4308" s="10" t="n"/>
      <c r="Z4308" s="10" t="n"/>
      <c r="AA4308" s="11">
        <f>IF(A4308="","",IF(AND(J4308="P4",F4308="causal"),"P4-CAUSAL",""))</f>
        <v/>
      </c>
    </row>
    <row r="4309" ht="15" customHeight="1" s="1">
      <c r="P4309">
        <f>IF(OR(F4309="",H4309="",J4309=""),"",J4309&amp;"|"&amp;F4309&amp;"|"&amp;IF(H4309="W3","W3_"&amp;IF(I4309="","unknown",I4309),H4309))</f>
        <v/>
      </c>
      <c r="Q4309">
        <f>IF(P4309="","",IFERROR(IF(AND(H4309="W7",OR(F4309="causal",F4309="predictive")),IF(AND(OR(K4309=1,K4309="1"),OR(L4309=1,L4309="1"),OR(M4309=1,M4309="1")),"adequate","partial"),IF(AND(H4309="W4",F4309="predictive",OR(J4309="P2",J4309="P3",J4309="P4")),IF(OR(U4309=1,U4309="1"),"adequate","partial"),INDEX(Fit_Matrix!$B:$B,MATCH(P4309,Fit_Matrix!$A:$A,0)))),"CHECK KEY"))</f>
        <v/>
      </c>
      <c r="U4309" s="10" t="n"/>
      <c r="V4309" s="10" t="n"/>
      <c r="W4309" s="10" t="n"/>
      <c r="X4309" s="10" t="n"/>
      <c r="Y4309" s="10" t="n"/>
      <c r="Z4309" s="10" t="n"/>
      <c r="AA4309" s="11">
        <f>IF(A4309="","",IF(AND(J4309="P4",F4309="causal"),"P4-CAUSAL",""))</f>
        <v/>
      </c>
    </row>
    <row r="4310" ht="15" customHeight="1" s="1">
      <c r="P4310">
        <f>IF(OR(F4310="",H4310="",J4310=""),"",J4310&amp;"|"&amp;F4310&amp;"|"&amp;IF(H4310="W3","W3_"&amp;IF(I4310="","unknown",I4310),H4310))</f>
        <v/>
      </c>
      <c r="Q4310">
        <f>IF(P4310="","",IFERROR(IF(AND(H4310="W7",OR(F4310="causal",F4310="predictive")),IF(AND(OR(K4310=1,K4310="1"),OR(L4310=1,L4310="1"),OR(M4310=1,M4310="1")),"adequate","partial"),IF(AND(H4310="W4",F4310="predictive",OR(J4310="P2",J4310="P3",J4310="P4")),IF(OR(U4310=1,U4310="1"),"adequate","partial"),INDEX(Fit_Matrix!$B:$B,MATCH(P4310,Fit_Matrix!$A:$A,0)))),"CHECK KEY"))</f>
        <v/>
      </c>
      <c r="U4310" s="10" t="n"/>
      <c r="V4310" s="10" t="n"/>
      <c r="W4310" s="10" t="n"/>
      <c r="X4310" s="10" t="n"/>
      <c r="Y4310" s="10" t="n"/>
      <c r="Z4310" s="10" t="n"/>
      <c r="AA4310" s="11">
        <f>IF(A4310="","",IF(AND(J4310="P4",F4310="causal"),"P4-CAUSAL",""))</f>
        <v/>
      </c>
    </row>
    <row r="4311" ht="15" customHeight="1" s="1">
      <c r="P4311">
        <f>IF(OR(F4311="",H4311="",J4311=""),"",J4311&amp;"|"&amp;F4311&amp;"|"&amp;IF(H4311="W3","W3_"&amp;IF(I4311="","unknown",I4311),H4311))</f>
        <v/>
      </c>
      <c r="Q4311">
        <f>IF(P4311="","",IFERROR(IF(AND(H4311="W7",OR(F4311="causal",F4311="predictive")),IF(AND(OR(K4311=1,K4311="1"),OR(L4311=1,L4311="1"),OR(M4311=1,M4311="1")),"adequate","partial"),IF(AND(H4311="W4",F4311="predictive",OR(J4311="P2",J4311="P3",J4311="P4")),IF(OR(U4311=1,U4311="1"),"adequate","partial"),INDEX(Fit_Matrix!$B:$B,MATCH(P4311,Fit_Matrix!$A:$A,0)))),"CHECK KEY"))</f>
        <v/>
      </c>
      <c r="U4311" s="10" t="n"/>
      <c r="V4311" s="10" t="n"/>
      <c r="W4311" s="10" t="n"/>
      <c r="X4311" s="10" t="n"/>
      <c r="Y4311" s="10" t="n"/>
      <c r="Z4311" s="10" t="n"/>
      <c r="AA4311" s="11">
        <f>IF(A4311="","",IF(AND(J4311="P4",F4311="causal"),"P4-CAUSAL",""))</f>
        <v/>
      </c>
    </row>
    <row r="4312" ht="15" customHeight="1" s="1">
      <c r="P4312">
        <f>IF(OR(F4312="",H4312="",J4312=""),"",J4312&amp;"|"&amp;F4312&amp;"|"&amp;IF(H4312="W3","W3_"&amp;IF(I4312="","unknown",I4312),H4312))</f>
        <v/>
      </c>
      <c r="Q4312">
        <f>IF(P4312="","",IFERROR(IF(AND(H4312="W7",OR(F4312="causal",F4312="predictive")),IF(AND(OR(K4312=1,K4312="1"),OR(L4312=1,L4312="1"),OR(M4312=1,M4312="1")),"adequate","partial"),IF(AND(H4312="W4",F4312="predictive",OR(J4312="P2",J4312="P3",J4312="P4")),IF(OR(U4312=1,U4312="1"),"adequate","partial"),INDEX(Fit_Matrix!$B:$B,MATCH(P4312,Fit_Matrix!$A:$A,0)))),"CHECK KEY"))</f>
        <v/>
      </c>
      <c r="U4312" s="10" t="n"/>
      <c r="V4312" s="10" t="n"/>
      <c r="W4312" s="10" t="n"/>
      <c r="X4312" s="10" t="n"/>
      <c r="Y4312" s="10" t="n"/>
      <c r="Z4312" s="10" t="n"/>
      <c r="AA4312" s="11">
        <f>IF(A4312="","",IF(AND(J4312="P4",F4312="causal"),"P4-CAUSAL",""))</f>
        <v/>
      </c>
    </row>
    <row r="4313" ht="15" customHeight="1" s="1">
      <c r="P4313">
        <f>IF(OR(F4313="",H4313="",J4313=""),"",J4313&amp;"|"&amp;F4313&amp;"|"&amp;IF(H4313="W3","W3_"&amp;IF(I4313="","unknown",I4313),H4313))</f>
        <v/>
      </c>
      <c r="Q4313">
        <f>IF(P4313="","",IFERROR(IF(AND(H4313="W7",OR(F4313="causal",F4313="predictive")),IF(AND(OR(K4313=1,K4313="1"),OR(L4313=1,L4313="1"),OR(M4313=1,M4313="1")),"adequate","partial"),IF(AND(H4313="W4",F4313="predictive",OR(J4313="P2",J4313="P3",J4313="P4")),IF(OR(U4313=1,U4313="1"),"adequate","partial"),INDEX(Fit_Matrix!$B:$B,MATCH(P4313,Fit_Matrix!$A:$A,0)))),"CHECK KEY"))</f>
        <v/>
      </c>
      <c r="U4313" s="10" t="n"/>
      <c r="V4313" s="10" t="n"/>
      <c r="W4313" s="10" t="n"/>
      <c r="X4313" s="10" t="n"/>
      <c r="Y4313" s="10" t="n"/>
      <c r="Z4313" s="10" t="n"/>
      <c r="AA4313" s="11">
        <f>IF(A4313="","",IF(AND(J4313="P4",F4313="causal"),"P4-CAUSAL",""))</f>
        <v/>
      </c>
    </row>
    <row r="4314" ht="15" customHeight="1" s="1">
      <c r="P4314">
        <f>IF(OR(F4314="",H4314="",J4314=""),"",J4314&amp;"|"&amp;F4314&amp;"|"&amp;IF(H4314="W3","W3_"&amp;IF(I4314="","unknown",I4314),H4314))</f>
        <v/>
      </c>
      <c r="Q4314">
        <f>IF(P4314="","",IFERROR(IF(AND(H4314="W7",OR(F4314="causal",F4314="predictive")),IF(AND(OR(K4314=1,K4314="1"),OR(L4314=1,L4314="1"),OR(M4314=1,M4314="1")),"adequate","partial"),IF(AND(H4314="W4",F4314="predictive",OR(J4314="P2",J4314="P3",J4314="P4")),IF(OR(U4314=1,U4314="1"),"adequate","partial"),INDEX(Fit_Matrix!$B:$B,MATCH(P4314,Fit_Matrix!$A:$A,0)))),"CHECK KEY"))</f>
        <v/>
      </c>
      <c r="U4314" s="10" t="n"/>
      <c r="V4314" s="10" t="n"/>
      <c r="W4314" s="10" t="n"/>
      <c r="X4314" s="10" t="n"/>
      <c r="Y4314" s="10" t="n"/>
      <c r="Z4314" s="10" t="n"/>
      <c r="AA4314" s="11">
        <f>IF(A4314="","",IF(AND(J4314="P4",F4314="causal"),"P4-CAUSAL",""))</f>
        <v/>
      </c>
    </row>
    <row r="4315" ht="15" customHeight="1" s="1">
      <c r="P4315">
        <f>IF(OR(F4315="",H4315="",J4315=""),"",J4315&amp;"|"&amp;F4315&amp;"|"&amp;IF(H4315="W3","W3_"&amp;IF(I4315="","unknown",I4315),H4315))</f>
        <v/>
      </c>
      <c r="Q4315">
        <f>IF(P4315="","",IFERROR(IF(AND(H4315="W7",OR(F4315="causal",F4315="predictive")),IF(AND(OR(K4315=1,K4315="1"),OR(L4315=1,L4315="1"),OR(M4315=1,M4315="1")),"adequate","partial"),IF(AND(H4315="W4",F4315="predictive",OR(J4315="P2",J4315="P3",J4315="P4")),IF(OR(U4315=1,U4315="1"),"adequate","partial"),INDEX(Fit_Matrix!$B:$B,MATCH(P4315,Fit_Matrix!$A:$A,0)))),"CHECK KEY"))</f>
        <v/>
      </c>
      <c r="U4315" s="10" t="n"/>
      <c r="V4315" s="10" t="n"/>
      <c r="W4315" s="10" t="n"/>
      <c r="X4315" s="10" t="n"/>
      <c r="Y4315" s="10" t="n"/>
      <c r="Z4315" s="10" t="n"/>
      <c r="AA4315" s="11">
        <f>IF(A4315="","",IF(AND(J4315="P4",F4315="causal"),"P4-CAUSAL",""))</f>
        <v/>
      </c>
    </row>
    <row r="4316" ht="15" customHeight="1" s="1">
      <c r="P4316">
        <f>IF(OR(F4316="",H4316="",J4316=""),"",J4316&amp;"|"&amp;F4316&amp;"|"&amp;IF(H4316="W3","W3_"&amp;IF(I4316="","unknown",I4316),H4316))</f>
        <v/>
      </c>
      <c r="Q4316">
        <f>IF(P4316="","",IFERROR(IF(AND(H4316="W7",OR(F4316="causal",F4316="predictive")),IF(AND(OR(K4316=1,K4316="1"),OR(L4316=1,L4316="1"),OR(M4316=1,M4316="1")),"adequate","partial"),IF(AND(H4316="W4",F4316="predictive",OR(J4316="P2",J4316="P3",J4316="P4")),IF(OR(U4316=1,U4316="1"),"adequate","partial"),INDEX(Fit_Matrix!$B:$B,MATCH(P4316,Fit_Matrix!$A:$A,0)))),"CHECK KEY"))</f>
        <v/>
      </c>
      <c r="U4316" s="10" t="n"/>
      <c r="V4316" s="10" t="n"/>
      <c r="W4316" s="10" t="n"/>
      <c r="X4316" s="10" t="n"/>
      <c r="Y4316" s="10" t="n"/>
      <c r="Z4316" s="10" t="n"/>
      <c r="AA4316" s="11">
        <f>IF(A4316="","",IF(AND(J4316="P4",F4316="causal"),"P4-CAUSAL",""))</f>
        <v/>
      </c>
    </row>
    <row r="4317" ht="15" customHeight="1" s="1">
      <c r="P4317">
        <f>IF(OR(F4317="",H4317="",J4317=""),"",J4317&amp;"|"&amp;F4317&amp;"|"&amp;IF(H4317="W3","W3_"&amp;IF(I4317="","unknown",I4317),H4317))</f>
        <v/>
      </c>
      <c r="Q4317">
        <f>IF(P4317="","",IFERROR(IF(AND(H4317="W7",OR(F4317="causal",F4317="predictive")),IF(AND(OR(K4317=1,K4317="1"),OR(L4317=1,L4317="1"),OR(M4317=1,M4317="1")),"adequate","partial"),IF(AND(H4317="W4",F4317="predictive",OR(J4317="P2",J4317="P3",J4317="P4")),IF(OR(U4317=1,U4317="1"),"adequate","partial"),INDEX(Fit_Matrix!$B:$B,MATCH(P4317,Fit_Matrix!$A:$A,0)))),"CHECK KEY"))</f>
        <v/>
      </c>
      <c r="U4317" s="10" t="n"/>
      <c r="V4317" s="10" t="n"/>
      <c r="W4317" s="10" t="n"/>
      <c r="X4317" s="10" t="n"/>
      <c r="Y4317" s="10" t="n"/>
      <c r="Z4317" s="10" t="n"/>
      <c r="AA4317" s="11">
        <f>IF(A4317="","",IF(AND(J4317="P4",F4317="causal"),"P4-CAUSAL",""))</f>
        <v/>
      </c>
    </row>
    <row r="4318" ht="15" customHeight="1" s="1">
      <c r="P4318">
        <f>IF(OR(F4318="",H4318="",J4318=""),"",J4318&amp;"|"&amp;F4318&amp;"|"&amp;IF(H4318="W3","W3_"&amp;IF(I4318="","unknown",I4318),H4318))</f>
        <v/>
      </c>
      <c r="Q4318">
        <f>IF(P4318="","",IFERROR(IF(AND(H4318="W7",OR(F4318="causal",F4318="predictive")),IF(AND(OR(K4318=1,K4318="1"),OR(L4318=1,L4318="1"),OR(M4318=1,M4318="1")),"adequate","partial"),IF(AND(H4318="W4",F4318="predictive",OR(J4318="P2",J4318="P3",J4318="P4")),IF(OR(U4318=1,U4318="1"),"adequate","partial"),INDEX(Fit_Matrix!$B:$B,MATCH(P4318,Fit_Matrix!$A:$A,0)))),"CHECK KEY"))</f>
        <v/>
      </c>
      <c r="U4318" s="10" t="n"/>
      <c r="V4318" s="10" t="n"/>
      <c r="W4318" s="10" t="n"/>
      <c r="X4318" s="10" t="n"/>
      <c r="Y4318" s="10" t="n"/>
      <c r="Z4318" s="10" t="n"/>
      <c r="AA4318" s="11">
        <f>IF(A4318="","",IF(AND(J4318="P4",F4318="causal"),"P4-CAUSAL",""))</f>
        <v/>
      </c>
    </row>
    <row r="4319" ht="15" customHeight="1" s="1">
      <c r="P4319">
        <f>IF(OR(F4319="",H4319="",J4319=""),"",J4319&amp;"|"&amp;F4319&amp;"|"&amp;IF(H4319="W3","W3_"&amp;IF(I4319="","unknown",I4319),H4319))</f>
        <v/>
      </c>
      <c r="Q4319">
        <f>IF(P4319="","",IFERROR(IF(AND(H4319="W7",OR(F4319="causal",F4319="predictive")),IF(AND(OR(K4319=1,K4319="1"),OR(L4319=1,L4319="1"),OR(M4319=1,M4319="1")),"adequate","partial"),IF(AND(H4319="W4",F4319="predictive",OR(J4319="P2",J4319="P3",J4319="P4")),IF(OR(U4319=1,U4319="1"),"adequate","partial"),INDEX(Fit_Matrix!$B:$B,MATCH(P4319,Fit_Matrix!$A:$A,0)))),"CHECK KEY"))</f>
        <v/>
      </c>
      <c r="U4319" s="10" t="n"/>
      <c r="V4319" s="10" t="n"/>
      <c r="W4319" s="10" t="n"/>
      <c r="X4319" s="10" t="n"/>
      <c r="Y4319" s="10" t="n"/>
      <c r="Z4319" s="10" t="n"/>
      <c r="AA4319" s="11">
        <f>IF(A4319="","",IF(AND(J4319="P4",F4319="causal"),"P4-CAUSAL",""))</f>
        <v/>
      </c>
    </row>
    <row r="4320" ht="15" customHeight="1" s="1">
      <c r="P4320">
        <f>IF(OR(F4320="",H4320="",J4320=""),"",J4320&amp;"|"&amp;F4320&amp;"|"&amp;IF(H4320="W3","W3_"&amp;IF(I4320="","unknown",I4320),H4320))</f>
        <v/>
      </c>
      <c r="Q4320">
        <f>IF(P4320="","",IFERROR(IF(AND(H4320="W7",OR(F4320="causal",F4320="predictive")),IF(AND(OR(K4320=1,K4320="1"),OR(L4320=1,L4320="1"),OR(M4320=1,M4320="1")),"adequate","partial"),IF(AND(H4320="W4",F4320="predictive",OR(J4320="P2",J4320="P3",J4320="P4")),IF(OR(U4320=1,U4320="1"),"adequate","partial"),INDEX(Fit_Matrix!$B:$B,MATCH(P4320,Fit_Matrix!$A:$A,0)))),"CHECK KEY"))</f>
        <v/>
      </c>
      <c r="U4320" s="10" t="n"/>
      <c r="V4320" s="10" t="n"/>
      <c r="W4320" s="10" t="n"/>
      <c r="X4320" s="10" t="n"/>
      <c r="Y4320" s="10" t="n"/>
      <c r="Z4320" s="10" t="n"/>
      <c r="AA4320" s="11">
        <f>IF(A4320="","",IF(AND(J4320="P4",F4320="causal"),"P4-CAUSAL",""))</f>
        <v/>
      </c>
    </row>
    <row r="4321" ht="15" customHeight="1" s="1">
      <c r="P4321">
        <f>IF(OR(F4321="",H4321="",J4321=""),"",J4321&amp;"|"&amp;F4321&amp;"|"&amp;IF(H4321="W3","W3_"&amp;IF(I4321="","unknown",I4321),H4321))</f>
        <v/>
      </c>
      <c r="Q4321">
        <f>IF(P4321="","",IFERROR(IF(AND(H4321="W7",OR(F4321="causal",F4321="predictive")),IF(AND(OR(K4321=1,K4321="1"),OR(L4321=1,L4321="1"),OR(M4321=1,M4321="1")),"adequate","partial"),IF(AND(H4321="W4",F4321="predictive",OR(J4321="P2",J4321="P3",J4321="P4")),IF(OR(U4321=1,U4321="1"),"adequate","partial"),INDEX(Fit_Matrix!$B:$B,MATCH(P4321,Fit_Matrix!$A:$A,0)))),"CHECK KEY"))</f>
        <v/>
      </c>
      <c r="U4321" s="10" t="n"/>
      <c r="V4321" s="10" t="n"/>
      <c r="W4321" s="10" t="n"/>
      <c r="X4321" s="10" t="n"/>
      <c r="Y4321" s="10" t="n"/>
      <c r="Z4321" s="10" t="n"/>
      <c r="AA4321" s="11">
        <f>IF(A4321="","",IF(AND(J4321="P4",F4321="causal"),"P4-CAUSAL",""))</f>
        <v/>
      </c>
    </row>
    <row r="4322" ht="15" customHeight="1" s="1">
      <c r="P4322">
        <f>IF(OR(F4322="",H4322="",J4322=""),"",J4322&amp;"|"&amp;F4322&amp;"|"&amp;IF(H4322="W3","W3_"&amp;IF(I4322="","unknown",I4322),H4322))</f>
        <v/>
      </c>
      <c r="Q4322">
        <f>IF(P4322="","",IFERROR(IF(AND(H4322="W7",OR(F4322="causal",F4322="predictive")),IF(AND(OR(K4322=1,K4322="1"),OR(L4322=1,L4322="1"),OR(M4322=1,M4322="1")),"adequate","partial"),IF(AND(H4322="W4",F4322="predictive",OR(J4322="P2",J4322="P3",J4322="P4")),IF(OR(U4322=1,U4322="1"),"adequate","partial"),INDEX(Fit_Matrix!$B:$B,MATCH(P4322,Fit_Matrix!$A:$A,0)))),"CHECK KEY"))</f>
        <v/>
      </c>
      <c r="U4322" s="10" t="n"/>
      <c r="V4322" s="10" t="n"/>
      <c r="W4322" s="10" t="n"/>
      <c r="X4322" s="10" t="n"/>
      <c r="Y4322" s="10" t="n"/>
      <c r="Z4322" s="10" t="n"/>
      <c r="AA4322" s="11">
        <f>IF(A4322="","",IF(AND(J4322="P4",F4322="causal"),"P4-CAUSAL",""))</f>
        <v/>
      </c>
    </row>
    <row r="4323" ht="15" customHeight="1" s="1">
      <c r="P4323">
        <f>IF(OR(F4323="",H4323="",J4323=""),"",J4323&amp;"|"&amp;F4323&amp;"|"&amp;IF(H4323="W3","W3_"&amp;IF(I4323="","unknown",I4323),H4323))</f>
        <v/>
      </c>
      <c r="Q4323">
        <f>IF(P4323="","",IFERROR(IF(AND(H4323="W7",OR(F4323="causal",F4323="predictive")),IF(AND(OR(K4323=1,K4323="1"),OR(L4323=1,L4323="1"),OR(M4323=1,M4323="1")),"adequate","partial"),IF(AND(H4323="W4",F4323="predictive",OR(J4323="P2",J4323="P3",J4323="P4")),IF(OR(U4323=1,U4323="1"),"adequate","partial"),INDEX(Fit_Matrix!$B:$B,MATCH(P4323,Fit_Matrix!$A:$A,0)))),"CHECK KEY"))</f>
        <v/>
      </c>
      <c r="U4323" s="10" t="n"/>
      <c r="V4323" s="10" t="n"/>
      <c r="W4323" s="10" t="n"/>
      <c r="X4323" s="10" t="n"/>
      <c r="Y4323" s="10" t="n"/>
      <c r="Z4323" s="10" t="n"/>
      <c r="AA4323" s="11">
        <f>IF(A4323="","",IF(AND(J4323="P4",F4323="causal"),"P4-CAUSAL",""))</f>
        <v/>
      </c>
    </row>
    <row r="4324" ht="15" customHeight="1" s="1">
      <c r="P4324">
        <f>IF(OR(F4324="",H4324="",J4324=""),"",J4324&amp;"|"&amp;F4324&amp;"|"&amp;IF(H4324="W3","W3_"&amp;IF(I4324="","unknown",I4324),H4324))</f>
        <v/>
      </c>
      <c r="Q4324">
        <f>IF(P4324="","",IFERROR(IF(AND(H4324="W7",OR(F4324="causal",F4324="predictive")),IF(AND(OR(K4324=1,K4324="1"),OR(L4324=1,L4324="1"),OR(M4324=1,M4324="1")),"adequate","partial"),IF(AND(H4324="W4",F4324="predictive",OR(J4324="P2",J4324="P3",J4324="P4")),IF(OR(U4324=1,U4324="1"),"adequate","partial"),INDEX(Fit_Matrix!$B:$B,MATCH(P4324,Fit_Matrix!$A:$A,0)))),"CHECK KEY"))</f>
        <v/>
      </c>
      <c r="U4324" s="10" t="n"/>
      <c r="V4324" s="10" t="n"/>
      <c r="W4324" s="10" t="n"/>
      <c r="X4324" s="10" t="n"/>
      <c r="Y4324" s="10" t="n"/>
      <c r="Z4324" s="10" t="n"/>
      <c r="AA4324" s="11">
        <f>IF(A4324="","",IF(AND(J4324="P4",F4324="causal"),"P4-CAUSAL",""))</f>
        <v/>
      </c>
    </row>
    <row r="4325" ht="15" customHeight="1" s="1">
      <c r="P4325">
        <f>IF(OR(F4325="",H4325="",J4325=""),"",J4325&amp;"|"&amp;F4325&amp;"|"&amp;IF(H4325="W3","W3_"&amp;IF(I4325="","unknown",I4325),H4325))</f>
        <v/>
      </c>
      <c r="Q4325">
        <f>IF(P4325="","",IFERROR(IF(AND(H4325="W7",OR(F4325="causal",F4325="predictive")),IF(AND(OR(K4325=1,K4325="1"),OR(L4325=1,L4325="1"),OR(M4325=1,M4325="1")),"adequate","partial"),IF(AND(H4325="W4",F4325="predictive",OR(J4325="P2",J4325="P3",J4325="P4")),IF(OR(U4325=1,U4325="1"),"adequate","partial"),INDEX(Fit_Matrix!$B:$B,MATCH(P4325,Fit_Matrix!$A:$A,0)))),"CHECK KEY"))</f>
        <v/>
      </c>
      <c r="U4325" s="10" t="n"/>
      <c r="V4325" s="10" t="n"/>
      <c r="W4325" s="10" t="n"/>
      <c r="X4325" s="10" t="n"/>
      <c r="Y4325" s="10" t="n"/>
      <c r="Z4325" s="10" t="n"/>
      <c r="AA4325" s="11">
        <f>IF(A4325="","",IF(AND(J4325="P4",F4325="causal"),"P4-CAUSAL",""))</f>
        <v/>
      </c>
    </row>
    <row r="4326" ht="15" customHeight="1" s="1">
      <c r="P4326">
        <f>IF(OR(F4326="",H4326="",J4326=""),"",J4326&amp;"|"&amp;F4326&amp;"|"&amp;IF(H4326="W3","W3_"&amp;IF(I4326="","unknown",I4326),H4326))</f>
        <v/>
      </c>
      <c r="Q4326">
        <f>IF(P4326="","",IFERROR(IF(AND(H4326="W7",OR(F4326="causal",F4326="predictive")),IF(AND(OR(K4326=1,K4326="1"),OR(L4326=1,L4326="1"),OR(M4326=1,M4326="1")),"adequate","partial"),IF(AND(H4326="W4",F4326="predictive",OR(J4326="P2",J4326="P3",J4326="P4")),IF(OR(U4326=1,U4326="1"),"adequate","partial"),INDEX(Fit_Matrix!$B:$B,MATCH(P4326,Fit_Matrix!$A:$A,0)))),"CHECK KEY"))</f>
        <v/>
      </c>
      <c r="U4326" s="10" t="n"/>
      <c r="V4326" s="10" t="n"/>
      <c r="W4326" s="10" t="n"/>
      <c r="X4326" s="10" t="n"/>
      <c r="Y4326" s="10" t="n"/>
      <c r="Z4326" s="10" t="n"/>
      <c r="AA4326" s="11">
        <f>IF(A4326="","",IF(AND(J4326="P4",F4326="causal"),"P4-CAUSAL",""))</f>
        <v/>
      </c>
    </row>
    <row r="4327" ht="15" customHeight="1" s="1">
      <c r="P4327">
        <f>IF(OR(F4327="",H4327="",J4327=""),"",J4327&amp;"|"&amp;F4327&amp;"|"&amp;IF(H4327="W3","W3_"&amp;IF(I4327="","unknown",I4327),H4327))</f>
        <v/>
      </c>
      <c r="Q4327">
        <f>IF(P4327="","",IFERROR(IF(AND(H4327="W7",OR(F4327="causal",F4327="predictive")),IF(AND(OR(K4327=1,K4327="1"),OR(L4327=1,L4327="1"),OR(M4327=1,M4327="1")),"adequate","partial"),IF(AND(H4327="W4",F4327="predictive",OR(J4327="P2",J4327="P3",J4327="P4")),IF(OR(U4327=1,U4327="1"),"adequate","partial"),INDEX(Fit_Matrix!$B:$B,MATCH(P4327,Fit_Matrix!$A:$A,0)))),"CHECK KEY"))</f>
        <v/>
      </c>
      <c r="U4327" s="10" t="n"/>
      <c r="V4327" s="10" t="n"/>
      <c r="W4327" s="10" t="n"/>
      <c r="X4327" s="10" t="n"/>
      <c r="Y4327" s="10" t="n"/>
      <c r="Z4327" s="10" t="n"/>
      <c r="AA4327" s="11">
        <f>IF(A4327="","",IF(AND(J4327="P4",F4327="causal"),"P4-CAUSAL",""))</f>
        <v/>
      </c>
    </row>
    <row r="4328" ht="15" customHeight="1" s="1">
      <c r="P4328">
        <f>IF(OR(F4328="",H4328="",J4328=""),"",J4328&amp;"|"&amp;F4328&amp;"|"&amp;IF(H4328="W3","W3_"&amp;IF(I4328="","unknown",I4328),H4328))</f>
        <v/>
      </c>
      <c r="Q4328">
        <f>IF(P4328="","",IFERROR(IF(AND(H4328="W7",OR(F4328="causal",F4328="predictive")),IF(AND(OR(K4328=1,K4328="1"),OR(L4328=1,L4328="1"),OR(M4328=1,M4328="1")),"adequate","partial"),IF(AND(H4328="W4",F4328="predictive",OR(J4328="P2",J4328="P3",J4328="P4")),IF(OR(U4328=1,U4328="1"),"adequate","partial"),INDEX(Fit_Matrix!$B:$B,MATCH(P4328,Fit_Matrix!$A:$A,0)))),"CHECK KEY"))</f>
        <v/>
      </c>
      <c r="U4328" s="10" t="n"/>
      <c r="V4328" s="10" t="n"/>
      <c r="W4328" s="10" t="n"/>
      <c r="X4328" s="10" t="n"/>
      <c r="Y4328" s="10" t="n"/>
      <c r="Z4328" s="10" t="n"/>
      <c r="AA4328" s="11">
        <f>IF(A4328="","",IF(AND(J4328="P4",F4328="causal"),"P4-CAUSAL",""))</f>
        <v/>
      </c>
    </row>
    <row r="4329" ht="15" customHeight="1" s="1">
      <c r="P4329">
        <f>IF(OR(F4329="",H4329="",J4329=""),"",J4329&amp;"|"&amp;F4329&amp;"|"&amp;IF(H4329="W3","W3_"&amp;IF(I4329="","unknown",I4329),H4329))</f>
        <v/>
      </c>
      <c r="Q4329">
        <f>IF(P4329="","",IFERROR(IF(AND(H4329="W7",OR(F4329="causal",F4329="predictive")),IF(AND(OR(K4329=1,K4329="1"),OR(L4329=1,L4329="1"),OR(M4329=1,M4329="1")),"adequate","partial"),IF(AND(H4329="W4",F4329="predictive",OR(J4329="P2",J4329="P3",J4329="P4")),IF(OR(U4329=1,U4329="1"),"adequate","partial"),INDEX(Fit_Matrix!$B:$B,MATCH(P4329,Fit_Matrix!$A:$A,0)))),"CHECK KEY"))</f>
        <v/>
      </c>
      <c r="U4329" s="10" t="n"/>
      <c r="V4329" s="10" t="n"/>
      <c r="W4329" s="10" t="n"/>
      <c r="X4329" s="10" t="n"/>
      <c r="Y4329" s="10" t="n"/>
      <c r="Z4329" s="10" t="n"/>
      <c r="AA4329" s="11">
        <f>IF(A4329="","",IF(AND(J4329="P4",F4329="causal"),"P4-CAUSAL",""))</f>
        <v/>
      </c>
    </row>
    <row r="4330" ht="15" customHeight="1" s="1">
      <c r="P4330">
        <f>IF(OR(F4330="",H4330="",J4330=""),"",J4330&amp;"|"&amp;F4330&amp;"|"&amp;IF(H4330="W3","W3_"&amp;IF(I4330="","unknown",I4330),H4330))</f>
        <v/>
      </c>
      <c r="Q4330">
        <f>IF(P4330="","",IFERROR(IF(AND(H4330="W7",OR(F4330="causal",F4330="predictive")),IF(AND(OR(K4330=1,K4330="1"),OR(L4330=1,L4330="1"),OR(M4330=1,M4330="1")),"adequate","partial"),IF(AND(H4330="W4",F4330="predictive",OR(J4330="P2",J4330="P3",J4330="P4")),IF(OR(U4330=1,U4330="1"),"adequate","partial"),INDEX(Fit_Matrix!$B:$B,MATCH(P4330,Fit_Matrix!$A:$A,0)))),"CHECK KEY"))</f>
        <v/>
      </c>
      <c r="U4330" s="10" t="n"/>
      <c r="V4330" s="10" t="n"/>
      <c r="W4330" s="10" t="n"/>
      <c r="X4330" s="10" t="n"/>
      <c r="Y4330" s="10" t="n"/>
      <c r="Z4330" s="10" t="n"/>
      <c r="AA4330" s="11">
        <f>IF(A4330="","",IF(AND(J4330="P4",F4330="causal"),"P4-CAUSAL",""))</f>
        <v/>
      </c>
    </row>
    <row r="4331" ht="15" customHeight="1" s="1">
      <c r="P4331">
        <f>IF(OR(F4331="",H4331="",J4331=""),"",J4331&amp;"|"&amp;F4331&amp;"|"&amp;IF(H4331="W3","W3_"&amp;IF(I4331="","unknown",I4331),H4331))</f>
        <v/>
      </c>
      <c r="Q4331">
        <f>IF(P4331="","",IFERROR(IF(AND(H4331="W7",OR(F4331="causal",F4331="predictive")),IF(AND(OR(K4331=1,K4331="1"),OR(L4331=1,L4331="1"),OR(M4331=1,M4331="1")),"adequate","partial"),IF(AND(H4331="W4",F4331="predictive",OR(J4331="P2",J4331="P3",J4331="P4")),IF(OR(U4331=1,U4331="1"),"adequate","partial"),INDEX(Fit_Matrix!$B:$B,MATCH(P4331,Fit_Matrix!$A:$A,0)))),"CHECK KEY"))</f>
        <v/>
      </c>
      <c r="U4331" s="10" t="n"/>
      <c r="V4331" s="10" t="n"/>
      <c r="W4331" s="10" t="n"/>
      <c r="X4331" s="10" t="n"/>
      <c r="Y4331" s="10" t="n"/>
      <c r="Z4331" s="10" t="n"/>
      <c r="AA4331" s="11">
        <f>IF(A4331="","",IF(AND(J4331="P4",F4331="causal"),"P4-CAUSAL",""))</f>
        <v/>
      </c>
    </row>
    <row r="4332" ht="15" customHeight="1" s="1">
      <c r="P4332">
        <f>IF(OR(F4332="",H4332="",J4332=""),"",J4332&amp;"|"&amp;F4332&amp;"|"&amp;IF(H4332="W3","W3_"&amp;IF(I4332="","unknown",I4332),H4332))</f>
        <v/>
      </c>
      <c r="Q4332">
        <f>IF(P4332="","",IFERROR(IF(AND(H4332="W7",OR(F4332="causal",F4332="predictive")),IF(AND(OR(K4332=1,K4332="1"),OR(L4332=1,L4332="1"),OR(M4332=1,M4332="1")),"adequate","partial"),IF(AND(H4332="W4",F4332="predictive",OR(J4332="P2",J4332="P3",J4332="P4")),IF(OR(U4332=1,U4332="1"),"adequate","partial"),INDEX(Fit_Matrix!$B:$B,MATCH(P4332,Fit_Matrix!$A:$A,0)))),"CHECK KEY"))</f>
        <v/>
      </c>
      <c r="U4332" s="10" t="n"/>
      <c r="V4332" s="10" t="n"/>
      <c r="W4332" s="10" t="n"/>
      <c r="X4332" s="10" t="n"/>
      <c r="Y4332" s="10" t="n"/>
      <c r="Z4332" s="10" t="n"/>
      <c r="AA4332" s="11">
        <f>IF(A4332="","",IF(AND(J4332="P4",F4332="causal"),"P4-CAUSAL",""))</f>
        <v/>
      </c>
    </row>
    <row r="4333" ht="15" customHeight="1" s="1">
      <c r="P4333">
        <f>IF(OR(F4333="",H4333="",J4333=""),"",J4333&amp;"|"&amp;F4333&amp;"|"&amp;IF(H4333="W3","W3_"&amp;IF(I4333="","unknown",I4333),H4333))</f>
        <v/>
      </c>
      <c r="Q4333">
        <f>IF(P4333="","",IFERROR(IF(AND(H4333="W7",OR(F4333="causal",F4333="predictive")),IF(AND(OR(K4333=1,K4333="1"),OR(L4333=1,L4333="1"),OR(M4333=1,M4333="1")),"adequate","partial"),IF(AND(H4333="W4",F4333="predictive",OR(J4333="P2",J4333="P3",J4333="P4")),IF(OR(U4333=1,U4333="1"),"adequate","partial"),INDEX(Fit_Matrix!$B:$B,MATCH(P4333,Fit_Matrix!$A:$A,0)))),"CHECK KEY"))</f>
        <v/>
      </c>
      <c r="U4333" s="10" t="n"/>
      <c r="V4333" s="10" t="n"/>
      <c r="W4333" s="10" t="n"/>
      <c r="X4333" s="10" t="n"/>
      <c r="Y4333" s="10" t="n"/>
      <c r="Z4333" s="10" t="n"/>
      <c r="AA4333" s="11">
        <f>IF(A4333="","",IF(AND(J4333="P4",F4333="causal"),"P4-CAUSAL",""))</f>
        <v/>
      </c>
    </row>
    <row r="4334" ht="15" customHeight="1" s="1">
      <c r="P4334">
        <f>IF(OR(F4334="",H4334="",J4334=""),"",J4334&amp;"|"&amp;F4334&amp;"|"&amp;IF(H4334="W3","W3_"&amp;IF(I4334="","unknown",I4334),H4334))</f>
        <v/>
      </c>
      <c r="Q4334">
        <f>IF(P4334="","",IFERROR(IF(AND(H4334="W7",OR(F4334="causal",F4334="predictive")),IF(AND(OR(K4334=1,K4334="1"),OR(L4334=1,L4334="1"),OR(M4334=1,M4334="1")),"adequate","partial"),IF(AND(H4334="W4",F4334="predictive",OR(J4334="P2",J4334="P3",J4334="P4")),IF(OR(U4334=1,U4334="1"),"adequate","partial"),INDEX(Fit_Matrix!$B:$B,MATCH(P4334,Fit_Matrix!$A:$A,0)))),"CHECK KEY"))</f>
        <v/>
      </c>
      <c r="U4334" s="10" t="n"/>
      <c r="V4334" s="10" t="n"/>
      <c r="W4334" s="10" t="n"/>
      <c r="X4334" s="10" t="n"/>
      <c r="Y4334" s="10" t="n"/>
      <c r="Z4334" s="10" t="n"/>
      <c r="AA4334" s="11">
        <f>IF(A4334="","",IF(AND(J4334="P4",F4334="causal"),"P4-CAUSAL",""))</f>
        <v/>
      </c>
    </row>
    <row r="4335" ht="15" customHeight="1" s="1">
      <c r="P4335">
        <f>IF(OR(F4335="",H4335="",J4335=""),"",J4335&amp;"|"&amp;F4335&amp;"|"&amp;IF(H4335="W3","W3_"&amp;IF(I4335="","unknown",I4335),H4335))</f>
        <v/>
      </c>
      <c r="Q4335">
        <f>IF(P4335="","",IFERROR(IF(AND(H4335="W7",OR(F4335="causal",F4335="predictive")),IF(AND(OR(K4335=1,K4335="1"),OR(L4335=1,L4335="1"),OR(M4335=1,M4335="1")),"adequate","partial"),IF(AND(H4335="W4",F4335="predictive",OR(J4335="P2",J4335="P3",J4335="P4")),IF(OR(U4335=1,U4335="1"),"adequate","partial"),INDEX(Fit_Matrix!$B:$B,MATCH(P4335,Fit_Matrix!$A:$A,0)))),"CHECK KEY"))</f>
        <v/>
      </c>
      <c r="U4335" s="10" t="n"/>
      <c r="V4335" s="10" t="n"/>
      <c r="W4335" s="10" t="n"/>
      <c r="X4335" s="10" t="n"/>
      <c r="Y4335" s="10" t="n"/>
      <c r="Z4335" s="10" t="n"/>
      <c r="AA4335" s="11">
        <f>IF(A4335="","",IF(AND(J4335="P4",F4335="causal"),"P4-CAUSAL",""))</f>
        <v/>
      </c>
    </row>
    <row r="4336" ht="15" customHeight="1" s="1">
      <c r="P4336">
        <f>IF(OR(F4336="",H4336="",J4336=""),"",J4336&amp;"|"&amp;F4336&amp;"|"&amp;IF(H4336="W3","W3_"&amp;IF(I4336="","unknown",I4336),H4336))</f>
        <v/>
      </c>
      <c r="Q4336">
        <f>IF(P4336="","",IFERROR(IF(AND(H4336="W7",OR(F4336="causal",F4336="predictive")),IF(AND(OR(K4336=1,K4336="1"),OR(L4336=1,L4336="1"),OR(M4336=1,M4336="1")),"adequate","partial"),IF(AND(H4336="W4",F4336="predictive",OR(J4336="P2",J4336="P3",J4336="P4")),IF(OR(U4336=1,U4336="1"),"adequate","partial"),INDEX(Fit_Matrix!$B:$B,MATCH(P4336,Fit_Matrix!$A:$A,0)))),"CHECK KEY"))</f>
        <v/>
      </c>
      <c r="U4336" s="10" t="n"/>
      <c r="V4336" s="10" t="n"/>
      <c r="W4336" s="10" t="n"/>
      <c r="X4336" s="10" t="n"/>
      <c r="Y4336" s="10" t="n"/>
      <c r="Z4336" s="10" t="n"/>
      <c r="AA4336" s="11">
        <f>IF(A4336="","",IF(AND(J4336="P4",F4336="causal"),"P4-CAUSAL",""))</f>
        <v/>
      </c>
    </row>
    <row r="4337" ht="15" customHeight="1" s="1">
      <c r="P4337">
        <f>IF(OR(F4337="",H4337="",J4337=""),"",J4337&amp;"|"&amp;F4337&amp;"|"&amp;IF(H4337="W3","W3_"&amp;IF(I4337="","unknown",I4337),H4337))</f>
        <v/>
      </c>
      <c r="Q4337">
        <f>IF(P4337="","",IFERROR(IF(AND(H4337="W7",OR(F4337="causal",F4337="predictive")),IF(AND(OR(K4337=1,K4337="1"),OR(L4337=1,L4337="1"),OR(M4337=1,M4337="1")),"adequate","partial"),IF(AND(H4337="W4",F4337="predictive",OR(J4337="P2",J4337="P3",J4337="P4")),IF(OR(U4337=1,U4337="1"),"adequate","partial"),INDEX(Fit_Matrix!$B:$B,MATCH(P4337,Fit_Matrix!$A:$A,0)))),"CHECK KEY"))</f>
        <v/>
      </c>
      <c r="U4337" s="10" t="n"/>
      <c r="V4337" s="10" t="n"/>
      <c r="W4337" s="10" t="n"/>
      <c r="X4337" s="10" t="n"/>
      <c r="Y4337" s="10" t="n"/>
      <c r="Z4337" s="10" t="n"/>
      <c r="AA4337" s="11">
        <f>IF(A4337="","",IF(AND(J4337="P4",F4337="causal"),"P4-CAUSAL",""))</f>
        <v/>
      </c>
    </row>
    <row r="4338" ht="15" customHeight="1" s="1">
      <c r="P4338">
        <f>IF(OR(F4338="",H4338="",J4338=""),"",J4338&amp;"|"&amp;F4338&amp;"|"&amp;IF(H4338="W3","W3_"&amp;IF(I4338="","unknown",I4338),H4338))</f>
        <v/>
      </c>
      <c r="Q4338">
        <f>IF(P4338="","",IFERROR(IF(AND(H4338="W7",OR(F4338="causal",F4338="predictive")),IF(AND(OR(K4338=1,K4338="1"),OR(L4338=1,L4338="1"),OR(M4338=1,M4338="1")),"adequate","partial"),IF(AND(H4338="W4",F4338="predictive",OR(J4338="P2",J4338="P3",J4338="P4")),IF(OR(U4338=1,U4338="1"),"adequate","partial"),INDEX(Fit_Matrix!$B:$B,MATCH(P4338,Fit_Matrix!$A:$A,0)))),"CHECK KEY"))</f>
        <v/>
      </c>
      <c r="U4338" s="10" t="n"/>
      <c r="V4338" s="10" t="n"/>
      <c r="W4338" s="10" t="n"/>
      <c r="X4338" s="10" t="n"/>
      <c r="Y4338" s="10" t="n"/>
      <c r="Z4338" s="10" t="n"/>
      <c r="AA4338" s="11">
        <f>IF(A4338="","",IF(AND(J4338="P4",F4338="causal"),"P4-CAUSAL",""))</f>
        <v/>
      </c>
    </row>
    <row r="4339" ht="15" customHeight="1" s="1">
      <c r="P4339">
        <f>IF(OR(F4339="",H4339="",J4339=""),"",J4339&amp;"|"&amp;F4339&amp;"|"&amp;IF(H4339="W3","W3_"&amp;IF(I4339="","unknown",I4339),H4339))</f>
        <v/>
      </c>
      <c r="Q4339">
        <f>IF(P4339="","",IFERROR(IF(AND(H4339="W7",OR(F4339="causal",F4339="predictive")),IF(AND(OR(K4339=1,K4339="1"),OR(L4339=1,L4339="1"),OR(M4339=1,M4339="1")),"adequate","partial"),IF(AND(H4339="W4",F4339="predictive",OR(J4339="P2",J4339="P3",J4339="P4")),IF(OR(U4339=1,U4339="1"),"adequate","partial"),INDEX(Fit_Matrix!$B:$B,MATCH(P4339,Fit_Matrix!$A:$A,0)))),"CHECK KEY"))</f>
        <v/>
      </c>
      <c r="U4339" s="10" t="n"/>
      <c r="V4339" s="10" t="n"/>
      <c r="W4339" s="10" t="n"/>
      <c r="X4339" s="10" t="n"/>
      <c r="Y4339" s="10" t="n"/>
      <c r="Z4339" s="10" t="n"/>
      <c r="AA4339" s="11">
        <f>IF(A4339="","",IF(AND(J4339="P4",F4339="causal"),"P4-CAUSAL",""))</f>
        <v/>
      </c>
    </row>
    <row r="4340" ht="15" customHeight="1" s="1">
      <c r="P4340">
        <f>IF(OR(F4340="",H4340="",J4340=""),"",J4340&amp;"|"&amp;F4340&amp;"|"&amp;IF(H4340="W3","W3_"&amp;IF(I4340="","unknown",I4340),H4340))</f>
        <v/>
      </c>
      <c r="Q4340">
        <f>IF(P4340="","",IFERROR(IF(AND(H4340="W7",OR(F4340="causal",F4340="predictive")),IF(AND(OR(K4340=1,K4340="1"),OR(L4340=1,L4340="1"),OR(M4340=1,M4340="1")),"adequate","partial"),IF(AND(H4340="W4",F4340="predictive",OR(J4340="P2",J4340="P3",J4340="P4")),IF(OR(U4340=1,U4340="1"),"adequate","partial"),INDEX(Fit_Matrix!$B:$B,MATCH(P4340,Fit_Matrix!$A:$A,0)))),"CHECK KEY"))</f>
        <v/>
      </c>
      <c r="U4340" s="10" t="n"/>
      <c r="V4340" s="10" t="n"/>
      <c r="W4340" s="10" t="n"/>
      <c r="X4340" s="10" t="n"/>
      <c r="Y4340" s="10" t="n"/>
      <c r="Z4340" s="10" t="n"/>
      <c r="AA4340" s="11">
        <f>IF(A4340="","",IF(AND(J4340="P4",F4340="causal"),"P4-CAUSAL",""))</f>
        <v/>
      </c>
    </row>
    <row r="4341" ht="15" customHeight="1" s="1">
      <c r="P4341">
        <f>IF(OR(F4341="",H4341="",J4341=""),"",J4341&amp;"|"&amp;F4341&amp;"|"&amp;IF(H4341="W3","W3_"&amp;IF(I4341="","unknown",I4341),H4341))</f>
        <v/>
      </c>
      <c r="Q4341">
        <f>IF(P4341="","",IFERROR(IF(AND(H4341="W7",OR(F4341="causal",F4341="predictive")),IF(AND(OR(K4341=1,K4341="1"),OR(L4341=1,L4341="1"),OR(M4341=1,M4341="1")),"adequate","partial"),IF(AND(H4341="W4",F4341="predictive",OR(J4341="P2",J4341="P3",J4341="P4")),IF(OR(U4341=1,U4341="1"),"adequate","partial"),INDEX(Fit_Matrix!$B:$B,MATCH(P4341,Fit_Matrix!$A:$A,0)))),"CHECK KEY"))</f>
        <v/>
      </c>
      <c r="U4341" s="10" t="n"/>
      <c r="V4341" s="10" t="n"/>
      <c r="W4341" s="10" t="n"/>
      <c r="X4341" s="10" t="n"/>
      <c r="Y4341" s="10" t="n"/>
      <c r="Z4341" s="10" t="n"/>
      <c r="AA4341" s="11">
        <f>IF(A4341="","",IF(AND(J4341="P4",F4341="causal"),"P4-CAUSAL",""))</f>
        <v/>
      </c>
    </row>
    <row r="4342" ht="15" customHeight="1" s="1">
      <c r="P4342">
        <f>IF(OR(F4342="",H4342="",J4342=""),"",J4342&amp;"|"&amp;F4342&amp;"|"&amp;IF(H4342="W3","W3_"&amp;IF(I4342="","unknown",I4342),H4342))</f>
        <v/>
      </c>
      <c r="Q4342">
        <f>IF(P4342="","",IFERROR(IF(AND(H4342="W7",OR(F4342="causal",F4342="predictive")),IF(AND(OR(K4342=1,K4342="1"),OR(L4342=1,L4342="1"),OR(M4342=1,M4342="1")),"adequate","partial"),IF(AND(H4342="W4",F4342="predictive",OR(J4342="P2",J4342="P3",J4342="P4")),IF(OR(U4342=1,U4342="1"),"adequate","partial"),INDEX(Fit_Matrix!$B:$B,MATCH(P4342,Fit_Matrix!$A:$A,0)))),"CHECK KEY"))</f>
        <v/>
      </c>
      <c r="U4342" s="10" t="n"/>
      <c r="V4342" s="10" t="n"/>
      <c r="W4342" s="10" t="n"/>
      <c r="X4342" s="10" t="n"/>
      <c r="Y4342" s="10" t="n"/>
      <c r="Z4342" s="10" t="n"/>
      <c r="AA4342" s="11">
        <f>IF(A4342="","",IF(AND(J4342="P4",F4342="causal"),"P4-CAUSAL",""))</f>
        <v/>
      </c>
    </row>
    <row r="4343" ht="15" customHeight="1" s="1">
      <c r="P4343">
        <f>IF(OR(F4343="",H4343="",J4343=""),"",J4343&amp;"|"&amp;F4343&amp;"|"&amp;IF(H4343="W3","W3_"&amp;IF(I4343="","unknown",I4343),H4343))</f>
        <v/>
      </c>
      <c r="Q4343">
        <f>IF(P4343="","",IFERROR(IF(AND(H4343="W7",OR(F4343="causal",F4343="predictive")),IF(AND(OR(K4343=1,K4343="1"),OR(L4343=1,L4343="1"),OR(M4343=1,M4343="1")),"adequate","partial"),IF(AND(H4343="W4",F4343="predictive",OR(J4343="P2",J4343="P3",J4343="P4")),IF(OR(U4343=1,U4343="1"),"adequate","partial"),INDEX(Fit_Matrix!$B:$B,MATCH(P4343,Fit_Matrix!$A:$A,0)))),"CHECK KEY"))</f>
        <v/>
      </c>
      <c r="U4343" s="10" t="n"/>
      <c r="V4343" s="10" t="n"/>
      <c r="W4343" s="10" t="n"/>
      <c r="X4343" s="10" t="n"/>
      <c r="Y4343" s="10" t="n"/>
      <c r="Z4343" s="10" t="n"/>
      <c r="AA4343" s="11">
        <f>IF(A4343="","",IF(AND(J4343="P4",F4343="causal"),"P4-CAUSAL",""))</f>
        <v/>
      </c>
    </row>
    <row r="4344" ht="15" customHeight="1" s="1">
      <c r="P4344">
        <f>IF(OR(F4344="",H4344="",J4344=""),"",J4344&amp;"|"&amp;F4344&amp;"|"&amp;IF(H4344="W3","W3_"&amp;IF(I4344="","unknown",I4344),H4344))</f>
        <v/>
      </c>
      <c r="Q4344">
        <f>IF(P4344="","",IFERROR(IF(AND(H4344="W7",OR(F4344="causal",F4344="predictive")),IF(AND(OR(K4344=1,K4344="1"),OR(L4344=1,L4344="1"),OR(M4344=1,M4344="1")),"adequate","partial"),IF(AND(H4344="W4",F4344="predictive",OR(J4344="P2",J4344="P3",J4344="P4")),IF(OR(U4344=1,U4344="1"),"adequate","partial"),INDEX(Fit_Matrix!$B:$B,MATCH(P4344,Fit_Matrix!$A:$A,0)))),"CHECK KEY"))</f>
        <v/>
      </c>
      <c r="U4344" s="10" t="n"/>
      <c r="V4344" s="10" t="n"/>
      <c r="W4344" s="10" t="n"/>
      <c r="X4344" s="10" t="n"/>
      <c r="Y4344" s="10" t="n"/>
      <c r="Z4344" s="10" t="n"/>
      <c r="AA4344" s="11">
        <f>IF(A4344="","",IF(AND(J4344="P4",F4344="causal"),"P4-CAUSAL",""))</f>
        <v/>
      </c>
    </row>
    <row r="4345" ht="15" customHeight="1" s="1">
      <c r="P4345">
        <f>IF(OR(F4345="",H4345="",J4345=""),"",J4345&amp;"|"&amp;F4345&amp;"|"&amp;IF(H4345="W3","W3_"&amp;IF(I4345="","unknown",I4345),H4345))</f>
        <v/>
      </c>
      <c r="Q4345">
        <f>IF(P4345="","",IFERROR(IF(AND(H4345="W7",OR(F4345="causal",F4345="predictive")),IF(AND(OR(K4345=1,K4345="1"),OR(L4345=1,L4345="1"),OR(M4345=1,M4345="1")),"adequate","partial"),IF(AND(H4345="W4",F4345="predictive",OR(J4345="P2",J4345="P3",J4345="P4")),IF(OR(U4345=1,U4345="1"),"adequate","partial"),INDEX(Fit_Matrix!$B:$B,MATCH(P4345,Fit_Matrix!$A:$A,0)))),"CHECK KEY"))</f>
        <v/>
      </c>
      <c r="U4345" s="10" t="n"/>
      <c r="V4345" s="10" t="n"/>
      <c r="W4345" s="10" t="n"/>
      <c r="X4345" s="10" t="n"/>
      <c r="Y4345" s="10" t="n"/>
      <c r="Z4345" s="10" t="n"/>
      <c r="AA4345" s="11">
        <f>IF(A4345="","",IF(AND(J4345="P4",F4345="causal"),"P4-CAUSAL",""))</f>
        <v/>
      </c>
    </row>
    <row r="4346" ht="15" customHeight="1" s="1">
      <c r="P4346">
        <f>IF(OR(F4346="",H4346="",J4346=""),"",J4346&amp;"|"&amp;F4346&amp;"|"&amp;IF(H4346="W3","W3_"&amp;IF(I4346="","unknown",I4346),H4346))</f>
        <v/>
      </c>
      <c r="Q4346">
        <f>IF(P4346="","",IFERROR(IF(AND(H4346="W7",OR(F4346="causal",F4346="predictive")),IF(AND(OR(K4346=1,K4346="1"),OR(L4346=1,L4346="1"),OR(M4346=1,M4346="1")),"adequate","partial"),IF(AND(H4346="W4",F4346="predictive",OR(J4346="P2",J4346="P3",J4346="P4")),IF(OR(U4346=1,U4346="1"),"adequate","partial"),INDEX(Fit_Matrix!$B:$B,MATCH(P4346,Fit_Matrix!$A:$A,0)))),"CHECK KEY"))</f>
        <v/>
      </c>
      <c r="U4346" s="10" t="n"/>
      <c r="V4346" s="10" t="n"/>
      <c r="W4346" s="10" t="n"/>
      <c r="X4346" s="10" t="n"/>
      <c r="Y4346" s="10" t="n"/>
      <c r="Z4346" s="10" t="n"/>
      <c r="AA4346" s="11">
        <f>IF(A4346="","",IF(AND(J4346="P4",F4346="causal"),"P4-CAUSAL",""))</f>
        <v/>
      </c>
    </row>
    <row r="4347" ht="15" customHeight="1" s="1">
      <c r="P4347">
        <f>IF(OR(F4347="",H4347="",J4347=""),"",J4347&amp;"|"&amp;F4347&amp;"|"&amp;IF(H4347="W3","W3_"&amp;IF(I4347="","unknown",I4347),H4347))</f>
        <v/>
      </c>
      <c r="Q4347">
        <f>IF(P4347="","",IFERROR(IF(AND(H4347="W7",OR(F4347="causal",F4347="predictive")),IF(AND(OR(K4347=1,K4347="1"),OR(L4347=1,L4347="1"),OR(M4347=1,M4347="1")),"adequate","partial"),IF(AND(H4347="W4",F4347="predictive",OR(J4347="P2",J4347="P3",J4347="P4")),IF(OR(U4347=1,U4347="1"),"adequate","partial"),INDEX(Fit_Matrix!$B:$B,MATCH(P4347,Fit_Matrix!$A:$A,0)))),"CHECK KEY"))</f>
        <v/>
      </c>
      <c r="U4347" s="10" t="n"/>
      <c r="V4347" s="10" t="n"/>
      <c r="W4347" s="10" t="n"/>
      <c r="X4347" s="10" t="n"/>
      <c r="Y4347" s="10" t="n"/>
      <c r="Z4347" s="10" t="n"/>
      <c r="AA4347" s="11">
        <f>IF(A4347="","",IF(AND(J4347="P4",F4347="causal"),"P4-CAUSAL",""))</f>
        <v/>
      </c>
    </row>
    <row r="4348" ht="15" customHeight="1" s="1">
      <c r="P4348">
        <f>IF(OR(F4348="",H4348="",J4348=""),"",J4348&amp;"|"&amp;F4348&amp;"|"&amp;IF(H4348="W3","W3_"&amp;IF(I4348="","unknown",I4348),H4348))</f>
        <v/>
      </c>
      <c r="Q4348">
        <f>IF(P4348="","",IFERROR(IF(AND(H4348="W7",OR(F4348="causal",F4348="predictive")),IF(AND(OR(K4348=1,K4348="1"),OR(L4348=1,L4348="1"),OR(M4348=1,M4348="1")),"adequate","partial"),IF(AND(H4348="W4",F4348="predictive",OR(J4348="P2",J4348="P3",J4348="P4")),IF(OR(U4348=1,U4348="1"),"adequate","partial"),INDEX(Fit_Matrix!$B:$B,MATCH(P4348,Fit_Matrix!$A:$A,0)))),"CHECK KEY"))</f>
        <v/>
      </c>
      <c r="U4348" s="10" t="n"/>
      <c r="V4348" s="10" t="n"/>
      <c r="W4348" s="10" t="n"/>
      <c r="X4348" s="10" t="n"/>
      <c r="Y4348" s="10" t="n"/>
      <c r="Z4348" s="10" t="n"/>
      <c r="AA4348" s="11">
        <f>IF(A4348="","",IF(AND(J4348="P4",F4348="causal"),"P4-CAUSAL",""))</f>
        <v/>
      </c>
    </row>
    <row r="4349" ht="15" customHeight="1" s="1">
      <c r="P4349">
        <f>IF(OR(F4349="",H4349="",J4349=""),"",J4349&amp;"|"&amp;F4349&amp;"|"&amp;IF(H4349="W3","W3_"&amp;IF(I4349="","unknown",I4349),H4349))</f>
        <v/>
      </c>
      <c r="Q4349">
        <f>IF(P4349="","",IFERROR(IF(AND(H4349="W7",OR(F4349="causal",F4349="predictive")),IF(AND(OR(K4349=1,K4349="1"),OR(L4349=1,L4349="1"),OR(M4349=1,M4349="1")),"adequate","partial"),IF(AND(H4349="W4",F4349="predictive",OR(J4349="P2",J4349="P3",J4349="P4")),IF(OR(U4349=1,U4349="1"),"adequate","partial"),INDEX(Fit_Matrix!$B:$B,MATCH(P4349,Fit_Matrix!$A:$A,0)))),"CHECK KEY"))</f>
        <v/>
      </c>
      <c r="U4349" s="10" t="n"/>
      <c r="V4349" s="10" t="n"/>
      <c r="W4349" s="10" t="n"/>
      <c r="X4349" s="10" t="n"/>
      <c r="Y4349" s="10" t="n"/>
      <c r="Z4349" s="10" t="n"/>
      <c r="AA4349" s="11">
        <f>IF(A4349="","",IF(AND(J4349="P4",F4349="causal"),"P4-CAUSAL",""))</f>
        <v/>
      </c>
    </row>
    <row r="4350" ht="15" customHeight="1" s="1">
      <c r="P4350">
        <f>IF(OR(F4350="",H4350="",J4350=""),"",J4350&amp;"|"&amp;F4350&amp;"|"&amp;IF(H4350="W3","W3_"&amp;IF(I4350="","unknown",I4350),H4350))</f>
        <v/>
      </c>
      <c r="Q4350">
        <f>IF(P4350="","",IFERROR(IF(AND(H4350="W7",OR(F4350="causal",F4350="predictive")),IF(AND(OR(K4350=1,K4350="1"),OR(L4350=1,L4350="1"),OR(M4350=1,M4350="1")),"adequate","partial"),IF(AND(H4350="W4",F4350="predictive",OR(J4350="P2",J4350="P3",J4350="P4")),IF(OR(U4350=1,U4350="1"),"adequate","partial"),INDEX(Fit_Matrix!$B:$B,MATCH(P4350,Fit_Matrix!$A:$A,0)))),"CHECK KEY"))</f>
        <v/>
      </c>
      <c r="U4350" s="10" t="n"/>
      <c r="V4350" s="10" t="n"/>
      <c r="W4350" s="10" t="n"/>
      <c r="X4350" s="10" t="n"/>
      <c r="Y4350" s="10" t="n"/>
      <c r="Z4350" s="10" t="n"/>
      <c r="AA4350" s="11">
        <f>IF(A4350="","",IF(AND(J4350="P4",F4350="causal"),"P4-CAUSAL",""))</f>
        <v/>
      </c>
    </row>
    <row r="4351" ht="15" customHeight="1" s="1">
      <c r="P4351">
        <f>IF(OR(F4351="",H4351="",J4351=""),"",J4351&amp;"|"&amp;F4351&amp;"|"&amp;IF(H4351="W3","W3_"&amp;IF(I4351="","unknown",I4351),H4351))</f>
        <v/>
      </c>
      <c r="Q4351">
        <f>IF(P4351="","",IFERROR(IF(AND(H4351="W7",OR(F4351="causal",F4351="predictive")),IF(AND(OR(K4351=1,K4351="1"),OR(L4351=1,L4351="1"),OR(M4351=1,M4351="1")),"adequate","partial"),IF(AND(H4351="W4",F4351="predictive",OR(J4351="P2",J4351="P3",J4351="P4")),IF(OR(U4351=1,U4351="1"),"adequate","partial"),INDEX(Fit_Matrix!$B:$B,MATCH(P4351,Fit_Matrix!$A:$A,0)))),"CHECK KEY"))</f>
        <v/>
      </c>
      <c r="U4351" s="10" t="n"/>
      <c r="V4351" s="10" t="n"/>
      <c r="W4351" s="10" t="n"/>
      <c r="X4351" s="10" t="n"/>
      <c r="Y4351" s="10" t="n"/>
      <c r="Z4351" s="10" t="n"/>
      <c r="AA4351" s="11">
        <f>IF(A4351="","",IF(AND(J4351="P4",F4351="causal"),"P4-CAUSAL",""))</f>
        <v/>
      </c>
    </row>
    <row r="4352" ht="15" customHeight="1" s="1">
      <c r="P4352">
        <f>IF(OR(F4352="",H4352="",J4352=""),"",J4352&amp;"|"&amp;F4352&amp;"|"&amp;IF(H4352="W3","W3_"&amp;IF(I4352="","unknown",I4352),H4352))</f>
        <v/>
      </c>
      <c r="Q4352">
        <f>IF(P4352="","",IFERROR(IF(AND(H4352="W7",OR(F4352="causal",F4352="predictive")),IF(AND(OR(K4352=1,K4352="1"),OR(L4352=1,L4352="1"),OR(M4352=1,M4352="1")),"adequate","partial"),IF(AND(H4352="W4",F4352="predictive",OR(J4352="P2",J4352="P3",J4352="P4")),IF(OR(U4352=1,U4352="1"),"adequate","partial"),INDEX(Fit_Matrix!$B:$B,MATCH(P4352,Fit_Matrix!$A:$A,0)))),"CHECK KEY"))</f>
        <v/>
      </c>
      <c r="U4352" s="10" t="n"/>
      <c r="V4352" s="10" t="n"/>
      <c r="W4352" s="10" t="n"/>
      <c r="X4352" s="10" t="n"/>
      <c r="Y4352" s="10" t="n"/>
      <c r="Z4352" s="10" t="n"/>
      <c r="AA4352" s="11">
        <f>IF(A4352="","",IF(AND(J4352="P4",F4352="causal"),"P4-CAUSAL",""))</f>
        <v/>
      </c>
    </row>
    <row r="4353" ht="15" customHeight="1" s="1">
      <c r="P4353">
        <f>IF(OR(F4353="",H4353="",J4353=""),"",J4353&amp;"|"&amp;F4353&amp;"|"&amp;IF(H4353="W3","W3_"&amp;IF(I4353="","unknown",I4353),H4353))</f>
        <v/>
      </c>
      <c r="Q4353">
        <f>IF(P4353="","",IFERROR(IF(AND(H4353="W7",OR(F4353="causal",F4353="predictive")),IF(AND(OR(K4353=1,K4353="1"),OR(L4353=1,L4353="1"),OR(M4353=1,M4353="1")),"adequate","partial"),IF(AND(H4353="W4",F4353="predictive",OR(J4353="P2",J4353="P3",J4353="P4")),IF(OR(U4353=1,U4353="1"),"adequate","partial"),INDEX(Fit_Matrix!$B:$B,MATCH(P4353,Fit_Matrix!$A:$A,0)))),"CHECK KEY"))</f>
        <v/>
      </c>
      <c r="U4353" s="10" t="n"/>
      <c r="V4353" s="10" t="n"/>
      <c r="W4353" s="10" t="n"/>
      <c r="X4353" s="10" t="n"/>
      <c r="Y4353" s="10" t="n"/>
      <c r="Z4353" s="10" t="n"/>
      <c r="AA4353" s="11">
        <f>IF(A4353="","",IF(AND(J4353="P4",F4353="causal"),"P4-CAUSAL",""))</f>
        <v/>
      </c>
    </row>
    <row r="4354" ht="15" customHeight="1" s="1">
      <c r="P4354">
        <f>IF(OR(F4354="",H4354="",J4354=""),"",J4354&amp;"|"&amp;F4354&amp;"|"&amp;IF(H4354="W3","W3_"&amp;IF(I4354="","unknown",I4354),H4354))</f>
        <v/>
      </c>
      <c r="Q4354">
        <f>IF(P4354="","",IFERROR(IF(AND(H4354="W7",OR(F4354="causal",F4354="predictive")),IF(AND(OR(K4354=1,K4354="1"),OR(L4354=1,L4354="1"),OR(M4354=1,M4354="1")),"adequate","partial"),IF(AND(H4354="W4",F4354="predictive",OR(J4354="P2",J4354="P3",J4354="P4")),IF(OR(U4354=1,U4354="1"),"adequate","partial"),INDEX(Fit_Matrix!$B:$B,MATCH(P4354,Fit_Matrix!$A:$A,0)))),"CHECK KEY"))</f>
        <v/>
      </c>
      <c r="U4354" s="10" t="n"/>
      <c r="V4354" s="10" t="n"/>
      <c r="W4354" s="10" t="n"/>
      <c r="X4354" s="10" t="n"/>
      <c r="Y4354" s="10" t="n"/>
      <c r="Z4354" s="10" t="n"/>
      <c r="AA4354" s="11">
        <f>IF(A4354="","",IF(AND(J4354="P4",F4354="causal"),"P4-CAUSAL",""))</f>
        <v/>
      </c>
    </row>
    <row r="4355" ht="15" customHeight="1" s="1">
      <c r="P4355">
        <f>IF(OR(F4355="",H4355="",J4355=""),"",J4355&amp;"|"&amp;F4355&amp;"|"&amp;IF(H4355="W3","W3_"&amp;IF(I4355="","unknown",I4355),H4355))</f>
        <v/>
      </c>
      <c r="Q4355">
        <f>IF(P4355="","",IFERROR(IF(AND(H4355="W7",OR(F4355="causal",F4355="predictive")),IF(AND(OR(K4355=1,K4355="1"),OR(L4355=1,L4355="1"),OR(M4355=1,M4355="1")),"adequate","partial"),IF(AND(H4355="W4",F4355="predictive",OR(J4355="P2",J4355="P3",J4355="P4")),IF(OR(U4355=1,U4355="1"),"adequate","partial"),INDEX(Fit_Matrix!$B:$B,MATCH(P4355,Fit_Matrix!$A:$A,0)))),"CHECK KEY"))</f>
        <v/>
      </c>
      <c r="U4355" s="10" t="n"/>
      <c r="V4355" s="10" t="n"/>
      <c r="W4355" s="10" t="n"/>
      <c r="X4355" s="10" t="n"/>
      <c r="Y4355" s="10" t="n"/>
      <c r="Z4355" s="10" t="n"/>
      <c r="AA4355" s="11">
        <f>IF(A4355="","",IF(AND(J4355="P4",F4355="causal"),"P4-CAUSAL",""))</f>
        <v/>
      </c>
    </row>
    <row r="4356" ht="15" customHeight="1" s="1">
      <c r="P4356">
        <f>IF(OR(F4356="",H4356="",J4356=""),"",J4356&amp;"|"&amp;F4356&amp;"|"&amp;IF(H4356="W3","W3_"&amp;IF(I4356="","unknown",I4356),H4356))</f>
        <v/>
      </c>
      <c r="Q4356">
        <f>IF(P4356="","",IFERROR(IF(AND(H4356="W7",OR(F4356="causal",F4356="predictive")),IF(AND(OR(K4356=1,K4356="1"),OR(L4356=1,L4356="1"),OR(M4356=1,M4356="1")),"adequate","partial"),IF(AND(H4356="W4",F4356="predictive",OR(J4356="P2",J4356="P3",J4356="P4")),IF(OR(U4356=1,U4356="1"),"adequate","partial"),INDEX(Fit_Matrix!$B:$B,MATCH(P4356,Fit_Matrix!$A:$A,0)))),"CHECK KEY"))</f>
        <v/>
      </c>
      <c r="U4356" s="10" t="n"/>
      <c r="V4356" s="10" t="n"/>
      <c r="W4356" s="10" t="n"/>
      <c r="X4356" s="10" t="n"/>
      <c r="Y4356" s="10" t="n"/>
      <c r="Z4356" s="10" t="n"/>
      <c r="AA4356" s="11">
        <f>IF(A4356="","",IF(AND(J4356="P4",F4356="causal"),"P4-CAUSAL",""))</f>
        <v/>
      </c>
    </row>
    <row r="4357" ht="15" customHeight="1" s="1">
      <c r="P4357">
        <f>IF(OR(F4357="",H4357="",J4357=""),"",J4357&amp;"|"&amp;F4357&amp;"|"&amp;IF(H4357="W3","W3_"&amp;IF(I4357="","unknown",I4357),H4357))</f>
        <v/>
      </c>
      <c r="Q4357">
        <f>IF(P4357="","",IFERROR(IF(AND(H4357="W7",OR(F4357="causal",F4357="predictive")),IF(AND(OR(K4357=1,K4357="1"),OR(L4357=1,L4357="1"),OR(M4357=1,M4357="1")),"adequate","partial"),IF(AND(H4357="W4",F4357="predictive",OR(J4357="P2",J4357="P3",J4357="P4")),IF(OR(U4357=1,U4357="1"),"adequate","partial"),INDEX(Fit_Matrix!$B:$B,MATCH(P4357,Fit_Matrix!$A:$A,0)))),"CHECK KEY"))</f>
        <v/>
      </c>
      <c r="U4357" s="10" t="n"/>
      <c r="V4357" s="10" t="n"/>
      <c r="W4357" s="10" t="n"/>
      <c r="X4357" s="10" t="n"/>
      <c r="Y4357" s="10" t="n"/>
      <c r="Z4357" s="10" t="n"/>
      <c r="AA4357" s="11">
        <f>IF(A4357="","",IF(AND(J4357="P4",F4357="causal"),"P4-CAUSAL",""))</f>
        <v/>
      </c>
    </row>
    <row r="4358" ht="15" customHeight="1" s="1">
      <c r="P4358">
        <f>IF(OR(F4358="",H4358="",J4358=""),"",J4358&amp;"|"&amp;F4358&amp;"|"&amp;IF(H4358="W3","W3_"&amp;IF(I4358="","unknown",I4358),H4358))</f>
        <v/>
      </c>
      <c r="Q4358">
        <f>IF(P4358="","",IFERROR(IF(AND(H4358="W7",OR(F4358="causal",F4358="predictive")),IF(AND(OR(K4358=1,K4358="1"),OR(L4358=1,L4358="1"),OR(M4358=1,M4358="1")),"adequate","partial"),IF(AND(H4358="W4",F4358="predictive",OR(J4358="P2",J4358="P3",J4358="P4")),IF(OR(U4358=1,U4358="1"),"adequate","partial"),INDEX(Fit_Matrix!$B:$B,MATCH(P4358,Fit_Matrix!$A:$A,0)))),"CHECK KEY"))</f>
        <v/>
      </c>
      <c r="U4358" s="10" t="n"/>
      <c r="V4358" s="10" t="n"/>
      <c r="W4358" s="10" t="n"/>
      <c r="X4358" s="10" t="n"/>
      <c r="Y4358" s="10" t="n"/>
      <c r="Z4358" s="10" t="n"/>
      <c r="AA4358" s="11">
        <f>IF(A4358="","",IF(AND(J4358="P4",F4358="causal"),"P4-CAUSAL",""))</f>
        <v/>
      </c>
    </row>
    <row r="4359" ht="15" customHeight="1" s="1">
      <c r="P4359">
        <f>IF(OR(F4359="",H4359="",J4359=""),"",J4359&amp;"|"&amp;F4359&amp;"|"&amp;IF(H4359="W3","W3_"&amp;IF(I4359="","unknown",I4359),H4359))</f>
        <v/>
      </c>
      <c r="Q4359">
        <f>IF(P4359="","",IFERROR(IF(AND(H4359="W7",OR(F4359="causal",F4359="predictive")),IF(AND(OR(K4359=1,K4359="1"),OR(L4359=1,L4359="1"),OR(M4359=1,M4359="1")),"adequate","partial"),IF(AND(H4359="W4",F4359="predictive",OR(J4359="P2",J4359="P3",J4359="P4")),IF(OR(U4359=1,U4359="1"),"adequate","partial"),INDEX(Fit_Matrix!$B:$B,MATCH(P4359,Fit_Matrix!$A:$A,0)))),"CHECK KEY"))</f>
        <v/>
      </c>
      <c r="U4359" s="10" t="n"/>
      <c r="V4359" s="10" t="n"/>
      <c r="W4359" s="10" t="n"/>
      <c r="X4359" s="10" t="n"/>
      <c r="Y4359" s="10" t="n"/>
      <c r="Z4359" s="10" t="n"/>
      <c r="AA4359" s="11">
        <f>IF(A4359="","",IF(AND(J4359="P4",F4359="causal"),"P4-CAUSAL",""))</f>
        <v/>
      </c>
    </row>
    <row r="4360" ht="15" customHeight="1" s="1">
      <c r="P4360">
        <f>IF(OR(F4360="",H4360="",J4360=""),"",J4360&amp;"|"&amp;F4360&amp;"|"&amp;IF(H4360="W3","W3_"&amp;IF(I4360="","unknown",I4360),H4360))</f>
        <v/>
      </c>
      <c r="Q4360">
        <f>IF(P4360="","",IFERROR(IF(AND(H4360="W7",OR(F4360="causal",F4360="predictive")),IF(AND(OR(K4360=1,K4360="1"),OR(L4360=1,L4360="1"),OR(M4360=1,M4360="1")),"adequate","partial"),IF(AND(H4360="W4",F4360="predictive",OR(J4360="P2",J4360="P3",J4360="P4")),IF(OR(U4360=1,U4360="1"),"adequate","partial"),INDEX(Fit_Matrix!$B:$B,MATCH(P4360,Fit_Matrix!$A:$A,0)))),"CHECK KEY"))</f>
        <v/>
      </c>
      <c r="U4360" s="10" t="n"/>
      <c r="V4360" s="10" t="n"/>
      <c r="W4360" s="10" t="n"/>
      <c r="X4360" s="10" t="n"/>
      <c r="Y4360" s="10" t="n"/>
      <c r="Z4360" s="10" t="n"/>
      <c r="AA4360" s="11">
        <f>IF(A4360="","",IF(AND(J4360="P4",F4360="causal"),"P4-CAUSAL",""))</f>
        <v/>
      </c>
    </row>
    <row r="4361" ht="15" customHeight="1" s="1">
      <c r="P4361">
        <f>IF(OR(F4361="",H4361="",J4361=""),"",J4361&amp;"|"&amp;F4361&amp;"|"&amp;IF(H4361="W3","W3_"&amp;IF(I4361="","unknown",I4361),H4361))</f>
        <v/>
      </c>
      <c r="Q4361">
        <f>IF(P4361="","",IFERROR(IF(AND(H4361="W7",OR(F4361="causal",F4361="predictive")),IF(AND(OR(K4361=1,K4361="1"),OR(L4361=1,L4361="1"),OR(M4361=1,M4361="1")),"adequate","partial"),IF(AND(H4361="W4",F4361="predictive",OR(J4361="P2",J4361="P3",J4361="P4")),IF(OR(U4361=1,U4361="1"),"adequate","partial"),INDEX(Fit_Matrix!$B:$B,MATCH(P4361,Fit_Matrix!$A:$A,0)))),"CHECK KEY"))</f>
        <v/>
      </c>
      <c r="U4361" s="10" t="n"/>
      <c r="V4361" s="10" t="n"/>
      <c r="W4361" s="10" t="n"/>
      <c r="X4361" s="10" t="n"/>
      <c r="Y4361" s="10" t="n"/>
      <c r="Z4361" s="10" t="n"/>
      <c r="AA4361" s="11">
        <f>IF(A4361="","",IF(AND(J4361="P4",F4361="causal"),"P4-CAUSAL",""))</f>
        <v/>
      </c>
    </row>
    <row r="4362" ht="15" customHeight="1" s="1">
      <c r="P4362">
        <f>IF(OR(F4362="",H4362="",J4362=""),"",J4362&amp;"|"&amp;F4362&amp;"|"&amp;IF(H4362="W3","W3_"&amp;IF(I4362="","unknown",I4362),H4362))</f>
        <v/>
      </c>
      <c r="Q4362">
        <f>IF(P4362="","",IFERROR(IF(AND(H4362="W7",OR(F4362="causal",F4362="predictive")),IF(AND(OR(K4362=1,K4362="1"),OR(L4362=1,L4362="1"),OR(M4362=1,M4362="1")),"adequate","partial"),IF(AND(H4362="W4",F4362="predictive",OR(J4362="P2",J4362="P3",J4362="P4")),IF(OR(U4362=1,U4362="1"),"adequate","partial"),INDEX(Fit_Matrix!$B:$B,MATCH(P4362,Fit_Matrix!$A:$A,0)))),"CHECK KEY"))</f>
        <v/>
      </c>
      <c r="U4362" s="10" t="n"/>
      <c r="V4362" s="10" t="n"/>
      <c r="W4362" s="10" t="n"/>
      <c r="X4362" s="10" t="n"/>
      <c r="Y4362" s="10" t="n"/>
      <c r="Z4362" s="10" t="n"/>
      <c r="AA4362" s="11">
        <f>IF(A4362="","",IF(AND(J4362="P4",F4362="causal"),"P4-CAUSAL",""))</f>
        <v/>
      </c>
    </row>
    <row r="4363" ht="15" customHeight="1" s="1">
      <c r="P4363">
        <f>IF(OR(F4363="",H4363="",J4363=""),"",J4363&amp;"|"&amp;F4363&amp;"|"&amp;IF(H4363="W3","W3_"&amp;IF(I4363="","unknown",I4363),H4363))</f>
        <v/>
      </c>
      <c r="Q4363">
        <f>IF(P4363="","",IFERROR(IF(AND(H4363="W7",OR(F4363="causal",F4363="predictive")),IF(AND(OR(K4363=1,K4363="1"),OR(L4363=1,L4363="1"),OR(M4363=1,M4363="1")),"adequate","partial"),IF(AND(H4363="W4",F4363="predictive",OR(J4363="P2",J4363="P3",J4363="P4")),IF(OR(U4363=1,U4363="1"),"adequate","partial"),INDEX(Fit_Matrix!$B:$B,MATCH(P4363,Fit_Matrix!$A:$A,0)))),"CHECK KEY"))</f>
        <v/>
      </c>
      <c r="U4363" s="10" t="n"/>
      <c r="V4363" s="10" t="n"/>
      <c r="W4363" s="10" t="n"/>
      <c r="X4363" s="10" t="n"/>
      <c r="Y4363" s="10" t="n"/>
      <c r="Z4363" s="10" t="n"/>
      <c r="AA4363" s="11">
        <f>IF(A4363="","",IF(AND(J4363="P4",F4363="causal"),"P4-CAUSAL",""))</f>
        <v/>
      </c>
    </row>
    <row r="4364" ht="15" customHeight="1" s="1">
      <c r="P4364">
        <f>IF(OR(F4364="",H4364="",J4364=""),"",J4364&amp;"|"&amp;F4364&amp;"|"&amp;IF(H4364="W3","W3_"&amp;IF(I4364="","unknown",I4364),H4364))</f>
        <v/>
      </c>
      <c r="Q4364">
        <f>IF(P4364="","",IFERROR(IF(AND(H4364="W7",OR(F4364="causal",F4364="predictive")),IF(AND(OR(K4364=1,K4364="1"),OR(L4364=1,L4364="1"),OR(M4364=1,M4364="1")),"adequate","partial"),IF(AND(H4364="W4",F4364="predictive",OR(J4364="P2",J4364="P3",J4364="P4")),IF(OR(U4364=1,U4364="1"),"adequate","partial"),INDEX(Fit_Matrix!$B:$B,MATCH(P4364,Fit_Matrix!$A:$A,0)))),"CHECK KEY"))</f>
        <v/>
      </c>
      <c r="U4364" s="10" t="n"/>
      <c r="V4364" s="10" t="n"/>
      <c r="W4364" s="10" t="n"/>
      <c r="X4364" s="10" t="n"/>
      <c r="Y4364" s="10" t="n"/>
      <c r="Z4364" s="10" t="n"/>
      <c r="AA4364" s="11">
        <f>IF(A4364="","",IF(AND(J4364="P4",F4364="causal"),"P4-CAUSAL",""))</f>
        <v/>
      </c>
    </row>
    <row r="4365" ht="15" customHeight="1" s="1">
      <c r="P4365">
        <f>IF(OR(F4365="",H4365="",J4365=""),"",J4365&amp;"|"&amp;F4365&amp;"|"&amp;IF(H4365="W3","W3_"&amp;IF(I4365="","unknown",I4365),H4365))</f>
        <v/>
      </c>
      <c r="Q4365">
        <f>IF(P4365="","",IFERROR(IF(AND(H4365="W7",OR(F4365="causal",F4365="predictive")),IF(AND(OR(K4365=1,K4365="1"),OR(L4365=1,L4365="1"),OR(M4365=1,M4365="1")),"adequate","partial"),IF(AND(H4365="W4",F4365="predictive",OR(J4365="P2",J4365="P3",J4365="P4")),IF(OR(U4365=1,U4365="1"),"adequate","partial"),INDEX(Fit_Matrix!$B:$B,MATCH(P4365,Fit_Matrix!$A:$A,0)))),"CHECK KEY"))</f>
        <v/>
      </c>
      <c r="U4365" s="10" t="n"/>
      <c r="V4365" s="10" t="n"/>
      <c r="W4365" s="10" t="n"/>
      <c r="X4365" s="10" t="n"/>
      <c r="Y4365" s="10" t="n"/>
      <c r="Z4365" s="10" t="n"/>
      <c r="AA4365" s="11">
        <f>IF(A4365="","",IF(AND(J4365="P4",F4365="causal"),"P4-CAUSAL",""))</f>
        <v/>
      </c>
    </row>
    <row r="4366" ht="15" customHeight="1" s="1">
      <c r="P4366">
        <f>IF(OR(F4366="",H4366="",J4366=""),"",J4366&amp;"|"&amp;F4366&amp;"|"&amp;IF(H4366="W3","W3_"&amp;IF(I4366="","unknown",I4366),H4366))</f>
        <v/>
      </c>
      <c r="Q4366">
        <f>IF(P4366="","",IFERROR(IF(AND(H4366="W7",OR(F4366="causal",F4366="predictive")),IF(AND(OR(K4366=1,K4366="1"),OR(L4366=1,L4366="1"),OR(M4366=1,M4366="1")),"adequate","partial"),IF(AND(H4366="W4",F4366="predictive",OR(J4366="P2",J4366="P3",J4366="P4")),IF(OR(U4366=1,U4366="1"),"adequate","partial"),INDEX(Fit_Matrix!$B:$B,MATCH(P4366,Fit_Matrix!$A:$A,0)))),"CHECK KEY"))</f>
        <v/>
      </c>
      <c r="U4366" s="10" t="n"/>
      <c r="V4366" s="10" t="n"/>
      <c r="W4366" s="10" t="n"/>
      <c r="X4366" s="10" t="n"/>
      <c r="Y4366" s="10" t="n"/>
      <c r="Z4366" s="10" t="n"/>
      <c r="AA4366" s="11">
        <f>IF(A4366="","",IF(AND(J4366="P4",F4366="causal"),"P4-CAUSAL",""))</f>
        <v/>
      </c>
    </row>
    <row r="4367" ht="15" customHeight="1" s="1">
      <c r="P4367">
        <f>IF(OR(F4367="",H4367="",J4367=""),"",J4367&amp;"|"&amp;F4367&amp;"|"&amp;IF(H4367="W3","W3_"&amp;IF(I4367="","unknown",I4367),H4367))</f>
        <v/>
      </c>
      <c r="Q4367">
        <f>IF(P4367="","",IFERROR(IF(AND(H4367="W7",OR(F4367="causal",F4367="predictive")),IF(AND(OR(K4367=1,K4367="1"),OR(L4367=1,L4367="1"),OR(M4367=1,M4367="1")),"adequate","partial"),IF(AND(H4367="W4",F4367="predictive",OR(J4367="P2",J4367="P3",J4367="P4")),IF(OR(U4367=1,U4367="1"),"adequate","partial"),INDEX(Fit_Matrix!$B:$B,MATCH(P4367,Fit_Matrix!$A:$A,0)))),"CHECK KEY"))</f>
        <v/>
      </c>
      <c r="U4367" s="10" t="n"/>
      <c r="V4367" s="10" t="n"/>
      <c r="W4367" s="10" t="n"/>
      <c r="X4367" s="10" t="n"/>
      <c r="Y4367" s="10" t="n"/>
      <c r="Z4367" s="10" t="n"/>
      <c r="AA4367" s="11">
        <f>IF(A4367="","",IF(AND(J4367="P4",F4367="causal"),"P4-CAUSAL",""))</f>
        <v/>
      </c>
    </row>
    <row r="4368" ht="15" customHeight="1" s="1">
      <c r="P4368">
        <f>IF(OR(F4368="",H4368="",J4368=""),"",J4368&amp;"|"&amp;F4368&amp;"|"&amp;IF(H4368="W3","W3_"&amp;IF(I4368="","unknown",I4368),H4368))</f>
        <v/>
      </c>
      <c r="Q4368">
        <f>IF(P4368="","",IFERROR(IF(AND(H4368="W7",OR(F4368="causal",F4368="predictive")),IF(AND(OR(K4368=1,K4368="1"),OR(L4368=1,L4368="1"),OR(M4368=1,M4368="1")),"adequate","partial"),IF(AND(H4368="W4",F4368="predictive",OR(J4368="P2",J4368="P3",J4368="P4")),IF(OR(U4368=1,U4368="1"),"adequate","partial"),INDEX(Fit_Matrix!$B:$B,MATCH(P4368,Fit_Matrix!$A:$A,0)))),"CHECK KEY"))</f>
        <v/>
      </c>
      <c r="U4368" s="10" t="n"/>
      <c r="V4368" s="10" t="n"/>
      <c r="W4368" s="10" t="n"/>
      <c r="X4368" s="10" t="n"/>
      <c r="Y4368" s="10" t="n"/>
      <c r="Z4368" s="10" t="n"/>
      <c r="AA4368" s="11">
        <f>IF(A4368="","",IF(AND(J4368="P4",F4368="causal"),"P4-CAUSAL",""))</f>
        <v/>
      </c>
    </row>
    <row r="4369" ht="15" customHeight="1" s="1">
      <c r="P4369">
        <f>IF(OR(F4369="",H4369="",J4369=""),"",J4369&amp;"|"&amp;F4369&amp;"|"&amp;IF(H4369="W3","W3_"&amp;IF(I4369="","unknown",I4369),H4369))</f>
        <v/>
      </c>
      <c r="Q4369">
        <f>IF(P4369="","",IFERROR(IF(AND(H4369="W7",OR(F4369="causal",F4369="predictive")),IF(AND(OR(K4369=1,K4369="1"),OR(L4369=1,L4369="1"),OR(M4369=1,M4369="1")),"adequate","partial"),IF(AND(H4369="W4",F4369="predictive",OR(J4369="P2",J4369="P3",J4369="P4")),IF(OR(U4369=1,U4369="1"),"adequate","partial"),INDEX(Fit_Matrix!$B:$B,MATCH(P4369,Fit_Matrix!$A:$A,0)))),"CHECK KEY"))</f>
        <v/>
      </c>
      <c r="U4369" s="10" t="n"/>
      <c r="V4369" s="10" t="n"/>
      <c r="W4369" s="10" t="n"/>
      <c r="X4369" s="10" t="n"/>
      <c r="Y4369" s="10" t="n"/>
      <c r="Z4369" s="10" t="n"/>
      <c r="AA4369" s="11">
        <f>IF(A4369="","",IF(AND(J4369="P4",F4369="causal"),"P4-CAUSAL",""))</f>
        <v/>
      </c>
    </row>
    <row r="4370" ht="15" customHeight="1" s="1">
      <c r="P4370">
        <f>IF(OR(F4370="",H4370="",J4370=""),"",J4370&amp;"|"&amp;F4370&amp;"|"&amp;IF(H4370="W3","W3_"&amp;IF(I4370="","unknown",I4370),H4370))</f>
        <v/>
      </c>
      <c r="Q4370">
        <f>IF(P4370="","",IFERROR(IF(AND(H4370="W7",OR(F4370="causal",F4370="predictive")),IF(AND(OR(K4370=1,K4370="1"),OR(L4370=1,L4370="1"),OR(M4370=1,M4370="1")),"adequate","partial"),IF(AND(H4370="W4",F4370="predictive",OR(J4370="P2",J4370="P3",J4370="P4")),IF(OR(U4370=1,U4370="1"),"adequate","partial"),INDEX(Fit_Matrix!$B:$B,MATCH(P4370,Fit_Matrix!$A:$A,0)))),"CHECK KEY"))</f>
        <v/>
      </c>
      <c r="U4370" s="10" t="n"/>
      <c r="V4370" s="10" t="n"/>
      <c r="W4370" s="10" t="n"/>
      <c r="X4370" s="10" t="n"/>
      <c r="Y4370" s="10" t="n"/>
      <c r="Z4370" s="10" t="n"/>
      <c r="AA4370" s="11">
        <f>IF(A4370="","",IF(AND(J4370="P4",F4370="causal"),"P4-CAUSAL",""))</f>
        <v/>
      </c>
    </row>
    <row r="4371" ht="15" customHeight="1" s="1">
      <c r="P4371">
        <f>IF(OR(F4371="",H4371="",J4371=""),"",J4371&amp;"|"&amp;F4371&amp;"|"&amp;IF(H4371="W3","W3_"&amp;IF(I4371="","unknown",I4371),H4371))</f>
        <v/>
      </c>
      <c r="Q4371">
        <f>IF(P4371="","",IFERROR(IF(AND(H4371="W7",OR(F4371="causal",F4371="predictive")),IF(AND(OR(K4371=1,K4371="1"),OR(L4371=1,L4371="1"),OR(M4371=1,M4371="1")),"adequate","partial"),IF(AND(H4371="W4",F4371="predictive",OR(J4371="P2",J4371="P3",J4371="P4")),IF(OR(U4371=1,U4371="1"),"adequate","partial"),INDEX(Fit_Matrix!$B:$B,MATCH(P4371,Fit_Matrix!$A:$A,0)))),"CHECK KEY"))</f>
        <v/>
      </c>
      <c r="U4371" s="10" t="n"/>
      <c r="V4371" s="10" t="n"/>
      <c r="W4371" s="10" t="n"/>
      <c r="X4371" s="10" t="n"/>
      <c r="Y4371" s="10" t="n"/>
      <c r="Z4371" s="10" t="n"/>
      <c r="AA4371" s="11">
        <f>IF(A4371="","",IF(AND(J4371="P4",F4371="causal"),"P4-CAUSAL",""))</f>
        <v/>
      </c>
    </row>
    <row r="4372" ht="15" customHeight="1" s="1">
      <c r="P4372">
        <f>IF(OR(F4372="",H4372="",J4372=""),"",J4372&amp;"|"&amp;F4372&amp;"|"&amp;IF(H4372="W3","W3_"&amp;IF(I4372="","unknown",I4372),H4372))</f>
        <v/>
      </c>
      <c r="Q4372">
        <f>IF(P4372="","",IFERROR(IF(AND(H4372="W7",OR(F4372="causal",F4372="predictive")),IF(AND(OR(K4372=1,K4372="1"),OR(L4372=1,L4372="1"),OR(M4372=1,M4372="1")),"adequate","partial"),IF(AND(H4372="W4",F4372="predictive",OR(J4372="P2",J4372="P3",J4372="P4")),IF(OR(U4372=1,U4372="1"),"adequate","partial"),INDEX(Fit_Matrix!$B:$B,MATCH(P4372,Fit_Matrix!$A:$A,0)))),"CHECK KEY"))</f>
        <v/>
      </c>
      <c r="U4372" s="10" t="n"/>
      <c r="V4372" s="10" t="n"/>
      <c r="W4372" s="10" t="n"/>
      <c r="X4372" s="10" t="n"/>
      <c r="Y4372" s="10" t="n"/>
      <c r="Z4372" s="10" t="n"/>
      <c r="AA4372" s="11">
        <f>IF(A4372="","",IF(AND(J4372="P4",F4372="causal"),"P4-CAUSAL",""))</f>
        <v/>
      </c>
    </row>
    <row r="4373" ht="15" customHeight="1" s="1">
      <c r="P4373">
        <f>IF(OR(F4373="",H4373="",J4373=""),"",J4373&amp;"|"&amp;F4373&amp;"|"&amp;IF(H4373="W3","W3_"&amp;IF(I4373="","unknown",I4373),H4373))</f>
        <v/>
      </c>
      <c r="Q4373">
        <f>IF(P4373="","",IFERROR(IF(AND(H4373="W7",OR(F4373="causal",F4373="predictive")),IF(AND(OR(K4373=1,K4373="1"),OR(L4373=1,L4373="1"),OR(M4373=1,M4373="1")),"adequate","partial"),IF(AND(H4373="W4",F4373="predictive",OR(J4373="P2",J4373="P3",J4373="P4")),IF(OR(U4373=1,U4373="1"),"adequate","partial"),INDEX(Fit_Matrix!$B:$B,MATCH(P4373,Fit_Matrix!$A:$A,0)))),"CHECK KEY"))</f>
        <v/>
      </c>
      <c r="U4373" s="10" t="n"/>
      <c r="V4373" s="10" t="n"/>
      <c r="W4373" s="10" t="n"/>
      <c r="X4373" s="10" t="n"/>
      <c r="Y4373" s="10" t="n"/>
      <c r="Z4373" s="10" t="n"/>
      <c r="AA4373" s="11">
        <f>IF(A4373="","",IF(AND(J4373="P4",F4373="causal"),"P4-CAUSAL",""))</f>
        <v/>
      </c>
    </row>
    <row r="4374" ht="15" customHeight="1" s="1">
      <c r="P4374">
        <f>IF(OR(F4374="",H4374="",J4374=""),"",J4374&amp;"|"&amp;F4374&amp;"|"&amp;IF(H4374="W3","W3_"&amp;IF(I4374="","unknown",I4374),H4374))</f>
        <v/>
      </c>
      <c r="Q4374">
        <f>IF(P4374="","",IFERROR(IF(AND(H4374="W7",OR(F4374="causal",F4374="predictive")),IF(AND(OR(K4374=1,K4374="1"),OR(L4374=1,L4374="1"),OR(M4374=1,M4374="1")),"adequate","partial"),IF(AND(H4374="W4",F4374="predictive",OR(J4374="P2",J4374="P3",J4374="P4")),IF(OR(U4374=1,U4374="1"),"adequate","partial"),INDEX(Fit_Matrix!$B:$B,MATCH(P4374,Fit_Matrix!$A:$A,0)))),"CHECK KEY"))</f>
        <v/>
      </c>
      <c r="U4374" s="10" t="n"/>
      <c r="V4374" s="10" t="n"/>
      <c r="W4374" s="10" t="n"/>
      <c r="X4374" s="10" t="n"/>
      <c r="Y4374" s="10" t="n"/>
      <c r="Z4374" s="10" t="n"/>
      <c r="AA4374" s="11">
        <f>IF(A4374="","",IF(AND(J4374="P4",F4374="causal"),"P4-CAUSAL",""))</f>
        <v/>
      </c>
    </row>
    <row r="4375" ht="15" customHeight="1" s="1">
      <c r="P4375">
        <f>IF(OR(F4375="",H4375="",J4375=""),"",J4375&amp;"|"&amp;F4375&amp;"|"&amp;IF(H4375="W3","W3_"&amp;IF(I4375="","unknown",I4375),H4375))</f>
        <v/>
      </c>
      <c r="Q4375">
        <f>IF(P4375="","",IFERROR(IF(AND(H4375="W7",OR(F4375="causal",F4375="predictive")),IF(AND(OR(K4375=1,K4375="1"),OR(L4375=1,L4375="1"),OR(M4375=1,M4375="1")),"adequate","partial"),IF(AND(H4375="W4",F4375="predictive",OR(J4375="P2",J4375="P3",J4375="P4")),IF(OR(U4375=1,U4375="1"),"adequate","partial"),INDEX(Fit_Matrix!$B:$B,MATCH(P4375,Fit_Matrix!$A:$A,0)))),"CHECK KEY"))</f>
        <v/>
      </c>
      <c r="U4375" s="10" t="n"/>
      <c r="V4375" s="10" t="n"/>
      <c r="W4375" s="10" t="n"/>
      <c r="X4375" s="10" t="n"/>
      <c r="Y4375" s="10" t="n"/>
      <c r="Z4375" s="10" t="n"/>
      <c r="AA4375" s="11">
        <f>IF(A4375="","",IF(AND(J4375="P4",F4375="causal"),"P4-CAUSAL",""))</f>
        <v/>
      </c>
    </row>
    <row r="4376" ht="15" customHeight="1" s="1">
      <c r="P4376">
        <f>IF(OR(F4376="",H4376="",J4376=""),"",J4376&amp;"|"&amp;F4376&amp;"|"&amp;IF(H4376="W3","W3_"&amp;IF(I4376="","unknown",I4376),H4376))</f>
        <v/>
      </c>
      <c r="Q4376">
        <f>IF(P4376="","",IFERROR(IF(AND(H4376="W7",OR(F4376="causal",F4376="predictive")),IF(AND(OR(K4376=1,K4376="1"),OR(L4376=1,L4376="1"),OR(M4376=1,M4376="1")),"adequate","partial"),IF(AND(H4376="W4",F4376="predictive",OR(J4376="P2",J4376="P3",J4376="P4")),IF(OR(U4376=1,U4376="1"),"adequate","partial"),INDEX(Fit_Matrix!$B:$B,MATCH(P4376,Fit_Matrix!$A:$A,0)))),"CHECK KEY"))</f>
        <v/>
      </c>
      <c r="U4376" s="10" t="n"/>
      <c r="V4376" s="10" t="n"/>
      <c r="W4376" s="10" t="n"/>
      <c r="X4376" s="10" t="n"/>
      <c r="Y4376" s="10" t="n"/>
      <c r="Z4376" s="10" t="n"/>
      <c r="AA4376" s="11">
        <f>IF(A4376="","",IF(AND(J4376="P4",F4376="causal"),"P4-CAUSAL",""))</f>
        <v/>
      </c>
    </row>
    <row r="4377" ht="15" customHeight="1" s="1">
      <c r="P4377">
        <f>IF(OR(F4377="",H4377="",J4377=""),"",J4377&amp;"|"&amp;F4377&amp;"|"&amp;IF(H4377="W3","W3_"&amp;IF(I4377="","unknown",I4377),H4377))</f>
        <v/>
      </c>
      <c r="Q4377">
        <f>IF(P4377="","",IFERROR(IF(AND(H4377="W7",OR(F4377="causal",F4377="predictive")),IF(AND(OR(K4377=1,K4377="1"),OR(L4377=1,L4377="1"),OR(M4377=1,M4377="1")),"adequate","partial"),IF(AND(H4377="W4",F4377="predictive",OR(J4377="P2",J4377="P3",J4377="P4")),IF(OR(U4377=1,U4377="1"),"adequate","partial"),INDEX(Fit_Matrix!$B:$B,MATCH(P4377,Fit_Matrix!$A:$A,0)))),"CHECK KEY"))</f>
        <v/>
      </c>
      <c r="U4377" s="10" t="n"/>
      <c r="V4377" s="10" t="n"/>
      <c r="W4377" s="10" t="n"/>
      <c r="X4377" s="10" t="n"/>
      <c r="Y4377" s="10" t="n"/>
      <c r="Z4377" s="10" t="n"/>
      <c r="AA4377" s="11">
        <f>IF(A4377="","",IF(AND(J4377="P4",F4377="causal"),"P4-CAUSAL",""))</f>
        <v/>
      </c>
    </row>
    <row r="4378" ht="15" customHeight="1" s="1">
      <c r="P4378">
        <f>IF(OR(F4378="",H4378="",J4378=""),"",J4378&amp;"|"&amp;F4378&amp;"|"&amp;IF(H4378="W3","W3_"&amp;IF(I4378="","unknown",I4378),H4378))</f>
        <v/>
      </c>
      <c r="Q4378">
        <f>IF(P4378="","",IFERROR(IF(AND(H4378="W7",OR(F4378="causal",F4378="predictive")),IF(AND(OR(K4378=1,K4378="1"),OR(L4378=1,L4378="1"),OR(M4378=1,M4378="1")),"adequate","partial"),IF(AND(H4378="W4",F4378="predictive",OR(J4378="P2",J4378="P3",J4378="P4")),IF(OR(U4378=1,U4378="1"),"adequate","partial"),INDEX(Fit_Matrix!$B:$B,MATCH(P4378,Fit_Matrix!$A:$A,0)))),"CHECK KEY"))</f>
        <v/>
      </c>
      <c r="U4378" s="10" t="n"/>
      <c r="V4378" s="10" t="n"/>
      <c r="W4378" s="10" t="n"/>
      <c r="X4378" s="10" t="n"/>
      <c r="Y4378" s="10" t="n"/>
      <c r="Z4378" s="10" t="n"/>
      <c r="AA4378" s="11">
        <f>IF(A4378="","",IF(AND(J4378="P4",F4378="causal"),"P4-CAUSAL",""))</f>
        <v/>
      </c>
    </row>
    <row r="4379" ht="15" customHeight="1" s="1">
      <c r="P4379">
        <f>IF(OR(F4379="",H4379="",J4379=""),"",J4379&amp;"|"&amp;F4379&amp;"|"&amp;IF(H4379="W3","W3_"&amp;IF(I4379="","unknown",I4379),H4379))</f>
        <v/>
      </c>
      <c r="Q4379">
        <f>IF(P4379="","",IFERROR(IF(AND(H4379="W7",OR(F4379="causal",F4379="predictive")),IF(AND(OR(K4379=1,K4379="1"),OR(L4379=1,L4379="1"),OR(M4379=1,M4379="1")),"adequate","partial"),IF(AND(H4379="W4",F4379="predictive",OR(J4379="P2",J4379="P3",J4379="P4")),IF(OR(U4379=1,U4379="1"),"adequate","partial"),INDEX(Fit_Matrix!$B:$B,MATCH(P4379,Fit_Matrix!$A:$A,0)))),"CHECK KEY"))</f>
        <v/>
      </c>
      <c r="U4379" s="10" t="n"/>
      <c r="V4379" s="10" t="n"/>
      <c r="W4379" s="10" t="n"/>
      <c r="X4379" s="10" t="n"/>
      <c r="Y4379" s="10" t="n"/>
      <c r="Z4379" s="10" t="n"/>
      <c r="AA4379" s="11">
        <f>IF(A4379="","",IF(AND(J4379="P4",F4379="causal"),"P4-CAUSAL",""))</f>
        <v/>
      </c>
    </row>
    <row r="4380" ht="15" customHeight="1" s="1">
      <c r="P4380">
        <f>IF(OR(F4380="",H4380="",J4380=""),"",J4380&amp;"|"&amp;F4380&amp;"|"&amp;IF(H4380="W3","W3_"&amp;IF(I4380="","unknown",I4380),H4380))</f>
        <v/>
      </c>
      <c r="Q4380">
        <f>IF(P4380="","",IFERROR(IF(AND(H4380="W7",OR(F4380="causal",F4380="predictive")),IF(AND(OR(K4380=1,K4380="1"),OR(L4380=1,L4380="1"),OR(M4380=1,M4380="1")),"adequate","partial"),IF(AND(H4380="W4",F4380="predictive",OR(J4380="P2",J4380="P3",J4380="P4")),IF(OR(U4380=1,U4380="1"),"adequate","partial"),INDEX(Fit_Matrix!$B:$B,MATCH(P4380,Fit_Matrix!$A:$A,0)))),"CHECK KEY"))</f>
        <v/>
      </c>
      <c r="U4380" s="10" t="n"/>
      <c r="V4380" s="10" t="n"/>
      <c r="W4380" s="10" t="n"/>
      <c r="X4380" s="10" t="n"/>
      <c r="Y4380" s="10" t="n"/>
      <c r="Z4380" s="10" t="n"/>
      <c r="AA4380" s="11">
        <f>IF(A4380="","",IF(AND(J4380="P4",F4380="causal"),"P4-CAUSAL",""))</f>
        <v/>
      </c>
    </row>
    <row r="4381" ht="15" customHeight="1" s="1">
      <c r="P4381">
        <f>IF(OR(F4381="",H4381="",J4381=""),"",J4381&amp;"|"&amp;F4381&amp;"|"&amp;IF(H4381="W3","W3_"&amp;IF(I4381="","unknown",I4381),H4381))</f>
        <v/>
      </c>
      <c r="Q4381">
        <f>IF(P4381="","",IFERROR(IF(AND(H4381="W7",OR(F4381="causal",F4381="predictive")),IF(AND(OR(K4381=1,K4381="1"),OR(L4381=1,L4381="1"),OR(M4381=1,M4381="1")),"adequate","partial"),IF(AND(H4381="W4",F4381="predictive",OR(J4381="P2",J4381="P3",J4381="P4")),IF(OR(U4381=1,U4381="1"),"adequate","partial"),INDEX(Fit_Matrix!$B:$B,MATCH(P4381,Fit_Matrix!$A:$A,0)))),"CHECK KEY"))</f>
        <v/>
      </c>
      <c r="U4381" s="10" t="n"/>
      <c r="V4381" s="10" t="n"/>
      <c r="W4381" s="10" t="n"/>
      <c r="X4381" s="10" t="n"/>
      <c r="Y4381" s="10" t="n"/>
      <c r="Z4381" s="10" t="n"/>
      <c r="AA4381" s="11">
        <f>IF(A4381="","",IF(AND(J4381="P4",F4381="causal"),"P4-CAUSAL",""))</f>
        <v/>
      </c>
    </row>
    <row r="4382" ht="15" customHeight="1" s="1">
      <c r="P4382">
        <f>IF(OR(F4382="",H4382="",J4382=""),"",J4382&amp;"|"&amp;F4382&amp;"|"&amp;IF(H4382="W3","W3_"&amp;IF(I4382="","unknown",I4382),H4382))</f>
        <v/>
      </c>
      <c r="Q4382">
        <f>IF(P4382="","",IFERROR(IF(AND(H4382="W7",OR(F4382="causal",F4382="predictive")),IF(AND(OR(K4382=1,K4382="1"),OR(L4382=1,L4382="1"),OR(M4382=1,M4382="1")),"adequate","partial"),IF(AND(H4382="W4",F4382="predictive",OR(J4382="P2",J4382="P3",J4382="P4")),IF(OR(U4382=1,U4382="1"),"adequate","partial"),INDEX(Fit_Matrix!$B:$B,MATCH(P4382,Fit_Matrix!$A:$A,0)))),"CHECK KEY"))</f>
        <v/>
      </c>
      <c r="U4382" s="10" t="n"/>
      <c r="V4382" s="10" t="n"/>
      <c r="W4382" s="10" t="n"/>
      <c r="X4382" s="10" t="n"/>
      <c r="Y4382" s="10" t="n"/>
      <c r="Z4382" s="10" t="n"/>
      <c r="AA4382" s="11">
        <f>IF(A4382="","",IF(AND(J4382="P4",F4382="causal"),"P4-CAUSAL",""))</f>
        <v/>
      </c>
    </row>
    <row r="4383" ht="15" customHeight="1" s="1">
      <c r="P4383">
        <f>IF(OR(F4383="",H4383="",J4383=""),"",J4383&amp;"|"&amp;F4383&amp;"|"&amp;IF(H4383="W3","W3_"&amp;IF(I4383="","unknown",I4383),H4383))</f>
        <v/>
      </c>
      <c r="Q4383">
        <f>IF(P4383="","",IFERROR(IF(AND(H4383="W7",OR(F4383="causal",F4383="predictive")),IF(AND(OR(K4383=1,K4383="1"),OR(L4383=1,L4383="1"),OR(M4383=1,M4383="1")),"adequate","partial"),IF(AND(H4383="W4",F4383="predictive",OR(J4383="P2",J4383="P3",J4383="P4")),IF(OR(U4383=1,U4383="1"),"adequate","partial"),INDEX(Fit_Matrix!$B:$B,MATCH(P4383,Fit_Matrix!$A:$A,0)))),"CHECK KEY"))</f>
        <v/>
      </c>
      <c r="U4383" s="10" t="n"/>
      <c r="V4383" s="10" t="n"/>
      <c r="W4383" s="10" t="n"/>
      <c r="X4383" s="10" t="n"/>
      <c r="Y4383" s="10" t="n"/>
      <c r="Z4383" s="10" t="n"/>
      <c r="AA4383" s="11">
        <f>IF(A4383="","",IF(AND(J4383="P4",F4383="causal"),"P4-CAUSAL",""))</f>
        <v/>
      </c>
    </row>
    <row r="4384" ht="15" customHeight="1" s="1">
      <c r="P4384">
        <f>IF(OR(F4384="",H4384="",J4384=""),"",J4384&amp;"|"&amp;F4384&amp;"|"&amp;IF(H4384="W3","W3_"&amp;IF(I4384="","unknown",I4384),H4384))</f>
        <v/>
      </c>
      <c r="Q4384">
        <f>IF(P4384="","",IFERROR(IF(AND(H4384="W7",OR(F4384="causal",F4384="predictive")),IF(AND(OR(K4384=1,K4384="1"),OR(L4384=1,L4384="1"),OR(M4384=1,M4384="1")),"adequate","partial"),IF(AND(H4384="W4",F4384="predictive",OR(J4384="P2",J4384="P3",J4384="P4")),IF(OR(U4384=1,U4384="1"),"adequate","partial"),INDEX(Fit_Matrix!$B:$B,MATCH(P4384,Fit_Matrix!$A:$A,0)))),"CHECK KEY"))</f>
        <v/>
      </c>
      <c r="U4384" s="10" t="n"/>
      <c r="V4384" s="10" t="n"/>
      <c r="W4384" s="10" t="n"/>
      <c r="X4384" s="10" t="n"/>
      <c r="Y4384" s="10" t="n"/>
      <c r="Z4384" s="10" t="n"/>
      <c r="AA4384" s="11">
        <f>IF(A4384="","",IF(AND(J4384="P4",F4384="causal"),"P4-CAUSAL",""))</f>
        <v/>
      </c>
    </row>
    <row r="4385" ht="15" customHeight="1" s="1">
      <c r="P4385">
        <f>IF(OR(F4385="",H4385="",J4385=""),"",J4385&amp;"|"&amp;F4385&amp;"|"&amp;IF(H4385="W3","W3_"&amp;IF(I4385="","unknown",I4385),H4385))</f>
        <v/>
      </c>
      <c r="Q4385">
        <f>IF(P4385="","",IFERROR(IF(AND(H4385="W7",OR(F4385="causal",F4385="predictive")),IF(AND(OR(K4385=1,K4385="1"),OR(L4385=1,L4385="1"),OR(M4385=1,M4385="1")),"adequate","partial"),IF(AND(H4385="W4",F4385="predictive",OR(J4385="P2",J4385="P3",J4385="P4")),IF(OR(U4385=1,U4385="1"),"adequate","partial"),INDEX(Fit_Matrix!$B:$B,MATCH(P4385,Fit_Matrix!$A:$A,0)))),"CHECK KEY"))</f>
        <v/>
      </c>
      <c r="U4385" s="10" t="n"/>
      <c r="V4385" s="10" t="n"/>
      <c r="W4385" s="10" t="n"/>
      <c r="X4385" s="10" t="n"/>
      <c r="Y4385" s="10" t="n"/>
      <c r="Z4385" s="10" t="n"/>
      <c r="AA4385" s="11">
        <f>IF(A4385="","",IF(AND(J4385="P4",F4385="causal"),"P4-CAUSAL",""))</f>
        <v/>
      </c>
    </row>
    <row r="4386" ht="15" customHeight="1" s="1">
      <c r="P4386">
        <f>IF(OR(F4386="",H4386="",J4386=""),"",J4386&amp;"|"&amp;F4386&amp;"|"&amp;IF(H4386="W3","W3_"&amp;IF(I4386="","unknown",I4386),H4386))</f>
        <v/>
      </c>
      <c r="Q4386">
        <f>IF(P4386="","",IFERROR(IF(AND(H4386="W7",OR(F4386="causal",F4386="predictive")),IF(AND(OR(K4386=1,K4386="1"),OR(L4386=1,L4386="1"),OR(M4386=1,M4386="1")),"adequate","partial"),IF(AND(H4386="W4",F4386="predictive",OR(J4386="P2",J4386="P3",J4386="P4")),IF(OR(U4386=1,U4386="1"),"adequate","partial"),INDEX(Fit_Matrix!$B:$B,MATCH(P4386,Fit_Matrix!$A:$A,0)))),"CHECK KEY"))</f>
        <v/>
      </c>
      <c r="U4386" s="10" t="n"/>
      <c r="V4386" s="10" t="n"/>
      <c r="W4386" s="10" t="n"/>
      <c r="X4386" s="10" t="n"/>
      <c r="Y4386" s="10" t="n"/>
      <c r="Z4386" s="10" t="n"/>
      <c r="AA4386" s="11">
        <f>IF(A4386="","",IF(AND(J4386="P4",F4386="causal"),"P4-CAUSAL",""))</f>
        <v/>
      </c>
    </row>
    <row r="4387" ht="15" customHeight="1" s="1">
      <c r="P4387">
        <f>IF(OR(F4387="",H4387="",J4387=""),"",J4387&amp;"|"&amp;F4387&amp;"|"&amp;IF(H4387="W3","W3_"&amp;IF(I4387="","unknown",I4387),H4387))</f>
        <v/>
      </c>
      <c r="Q4387">
        <f>IF(P4387="","",IFERROR(IF(AND(H4387="W7",OR(F4387="causal",F4387="predictive")),IF(AND(OR(K4387=1,K4387="1"),OR(L4387=1,L4387="1"),OR(M4387=1,M4387="1")),"adequate","partial"),IF(AND(H4387="W4",F4387="predictive",OR(J4387="P2",J4387="P3",J4387="P4")),IF(OR(U4387=1,U4387="1"),"adequate","partial"),INDEX(Fit_Matrix!$B:$B,MATCH(P4387,Fit_Matrix!$A:$A,0)))),"CHECK KEY"))</f>
        <v/>
      </c>
      <c r="U4387" s="10" t="n"/>
      <c r="V4387" s="10" t="n"/>
      <c r="W4387" s="10" t="n"/>
      <c r="X4387" s="10" t="n"/>
      <c r="Y4387" s="10" t="n"/>
      <c r="Z4387" s="10" t="n"/>
      <c r="AA4387" s="11">
        <f>IF(A4387="","",IF(AND(J4387="P4",F4387="causal"),"P4-CAUSAL",""))</f>
        <v/>
      </c>
    </row>
    <row r="4388" ht="15" customHeight="1" s="1">
      <c r="P4388">
        <f>IF(OR(F4388="",H4388="",J4388=""),"",J4388&amp;"|"&amp;F4388&amp;"|"&amp;IF(H4388="W3","W3_"&amp;IF(I4388="","unknown",I4388),H4388))</f>
        <v/>
      </c>
      <c r="Q4388">
        <f>IF(P4388="","",IFERROR(IF(AND(H4388="W7",OR(F4388="causal",F4388="predictive")),IF(AND(OR(K4388=1,K4388="1"),OR(L4388=1,L4388="1"),OR(M4388=1,M4388="1")),"adequate","partial"),IF(AND(H4388="W4",F4388="predictive",OR(J4388="P2",J4388="P3",J4388="P4")),IF(OR(U4388=1,U4388="1"),"adequate","partial"),INDEX(Fit_Matrix!$B:$B,MATCH(P4388,Fit_Matrix!$A:$A,0)))),"CHECK KEY"))</f>
        <v/>
      </c>
      <c r="U4388" s="10" t="n"/>
      <c r="V4388" s="10" t="n"/>
      <c r="W4388" s="10" t="n"/>
      <c r="X4388" s="10" t="n"/>
      <c r="Y4388" s="10" t="n"/>
      <c r="Z4388" s="10" t="n"/>
      <c r="AA4388" s="11">
        <f>IF(A4388="","",IF(AND(J4388="P4",F4388="causal"),"P4-CAUSAL",""))</f>
        <v/>
      </c>
    </row>
    <row r="4389" ht="15" customHeight="1" s="1">
      <c r="P4389">
        <f>IF(OR(F4389="",H4389="",J4389=""),"",J4389&amp;"|"&amp;F4389&amp;"|"&amp;IF(H4389="W3","W3_"&amp;IF(I4389="","unknown",I4389),H4389))</f>
        <v/>
      </c>
      <c r="Q4389">
        <f>IF(P4389="","",IFERROR(IF(AND(H4389="W7",OR(F4389="causal",F4389="predictive")),IF(AND(OR(K4389=1,K4389="1"),OR(L4389=1,L4389="1"),OR(M4389=1,M4389="1")),"adequate","partial"),IF(AND(H4389="W4",F4389="predictive",OR(J4389="P2",J4389="P3",J4389="P4")),IF(OR(U4389=1,U4389="1"),"adequate","partial"),INDEX(Fit_Matrix!$B:$B,MATCH(P4389,Fit_Matrix!$A:$A,0)))),"CHECK KEY"))</f>
        <v/>
      </c>
      <c r="U4389" s="10" t="n"/>
      <c r="V4389" s="10" t="n"/>
      <c r="W4389" s="10" t="n"/>
      <c r="X4389" s="10" t="n"/>
      <c r="Y4389" s="10" t="n"/>
      <c r="Z4389" s="10" t="n"/>
      <c r="AA4389" s="11">
        <f>IF(A4389="","",IF(AND(J4389="P4",F4389="causal"),"P4-CAUSAL",""))</f>
        <v/>
      </c>
    </row>
    <row r="4390" ht="15" customHeight="1" s="1">
      <c r="P4390">
        <f>IF(OR(F4390="",H4390="",J4390=""),"",J4390&amp;"|"&amp;F4390&amp;"|"&amp;IF(H4390="W3","W3_"&amp;IF(I4390="","unknown",I4390),H4390))</f>
        <v/>
      </c>
      <c r="Q4390">
        <f>IF(P4390="","",IFERROR(IF(AND(H4390="W7",OR(F4390="causal",F4390="predictive")),IF(AND(OR(K4390=1,K4390="1"),OR(L4390=1,L4390="1"),OR(M4390=1,M4390="1")),"adequate","partial"),IF(AND(H4390="W4",F4390="predictive",OR(J4390="P2",J4390="P3",J4390="P4")),IF(OR(U4390=1,U4390="1"),"adequate","partial"),INDEX(Fit_Matrix!$B:$B,MATCH(P4390,Fit_Matrix!$A:$A,0)))),"CHECK KEY"))</f>
        <v/>
      </c>
      <c r="U4390" s="10" t="n"/>
      <c r="V4390" s="10" t="n"/>
      <c r="W4390" s="10" t="n"/>
      <c r="X4390" s="10" t="n"/>
      <c r="Y4390" s="10" t="n"/>
      <c r="Z4390" s="10" t="n"/>
      <c r="AA4390" s="11">
        <f>IF(A4390="","",IF(AND(J4390="P4",F4390="causal"),"P4-CAUSAL",""))</f>
        <v/>
      </c>
    </row>
    <row r="4391" ht="15" customHeight="1" s="1">
      <c r="P4391">
        <f>IF(OR(F4391="",H4391="",J4391=""),"",J4391&amp;"|"&amp;F4391&amp;"|"&amp;IF(H4391="W3","W3_"&amp;IF(I4391="","unknown",I4391),H4391))</f>
        <v/>
      </c>
      <c r="Q4391">
        <f>IF(P4391="","",IFERROR(IF(AND(H4391="W7",OR(F4391="causal",F4391="predictive")),IF(AND(OR(K4391=1,K4391="1"),OR(L4391=1,L4391="1"),OR(M4391=1,M4391="1")),"adequate","partial"),IF(AND(H4391="W4",F4391="predictive",OR(J4391="P2",J4391="P3",J4391="P4")),IF(OR(U4391=1,U4391="1"),"adequate","partial"),INDEX(Fit_Matrix!$B:$B,MATCH(P4391,Fit_Matrix!$A:$A,0)))),"CHECK KEY"))</f>
        <v/>
      </c>
      <c r="U4391" s="10" t="n"/>
      <c r="V4391" s="10" t="n"/>
      <c r="W4391" s="10" t="n"/>
      <c r="X4391" s="10" t="n"/>
      <c r="Y4391" s="10" t="n"/>
      <c r="Z4391" s="10" t="n"/>
      <c r="AA4391" s="11">
        <f>IF(A4391="","",IF(AND(J4391="P4",F4391="causal"),"P4-CAUSAL",""))</f>
        <v/>
      </c>
    </row>
    <row r="4392" ht="15" customHeight="1" s="1">
      <c r="P4392">
        <f>IF(OR(F4392="",H4392="",J4392=""),"",J4392&amp;"|"&amp;F4392&amp;"|"&amp;IF(H4392="W3","W3_"&amp;IF(I4392="","unknown",I4392),H4392))</f>
        <v/>
      </c>
      <c r="Q4392">
        <f>IF(P4392="","",IFERROR(IF(AND(H4392="W7",OR(F4392="causal",F4392="predictive")),IF(AND(OR(K4392=1,K4392="1"),OR(L4392=1,L4392="1"),OR(M4392=1,M4392="1")),"adequate","partial"),IF(AND(H4392="W4",F4392="predictive",OR(J4392="P2",J4392="P3",J4392="P4")),IF(OR(U4392=1,U4392="1"),"adequate","partial"),INDEX(Fit_Matrix!$B:$B,MATCH(P4392,Fit_Matrix!$A:$A,0)))),"CHECK KEY"))</f>
        <v/>
      </c>
      <c r="U4392" s="10" t="n"/>
      <c r="V4392" s="10" t="n"/>
      <c r="W4392" s="10" t="n"/>
      <c r="X4392" s="10" t="n"/>
      <c r="Y4392" s="10" t="n"/>
      <c r="Z4392" s="10" t="n"/>
      <c r="AA4392" s="11">
        <f>IF(A4392="","",IF(AND(J4392="P4",F4392="causal"),"P4-CAUSAL",""))</f>
        <v/>
      </c>
    </row>
    <row r="4393" ht="15" customHeight="1" s="1">
      <c r="P4393">
        <f>IF(OR(F4393="",H4393="",J4393=""),"",J4393&amp;"|"&amp;F4393&amp;"|"&amp;IF(H4393="W3","W3_"&amp;IF(I4393="","unknown",I4393),H4393))</f>
        <v/>
      </c>
      <c r="Q4393">
        <f>IF(P4393="","",IFERROR(IF(AND(H4393="W7",OR(F4393="causal",F4393="predictive")),IF(AND(OR(K4393=1,K4393="1"),OR(L4393=1,L4393="1"),OR(M4393=1,M4393="1")),"adequate","partial"),IF(AND(H4393="W4",F4393="predictive",OR(J4393="P2",J4393="P3",J4393="P4")),IF(OR(U4393=1,U4393="1"),"adequate","partial"),INDEX(Fit_Matrix!$B:$B,MATCH(P4393,Fit_Matrix!$A:$A,0)))),"CHECK KEY"))</f>
        <v/>
      </c>
      <c r="U4393" s="10" t="n"/>
      <c r="V4393" s="10" t="n"/>
      <c r="W4393" s="10" t="n"/>
      <c r="X4393" s="10" t="n"/>
      <c r="Y4393" s="10" t="n"/>
      <c r="Z4393" s="10" t="n"/>
      <c r="AA4393" s="11">
        <f>IF(A4393="","",IF(AND(J4393="P4",F4393="causal"),"P4-CAUSAL",""))</f>
        <v/>
      </c>
    </row>
    <row r="4394" ht="15" customHeight="1" s="1">
      <c r="P4394">
        <f>IF(OR(F4394="",H4394="",J4394=""),"",J4394&amp;"|"&amp;F4394&amp;"|"&amp;IF(H4394="W3","W3_"&amp;IF(I4394="","unknown",I4394),H4394))</f>
        <v/>
      </c>
      <c r="Q4394">
        <f>IF(P4394="","",IFERROR(IF(AND(H4394="W7",OR(F4394="causal",F4394="predictive")),IF(AND(OR(K4394=1,K4394="1"),OR(L4394=1,L4394="1"),OR(M4394=1,M4394="1")),"adequate","partial"),IF(AND(H4394="W4",F4394="predictive",OR(J4394="P2",J4394="P3",J4394="P4")),IF(OR(U4394=1,U4394="1"),"adequate","partial"),INDEX(Fit_Matrix!$B:$B,MATCH(P4394,Fit_Matrix!$A:$A,0)))),"CHECK KEY"))</f>
        <v/>
      </c>
      <c r="U4394" s="10" t="n"/>
      <c r="V4394" s="10" t="n"/>
      <c r="W4394" s="10" t="n"/>
      <c r="X4394" s="10" t="n"/>
      <c r="Y4394" s="10" t="n"/>
      <c r="Z4394" s="10" t="n"/>
      <c r="AA4394" s="11">
        <f>IF(A4394="","",IF(AND(J4394="P4",F4394="causal"),"P4-CAUSAL",""))</f>
        <v/>
      </c>
    </row>
    <row r="4395" ht="15" customHeight="1" s="1">
      <c r="P4395">
        <f>IF(OR(F4395="",H4395="",J4395=""),"",J4395&amp;"|"&amp;F4395&amp;"|"&amp;IF(H4395="W3","W3_"&amp;IF(I4395="","unknown",I4395),H4395))</f>
        <v/>
      </c>
      <c r="Q4395">
        <f>IF(P4395="","",IFERROR(IF(AND(H4395="W7",OR(F4395="causal",F4395="predictive")),IF(AND(OR(K4395=1,K4395="1"),OR(L4395=1,L4395="1"),OR(M4395=1,M4395="1")),"adequate","partial"),IF(AND(H4395="W4",F4395="predictive",OR(J4395="P2",J4395="P3",J4395="P4")),IF(OR(U4395=1,U4395="1"),"adequate","partial"),INDEX(Fit_Matrix!$B:$B,MATCH(P4395,Fit_Matrix!$A:$A,0)))),"CHECK KEY"))</f>
        <v/>
      </c>
      <c r="U4395" s="10" t="n"/>
      <c r="V4395" s="10" t="n"/>
      <c r="W4395" s="10" t="n"/>
      <c r="X4395" s="10" t="n"/>
      <c r="Y4395" s="10" t="n"/>
      <c r="Z4395" s="10" t="n"/>
      <c r="AA4395" s="11">
        <f>IF(A4395="","",IF(AND(J4395="P4",F4395="causal"),"P4-CAUSAL",""))</f>
        <v/>
      </c>
    </row>
    <row r="4396" ht="15" customHeight="1" s="1">
      <c r="P4396">
        <f>IF(OR(F4396="",H4396="",J4396=""),"",J4396&amp;"|"&amp;F4396&amp;"|"&amp;IF(H4396="W3","W3_"&amp;IF(I4396="","unknown",I4396),H4396))</f>
        <v/>
      </c>
      <c r="Q4396">
        <f>IF(P4396="","",IFERROR(IF(AND(H4396="W7",OR(F4396="causal",F4396="predictive")),IF(AND(OR(K4396=1,K4396="1"),OR(L4396=1,L4396="1"),OR(M4396=1,M4396="1")),"adequate","partial"),IF(AND(H4396="W4",F4396="predictive",OR(J4396="P2",J4396="P3",J4396="P4")),IF(OR(U4396=1,U4396="1"),"adequate","partial"),INDEX(Fit_Matrix!$B:$B,MATCH(P4396,Fit_Matrix!$A:$A,0)))),"CHECK KEY"))</f>
        <v/>
      </c>
      <c r="U4396" s="10" t="n"/>
      <c r="V4396" s="10" t="n"/>
      <c r="W4396" s="10" t="n"/>
      <c r="X4396" s="10" t="n"/>
      <c r="Y4396" s="10" t="n"/>
      <c r="Z4396" s="10" t="n"/>
      <c r="AA4396" s="11">
        <f>IF(A4396="","",IF(AND(J4396="P4",F4396="causal"),"P4-CAUSAL",""))</f>
        <v/>
      </c>
    </row>
    <row r="4397" ht="15" customHeight="1" s="1">
      <c r="P4397">
        <f>IF(OR(F4397="",H4397="",J4397=""),"",J4397&amp;"|"&amp;F4397&amp;"|"&amp;IF(H4397="W3","W3_"&amp;IF(I4397="","unknown",I4397),H4397))</f>
        <v/>
      </c>
      <c r="Q4397">
        <f>IF(P4397="","",IFERROR(IF(AND(H4397="W7",OR(F4397="causal",F4397="predictive")),IF(AND(OR(K4397=1,K4397="1"),OR(L4397=1,L4397="1"),OR(M4397=1,M4397="1")),"adequate","partial"),IF(AND(H4397="W4",F4397="predictive",OR(J4397="P2",J4397="P3",J4397="P4")),IF(OR(U4397=1,U4397="1"),"adequate","partial"),INDEX(Fit_Matrix!$B:$B,MATCH(P4397,Fit_Matrix!$A:$A,0)))),"CHECK KEY"))</f>
        <v/>
      </c>
      <c r="U4397" s="10" t="n"/>
      <c r="V4397" s="10" t="n"/>
      <c r="W4397" s="10" t="n"/>
      <c r="X4397" s="10" t="n"/>
      <c r="Y4397" s="10" t="n"/>
      <c r="Z4397" s="10" t="n"/>
      <c r="AA4397" s="11">
        <f>IF(A4397="","",IF(AND(J4397="P4",F4397="causal"),"P4-CAUSAL",""))</f>
        <v/>
      </c>
    </row>
    <row r="4398" ht="15" customHeight="1" s="1">
      <c r="P4398">
        <f>IF(OR(F4398="",H4398="",J4398=""),"",J4398&amp;"|"&amp;F4398&amp;"|"&amp;IF(H4398="W3","W3_"&amp;IF(I4398="","unknown",I4398),H4398))</f>
        <v/>
      </c>
      <c r="Q4398">
        <f>IF(P4398="","",IFERROR(IF(AND(H4398="W7",OR(F4398="causal",F4398="predictive")),IF(AND(OR(K4398=1,K4398="1"),OR(L4398=1,L4398="1"),OR(M4398=1,M4398="1")),"adequate","partial"),IF(AND(H4398="W4",F4398="predictive",OR(J4398="P2",J4398="P3",J4398="P4")),IF(OR(U4398=1,U4398="1"),"adequate","partial"),INDEX(Fit_Matrix!$B:$B,MATCH(P4398,Fit_Matrix!$A:$A,0)))),"CHECK KEY"))</f>
        <v/>
      </c>
      <c r="U4398" s="10" t="n"/>
      <c r="V4398" s="10" t="n"/>
      <c r="W4398" s="10" t="n"/>
      <c r="X4398" s="10" t="n"/>
      <c r="Y4398" s="10" t="n"/>
      <c r="Z4398" s="10" t="n"/>
      <c r="AA4398" s="11">
        <f>IF(A4398="","",IF(AND(J4398="P4",F4398="causal"),"P4-CAUSAL",""))</f>
        <v/>
      </c>
    </row>
    <row r="4399" ht="15" customHeight="1" s="1">
      <c r="P4399">
        <f>IF(OR(F4399="",H4399="",J4399=""),"",J4399&amp;"|"&amp;F4399&amp;"|"&amp;IF(H4399="W3","W3_"&amp;IF(I4399="","unknown",I4399),H4399))</f>
        <v/>
      </c>
      <c r="Q4399">
        <f>IF(P4399="","",IFERROR(IF(AND(H4399="W7",OR(F4399="causal",F4399="predictive")),IF(AND(OR(K4399=1,K4399="1"),OR(L4399=1,L4399="1"),OR(M4399=1,M4399="1")),"adequate","partial"),IF(AND(H4399="W4",F4399="predictive",OR(J4399="P2",J4399="P3",J4399="P4")),IF(OR(U4399=1,U4399="1"),"adequate","partial"),INDEX(Fit_Matrix!$B:$B,MATCH(P4399,Fit_Matrix!$A:$A,0)))),"CHECK KEY"))</f>
        <v/>
      </c>
      <c r="U4399" s="10" t="n"/>
      <c r="V4399" s="10" t="n"/>
      <c r="W4399" s="10" t="n"/>
      <c r="X4399" s="10" t="n"/>
      <c r="Y4399" s="10" t="n"/>
      <c r="Z4399" s="10" t="n"/>
      <c r="AA4399" s="11">
        <f>IF(A4399="","",IF(AND(J4399="P4",F4399="causal"),"P4-CAUSAL",""))</f>
        <v/>
      </c>
    </row>
    <row r="4400" ht="15" customHeight="1" s="1">
      <c r="P4400">
        <f>IF(OR(F4400="",H4400="",J4400=""),"",J4400&amp;"|"&amp;F4400&amp;"|"&amp;IF(H4400="W3","W3_"&amp;IF(I4400="","unknown",I4400),H4400))</f>
        <v/>
      </c>
      <c r="Q4400">
        <f>IF(P4400="","",IFERROR(IF(AND(H4400="W7",OR(F4400="causal",F4400="predictive")),IF(AND(OR(K4400=1,K4400="1"),OR(L4400=1,L4400="1"),OR(M4400=1,M4400="1")),"adequate","partial"),IF(AND(H4400="W4",F4400="predictive",OR(J4400="P2",J4400="P3",J4400="P4")),IF(OR(U4400=1,U4400="1"),"adequate","partial"),INDEX(Fit_Matrix!$B:$B,MATCH(P4400,Fit_Matrix!$A:$A,0)))),"CHECK KEY"))</f>
        <v/>
      </c>
      <c r="U4400" s="10" t="n"/>
      <c r="V4400" s="10" t="n"/>
      <c r="W4400" s="10" t="n"/>
      <c r="X4400" s="10" t="n"/>
      <c r="Y4400" s="10" t="n"/>
      <c r="Z4400" s="10" t="n"/>
      <c r="AA4400" s="11">
        <f>IF(A4400="","",IF(AND(J4400="P4",F4400="causal"),"P4-CAUSAL",""))</f>
        <v/>
      </c>
    </row>
    <row r="4401" ht="15" customHeight="1" s="1">
      <c r="P4401">
        <f>IF(OR(F4401="",H4401="",J4401=""),"",J4401&amp;"|"&amp;F4401&amp;"|"&amp;IF(H4401="W3","W3_"&amp;IF(I4401="","unknown",I4401),H4401))</f>
        <v/>
      </c>
      <c r="Q4401">
        <f>IF(P4401="","",IFERROR(IF(AND(H4401="W7",OR(F4401="causal",F4401="predictive")),IF(AND(OR(K4401=1,K4401="1"),OR(L4401=1,L4401="1"),OR(M4401=1,M4401="1")),"adequate","partial"),IF(AND(H4401="W4",F4401="predictive",OR(J4401="P2",J4401="P3",J4401="P4")),IF(OR(U4401=1,U4401="1"),"adequate","partial"),INDEX(Fit_Matrix!$B:$B,MATCH(P4401,Fit_Matrix!$A:$A,0)))),"CHECK KEY"))</f>
        <v/>
      </c>
      <c r="U4401" s="10" t="n"/>
      <c r="V4401" s="10" t="n"/>
      <c r="W4401" s="10" t="n"/>
      <c r="X4401" s="10" t="n"/>
      <c r="Y4401" s="10" t="n"/>
      <c r="Z4401" s="10" t="n"/>
      <c r="AA4401" s="11">
        <f>IF(A4401="","",IF(AND(J4401="P4",F4401="causal"),"P4-CAUSAL",""))</f>
        <v/>
      </c>
    </row>
    <row r="4402" ht="15" customHeight="1" s="1">
      <c r="P4402">
        <f>IF(OR(F4402="",H4402="",J4402=""),"",J4402&amp;"|"&amp;F4402&amp;"|"&amp;IF(H4402="W3","W3_"&amp;IF(I4402="","unknown",I4402),H4402))</f>
        <v/>
      </c>
      <c r="Q4402">
        <f>IF(P4402="","",IFERROR(IF(AND(H4402="W7",OR(F4402="causal",F4402="predictive")),IF(AND(OR(K4402=1,K4402="1"),OR(L4402=1,L4402="1"),OR(M4402=1,M4402="1")),"adequate","partial"),IF(AND(H4402="W4",F4402="predictive",OR(J4402="P2",J4402="P3",J4402="P4")),IF(OR(U4402=1,U4402="1"),"adequate","partial"),INDEX(Fit_Matrix!$B:$B,MATCH(P4402,Fit_Matrix!$A:$A,0)))),"CHECK KEY"))</f>
        <v/>
      </c>
      <c r="U4402" s="10" t="n"/>
      <c r="V4402" s="10" t="n"/>
      <c r="W4402" s="10" t="n"/>
      <c r="X4402" s="10" t="n"/>
      <c r="Y4402" s="10" t="n"/>
      <c r="Z4402" s="10" t="n"/>
      <c r="AA4402" s="11">
        <f>IF(A4402="","",IF(AND(J4402="P4",F4402="causal"),"P4-CAUSAL",""))</f>
        <v/>
      </c>
    </row>
    <row r="4403" ht="15" customHeight="1" s="1">
      <c r="P4403">
        <f>IF(OR(F4403="",H4403="",J4403=""),"",J4403&amp;"|"&amp;F4403&amp;"|"&amp;IF(H4403="W3","W3_"&amp;IF(I4403="","unknown",I4403),H4403))</f>
        <v/>
      </c>
      <c r="Q4403">
        <f>IF(P4403="","",IFERROR(IF(AND(H4403="W7",OR(F4403="causal",F4403="predictive")),IF(AND(OR(K4403=1,K4403="1"),OR(L4403=1,L4403="1"),OR(M4403=1,M4403="1")),"adequate","partial"),IF(AND(H4403="W4",F4403="predictive",OR(J4403="P2",J4403="P3",J4403="P4")),IF(OR(U4403=1,U4403="1"),"adequate","partial"),INDEX(Fit_Matrix!$B:$B,MATCH(P4403,Fit_Matrix!$A:$A,0)))),"CHECK KEY"))</f>
        <v/>
      </c>
      <c r="U4403" s="10" t="n"/>
      <c r="V4403" s="10" t="n"/>
      <c r="W4403" s="10" t="n"/>
      <c r="X4403" s="10" t="n"/>
      <c r="Y4403" s="10" t="n"/>
      <c r="Z4403" s="10" t="n"/>
      <c r="AA4403" s="11">
        <f>IF(A4403="","",IF(AND(J4403="P4",F4403="causal"),"P4-CAUSAL",""))</f>
        <v/>
      </c>
    </row>
    <row r="4404" ht="15" customHeight="1" s="1">
      <c r="P4404">
        <f>IF(OR(F4404="",H4404="",J4404=""),"",J4404&amp;"|"&amp;F4404&amp;"|"&amp;IF(H4404="W3","W3_"&amp;IF(I4404="","unknown",I4404),H4404))</f>
        <v/>
      </c>
      <c r="Q4404">
        <f>IF(P4404="","",IFERROR(IF(AND(H4404="W7",OR(F4404="causal",F4404="predictive")),IF(AND(OR(K4404=1,K4404="1"),OR(L4404=1,L4404="1"),OR(M4404=1,M4404="1")),"adequate","partial"),IF(AND(H4404="W4",F4404="predictive",OR(J4404="P2",J4404="P3",J4404="P4")),IF(OR(U4404=1,U4404="1"),"adequate","partial"),INDEX(Fit_Matrix!$B:$B,MATCH(P4404,Fit_Matrix!$A:$A,0)))),"CHECK KEY"))</f>
        <v/>
      </c>
      <c r="U4404" s="10" t="n"/>
      <c r="V4404" s="10" t="n"/>
      <c r="W4404" s="10" t="n"/>
      <c r="X4404" s="10" t="n"/>
      <c r="Y4404" s="10" t="n"/>
      <c r="Z4404" s="10" t="n"/>
      <c r="AA4404" s="11">
        <f>IF(A4404="","",IF(AND(J4404="P4",F4404="causal"),"P4-CAUSAL",""))</f>
        <v/>
      </c>
    </row>
    <row r="4405" ht="15" customHeight="1" s="1">
      <c r="P4405">
        <f>IF(OR(F4405="",H4405="",J4405=""),"",J4405&amp;"|"&amp;F4405&amp;"|"&amp;IF(H4405="W3","W3_"&amp;IF(I4405="","unknown",I4405),H4405))</f>
        <v/>
      </c>
      <c r="Q4405">
        <f>IF(P4405="","",IFERROR(IF(AND(H4405="W7",OR(F4405="causal",F4405="predictive")),IF(AND(OR(K4405=1,K4405="1"),OR(L4405=1,L4405="1"),OR(M4405=1,M4405="1")),"adequate","partial"),IF(AND(H4405="W4",F4405="predictive",OR(J4405="P2",J4405="P3",J4405="P4")),IF(OR(U4405=1,U4405="1"),"adequate","partial"),INDEX(Fit_Matrix!$B:$B,MATCH(P4405,Fit_Matrix!$A:$A,0)))),"CHECK KEY"))</f>
        <v/>
      </c>
      <c r="U4405" s="10" t="n"/>
      <c r="V4405" s="10" t="n"/>
      <c r="W4405" s="10" t="n"/>
      <c r="X4405" s="10" t="n"/>
      <c r="Y4405" s="10" t="n"/>
      <c r="Z4405" s="10" t="n"/>
      <c r="AA4405" s="11">
        <f>IF(A4405="","",IF(AND(J4405="P4",F4405="causal"),"P4-CAUSAL",""))</f>
        <v/>
      </c>
    </row>
    <row r="4406" ht="15" customHeight="1" s="1">
      <c r="P4406">
        <f>IF(OR(F4406="",H4406="",J4406=""),"",J4406&amp;"|"&amp;F4406&amp;"|"&amp;IF(H4406="W3","W3_"&amp;IF(I4406="","unknown",I4406),H4406))</f>
        <v/>
      </c>
      <c r="Q4406">
        <f>IF(P4406="","",IFERROR(IF(AND(H4406="W7",OR(F4406="causal",F4406="predictive")),IF(AND(OR(K4406=1,K4406="1"),OR(L4406=1,L4406="1"),OR(M4406=1,M4406="1")),"adequate","partial"),IF(AND(H4406="W4",F4406="predictive",OR(J4406="P2",J4406="P3",J4406="P4")),IF(OR(U4406=1,U4406="1"),"adequate","partial"),INDEX(Fit_Matrix!$B:$B,MATCH(P4406,Fit_Matrix!$A:$A,0)))),"CHECK KEY"))</f>
        <v/>
      </c>
      <c r="U4406" s="10" t="n"/>
      <c r="V4406" s="10" t="n"/>
      <c r="W4406" s="10" t="n"/>
      <c r="X4406" s="10" t="n"/>
      <c r="Y4406" s="10" t="n"/>
      <c r="Z4406" s="10" t="n"/>
      <c r="AA4406" s="11">
        <f>IF(A4406="","",IF(AND(J4406="P4",F4406="causal"),"P4-CAUSAL",""))</f>
        <v/>
      </c>
    </row>
    <row r="4407" ht="15" customHeight="1" s="1">
      <c r="P4407">
        <f>IF(OR(F4407="",H4407="",J4407=""),"",J4407&amp;"|"&amp;F4407&amp;"|"&amp;IF(H4407="W3","W3_"&amp;IF(I4407="","unknown",I4407),H4407))</f>
        <v/>
      </c>
      <c r="Q4407">
        <f>IF(P4407="","",IFERROR(IF(AND(H4407="W7",OR(F4407="causal",F4407="predictive")),IF(AND(OR(K4407=1,K4407="1"),OR(L4407=1,L4407="1"),OR(M4407=1,M4407="1")),"adequate","partial"),IF(AND(H4407="W4",F4407="predictive",OR(J4407="P2",J4407="P3",J4407="P4")),IF(OR(U4407=1,U4407="1"),"adequate","partial"),INDEX(Fit_Matrix!$B:$B,MATCH(P4407,Fit_Matrix!$A:$A,0)))),"CHECK KEY"))</f>
        <v/>
      </c>
      <c r="U4407" s="10" t="n"/>
      <c r="V4407" s="10" t="n"/>
      <c r="W4407" s="10" t="n"/>
      <c r="X4407" s="10" t="n"/>
      <c r="Y4407" s="10" t="n"/>
      <c r="Z4407" s="10" t="n"/>
      <c r="AA4407" s="11">
        <f>IF(A4407="","",IF(AND(J4407="P4",F4407="causal"),"P4-CAUSAL",""))</f>
        <v/>
      </c>
    </row>
    <row r="4408" ht="15" customHeight="1" s="1">
      <c r="P4408">
        <f>IF(OR(F4408="",H4408="",J4408=""),"",J4408&amp;"|"&amp;F4408&amp;"|"&amp;IF(H4408="W3","W3_"&amp;IF(I4408="","unknown",I4408),H4408))</f>
        <v/>
      </c>
      <c r="Q4408">
        <f>IF(P4408="","",IFERROR(IF(AND(H4408="W7",OR(F4408="causal",F4408="predictive")),IF(AND(OR(K4408=1,K4408="1"),OR(L4408=1,L4408="1"),OR(M4408=1,M4408="1")),"adequate","partial"),IF(AND(H4408="W4",F4408="predictive",OR(J4408="P2",J4408="P3",J4408="P4")),IF(OR(U4408=1,U4408="1"),"adequate","partial"),INDEX(Fit_Matrix!$B:$B,MATCH(P4408,Fit_Matrix!$A:$A,0)))),"CHECK KEY"))</f>
        <v/>
      </c>
      <c r="U4408" s="10" t="n"/>
      <c r="V4408" s="10" t="n"/>
      <c r="W4408" s="10" t="n"/>
      <c r="X4408" s="10" t="n"/>
      <c r="Y4408" s="10" t="n"/>
      <c r="Z4408" s="10" t="n"/>
      <c r="AA4408" s="11">
        <f>IF(A4408="","",IF(AND(J4408="P4",F4408="causal"),"P4-CAUSAL",""))</f>
        <v/>
      </c>
    </row>
    <row r="4409" ht="15" customHeight="1" s="1">
      <c r="P4409">
        <f>IF(OR(F4409="",H4409="",J4409=""),"",J4409&amp;"|"&amp;F4409&amp;"|"&amp;IF(H4409="W3","W3_"&amp;IF(I4409="","unknown",I4409),H4409))</f>
        <v/>
      </c>
      <c r="Q4409">
        <f>IF(P4409="","",IFERROR(IF(AND(H4409="W7",OR(F4409="causal",F4409="predictive")),IF(AND(OR(K4409=1,K4409="1"),OR(L4409=1,L4409="1"),OR(M4409=1,M4409="1")),"adequate","partial"),IF(AND(H4409="W4",F4409="predictive",OR(J4409="P2",J4409="P3",J4409="P4")),IF(OR(U4409=1,U4409="1"),"adequate","partial"),INDEX(Fit_Matrix!$B:$B,MATCH(P4409,Fit_Matrix!$A:$A,0)))),"CHECK KEY"))</f>
        <v/>
      </c>
      <c r="U4409" s="10" t="n"/>
      <c r="V4409" s="10" t="n"/>
      <c r="W4409" s="10" t="n"/>
      <c r="X4409" s="10" t="n"/>
      <c r="Y4409" s="10" t="n"/>
      <c r="Z4409" s="10" t="n"/>
      <c r="AA4409" s="11">
        <f>IF(A4409="","",IF(AND(J4409="P4",F4409="causal"),"P4-CAUSAL",""))</f>
        <v/>
      </c>
    </row>
    <row r="4410" ht="15" customHeight="1" s="1">
      <c r="P4410">
        <f>IF(OR(F4410="",H4410="",J4410=""),"",J4410&amp;"|"&amp;F4410&amp;"|"&amp;IF(H4410="W3","W3_"&amp;IF(I4410="","unknown",I4410),H4410))</f>
        <v/>
      </c>
      <c r="Q4410">
        <f>IF(P4410="","",IFERROR(IF(AND(H4410="W7",OR(F4410="causal",F4410="predictive")),IF(AND(OR(K4410=1,K4410="1"),OR(L4410=1,L4410="1"),OR(M4410=1,M4410="1")),"adequate","partial"),IF(AND(H4410="W4",F4410="predictive",OR(J4410="P2",J4410="P3",J4410="P4")),IF(OR(U4410=1,U4410="1"),"adequate","partial"),INDEX(Fit_Matrix!$B:$B,MATCH(P4410,Fit_Matrix!$A:$A,0)))),"CHECK KEY"))</f>
        <v/>
      </c>
      <c r="U4410" s="10" t="n"/>
      <c r="V4410" s="10" t="n"/>
      <c r="W4410" s="10" t="n"/>
      <c r="X4410" s="10" t="n"/>
      <c r="Y4410" s="10" t="n"/>
      <c r="Z4410" s="10" t="n"/>
      <c r="AA4410" s="11">
        <f>IF(A4410="","",IF(AND(J4410="P4",F4410="causal"),"P4-CAUSAL",""))</f>
        <v/>
      </c>
    </row>
    <row r="4411" ht="15" customHeight="1" s="1">
      <c r="P4411">
        <f>IF(OR(F4411="",H4411="",J4411=""),"",J4411&amp;"|"&amp;F4411&amp;"|"&amp;IF(H4411="W3","W3_"&amp;IF(I4411="","unknown",I4411),H4411))</f>
        <v/>
      </c>
      <c r="Q4411">
        <f>IF(P4411="","",IFERROR(IF(AND(H4411="W7",OR(F4411="causal",F4411="predictive")),IF(AND(OR(K4411=1,K4411="1"),OR(L4411=1,L4411="1"),OR(M4411=1,M4411="1")),"adequate","partial"),IF(AND(H4411="W4",F4411="predictive",OR(J4411="P2",J4411="P3",J4411="P4")),IF(OR(U4411=1,U4411="1"),"adequate","partial"),INDEX(Fit_Matrix!$B:$B,MATCH(P4411,Fit_Matrix!$A:$A,0)))),"CHECK KEY"))</f>
        <v/>
      </c>
      <c r="U4411" s="10" t="n"/>
      <c r="V4411" s="10" t="n"/>
      <c r="W4411" s="10" t="n"/>
      <c r="X4411" s="10" t="n"/>
      <c r="Y4411" s="10" t="n"/>
      <c r="Z4411" s="10" t="n"/>
      <c r="AA4411" s="11">
        <f>IF(A4411="","",IF(AND(J4411="P4",F4411="causal"),"P4-CAUSAL",""))</f>
        <v/>
      </c>
    </row>
    <row r="4412" ht="15" customHeight="1" s="1">
      <c r="P4412">
        <f>IF(OR(F4412="",H4412="",J4412=""),"",J4412&amp;"|"&amp;F4412&amp;"|"&amp;IF(H4412="W3","W3_"&amp;IF(I4412="","unknown",I4412),H4412))</f>
        <v/>
      </c>
      <c r="Q4412">
        <f>IF(P4412="","",IFERROR(IF(AND(H4412="W7",OR(F4412="causal",F4412="predictive")),IF(AND(OR(K4412=1,K4412="1"),OR(L4412=1,L4412="1"),OR(M4412=1,M4412="1")),"adequate","partial"),IF(AND(H4412="W4",F4412="predictive",OR(J4412="P2",J4412="P3",J4412="P4")),IF(OR(U4412=1,U4412="1"),"adequate","partial"),INDEX(Fit_Matrix!$B:$B,MATCH(P4412,Fit_Matrix!$A:$A,0)))),"CHECK KEY"))</f>
        <v/>
      </c>
      <c r="U4412" s="10" t="n"/>
      <c r="V4412" s="10" t="n"/>
      <c r="W4412" s="10" t="n"/>
      <c r="X4412" s="10" t="n"/>
      <c r="Y4412" s="10" t="n"/>
      <c r="Z4412" s="10" t="n"/>
      <c r="AA4412" s="11">
        <f>IF(A4412="","",IF(AND(J4412="P4",F4412="causal"),"P4-CAUSAL",""))</f>
        <v/>
      </c>
    </row>
    <row r="4413" ht="15" customHeight="1" s="1">
      <c r="P4413">
        <f>IF(OR(F4413="",H4413="",J4413=""),"",J4413&amp;"|"&amp;F4413&amp;"|"&amp;IF(H4413="W3","W3_"&amp;IF(I4413="","unknown",I4413),H4413))</f>
        <v/>
      </c>
      <c r="Q4413">
        <f>IF(P4413="","",IFERROR(IF(AND(H4413="W7",OR(F4413="causal",F4413="predictive")),IF(AND(OR(K4413=1,K4413="1"),OR(L4413=1,L4413="1"),OR(M4413=1,M4413="1")),"adequate","partial"),IF(AND(H4413="W4",F4413="predictive",OR(J4413="P2",J4413="P3",J4413="P4")),IF(OR(U4413=1,U4413="1"),"adequate","partial"),INDEX(Fit_Matrix!$B:$B,MATCH(P4413,Fit_Matrix!$A:$A,0)))),"CHECK KEY"))</f>
        <v/>
      </c>
      <c r="U4413" s="10" t="n"/>
      <c r="V4413" s="10" t="n"/>
      <c r="W4413" s="10" t="n"/>
      <c r="X4413" s="10" t="n"/>
      <c r="Y4413" s="10" t="n"/>
      <c r="Z4413" s="10" t="n"/>
      <c r="AA4413" s="11">
        <f>IF(A4413="","",IF(AND(J4413="P4",F4413="causal"),"P4-CAUSAL",""))</f>
        <v/>
      </c>
    </row>
    <row r="4414" ht="15" customHeight="1" s="1">
      <c r="P4414">
        <f>IF(OR(F4414="",H4414="",J4414=""),"",J4414&amp;"|"&amp;F4414&amp;"|"&amp;IF(H4414="W3","W3_"&amp;IF(I4414="","unknown",I4414),H4414))</f>
        <v/>
      </c>
      <c r="Q4414">
        <f>IF(P4414="","",IFERROR(IF(AND(H4414="W7",OR(F4414="causal",F4414="predictive")),IF(AND(OR(K4414=1,K4414="1"),OR(L4414=1,L4414="1"),OR(M4414=1,M4414="1")),"adequate","partial"),IF(AND(H4414="W4",F4414="predictive",OR(J4414="P2",J4414="P3",J4414="P4")),IF(OR(U4414=1,U4414="1"),"adequate","partial"),INDEX(Fit_Matrix!$B:$B,MATCH(P4414,Fit_Matrix!$A:$A,0)))),"CHECK KEY"))</f>
        <v/>
      </c>
      <c r="U4414" s="10" t="n"/>
      <c r="V4414" s="10" t="n"/>
      <c r="W4414" s="10" t="n"/>
      <c r="X4414" s="10" t="n"/>
      <c r="Y4414" s="10" t="n"/>
      <c r="Z4414" s="10" t="n"/>
      <c r="AA4414" s="11">
        <f>IF(A4414="","",IF(AND(J4414="P4",F4414="causal"),"P4-CAUSAL",""))</f>
        <v/>
      </c>
    </row>
    <row r="4415" ht="15" customHeight="1" s="1">
      <c r="P4415">
        <f>IF(OR(F4415="",H4415="",J4415=""),"",J4415&amp;"|"&amp;F4415&amp;"|"&amp;IF(H4415="W3","W3_"&amp;IF(I4415="","unknown",I4415),H4415))</f>
        <v/>
      </c>
      <c r="Q4415">
        <f>IF(P4415="","",IFERROR(IF(AND(H4415="W7",OR(F4415="causal",F4415="predictive")),IF(AND(OR(K4415=1,K4415="1"),OR(L4415=1,L4415="1"),OR(M4415=1,M4415="1")),"adequate","partial"),IF(AND(H4415="W4",F4415="predictive",OR(J4415="P2",J4415="P3",J4415="P4")),IF(OR(U4415=1,U4415="1"),"adequate","partial"),INDEX(Fit_Matrix!$B:$B,MATCH(P4415,Fit_Matrix!$A:$A,0)))),"CHECK KEY"))</f>
        <v/>
      </c>
      <c r="U4415" s="10" t="n"/>
      <c r="V4415" s="10" t="n"/>
      <c r="W4415" s="10" t="n"/>
      <c r="X4415" s="10" t="n"/>
      <c r="Y4415" s="10" t="n"/>
      <c r="Z4415" s="10" t="n"/>
      <c r="AA4415" s="11">
        <f>IF(A4415="","",IF(AND(J4415="P4",F4415="causal"),"P4-CAUSAL",""))</f>
        <v/>
      </c>
    </row>
    <row r="4416" ht="15" customHeight="1" s="1">
      <c r="P4416">
        <f>IF(OR(F4416="",H4416="",J4416=""),"",J4416&amp;"|"&amp;F4416&amp;"|"&amp;IF(H4416="W3","W3_"&amp;IF(I4416="","unknown",I4416),H4416))</f>
        <v/>
      </c>
      <c r="Q4416">
        <f>IF(P4416="","",IFERROR(IF(AND(H4416="W7",OR(F4416="causal",F4416="predictive")),IF(AND(OR(K4416=1,K4416="1"),OR(L4416=1,L4416="1"),OR(M4416=1,M4416="1")),"adequate","partial"),IF(AND(H4416="W4",F4416="predictive",OR(J4416="P2",J4416="P3",J4416="P4")),IF(OR(U4416=1,U4416="1"),"adequate","partial"),INDEX(Fit_Matrix!$B:$B,MATCH(P4416,Fit_Matrix!$A:$A,0)))),"CHECK KEY"))</f>
        <v/>
      </c>
      <c r="U4416" s="10" t="n"/>
      <c r="V4416" s="10" t="n"/>
      <c r="W4416" s="10" t="n"/>
      <c r="X4416" s="10" t="n"/>
      <c r="Y4416" s="10" t="n"/>
      <c r="Z4416" s="10" t="n"/>
      <c r="AA4416" s="11">
        <f>IF(A4416="","",IF(AND(J4416="P4",F4416="causal"),"P4-CAUSAL",""))</f>
        <v/>
      </c>
    </row>
    <row r="4417" ht="15" customHeight="1" s="1">
      <c r="P4417">
        <f>IF(OR(F4417="",H4417="",J4417=""),"",J4417&amp;"|"&amp;F4417&amp;"|"&amp;IF(H4417="W3","W3_"&amp;IF(I4417="","unknown",I4417),H4417))</f>
        <v/>
      </c>
      <c r="Q4417">
        <f>IF(P4417="","",IFERROR(IF(AND(H4417="W7",OR(F4417="causal",F4417="predictive")),IF(AND(OR(K4417=1,K4417="1"),OR(L4417=1,L4417="1"),OR(M4417=1,M4417="1")),"adequate","partial"),IF(AND(H4417="W4",F4417="predictive",OR(J4417="P2",J4417="P3",J4417="P4")),IF(OR(U4417=1,U4417="1"),"adequate","partial"),INDEX(Fit_Matrix!$B:$B,MATCH(P4417,Fit_Matrix!$A:$A,0)))),"CHECK KEY"))</f>
        <v/>
      </c>
      <c r="U4417" s="10" t="n"/>
      <c r="V4417" s="10" t="n"/>
      <c r="W4417" s="10" t="n"/>
      <c r="X4417" s="10" t="n"/>
      <c r="Y4417" s="10" t="n"/>
      <c r="Z4417" s="10" t="n"/>
      <c r="AA4417" s="11">
        <f>IF(A4417="","",IF(AND(J4417="P4",F4417="causal"),"P4-CAUSAL",""))</f>
        <v/>
      </c>
    </row>
    <row r="4418" ht="15" customHeight="1" s="1">
      <c r="P4418">
        <f>IF(OR(F4418="",H4418="",J4418=""),"",J4418&amp;"|"&amp;F4418&amp;"|"&amp;IF(H4418="W3","W3_"&amp;IF(I4418="","unknown",I4418),H4418))</f>
        <v/>
      </c>
      <c r="Q4418">
        <f>IF(P4418="","",IFERROR(IF(AND(H4418="W7",OR(F4418="causal",F4418="predictive")),IF(AND(OR(K4418=1,K4418="1"),OR(L4418=1,L4418="1"),OR(M4418=1,M4418="1")),"adequate","partial"),IF(AND(H4418="W4",F4418="predictive",OR(J4418="P2",J4418="P3",J4418="P4")),IF(OR(U4418=1,U4418="1"),"adequate","partial"),INDEX(Fit_Matrix!$B:$B,MATCH(P4418,Fit_Matrix!$A:$A,0)))),"CHECK KEY"))</f>
        <v/>
      </c>
      <c r="U4418" s="10" t="n"/>
      <c r="V4418" s="10" t="n"/>
      <c r="W4418" s="10" t="n"/>
      <c r="X4418" s="10" t="n"/>
      <c r="Y4418" s="10" t="n"/>
      <c r="Z4418" s="10" t="n"/>
      <c r="AA4418" s="11">
        <f>IF(A4418="","",IF(AND(J4418="P4",F4418="causal"),"P4-CAUSAL",""))</f>
        <v/>
      </c>
    </row>
    <row r="4419" ht="15" customHeight="1" s="1">
      <c r="P4419">
        <f>IF(OR(F4419="",H4419="",J4419=""),"",J4419&amp;"|"&amp;F4419&amp;"|"&amp;IF(H4419="W3","W3_"&amp;IF(I4419="","unknown",I4419),H4419))</f>
        <v/>
      </c>
      <c r="Q4419">
        <f>IF(P4419="","",IFERROR(IF(AND(H4419="W7",OR(F4419="causal",F4419="predictive")),IF(AND(OR(K4419=1,K4419="1"),OR(L4419=1,L4419="1"),OR(M4419=1,M4419="1")),"adequate","partial"),IF(AND(H4419="W4",F4419="predictive",OR(J4419="P2",J4419="P3",J4419="P4")),IF(OR(U4419=1,U4419="1"),"adequate","partial"),INDEX(Fit_Matrix!$B:$B,MATCH(P4419,Fit_Matrix!$A:$A,0)))),"CHECK KEY"))</f>
        <v/>
      </c>
      <c r="U4419" s="10" t="n"/>
      <c r="V4419" s="10" t="n"/>
      <c r="W4419" s="10" t="n"/>
      <c r="X4419" s="10" t="n"/>
      <c r="Y4419" s="10" t="n"/>
      <c r="Z4419" s="10" t="n"/>
      <c r="AA4419" s="11">
        <f>IF(A4419="","",IF(AND(J4419="P4",F4419="causal"),"P4-CAUSAL",""))</f>
        <v/>
      </c>
    </row>
    <row r="4420" ht="15" customHeight="1" s="1">
      <c r="P4420">
        <f>IF(OR(F4420="",H4420="",J4420=""),"",J4420&amp;"|"&amp;F4420&amp;"|"&amp;IF(H4420="W3","W3_"&amp;IF(I4420="","unknown",I4420),H4420))</f>
        <v/>
      </c>
      <c r="Q4420">
        <f>IF(P4420="","",IFERROR(IF(AND(H4420="W7",OR(F4420="causal",F4420="predictive")),IF(AND(OR(K4420=1,K4420="1"),OR(L4420=1,L4420="1"),OR(M4420=1,M4420="1")),"adequate","partial"),IF(AND(H4420="W4",F4420="predictive",OR(J4420="P2",J4420="P3",J4420="P4")),IF(OR(U4420=1,U4420="1"),"adequate","partial"),INDEX(Fit_Matrix!$B:$B,MATCH(P4420,Fit_Matrix!$A:$A,0)))),"CHECK KEY"))</f>
        <v/>
      </c>
      <c r="U4420" s="10" t="n"/>
      <c r="V4420" s="10" t="n"/>
      <c r="W4420" s="10" t="n"/>
      <c r="X4420" s="10" t="n"/>
      <c r="Y4420" s="10" t="n"/>
      <c r="Z4420" s="10" t="n"/>
      <c r="AA4420" s="11">
        <f>IF(A4420="","",IF(AND(J4420="P4",F4420="causal"),"P4-CAUSAL",""))</f>
        <v/>
      </c>
    </row>
    <row r="4421" ht="15" customHeight="1" s="1">
      <c r="P4421">
        <f>IF(OR(F4421="",H4421="",J4421=""),"",J4421&amp;"|"&amp;F4421&amp;"|"&amp;IF(H4421="W3","W3_"&amp;IF(I4421="","unknown",I4421),H4421))</f>
        <v/>
      </c>
      <c r="Q4421">
        <f>IF(P4421="","",IFERROR(IF(AND(H4421="W7",OR(F4421="causal",F4421="predictive")),IF(AND(OR(K4421=1,K4421="1"),OR(L4421=1,L4421="1"),OR(M4421=1,M4421="1")),"adequate","partial"),IF(AND(H4421="W4",F4421="predictive",OR(J4421="P2",J4421="P3",J4421="P4")),IF(OR(U4421=1,U4421="1"),"adequate","partial"),INDEX(Fit_Matrix!$B:$B,MATCH(P4421,Fit_Matrix!$A:$A,0)))),"CHECK KEY"))</f>
        <v/>
      </c>
      <c r="U4421" s="10" t="n"/>
      <c r="V4421" s="10" t="n"/>
      <c r="W4421" s="10" t="n"/>
      <c r="X4421" s="10" t="n"/>
      <c r="Y4421" s="10" t="n"/>
      <c r="Z4421" s="10" t="n"/>
      <c r="AA4421" s="11">
        <f>IF(A4421="","",IF(AND(J4421="P4",F4421="causal"),"P4-CAUSAL",""))</f>
        <v/>
      </c>
    </row>
    <row r="4422" ht="15" customHeight="1" s="1">
      <c r="P4422">
        <f>IF(OR(F4422="",H4422="",J4422=""),"",J4422&amp;"|"&amp;F4422&amp;"|"&amp;IF(H4422="W3","W3_"&amp;IF(I4422="","unknown",I4422),H4422))</f>
        <v/>
      </c>
      <c r="Q4422">
        <f>IF(P4422="","",IFERROR(IF(AND(H4422="W7",OR(F4422="causal",F4422="predictive")),IF(AND(OR(K4422=1,K4422="1"),OR(L4422=1,L4422="1"),OR(M4422=1,M4422="1")),"adequate","partial"),IF(AND(H4422="W4",F4422="predictive",OR(J4422="P2",J4422="P3",J4422="P4")),IF(OR(U4422=1,U4422="1"),"adequate","partial"),INDEX(Fit_Matrix!$B:$B,MATCH(P4422,Fit_Matrix!$A:$A,0)))),"CHECK KEY"))</f>
        <v/>
      </c>
      <c r="U4422" s="10" t="n"/>
      <c r="V4422" s="10" t="n"/>
      <c r="W4422" s="10" t="n"/>
      <c r="X4422" s="10" t="n"/>
      <c r="Y4422" s="10" t="n"/>
      <c r="Z4422" s="10" t="n"/>
      <c r="AA4422" s="11">
        <f>IF(A4422="","",IF(AND(J4422="P4",F4422="causal"),"P4-CAUSAL",""))</f>
        <v/>
      </c>
    </row>
    <row r="4423" ht="15" customHeight="1" s="1">
      <c r="P4423">
        <f>IF(OR(F4423="",H4423="",J4423=""),"",J4423&amp;"|"&amp;F4423&amp;"|"&amp;IF(H4423="W3","W3_"&amp;IF(I4423="","unknown",I4423),H4423))</f>
        <v/>
      </c>
      <c r="Q4423">
        <f>IF(P4423="","",IFERROR(IF(AND(H4423="W7",OR(F4423="causal",F4423="predictive")),IF(AND(OR(K4423=1,K4423="1"),OR(L4423=1,L4423="1"),OR(M4423=1,M4423="1")),"adequate","partial"),IF(AND(H4423="W4",F4423="predictive",OR(J4423="P2",J4423="P3",J4423="P4")),IF(OR(U4423=1,U4423="1"),"adequate","partial"),INDEX(Fit_Matrix!$B:$B,MATCH(P4423,Fit_Matrix!$A:$A,0)))),"CHECK KEY"))</f>
        <v/>
      </c>
      <c r="U4423" s="10" t="n"/>
      <c r="V4423" s="10" t="n"/>
      <c r="W4423" s="10" t="n"/>
      <c r="X4423" s="10" t="n"/>
      <c r="Y4423" s="10" t="n"/>
      <c r="Z4423" s="10" t="n"/>
      <c r="AA4423" s="11">
        <f>IF(A4423="","",IF(AND(J4423="P4",F4423="causal"),"P4-CAUSAL",""))</f>
        <v/>
      </c>
    </row>
    <row r="4424" ht="15" customHeight="1" s="1">
      <c r="P4424">
        <f>IF(OR(F4424="",H4424="",J4424=""),"",J4424&amp;"|"&amp;F4424&amp;"|"&amp;IF(H4424="W3","W3_"&amp;IF(I4424="","unknown",I4424),H4424))</f>
        <v/>
      </c>
      <c r="Q4424">
        <f>IF(P4424="","",IFERROR(IF(AND(H4424="W7",OR(F4424="causal",F4424="predictive")),IF(AND(OR(K4424=1,K4424="1"),OR(L4424=1,L4424="1"),OR(M4424=1,M4424="1")),"adequate","partial"),IF(AND(H4424="W4",F4424="predictive",OR(J4424="P2",J4424="P3",J4424="P4")),IF(OR(U4424=1,U4424="1"),"adequate","partial"),INDEX(Fit_Matrix!$B:$B,MATCH(P4424,Fit_Matrix!$A:$A,0)))),"CHECK KEY"))</f>
        <v/>
      </c>
      <c r="U4424" s="10" t="n"/>
      <c r="V4424" s="10" t="n"/>
      <c r="W4424" s="10" t="n"/>
      <c r="X4424" s="10" t="n"/>
      <c r="Y4424" s="10" t="n"/>
      <c r="Z4424" s="10" t="n"/>
      <c r="AA4424" s="11">
        <f>IF(A4424="","",IF(AND(J4424="P4",F4424="causal"),"P4-CAUSAL",""))</f>
        <v/>
      </c>
    </row>
    <row r="4425" ht="15" customHeight="1" s="1">
      <c r="P4425">
        <f>IF(OR(F4425="",H4425="",J4425=""),"",J4425&amp;"|"&amp;F4425&amp;"|"&amp;IF(H4425="W3","W3_"&amp;IF(I4425="","unknown",I4425),H4425))</f>
        <v/>
      </c>
      <c r="Q4425">
        <f>IF(P4425="","",IFERROR(IF(AND(H4425="W7",OR(F4425="causal",F4425="predictive")),IF(AND(OR(K4425=1,K4425="1"),OR(L4425=1,L4425="1"),OR(M4425=1,M4425="1")),"adequate","partial"),IF(AND(H4425="W4",F4425="predictive",OR(J4425="P2",J4425="P3",J4425="P4")),IF(OR(U4425=1,U4425="1"),"adequate","partial"),INDEX(Fit_Matrix!$B:$B,MATCH(P4425,Fit_Matrix!$A:$A,0)))),"CHECK KEY"))</f>
        <v/>
      </c>
      <c r="U4425" s="10" t="n"/>
      <c r="V4425" s="10" t="n"/>
      <c r="W4425" s="10" t="n"/>
      <c r="X4425" s="10" t="n"/>
      <c r="Y4425" s="10" t="n"/>
      <c r="Z4425" s="10" t="n"/>
      <c r="AA4425" s="11">
        <f>IF(A4425="","",IF(AND(J4425="P4",F4425="causal"),"P4-CAUSAL",""))</f>
        <v/>
      </c>
    </row>
    <row r="4426" ht="15" customHeight="1" s="1">
      <c r="P4426">
        <f>IF(OR(F4426="",H4426="",J4426=""),"",J4426&amp;"|"&amp;F4426&amp;"|"&amp;IF(H4426="W3","W3_"&amp;IF(I4426="","unknown",I4426),H4426))</f>
        <v/>
      </c>
      <c r="Q4426">
        <f>IF(P4426="","",IFERROR(IF(AND(H4426="W7",OR(F4426="causal",F4426="predictive")),IF(AND(OR(K4426=1,K4426="1"),OR(L4426=1,L4426="1"),OR(M4426=1,M4426="1")),"adequate","partial"),IF(AND(H4426="W4",F4426="predictive",OR(J4426="P2",J4426="P3",J4426="P4")),IF(OR(U4426=1,U4426="1"),"adequate","partial"),INDEX(Fit_Matrix!$B:$B,MATCH(P4426,Fit_Matrix!$A:$A,0)))),"CHECK KEY"))</f>
        <v/>
      </c>
      <c r="U4426" s="10" t="n"/>
      <c r="V4426" s="10" t="n"/>
      <c r="W4426" s="10" t="n"/>
      <c r="X4426" s="10" t="n"/>
      <c r="Y4426" s="10" t="n"/>
      <c r="Z4426" s="10" t="n"/>
      <c r="AA4426" s="11">
        <f>IF(A4426="","",IF(AND(J4426="P4",F4426="causal"),"P4-CAUSAL",""))</f>
        <v/>
      </c>
    </row>
    <row r="4427" ht="15" customHeight="1" s="1">
      <c r="P4427">
        <f>IF(OR(F4427="",H4427="",J4427=""),"",J4427&amp;"|"&amp;F4427&amp;"|"&amp;IF(H4427="W3","W3_"&amp;IF(I4427="","unknown",I4427),H4427))</f>
        <v/>
      </c>
      <c r="Q4427">
        <f>IF(P4427="","",IFERROR(IF(AND(H4427="W7",OR(F4427="causal",F4427="predictive")),IF(AND(OR(K4427=1,K4427="1"),OR(L4427=1,L4427="1"),OR(M4427=1,M4427="1")),"adequate","partial"),IF(AND(H4427="W4",F4427="predictive",OR(J4427="P2",J4427="P3",J4427="P4")),IF(OR(U4427=1,U4427="1"),"adequate","partial"),INDEX(Fit_Matrix!$B:$B,MATCH(P4427,Fit_Matrix!$A:$A,0)))),"CHECK KEY"))</f>
        <v/>
      </c>
      <c r="U4427" s="10" t="n"/>
      <c r="V4427" s="10" t="n"/>
      <c r="W4427" s="10" t="n"/>
      <c r="X4427" s="10" t="n"/>
      <c r="Y4427" s="10" t="n"/>
      <c r="Z4427" s="10" t="n"/>
      <c r="AA4427" s="11">
        <f>IF(A4427="","",IF(AND(J4427="P4",F4427="causal"),"P4-CAUSAL",""))</f>
        <v/>
      </c>
    </row>
    <row r="4428" ht="15" customHeight="1" s="1">
      <c r="P4428">
        <f>IF(OR(F4428="",H4428="",J4428=""),"",J4428&amp;"|"&amp;F4428&amp;"|"&amp;IF(H4428="W3","W3_"&amp;IF(I4428="","unknown",I4428),H4428))</f>
        <v/>
      </c>
      <c r="Q4428">
        <f>IF(P4428="","",IFERROR(IF(AND(H4428="W7",OR(F4428="causal",F4428="predictive")),IF(AND(OR(K4428=1,K4428="1"),OR(L4428=1,L4428="1"),OR(M4428=1,M4428="1")),"adequate","partial"),IF(AND(H4428="W4",F4428="predictive",OR(J4428="P2",J4428="P3",J4428="P4")),IF(OR(U4428=1,U4428="1"),"adequate","partial"),INDEX(Fit_Matrix!$B:$B,MATCH(P4428,Fit_Matrix!$A:$A,0)))),"CHECK KEY"))</f>
        <v/>
      </c>
      <c r="U4428" s="10" t="n"/>
      <c r="V4428" s="10" t="n"/>
      <c r="W4428" s="10" t="n"/>
      <c r="X4428" s="10" t="n"/>
      <c r="Y4428" s="10" t="n"/>
      <c r="Z4428" s="10" t="n"/>
      <c r="AA4428" s="11">
        <f>IF(A4428="","",IF(AND(J4428="P4",F4428="causal"),"P4-CAUSAL",""))</f>
        <v/>
      </c>
    </row>
    <row r="4429" ht="15" customHeight="1" s="1">
      <c r="P4429">
        <f>IF(OR(F4429="",H4429="",J4429=""),"",J4429&amp;"|"&amp;F4429&amp;"|"&amp;IF(H4429="W3","W3_"&amp;IF(I4429="","unknown",I4429),H4429))</f>
        <v/>
      </c>
      <c r="Q4429">
        <f>IF(P4429="","",IFERROR(IF(AND(H4429="W7",OR(F4429="causal",F4429="predictive")),IF(AND(OR(K4429=1,K4429="1"),OR(L4429=1,L4429="1"),OR(M4429=1,M4429="1")),"adequate","partial"),IF(AND(H4429="W4",F4429="predictive",OR(J4429="P2",J4429="P3",J4429="P4")),IF(OR(U4429=1,U4429="1"),"adequate","partial"),INDEX(Fit_Matrix!$B:$B,MATCH(P4429,Fit_Matrix!$A:$A,0)))),"CHECK KEY"))</f>
        <v/>
      </c>
      <c r="U4429" s="10" t="n"/>
      <c r="V4429" s="10" t="n"/>
      <c r="W4429" s="10" t="n"/>
      <c r="X4429" s="10" t="n"/>
      <c r="Y4429" s="10" t="n"/>
      <c r="Z4429" s="10" t="n"/>
      <c r="AA4429" s="11">
        <f>IF(A4429="","",IF(AND(J4429="P4",F4429="causal"),"P4-CAUSAL",""))</f>
        <v/>
      </c>
    </row>
    <row r="4430" ht="15" customHeight="1" s="1">
      <c r="P4430">
        <f>IF(OR(F4430="",H4430="",J4430=""),"",J4430&amp;"|"&amp;F4430&amp;"|"&amp;IF(H4430="W3","W3_"&amp;IF(I4430="","unknown",I4430),H4430))</f>
        <v/>
      </c>
      <c r="Q4430">
        <f>IF(P4430="","",IFERROR(IF(AND(H4430="W7",OR(F4430="causal",F4430="predictive")),IF(AND(OR(K4430=1,K4430="1"),OR(L4430=1,L4430="1"),OR(M4430=1,M4430="1")),"adequate","partial"),IF(AND(H4430="W4",F4430="predictive",OR(J4430="P2",J4430="P3",J4430="P4")),IF(OR(U4430=1,U4430="1"),"adequate","partial"),INDEX(Fit_Matrix!$B:$B,MATCH(P4430,Fit_Matrix!$A:$A,0)))),"CHECK KEY"))</f>
        <v/>
      </c>
      <c r="U4430" s="10" t="n"/>
      <c r="V4430" s="10" t="n"/>
      <c r="W4430" s="10" t="n"/>
      <c r="X4430" s="10" t="n"/>
      <c r="Y4430" s="10" t="n"/>
      <c r="Z4430" s="10" t="n"/>
      <c r="AA4430" s="11">
        <f>IF(A4430="","",IF(AND(J4430="P4",F4430="causal"),"P4-CAUSAL",""))</f>
        <v/>
      </c>
    </row>
    <row r="4431" ht="15" customHeight="1" s="1">
      <c r="P4431">
        <f>IF(OR(F4431="",H4431="",J4431=""),"",J4431&amp;"|"&amp;F4431&amp;"|"&amp;IF(H4431="W3","W3_"&amp;IF(I4431="","unknown",I4431),H4431))</f>
        <v/>
      </c>
      <c r="Q4431">
        <f>IF(P4431="","",IFERROR(IF(AND(H4431="W7",OR(F4431="causal",F4431="predictive")),IF(AND(OR(K4431=1,K4431="1"),OR(L4431=1,L4431="1"),OR(M4431=1,M4431="1")),"adequate","partial"),IF(AND(H4431="W4",F4431="predictive",OR(J4431="P2",J4431="P3",J4431="P4")),IF(OR(U4431=1,U4431="1"),"adequate","partial"),INDEX(Fit_Matrix!$B:$B,MATCH(P4431,Fit_Matrix!$A:$A,0)))),"CHECK KEY"))</f>
        <v/>
      </c>
      <c r="U4431" s="10" t="n"/>
      <c r="V4431" s="10" t="n"/>
      <c r="W4431" s="10" t="n"/>
      <c r="X4431" s="10" t="n"/>
      <c r="Y4431" s="10" t="n"/>
      <c r="Z4431" s="10" t="n"/>
      <c r="AA4431" s="11">
        <f>IF(A4431="","",IF(AND(J4431="P4",F4431="causal"),"P4-CAUSAL",""))</f>
        <v/>
      </c>
    </row>
    <row r="4432" ht="15" customHeight="1" s="1">
      <c r="P4432">
        <f>IF(OR(F4432="",H4432="",J4432=""),"",J4432&amp;"|"&amp;F4432&amp;"|"&amp;IF(H4432="W3","W3_"&amp;IF(I4432="","unknown",I4432),H4432))</f>
        <v/>
      </c>
      <c r="Q4432">
        <f>IF(P4432="","",IFERROR(IF(AND(H4432="W7",OR(F4432="causal",F4432="predictive")),IF(AND(OR(K4432=1,K4432="1"),OR(L4432=1,L4432="1"),OR(M4432=1,M4432="1")),"adequate","partial"),IF(AND(H4432="W4",F4432="predictive",OR(J4432="P2",J4432="P3",J4432="P4")),IF(OR(U4432=1,U4432="1"),"adequate","partial"),INDEX(Fit_Matrix!$B:$B,MATCH(P4432,Fit_Matrix!$A:$A,0)))),"CHECK KEY"))</f>
        <v/>
      </c>
      <c r="U4432" s="10" t="n"/>
      <c r="V4432" s="10" t="n"/>
      <c r="W4432" s="10" t="n"/>
      <c r="X4432" s="10" t="n"/>
      <c r="Y4432" s="10" t="n"/>
      <c r="Z4432" s="10" t="n"/>
      <c r="AA4432" s="11">
        <f>IF(A4432="","",IF(AND(J4432="P4",F4432="causal"),"P4-CAUSAL",""))</f>
        <v/>
      </c>
    </row>
    <row r="4433" ht="15" customHeight="1" s="1">
      <c r="P4433">
        <f>IF(OR(F4433="",H4433="",J4433=""),"",J4433&amp;"|"&amp;F4433&amp;"|"&amp;IF(H4433="W3","W3_"&amp;IF(I4433="","unknown",I4433),H4433))</f>
        <v/>
      </c>
      <c r="Q4433">
        <f>IF(P4433="","",IFERROR(IF(AND(H4433="W7",OR(F4433="causal",F4433="predictive")),IF(AND(OR(K4433=1,K4433="1"),OR(L4433=1,L4433="1"),OR(M4433=1,M4433="1")),"adequate","partial"),IF(AND(H4433="W4",F4433="predictive",OR(J4433="P2",J4433="P3",J4433="P4")),IF(OR(U4433=1,U4433="1"),"adequate","partial"),INDEX(Fit_Matrix!$B:$B,MATCH(P4433,Fit_Matrix!$A:$A,0)))),"CHECK KEY"))</f>
        <v/>
      </c>
      <c r="U4433" s="10" t="n"/>
      <c r="V4433" s="10" t="n"/>
      <c r="W4433" s="10" t="n"/>
      <c r="X4433" s="10" t="n"/>
      <c r="Y4433" s="10" t="n"/>
      <c r="Z4433" s="10" t="n"/>
      <c r="AA4433" s="11">
        <f>IF(A4433="","",IF(AND(J4433="P4",F4433="causal"),"P4-CAUSAL",""))</f>
        <v/>
      </c>
    </row>
    <row r="4434" ht="15" customHeight="1" s="1">
      <c r="P4434">
        <f>IF(OR(F4434="",H4434="",J4434=""),"",J4434&amp;"|"&amp;F4434&amp;"|"&amp;IF(H4434="W3","W3_"&amp;IF(I4434="","unknown",I4434),H4434))</f>
        <v/>
      </c>
      <c r="Q4434">
        <f>IF(P4434="","",IFERROR(IF(AND(H4434="W7",OR(F4434="causal",F4434="predictive")),IF(AND(OR(K4434=1,K4434="1"),OR(L4434=1,L4434="1"),OR(M4434=1,M4434="1")),"adequate","partial"),IF(AND(H4434="W4",F4434="predictive",OR(J4434="P2",J4434="P3",J4434="P4")),IF(OR(U4434=1,U4434="1"),"adequate","partial"),INDEX(Fit_Matrix!$B:$B,MATCH(P4434,Fit_Matrix!$A:$A,0)))),"CHECK KEY"))</f>
        <v/>
      </c>
      <c r="U4434" s="10" t="n"/>
      <c r="V4434" s="10" t="n"/>
      <c r="W4434" s="10" t="n"/>
      <c r="X4434" s="10" t="n"/>
      <c r="Y4434" s="10" t="n"/>
      <c r="Z4434" s="10" t="n"/>
      <c r="AA4434" s="11">
        <f>IF(A4434="","",IF(AND(J4434="P4",F4434="causal"),"P4-CAUSAL",""))</f>
        <v/>
      </c>
    </row>
    <row r="4435" ht="15" customHeight="1" s="1">
      <c r="P4435">
        <f>IF(OR(F4435="",H4435="",J4435=""),"",J4435&amp;"|"&amp;F4435&amp;"|"&amp;IF(H4435="W3","W3_"&amp;IF(I4435="","unknown",I4435),H4435))</f>
        <v/>
      </c>
      <c r="Q4435">
        <f>IF(P4435="","",IFERROR(IF(AND(H4435="W7",OR(F4435="causal",F4435="predictive")),IF(AND(OR(K4435=1,K4435="1"),OR(L4435=1,L4435="1"),OR(M4435=1,M4435="1")),"adequate","partial"),IF(AND(H4435="W4",F4435="predictive",OR(J4435="P2",J4435="P3",J4435="P4")),IF(OR(U4435=1,U4435="1"),"adequate","partial"),INDEX(Fit_Matrix!$B:$B,MATCH(P4435,Fit_Matrix!$A:$A,0)))),"CHECK KEY"))</f>
        <v/>
      </c>
      <c r="U4435" s="10" t="n"/>
      <c r="V4435" s="10" t="n"/>
      <c r="W4435" s="10" t="n"/>
      <c r="X4435" s="10" t="n"/>
      <c r="Y4435" s="10" t="n"/>
      <c r="Z4435" s="10" t="n"/>
      <c r="AA4435" s="11">
        <f>IF(A4435="","",IF(AND(J4435="P4",F4435="causal"),"P4-CAUSAL",""))</f>
        <v/>
      </c>
    </row>
    <row r="4436" ht="15" customHeight="1" s="1">
      <c r="P4436">
        <f>IF(OR(F4436="",H4436="",J4436=""),"",J4436&amp;"|"&amp;F4436&amp;"|"&amp;IF(H4436="W3","W3_"&amp;IF(I4436="","unknown",I4436),H4436))</f>
        <v/>
      </c>
      <c r="Q4436">
        <f>IF(P4436="","",IFERROR(IF(AND(H4436="W7",OR(F4436="causal",F4436="predictive")),IF(AND(OR(K4436=1,K4436="1"),OR(L4436=1,L4436="1"),OR(M4436=1,M4436="1")),"adequate","partial"),IF(AND(H4436="W4",F4436="predictive",OR(J4436="P2",J4436="P3",J4436="P4")),IF(OR(U4436=1,U4436="1"),"adequate","partial"),INDEX(Fit_Matrix!$B:$B,MATCH(P4436,Fit_Matrix!$A:$A,0)))),"CHECK KEY"))</f>
        <v/>
      </c>
      <c r="U4436" s="10" t="n"/>
      <c r="V4436" s="10" t="n"/>
      <c r="W4436" s="10" t="n"/>
      <c r="X4436" s="10" t="n"/>
      <c r="Y4436" s="10" t="n"/>
      <c r="Z4436" s="10" t="n"/>
      <c r="AA4436" s="11">
        <f>IF(A4436="","",IF(AND(J4436="P4",F4436="causal"),"P4-CAUSAL",""))</f>
        <v/>
      </c>
    </row>
    <row r="4437" ht="15" customHeight="1" s="1">
      <c r="P4437">
        <f>IF(OR(F4437="",H4437="",J4437=""),"",J4437&amp;"|"&amp;F4437&amp;"|"&amp;IF(H4437="W3","W3_"&amp;IF(I4437="","unknown",I4437),H4437))</f>
        <v/>
      </c>
      <c r="Q4437">
        <f>IF(P4437="","",IFERROR(IF(AND(H4437="W7",OR(F4437="causal",F4437="predictive")),IF(AND(OR(K4437=1,K4437="1"),OR(L4437=1,L4437="1"),OR(M4437=1,M4437="1")),"adequate","partial"),IF(AND(H4437="W4",F4437="predictive",OR(J4437="P2",J4437="P3",J4437="P4")),IF(OR(U4437=1,U4437="1"),"adequate","partial"),INDEX(Fit_Matrix!$B:$B,MATCH(P4437,Fit_Matrix!$A:$A,0)))),"CHECK KEY"))</f>
        <v/>
      </c>
      <c r="U4437" s="10" t="n"/>
      <c r="V4437" s="10" t="n"/>
      <c r="W4437" s="10" t="n"/>
      <c r="X4437" s="10" t="n"/>
      <c r="Y4437" s="10" t="n"/>
      <c r="Z4437" s="10" t="n"/>
      <c r="AA4437" s="11">
        <f>IF(A4437="","",IF(AND(J4437="P4",F4437="causal"),"P4-CAUSAL",""))</f>
        <v/>
      </c>
    </row>
    <row r="4438" ht="15" customHeight="1" s="1">
      <c r="P4438">
        <f>IF(OR(F4438="",H4438="",J4438=""),"",J4438&amp;"|"&amp;F4438&amp;"|"&amp;IF(H4438="W3","W3_"&amp;IF(I4438="","unknown",I4438),H4438))</f>
        <v/>
      </c>
      <c r="Q4438">
        <f>IF(P4438="","",IFERROR(IF(AND(H4438="W7",OR(F4438="causal",F4438="predictive")),IF(AND(OR(K4438=1,K4438="1"),OR(L4438=1,L4438="1"),OR(M4438=1,M4438="1")),"adequate","partial"),IF(AND(H4438="W4",F4438="predictive",OR(J4438="P2",J4438="P3",J4438="P4")),IF(OR(U4438=1,U4438="1"),"adequate","partial"),INDEX(Fit_Matrix!$B:$B,MATCH(P4438,Fit_Matrix!$A:$A,0)))),"CHECK KEY"))</f>
        <v/>
      </c>
      <c r="U4438" s="10" t="n"/>
      <c r="V4438" s="10" t="n"/>
      <c r="W4438" s="10" t="n"/>
      <c r="X4438" s="10" t="n"/>
      <c r="Y4438" s="10" t="n"/>
      <c r="Z4438" s="10" t="n"/>
      <c r="AA4438" s="11">
        <f>IF(A4438="","",IF(AND(J4438="P4",F4438="causal"),"P4-CAUSAL",""))</f>
        <v/>
      </c>
    </row>
    <row r="4439" ht="15" customHeight="1" s="1">
      <c r="P4439">
        <f>IF(OR(F4439="",H4439="",J4439=""),"",J4439&amp;"|"&amp;F4439&amp;"|"&amp;IF(H4439="W3","W3_"&amp;IF(I4439="","unknown",I4439),H4439))</f>
        <v/>
      </c>
      <c r="Q4439">
        <f>IF(P4439="","",IFERROR(IF(AND(H4439="W7",OR(F4439="causal",F4439="predictive")),IF(AND(OR(K4439=1,K4439="1"),OR(L4439=1,L4439="1"),OR(M4439=1,M4439="1")),"adequate","partial"),IF(AND(H4439="W4",F4439="predictive",OR(J4439="P2",J4439="P3",J4439="P4")),IF(OR(U4439=1,U4439="1"),"adequate","partial"),INDEX(Fit_Matrix!$B:$B,MATCH(P4439,Fit_Matrix!$A:$A,0)))),"CHECK KEY"))</f>
        <v/>
      </c>
      <c r="U4439" s="10" t="n"/>
      <c r="V4439" s="10" t="n"/>
      <c r="W4439" s="10" t="n"/>
      <c r="X4439" s="10" t="n"/>
      <c r="Y4439" s="10" t="n"/>
      <c r="Z4439" s="10" t="n"/>
      <c r="AA4439" s="11">
        <f>IF(A4439="","",IF(AND(J4439="P4",F4439="causal"),"P4-CAUSAL",""))</f>
        <v/>
      </c>
    </row>
    <row r="4440" ht="15" customHeight="1" s="1">
      <c r="P4440">
        <f>IF(OR(F4440="",H4440="",J4440=""),"",J4440&amp;"|"&amp;F4440&amp;"|"&amp;IF(H4440="W3","W3_"&amp;IF(I4440="","unknown",I4440),H4440))</f>
        <v/>
      </c>
      <c r="Q4440">
        <f>IF(P4440="","",IFERROR(IF(AND(H4440="W7",OR(F4440="causal",F4440="predictive")),IF(AND(OR(K4440=1,K4440="1"),OR(L4440=1,L4440="1"),OR(M4440=1,M4440="1")),"adequate","partial"),IF(AND(H4440="W4",F4440="predictive",OR(J4440="P2",J4440="P3",J4440="P4")),IF(OR(U4440=1,U4440="1"),"adequate","partial"),INDEX(Fit_Matrix!$B:$B,MATCH(P4440,Fit_Matrix!$A:$A,0)))),"CHECK KEY"))</f>
        <v/>
      </c>
      <c r="U4440" s="10" t="n"/>
      <c r="V4440" s="10" t="n"/>
      <c r="W4440" s="10" t="n"/>
      <c r="X4440" s="10" t="n"/>
      <c r="Y4440" s="10" t="n"/>
      <c r="Z4440" s="10" t="n"/>
      <c r="AA4440" s="11">
        <f>IF(A4440="","",IF(AND(J4440="P4",F4440="causal"),"P4-CAUSAL",""))</f>
        <v/>
      </c>
    </row>
    <row r="4441" ht="15" customHeight="1" s="1">
      <c r="P4441">
        <f>IF(OR(F4441="",H4441="",J4441=""),"",J4441&amp;"|"&amp;F4441&amp;"|"&amp;IF(H4441="W3","W3_"&amp;IF(I4441="","unknown",I4441),H4441))</f>
        <v/>
      </c>
      <c r="Q4441">
        <f>IF(P4441="","",IFERROR(IF(AND(H4441="W7",OR(F4441="causal",F4441="predictive")),IF(AND(OR(K4441=1,K4441="1"),OR(L4441=1,L4441="1"),OR(M4441=1,M4441="1")),"adequate","partial"),IF(AND(H4441="W4",F4441="predictive",OR(J4441="P2",J4441="P3",J4441="P4")),IF(OR(U4441=1,U4441="1"),"adequate","partial"),INDEX(Fit_Matrix!$B:$B,MATCH(P4441,Fit_Matrix!$A:$A,0)))),"CHECK KEY"))</f>
        <v/>
      </c>
      <c r="U4441" s="10" t="n"/>
      <c r="V4441" s="10" t="n"/>
      <c r="W4441" s="10" t="n"/>
      <c r="X4441" s="10" t="n"/>
      <c r="Y4441" s="10" t="n"/>
      <c r="Z4441" s="10" t="n"/>
      <c r="AA4441" s="11">
        <f>IF(A4441="","",IF(AND(J4441="P4",F4441="causal"),"P4-CAUSAL",""))</f>
        <v/>
      </c>
    </row>
    <row r="4442" ht="15" customHeight="1" s="1">
      <c r="P4442">
        <f>IF(OR(F4442="",H4442="",J4442=""),"",J4442&amp;"|"&amp;F4442&amp;"|"&amp;IF(H4442="W3","W3_"&amp;IF(I4442="","unknown",I4442),H4442))</f>
        <v/>
      </c>
      <c r="Q4442">
        <f>IF(P4442="","",IFERROR(IF(AND(H4442="W7",OR(F4442="causal",F4442="predictive")),IF(AND(OR(K4442=1,K4442="1"),OR(L4442=1,L4442="1"),OR(M4442=1,M4442="1")),"adequate","partial"),IF(AND(H4442="W4",F4442="predictive",OR(J4442="P2",J4442="P3",J4442="P4")),IF(OR(U4442=1,U4442="1"),"adequate","partial"),INDEX(Fit_Matrix!$B:$B,MATCH(P4442,Fit_Matrix!$A:$A,0)))),"CHECK KEY"))</f>
        <v/>
      </c>
      <c r="U4442" s="10" t="n"/>
      <c r="V4442" s="10" t="n"/>
      <c r="W4442" s="10" t="n"/>
      <c r="X4442" s="10" t="n"/>
      <c r="Y4442" s="10" t="n"/>
      <c r="Z4442" s="10" t="n"/>
      <c r="AA4442" s="11">
        <f>IF(A4442="","",IF(AND(J4442="P4",F4442="causal"),"P4-CAUSAL",""))</f>
        <v/>
      </c>
    </row>
    <row r="4443" ht="15" customHeight="1" s="1">
      <c r="P4443">
        <f>IF(OR(F4443="",H4443="",J4443=""),"",J4443&amp;"|"&amp;F4443&amp;"|"&amp;IF(H4443="W3","W3_"&amp;IF(I4443="","unknown",I4443),H4443))</f>
        <v/>
      </c>
      <c r="Q4443">
        <f>IF(P4443="","",IFERROR(IF(AND(H4443="W7",OR(F4443="causal",F4443="predictive")),IF(AND(OR(K4443=1,K4443="1"),OR(L4443=1,L4443="1"),OR(M4443=1,M4443="1")),"adequate","partial"),IF(AND(H4443="W4",F4443="predictive",OR(J4443="P2",J4443="P3",J4443="P4")),IF(OR(U4443=1,U4443="1"),"adequate","partial"),INDEX(Fit_Matrix!$B:$B,MATCH(P4443,Fit_Matrix!$A:$A,0)))),"CHECK KEY"))</f>
        <v/>
      </c>
      <c r="U4443" s="10" t="n"/>
      <c r="V4443" s="10" t="n"/>
      <c r="W4443" s="10" t="n"/>
      <c r="X4443" s="10" t="n"/>
      <c r="Y4443" s="10" t="n"/>
      <c r="Z4443" s="10" t="n"/>
      <c r="AA4443" s="11">
        <f>IF(A4443="","",IF(AND(J4443="P4",F4443="causal"),"P4-CAUSAL",""))</f>
        <v/>
      </c>
    </row>
    <row r="4444" ht="15" customHeight="1" s="1">
      <c r="P4444">
        <f>IF(OR(F4444="",H4444="",J4444=""),"",J4444&amp;"|"&amp;F4444&amp;"|"&amp;IF(H4444="W3","W3_"&amp;IF(I4444="","unknown",I4444),H4444))</f>
        <v/>
      </c>
      <c r="Q4444">
        <f>IF(P4444="","",IFERROR(IF(AND(H4444="W7",OR(F4444="causal",F4444="predictive")),IF(AND(OR(K4444=1,K4444="1"),OR(L4444=1,L4444="1"),OR(M4444=1,M4444="1")),"adequate","partial"),IF(AND(H4444="W4",F4444="predictive",OR(J4444="P2",J4444="P3",J4444="P4")),IF(OR(U4444=1,U4444="1"),"adequate","partial"),INDEX(Fit_Matrix!$B:$B,MATCH(P4444,Fit_Matrix!$A:$A,0)))),"CHECK KEY"))</f>
        <v/>
      </c>
      <c r="U4444" s="10" t="n"/>
      <c r="V4444" s="10" t="n"/>
      <c r="W4444" s="10" t="n"/>
      <c r="X4444" s="10" t="n"/>
      <c r="Y4444" s="10" t="n"/>
      <c r="Z4444" s="10" t="n"/>
      <c r="AA4444" s="11">
        <f>IF(A4444="","",IF(AND(J4444="P4",F4444="causal"),"P4-CAUSAL",""))</f>
        <v/>
      </c>
    </row>
    <row r="4445" ht="15" customHeight="1" s="1">
      <c r="P4445">
        <f>IF(OR(F4445="",H4445="",J4445=""),"",J4445&amp;"|"&amp;F4445&amp;"|"&amp;IF(H4445="W3","W3_"&amp;IF(I4445="","unknown",I4445),H4445))</f>
        <v/>
      </c>
      <c r="Q4445">
        <f>IF(P4445="","",IFERROR(IF(AND(H4445="W7",OR(F4445="causal",F4445="predictive")),IF(AND(OR(K4445=1,K4445="1"),OR(L4445=1,L4445="1"),OR(M4445=1,M4445="1")),"adequate","partial"),IF(AND(H4445="W4",F4445="predictive",OR(J4445="P2",J4445="P3",J4445="P4")),IF(OR(U4445=1,U4445="1"),"adequate","partial"),INDEX(Fit_Matrix!$B:$B,MATCH(P4445,Fit_Matrix!$A:$A,0)))),"CHECK KEY"))</f>
        <v/>
      </c>
      <c r="U4445" s="10" t="n"/>
      <c r="V4445" s="10" t="n"/>
      <c r="W4445" s="10" t="n"/>
      <c r="X4445" s="10" t="n"/>
      <c r="Y4445" s="10" t="n"/>
      <c r="Z4445" s="10" t="n"/>
      <c r="AA4445" s="11">
        <f>IF(A4445="","",IF(AND(J4445="P4",F4445="causal"),"P4-CAUSAL",""))</f>
        <v/>
      </c>
    </row>
    <row r="4446" ht="15" customHeight="1" s="1">
      <c r="P4446">
        <f>IF(OR(F4446="",H4446="",J4446=""),"",J4446&amp;"|"&amp;F4446&amp;"|"&amp;IF(H4446="W3","W3_"&amp;IF(I4446="","unknown",I4446),H4446))</f>
        <v/>
      </c>
      <c r="Q4446">
        <f>IF(P4446="","",IFERROR(IF(AND(H4446="W7",OR(F4446="causal",F4446="predictive")),IF(AND(OR(K4446=1,K4446="1"),OR(L4446=1,L4446="1"),OR(M4446=1,M4446="1")),"adequate","partial"),IF(AND(H4446="W4",F4446="predictive",OR(J4446="P2",J4446="P3",J4446="P4")),IF(OR(U4446=1,U4446="1"),"adequate","partial"),INDEX(Fit_Matrix!$B:$B,MATCH(P4446,Fit_Matrix!$A:$A,0)))),"CHECK KEY"))</f>
        <v/>
      </c>
      <c r="U4446" s="10" t="n"/>
      <c r="V4446" s="10" t="n"/>
      <c r="W4446" s="10" t="n"/>
      <c r="X4446" s="10" t="n"/>
      <c r="Y4446" s="10" t="n"/>
      <c r="Z4446" s="10" t="n"/>
      <c r="AA4446" s="11">
        <f>IF(A4446="","",IF(AND(J4446="P4",F4446="causal"),"P4-CAUSAL",""))</f>
        <v/>
      </c>
    </row>
    <row r="4447" ht="15" customHeight="1" s="1">
      <c r="P4447">
        <f>IF(OR(F4447="",H4447="",J4447=""),"",J4447&amp;"|"&amp;F4447&amp;"|"&amp;IF(H4447="W3","W3_"&amp;IF(I4447="","unknown",I4447),H4447))</f>
        <v/>
      </c>
      <c r="Q4447">
        <f>IF(P4447="","",IFERROR(IF(AND(H4447="W7",OR(F4447="causal",F4447="predictive")),IF(AND(OR(K4447=1,K4447="1"),OR(L4447=1,L4447="1"),OR(M4447=1,M4447="1")),"adequate","partial"),IF(AND(H4447="W4",F4447="predictive",OR(J4447="P2",J4447="P3",J4447="P4")),IF(OR(U4447=1,U4447="1"),"adequate","partial"),INDEX(Fit_Matrix!$B:$B,MATCH(P4447,Fit_Matrix!$A:$A,0)))),"CHECK KEY"))</f>
        <v/>
      </c>
      <c r="U4447" s="10" t="n"/>
      <c r="V4447" s="10" t="n"/>
      <c r="W4447" s="10" t="n"/>
      <c r="X4447" s="10" t="n"/>
      <c r="Y4447" s="10" t="n"/>
      <c r="Z4447" s="10" t="n"/>
      <c r="AA4447" s="11">
        <f>IF(A4447="","",IF(AND(J4447="P4",F4447="causal"),"P4-CAUSAL",""))</f>
        <v/>
      </c>
    </row>
    <row r="4448" ht="15" customHeight="1" s="1">
      <c r="P4448">
        <f>IF(OR(F4448="",H4448="",J4448=""),"",J4448&amp;"|"&amp;F4448&amp;"|"&amp;IF(H4448="W3","W3_"&amp;IF(I4448="","unknown",I4448),H4448))</f>
        <v/>
      </c>
      <c r="Q4448">
        <f>IF(P4448="","",IFERROR(IF(AND(H4448="W7",OR(F4448="causal",F4448="predictive")),IF(AND(OR(K4448=1,K4448="1"),OR(L4448=1,L4448="1"),OR(M4448=1,M4448="1")),"adequate","partial"),IF(AND(H4448="W4",F4448="predictive",OR(J4448="P2",J4448="P3",J4448="P4")),IF(OR(U4448=1,U4448="1"),"adequate","partial"),INDEX(Fit_Matrix!$B:$B,MATCH(P4448,Fit_Matrix!$A:$A,0)))),"CHECK KEY"))</f>
        <v/>
      </c>
      <c r="U4448" s="10" t="n"/>
      <c r="V4448" s="10" t="n"/>
      <c r="W4448" s="10" t="n"/>
      <c r="X4448" s="10" t="n"/>
      <c r="Y4448" s="10" t="n"/>
      <c r="Z4448" s="10" t="n"/>
      <c r="AA4448" s="11">
        <f>IF(A4448="","",IF(AND(J4448="P4",F4448="causal"),"P4-CAUSAL",""))</f>
        <v/>
      </c>
    </row>
    <row r="4449" ht="15" customHeight="1" s="1">
      <c r="P4449">
        <f>IF(OR(F4449="",H4449="",J4449=""),"",J4449&amp;"|"&amp;F4449&amp;"|"&amp;IF(H4449="W3","W3_"&amp;IF(I4449="","unknown",I4449),H4449))</f>
        <v/>
      </c>
      <c r="Q4449">
        <f>IF(P4449="","",IFERROR(IF(AND(H4449="W7",OR(F4449="causal",F4449="predictive")),IF(AND(OR(K4449=1,K4449="1"),OR(L4449=1,L4449="1"),OR(M4449=1,M4449="1")),"adequate","partial"),IF(AND(H4449="W4",F4449="predictive",OR(J4449="P2",J4449="P3",J4449="P4")),IF(OR(U4449=1,U4449="1"),"adequate","partial"),INDEX(Fit_Matrix!$B:$B,MATCH(P4449,Fit_Matrix!$A:$A,0)))),"CHECK KEY"))</f>
        <v/>
      </c>
      <c r="U4449" s="10" t="n"/>
      <c r="V4449" s="10" t="n"/>
      <c r="W4449" s="10" t="n"/>
      <c r="X4449" s="10" t="n"/>
      <c r="Y4449" s="10" t="n"/>
      <c r="Z4449" s="10" t="n"/>
      <c r="AA4449" s="11">
        <f>IF(A4449="","",IF(AND(J4449="P4",F4449="causal"),"P4-CAUSAL",""))</f>
        <v/>
      </c>
    </row>
    <row r="4450" ht="15" customHeight="1" s="1">
      <c r="P4450">
        <f>IF(OR(F4450="",H4450="",J4450=""),"",J4450&amp;"|"&amp;F4450&amp;"|"&amp;IF(H4450="W3","W3_"&amp;IF(I4450="","unknown",I4450),H4450))</f>
        <v/>
      </c>
      <c r="Q4450">
        <f>IF(P4450="","",IFERROR(IF(AND(H4450="W7",OR(F4450="causal",F4450="predictive")),IF(AND(OR(K4450=1,K4450="1"),OR(L4450=1,L4450="1"),OR(M4450=1,M4450="1")),"adequate","partial"),IF(AND(H4450="W4",F4450="predictive",OR(J4450="P2",J4450="P3",J4450="P4")),IF(OR(U4450=1,U4450="1"),"adequate","partial"),INDEX(Fit_Matrix!$B:$B,MATCH(P4450,Fit_Matrix!$A:$A,0)))),"CHECK KEY"))</f>
        <v/>
      </c>
      <c r="U4450" s="10" t="n"/>
      <c r="V4450" s="10" t="n"/>
      <c r="W4450" s="10" t="n"/>
      <c r="X4450" s="10" t="n"/>
      <c r="Y4450" s="10" t="n"/>
      <c r="Z4450" s="10" t="n"/>
      <c r="AA4450" s="11">
        <f>IF(A4450="","",IF(AND(J4450="P4",F4450="causal"),"P4-CAUSAL",""))</f>
        <v/>
      </c>
    </row>
    <row r="4451" ht="15" customHeight="1" s="1">
      <c r="P4451">
        <f>IF(OR(F4451="",H4451="",J4451=""),"",J4451&amp;"|"&amp;F4451&amp;"|"&amp;IF(H4451="W3","W3_"&amp;IF(I4451="","unknown",I4451),H4451))</f>
        <v/>
      </c>
      <c r="Q4451">
        <f>IF(P4451="","",IFERROR(IF(AND(H4451="W7",OR(F4451="causal",F4451="predictive")),IF(AND(OR(K4451=1,K4451="1"),OR(L4451=1,L4451="1"),OR(M4451=1,M4451="1")),"adequate","partial"),IF(AND(H4451="W4",F4451="predictive",OR(J4451="P2",J4451="P3",J4451="P4")),IF(OR(U4451=1,U4451="1"),"adequate","partial"),INDEX(Fit_Matrix!$B:$B,MATCH(P4451,Fit_Matrix!$A:$A,0)))),"CHECK KEY"))</f>
        <v/>
      </c>
      <c r="U4451" s="10" t="n"/>
      <c r="V4451" s="10" t="n"/>
      <c r="W4451" s="10" t="n"/>
      <c r="X4451" s="10" t="n"/>
      <c r="Y4451" s="10" t="n"/>
      <c r="Z4451" s="10" t="n"/>
      <c r="AA4451" s="11">
        <f>IF(A4451="","",IF(AND(J4451="P4",F4451="causal"),"P4-CAUSAL",""))</f>
        <v/>
      </c>
    </row>
    <row r="4452" ht="15" customHeight="1" s="1">
      <c r="P4452">
        <f>IF(OR(F4452="",H4452="",J4452=""),"",J4452&amp;"|"&amp;F4452&amp;"|"&amp;IF(H4452="W3","W3_"&amp;IF(I4452="","unknown",I4452),H4452))</f>
        <v/>
      </c>
      <c r="Q4452">
        <f>IF(P4452="","",IFERROR(IF(AND(H4452="W7",OR(F4452="causal",F4452="predictive")),IF(AND(OR(K4452=1,K4452="1"),OR(L4452=1,L4452="1"),OR(M4452=1,M4452="1")),"adequate","partial"),IF(AND(H4452="W4",F4452="predictive",OR(J4452="P2",J4452="P3",J4452="P4")),IF(OR(U4452=1,U4452="1"),"adequate","partial"),INDEX(Fit_Matrix!$B:$B,MATCH(P4452,Fit_Matrix!$A:$A,0)))),"CHECK KEY"))</f>
        <v/>
      </c>
      <c r="U4452" s="10" t="n"/>
      <c r="V4452" s="10" t="n"/>
      <c r="W4452" s="10" t="n"/>
      <c r="X4452" s="10" t="n"/>
      <c r="Y4452" s="10" t="n"/>
      <c r="Z4452" s="10" t="n"/>
      <c r="AA4452" s="11">
        <f>IF(A4452="","",IF(AND(J4452="P4",F4452="causal"),"P4-CAUSAL",""))</f>
        <v/>
      </c>
    </row>
    <row r="4453" ht="15" customHeight="1" s="1">
      <c r="P4453">
        <f>IF(OR(F4453="",H4453="",J4453=""),"",J4453&amp;"|"&amp;F4453&amp;"|"&amp;IF(H4453="W3","W3_"&amp;IF(I4453="","unknown",I4453),H4453))</f>
        <v/>
      </c>
      <c r="Q4453">
        <f>IF(P4453="","",IFERROR(IF(AND(H4453="W7",OR(F4453="causal",F4453="predictive")),IF(AND(OR(K4453=1,K4453="1"),OR(L4453=1,L4453="1"),OR(M4453=1,M4453="1")),"adequate","partial"),IF(AND(H4453="W4",F4453="predictive",OR(J4453="P2",J4453="P3",J4453="P4")),IF(OR(U4453=1,U4453="1"),"adequate","partial"),INDEX(Fit_Matrix!$B:$B,MATCH(P4453,Fit_Matrix!$A:$A,0)))),"CHECK KEY"))</f>
        <v/>
      </c>
      <c r="U4453" s="10" t="n"/>
      <c r="V4453" s="10" t="n"/>
      <c r="W4453" s="10" t="n"/>
      <c r="X4453" s="10" t="n"/>
      <c r="Y4453" s="10" t="n"/>
      <c r="Z4453" s="10" t="n"/>
      <c r="AA4453" s="11">
        <f>IF(A4453="","",IF(AND(J4453="P4",F4453="causal"),"P4-CAUSAL",""))</f>
        <v/>
      </c>
    </row>
    <row r="4454" ht="15" customHeight="1" s="1">
      <c r="P4454">
        <f>IF(OR(F4454="",H4454="",J4454=""),"",J4454&amp;"|"&amp;F4454&amp;"|"&amp;IF(H4454="W3","W3_"&amp;IF(I4454="","unknown",I4454),H4454))</f>
        <v/>
      </c>
      <c r="Q4454">
        <f>IF(P4454="","",IFERROR(IF(AND(H4454="W7",OR(F4454="causal",F4454="predictive")),IF(AND(OR(K4454=1,K4454="1"),OR(L4454=1,L4454="1"),OR(M4454=1,M4454="1")),"adequate","partial"),IF(AND(H4454="W4",F4454="predictive",OR(J4454="P2",J4454="P3",J4454="P4")),IF(OR(U4454=1,U4454="1"),"adequate","partial"),INDEX(Fit_Matrix!$B:$B,MATCH(P4454,Fit_Matrix!$A:$A,0)))),"CHECK KEY"))</f>
        <v/>
      </c>
      <c r="U4454" s="10" t="n"/>
      <c r="V4454" s="10" t="n"/>
      <c r="W4454" s="10" t="n"/>
      <c r="X4454" s="10" t="n"/>
      <c r="Y4454" s="10" t="n"/>
      <c r="Z4454" s="10" t="n"/>
      <c r="AA4454" s="11">
        <f>IF(A4454="","",IF(AND(J4454="P4",F4454="causal"),"P4-CAUSAL",""))</f>
        <v/>
      </c>
    </row>
    <row r="4455" ht="15" customHeight="1" s="1">
      <c r="P4455">
        <f>IF(OR(F4455="",H4455="",J4455=""),"",J4455&amp;"|"&amp;F4455&amp;"|"&amp;IF(H4455="W3","W3_"&amp;IF(I4455="","unknown",I4455),H4455))</f>
        <v/>
      </c>
      <c r="Q4455">
        <f>IF(P4455="","",IFERROR(IF(AND(H4455="W7",OR(F4455="causal",F4455="predictive")),IF(AND(OR(K4455=1,K4455="1"),OR(L4455=1,L4455="1"),OR(M4455=1,M4455="1")),"adequate","partial"),IF(AND(H4455="W4",F4455="predictive",OR(J4455="P2",J4455="P3",J4455="P4")),IF(OR(U4455=1,U4455="1"),"adequate","partial"),INDEX(Fit_Matrix!$B:$B,MATCH(P4455,Fit_Matrix!$A:$A,0)))),"CHECK KEY"))</f>
        <v/>
      </c>
      <c r="U4455" s="10" t="n"/>
      <c r="V4455" s="10" t="n"/>
      <c r="W4455" s="10" t="n"/>
      <c r="X4455" s="10" t="n"/>
      <c r="Y4455" s="10" t="n"/>
      <c r="Z4455" s="10" t="n"/>
      <c r="AA4455" s="11">
        <f>IF(A4455="","",IF(AND(J4455="P4",F4455="causal"),"P4-CAUSAL",""))</f>
        <v/>
      </c>
    </row>
    <row r="4456" ht="15" customHeight="1" s="1">
      <c r="P4456">
        <f>IF(OR(F4456="",H4456="",J4456=""),"",J4456&amp;"|"&amp;F4456&amp;"|"&amp;IF(H4456="W3","W3_"&amp;IF(I4456="","unknown",I4456),H4456))</f>
        <v/>
      </c>
      <c r="Q4456">
        <f>IF(P4456="","",IFERROR(IF(AND(H4456="W7",OR(F4456="causal",F4456="predictive")),IF(AND(OR(K4456=1,K4456="1"),OR(L4456=1,L4456="1"),OR(M4456=1,M4456="1")),"adequate","partial"),IF(AND(H4456="W4",F4456="predictive",OR(J4456="P2",J4456="P3",J4456="P4")),IF(OR(U4456=1,U4456="1"),"adequate","partial"),INDEX(Fit_Matrix!$B:$B,MATCH(P4456,Fit_Matrix!$A:$A,0)))),"CHECK KEY"))</f>
        <v/>
      </c>
      <c r="U4456" s="10" t="n"/>
      <c r="V4456" s="10" t="n"/>
      <c r="W4456" s="10" t="n"/>
      <c r="X4456" s="10" t="n"/>
      <c r="Y4456" s="10" t="n"/>
      <c r="Z4456" s="10" t="n"/>
      <c r="AA4456" s="11">
        <f>IF(A4456="","",IF(AND(J4456="P4",F4456="causal"),"P4-CAUSAL",""))</f>
        <v/>
      </c>
    </row>
    <row r="4457" ht="15" customHeight="1" s="1">
      <c r="P4457">
        <f>IF(OR(F4457="",H4457="",J4457=""),"",J4457&amp;"|"&amp;F4457&amp;"|"&amp;IF(H4457="W3","W3_"&amp;IF(I4457="","unknown",I4457),H4457))</f>
        <v/>
      </c>
      <c r="Q4457">
        <f>IF(P4457="","",IFERROR(IF(AND(H4457="W7",OR(F4457="causal",F4457="predictive")),IF(AND(OR(K4457=1,K4457="1"),OR(L4457=1,L4457="1"),OR(M4457=1,M4457="1")),"adequate","partial"),IF(AND(H4457="W4",F4457="predictive",OR(J4457="P2",J4457="P3",J4457="P4")),IF(OR(U4457=1,U4457="1"),"adequate","partial"),INDEX(Fit_Matrix!$B:$B,MATCH(P4457,Fit_Matrix!$A:$A,0)))),"CHECK KEY"))</f>
        <v/>
      </c>
      <c r="U4457" s="10" t="n"/>
      <c r="V4457" s="10" t="n"/>
      <c r="W4457" s="10" t="n"/>
      <c r="X4457" s="10" t="n"/>
      <c r="Y4457" s="10" t="n"/>
      <c r="Z4457" s="10" t="n"/>
      <c r="AA4457" s="11">
        <f>IF(A4457="","",IF(AND(J4457="P4",F4457="causal"),"P4-CAUSAL",""))</f>
        <v/>
      </c>
    </row>
    <row r="4458" ht="15" customHeight="1" s="1">
      <c r="P4458">
        <f>IF(OR(F4458="",H4458="",J4458=""),"",J4458&amp;"|"&amp;F4458&amp;"|"&amp;IF(H4458="W3","W3_"&amp;IF(I4458="","unknown",I4458),H4458))</f>
        <v/>
      </c>
      <c r="Q4458">
        <f>IF(P4458="","",IFERROR(IF(AND(H4458="W7",OR(F4458="causal",F4458="predictive")),IF(AND(OR(K4458=1,K4458="1"),OR(L4458=1,L4458="1"),OR(M4458=1,M4458="1")),"adequate","partial"),IF(AND(H4458="W4",F4458="predictive",OR(J4458="P2",J4458="P3",J4458="P4")),IF(OR(U4458=1,U4458="1"),"adequate","partial"),INDEX(Fit_Matrix!$B:$B,MATCH(P4458,Fit_Matrix!$A:$A,0)))),"CHECK KEY"))</f>
        <v/>
      </c>
      <c r="U4458" s="10" t="n"/>
      <c r="V4458" s="10" t="n"/>
      <c r="W4458" s="10" t="n"/>
      <c r="X4458" s="10" t="n"/>
      <c r="Y4458" s="10" t="n"/>
      <c r="Z4458" s="10" t="n"/>
      <c r="AA4458" s="11">
        <f>IF(A4458="","",IF(AND(J4458="P4",F4458="causal"),"P4-CAUSAL",""))</f>
        <v/>
      </c>
    </row>
    <row r="4459" ht="15" customHeight="1" s="1">
      <c r="P4459">
        <f>IF(OR(F4459="",H4459="",J4459=""),"",J4459&amp;"|"&amp;F4459&amp;"|"&amp;IF(H4459="W3","W3_"&amp;IF(I4459="","unknown",I4459),H4459))</f>
        <v/>
      </c>
      <c r="Q4459">
        <f>IF(P4459="","",IFERROR(IF(AND(H4459="W7",OR(F4459="causal",F4459="predictive")),IF(AND(OR(K4459=1,K4459="1"),OR(L4459=1,L4459="1"),OR(M4459=1,M4459="1")),"adequate","partial"),IF(AND(H4459="W4",F4459="predictive",OR(J4459="P2",J4459="P3",J4459="P4")),IF(OR(U4459=1,U4459="1"),"adequate","partial"),INDEX(Fit_Matrix!$B:$B,MATCH(P4459,Fit_Matrix!$A:$A,0)))),"CHECK KEY"))</f>
        <v/>
      </c>
      <c r="U4459" s="10" t="n"/>
      <c r="V4459" s="10" t="n"/>
      <c r="W4459" s="10" t="n"/>
      <c r="X4459" s="10" t="n"/>
      <c r="Y4459" s="10" t="n"/>
      <c r="Z4459" s="10" t="n"/>
      <c r="AA4459" s="11">
        <f>IF(A4459="","",IF(AND(J4459="P4",F4459="causal"),"P4-CAUSAL",""))</f>
        <v/>
      </c>
    </row>
    <row r="4460" ht="15" customHeight="1" s="1">
      <c r="P4460">
        <f>IF(OR(F4460="",H4460="",J4460=""),"",J4460&amp;"|"&amp;F4460&amp;"|"&amp;IF(H4460="W3","W3_"&amp;IF(I4460="","unknown",I4460),H4460))</f>
        <v/>
      </c>
      <c r="Q4460">
        <f>IF(P4460="","",IFERROR(IF(AND(H4460="W7",OR(F4460="causal",F4460="predictive")),IF(AND(OR(K4460=1,K4460="1"),OR(L4460=1,L4460="1"),OR(M4460=1,M4460="1")),"adequate","partial"),IF(AND(H4460="W4",F4460="predictive",OR(J4460="P2",J4460="P3",J4460="P4")),IF(OR(U4460=1,U4460="1"),"adequate","partial"),INDEX(Fit_Matrix!$B:$B,MATCH(P4460,Fit_Matrix!$A:$A,0)))),"CHECK KEY"))</f>
        <v/>
      </c>
      <c r="U4460" s="10" t="n"/>
      <c r="V4460" s="10" t="n"/>
      <c r="W4460" s="10" t="n"/>
      <c r="X4460" s="10" t="n"/>
      <c r="Y4460" s="10" t="n"/>
      <c r="Z4460" s="10" t="n"/>
      <c r="AA4460" s="11">
        <f>IF(A4460="","",IF(AND(J4460="P4",F4460="causal"),"P4-CAUSAL",""))</f>
        <v/>
      </c>
    </row>
    <row r="4461" ht="15" customHeight="1" s="1">
      <c r="P4461">
        <f>IF(OR(F4461="",H4461="",J4461=""),"",J4461&amp;"|"&amp;F4461&amp;"|"&amp;IF(H4461="W3","W3_"&amp;IF(I4461="","unknown",I4461),H4461))</f>
        <v/>
      </c>
      <c r="Q4461">
        <f>IF(P4461="","",IFERROR(IF(AND(H4461="W7",OR(F4461="causal",F4461="predictive")),IF(AND(OR(K4461=1,K4461="1"),OR(L4461=1,L4461="1"),OR(M4461=1,M4461="1")),"adequate","partial"),IF(AND(H4461="W4",F4461="predictive",OR(J4461="P2",J4461="P3",J4461="P4")),IF(OR(U4461=1,U4461="1"),"adequate","partial"),INDEX(Fit_Matrix!$B:$B,MATCH(P4461,Fit_Matrix!$A:$A,0)))),"CHECK KEY"))</f>
        <v/>
      </c>
      <c r="U4461" s="10" t="n"/>
      <c r="V4461" s="10" t="n"/>
      <c r="W4461" s="10" t="n"/>
      <c r="X4461" s="10" t="n"/>
      <c r="Y4461" s="10" t="n"/>
      <c r="Z4461" s="10" t="n"/>
      <c r="AA4461" s="11">
        <f>IF(A4461="","",IF(AND(J4461="P4",F4461="causal"),"P4-CAUSAL",""))</f>
        <v/>
      </c>
    </row>
    <row r="4462" ht="15" customHeight="1" s="1">
      <c r="P4462">
        <f>IF(OR(F4462="",H4462="",J4462=""),"",J4462&amp;"|"&amp;F4462&amp;"|"&amp;IF(H4462="W3","W3_"&amp;IF(I4462="","unknown",I4462),H4462))</f>
        <v/>
      </c>
      <c r="Q4462">
        <f>IF(P4462="","",IFERROR(IF(AND(H4462="W7",OR(F4462="causal",F4462="predictive")),IF(AND(OR(K4462=1,K4462="1"),OR(L4462=1,L4462="1"),OR(M4462=1,M4462="1")),"adequate","partial"),IF(AND(H4462="W4",F4462="predictive",OR(J4462="P2",J4462="P3",J4462="P4")),IF(OR(U4462=1,U4462="1"),"adequate","partial"),INDEX(Fit_Matrix!$B:$B,MATCH(P4462,Fit_Matrix!$A:$A,0)))),"CHECK KEY"))</f>
        <v/>
      </c>
      <c r="U4462" s="10" t="n"/>
      <c r="V4462" s="10" t="n"/>
      <c r="W4462" s="10" t="n"/>
      <c r="X4462" s="10" t="n"/>
      <c r="Y4462" s="10" t="n"/>
      <c r="Z4462" s="10" t="n"/>
      <c r="AA4462" s="11">
        <f>IF(A4462="","",IF(AND(J4462="P4",F4462="causal"),"P4-CAUSAL",""))</f>
        <v/>
      </c>
    </row>
    <row r="4463" ht="15" customHeight="1" s="1">
      <c r="P4463">
        <f>IF(OR(F4463="",H4463="",J4463=""),"",J4463&amp;"|"&amp;F4463&amp;"|"&amp;IF(H4463="W3","W3_"&amp;IF(I4463="","unknown",I4463),H4463))</f>
        <v/>
      </c>
      <c r="Q4463">
        <f>IF(P4463="","",IFERROR(IF(AND(H4463="W7",OR(F4463="causal",F4463="predictive")),IF(AND(OR(K4463=1,K4463="1"),OR(L4463=1,L4463="1"),OR(M4463=1,M4463="1")),"adequate","partial"),IF(AND(H4463="W4",F4463="predictive",OR(J4463="P2",J4463="P3",J4463="P4")),IF(OR(U4463=1,U4463="1"),"adequate","partial"),INDEX(Fit_Matrix!$B:$B,MATCH(P4463,Fit_Matrix!$A:$A,0)))),"CHECK KEY"))</f>
        <v/>
      </c>
      <c r="U4463" s="10" t="n"/>
      <c r="V4463" s="10" t="n"/>
      <c r="W4463" s="10" t="n"/>
      <c r="X4463" s="10" t="n"/>
      <c r="Y4463" s="10" t="n"/>
      <c r="Z4463" s="10" t="n"/>
      <c r="AA4463" s="11">
        <f>IF(A4463="","",IF(AND(J4463="P4",F4463="causal"),"P4-CAUSAL",""))</f>
        <v/>
      </c>
    </row>
    <row r="4464" ht="15" customHeight="1" s="1">
      <c r="P4464">
        <f>IF(OR(F4464="",H4464="",J4464=""),"",J4464&amp;"|"&amp;F4464&amp;"|"&amp;IF(H4464="W3","W3_"&amp;IF(I4464="","unknown",I4464),H4464))</f>
        <v/>
      </c>
      <c r="Q4464">
        <f>IF(P4464="","",IFERROR(IF(AND(H4464="W7",OR(F4464="causal",F4464="predictive")),IF(AND(OR(K4464=1,K4464="1"),OR(L4464=1,L4464="1"),OR(M4464=1,M4464="1")),"adequate","partial"),IF(AND(H4464="W4",F4464="predictive",OR(J4464="P2",J4464="P3",J4464="P4")),IF(OR(U4464=1,U4464="1"),"adequate","partial"),INDEX(Fit_Matrix!$B:$B,MATCH(P4464,Fit_Matrix!$A:$A,0)))),"CHECK KEY"))</f>
        <v/>
      </c>
      <c r="U4464" s="10" t="n"/>
      <c r="V4464" s="10" t="n"/>
      <c r="W4464" s="10" t="n"/>
      <c r="X4464" s="10" t="n"/>
      <c r="Y4464" s="10" t="n"/>
      <c r="Z4464" s="10" t="n"/>
      <c r="AA4464" s="11">
        <f>IF(A4464="","",IF(AND(J4464="P4",F4464="causal"),"P4-CAUSAL",""))</f>
        <v/>
      </c>
    </row>
    <row r="4465" ht="15" customHeight="1" s="1">
      <c r="P4465">
        <f>IF(OR(F4465="",H4465="",J4465=""),"",J4465&amp;"|"&amp;F4465&amp;"|"&amp;IF(H4465="W3","W3_"&amp;IF(I4465="","unknown",I4465),H4465))</f>
        <v/>
      </c>
      <c r="Q4465">
        <f>IF(P4465="","",IFERROR(IF(AND(H4465="W7",OR(F4465="causal",F4465="predictive")),IF(AND(OR(K4465=1,K4465="1"),OR(L4465=1,L4465="1"),OR(M4465=1,M4465="1")),"adequate","partial"),IF(AND(H4465="W4",F4465="predictive",OR(J4465="P2",J4465="P3",J4465="P4")),IF(OR(U4465=1,U4465="1"),"adequate","partial"),INDEX(Fit_Matrix!$B:$B,MATCH(P4465,Fit_Matrix!$A:$A,0)))),"CHECK KEY"))</f>
        <v/>
      </c>
      <c r="U4465" s="10" t="n"/>
      <c r="V4465" s="10" t="n"/>
      <c r="W4465" s="10" t="n"/>
      <c r="X4465" s="10" t="n"/>
      <c r="Y4465" s="10" t="n"/>
      <c r="Z4465" s="10" t="n"/>
      <c r="AA4465" s="11">
        <f>IF(A4465="","",IF(AND(J4465="P4",F4465="causal"),"P4-CAUSAL",""))</f>
        <v/>
      </c>
    </row>
    <row r="4466" ht="15" customHeight="1" s="1">
      <c r="P4466">
        <f>IF(OR(F4466="",H4466="",J4466=""),"",J4466&amp;"|"&amp;F4466&amp;"|"&amp;IF(H4466="W3","W3_"&amp;IF(I4466="","unknown",I4466),H4466))</f>
        <v/>
      </c>
      <c r="Q4466">
        <f>IF(P4466="","",IFERROR(IF(AND(H4466="W7",OR(F4466="causal",F4466="predictive")),IF(AND(OR(K4466=1,K4466="1"),OR(L4466=1,L4466="1"),OR(M4466=1,M4466="1")),"adequate","partial"),IF(AND(H4466="W4",F4466="predictive",OR(J4466="P2",J4466="P3",J4466="P4")),IF(OR(U4466=1,U4466="1"),"adequate","partial"),INDEX(Fit_Matrix!$B:$B,MATCH(P4466,Fit_Matrix!$A:$A,0)))),"CHECK KEY"))</f>
        <v/>
      </c>
      <c r="U4466" s="10" t="n"/>
      <c r="V4466" s="10" t="n"/>
      <c r="W4466" s="10" t="n"/>
      <c r="X4466" s="10" t="n"/>
      <c r="Y4466" s="10" t="n"/>
      <c r="Z4466" s="10" t="n"/>
      <c r="AA4466" s="11">
        <f>IF(A4466="","",IF(AND(J4466="P4",F4466="causal"),"P4-CAUSAL",""))</f>
        <v/>
      </c>
    </row>
    <row r="4467" ht="15" customHeight="1" s="1">
      <c r="P4467">
        <f>IF(OR(F4467="",H4467="",J4467=""),"",J4467&amp;"|"&amp;F4467&amp;"|"&amp;IF(H4467="W3","W3_"&amp;IF(I4467="","unknown",I4467),H4467))</f>
        <v/>
      </c>
      <c r="Q4467">
        <f>IF(P4467="","",IFERROR(IF(AND(H4467="W7",OR(F4467="causal",F4467="predictive")),IF(AND(OR(K4467=1,K4467="1"),OR(L4467=1,L4467="1"),OR(M4467=1,M4467="1")),"adequate","partial"),IF(AND(H4467="W4",F4467="predictive",OR(J4467="P2",J4467="P3",J4467="P4")),IF(OR(U4467=1,U4467="1"),"adequate","partial"),INDEX(Fit_Matrix!$B:$B,MATCH(P4467,Fit_Matrix!$A:$A,0)))),"CHECK KEY"))</f>
        <v/>
      </c>
      <c r="U4467" s="10" t="n"/>
      <c r="V4467" s="10" t="n"/>
      <c r="W4467" s="10" t="n"/>
      <c r="X4467" s="10" t="n"/>
      <c r="Y4467" s="10" t="n"/>
      <c r="Z4467" s="10" t="n"/>
      <c r="AA4467" s="11">
        <f>IF(A4467="","",IF(AND(J4467="P4",F4467="causal"),"P4-CAUSAL",""))</f>
        <v/>
      </c>
    </row>
    <row r="4468" ht="15" customHeight="1" s="1">
      <c r="P4468">
        <f>IF(OR(F4468="",H4468="",J4468=""),"",J4468&amp;"|"&amp;F4468&amp;"|"&amp;IF(H4468="W3","W3_"&amp;IF(I4468="","unknown",I4468),H4468))</f>
        <v/>
      </c>
      <c r="Q4468">
        <f>IF(P4468="","",IFERROR(IF(AND(H4468="W7",OR(F4468="causal",F4468="predictive")),IF(AND(OR(K4468=1,K4468="1"),OR(L4468=1,L4468="1"),OR(M4468=1,M4468="1")),"adequate","partial"),IF(AND(H4468="W4",F4468="predictive",OR(J4468="P2",J4468="P3",J4468="P4")),IF(OR(U4468=1,U4468="1"),"adequate","partial"),INDEX(Fit_Matrix!$B:$B,MATCH(P4468,Fit_Matrix!$A:$A,0)))),"CHECK KEY"))</f>
        <v/>
      </c>
      <c r="U4468" s="10" t="n"/>
      <c r="V4468" s="10" t="n"/>
      <c r="W4468" s="10" t="n"/>
      <c r="X4468" s="10" t="n"/>
      <c r="Y4468" s="10" t="n"/>
      <c r="Z4468" s="10" t="n"/>
      <c r="AA4468" s="11">
        <f>IF(A4468="","",IF(AND(J4468="P4",F4468="causal"),"P4-CAUSAL",""))</f>
        <v/>
      </c>
    </row>
    <row r="4469" ht="15" customHeight="1" s="1">
      <c r="P4469">
        <f>IF(OR(F4469="",H4469="",J4469=""),"",J4469&amp;"|"&amp;F4469&amp;"|"&amp;IF(H4469="W3","W3_"&amp;IF(I4469="","unknown",I4469),H4469))</f>
        <v/>
      </c>
      <c r="Q4469">
        <f>IF(P4469="","",IFERROR(IF(AND(H4469="W7",OR(F4469="causal",F4469="predictive")),IF(AND(OR(K4469=1,K4469="1"),OR(L4469=1,L4469="1"),OR(M4469=1,M4469="1")),"adequate","partial"),IF(AND(H4469="W4",F4469="predictive",OR(J4469="P2",J4469="P3",J4469="P4")),IF(OR(U4469=1,U4469="1"),"adequate","partial"),INDEX(Fit_Matrix!$B:$B,MATCH(P4469,Fit_Matrix!$A:$A,0)))),"CHECK KEY"))</f>
        <v/>
      </c>
      <c r="U4469" s="10" t="n"/>
      <c r="V4469" s="10" t="n"/>
      <c r="W4469" s="10" t="n"/>
      <c r="X4469" s="10" t="n"/>
      <c r="Y4469" s="10" t="n"/>
      <c r="Z4469" s="10" t="n"/>
      <c r="AA4469" s="11">
        <f>IF(A4469="","",IF(AND(J4469="P4",F4469="causal"),"P4-CAUSAL",""))</f>
        <v/>
      </c>
    </row>
    <row r="4470" ht="15" customHeight="1" s="1">
      <c r="P4470">
        <f>IF(OR(F4470="",H4470="",J4470=""),"",J4470&amp;"|"&amp;F4470&amp;"|"&amp;IF(H4470="W3","W3_"&amp;IF(I4470="","unknown",I4470),H4470))</f>
        <v/>
      </c>
      <c r="Q4470">
        <f>IF(P4470="","",IFERROR(IF(AND(H4470="W7",OR(F4470="causal",F4470="predictive")),IF(AND(OR(K4470=1,K4470="1"),OR(L4470=1,L4470="1"),OR(M4470=1,M4470="1")),"adequate","partial"),IF(AND(H4470="W4",F4470="predictive",OR(J4470="P2",J4470="P3",J4470="P4")),IF(OR(U4470=1,U4470="1"),"adequate","partial"),INDEX(Fit_Matrix!$B:$B,MATCH(P4470,Fit_Matrix!$A:$A,0)))),"CHECK KEY"))</f>
        <v/>
      </c>
      <c r="U4470" s="10" t="n"/>
      <c r="V4470" s="10" t="n"/>
      <c r="W4470" s="10" t="n"/>
      <c r="X4470" s="10" t="n"/>
      <c r="Y4470" s="10" t="n"/>
      <c r="Z4470" s="10" t="n"/>
      <c r="AA4470" s="11">
        <f>IF(A4470="","",IF(AND(J4470="P4",F4470="causal"),"P4-CAUSAL",""))</f>
        <v/>
      </c>
    </row>
    <row r="4471" ht="15" customHeight="1" s="1">
      <c r="P4471">
        <f>IF(OR(F4471="",H4471="",J4471=""),"",J4471&amp;"|"&amp;F4471&amp;"|"&amp;IF(H4471="W3","W3_"&amp;IF(I4471="","unknown",I4471),H4471))</f>
        <v/>
      </c>
      <c r="Q4471">
        <f>IF(P4471="","",IFERROR(IF(AND(H4471="W7",OR(F4471="causal",F4471="predictive")),IF(AND(OR(K4471=1,K4471="1"),OR(L4471=1,L4471="1"),OR(M4471=1,M4471="1")),"adequate","partial"),IF(AND(H4471="W4",F4471="predictive",OR(J4471="P2",J4471="P3",J4471="P4")),IF(OR(U4471=1,U4471="1"),"adequate","partial"),INDEX(Fit_Matrix!$B:$B,MATCH(P4471,Fit_Matrix!$A:$A,0)))),"CHECK KEY"))</f>
        <v/>
      </c>
      <c r="U4471" s="10" t="n"/>
      <c r="V4471" s="10" t="n"/>
      <c r="W4471" s="10" t="n"/>
      <c r="X4471" s="10" t="n"/>
      <c r="Y4471" s="10" t="n"/>
      <c r="Z4471" s="10" t="n"/>
      <c r="AA4471" s="11">
        <f>IF(A4471="","",IF(AND(J4471="P4",F4471="causal"),"P4-CAUSAL",""))</f>
        <v/>
      </c>
    </row>
    <row r="4472" ht="15" customHeight="1" s="1">
      <c r="P4472">
        <f>IF(OR(F4472="",H4472="",J4472=""),"",J4472&amp;"|"&amp;F4472&amp;"|"&amp;IF(H4472="W3","W3_"&amp;IF(I4472="","unknown",I4472),H4472))</f>
        <v/>
      </c>
      <c r="Q4472">
        <f>IF(P4472="","",IFERROR(IF(AND(H4472="W7",OR(F4472="causal",F4472="predictive")),IF(AND(OR(K4472=1,K4472="1"),OR(L4472=1,L4472="1"),OR(M4472=1,M4472="1")),"adequate","partial"),IF(AND(H4472="W4",F4472="predictive",OR(J4472="P2",J4472="P3",J4472="P4")),IF(OR(U4472=1,U4472="1"),"adequate","partial"),INDEX(Fit_Matrix!$B:$B,MATCH(P4472,Fit_Matrix!$A:$A,0)))),"CHECK KEY"))</f>
        <v/>
      </c>
      <c r="U4472" s="10" t="n"/>
      <c r="V4472" s="10" t="n"/>
      <c r="W4472" s="10" t="n"/>
      <c r="X4472" s="10" t="n"/>
      <c r="Y4472" s="10" t="n"/>
      <c r="Z4472" s="10" t="n"/>
      <c r="AA4472" s="11">
        <f>IF(A4472="","",IF(AND(J4472="P4",F4472="causal"),"P4-CAUSAL",""))</f>
        <v/>
      </c>
    </row>
    <row r="4473" ht="15" customHeight="1" s="1">
      <c r="P4473">
        <f>IF(OR(F4473="",H4473="",J4473=""),"",J4473&amp;"|"&amp;F4473&amp;"|"&amp;IF(H4473="W3","W3_"&amp;IF(I4473="","unknown",I4473),H4473))</f>
        <v/>
      </c>
      <c r="Q4473">
        <f>IF(P4473="","",IFERROR(IF(AND(H4473="W7",OR(F4473="causal",F4473="predictive")),IF(AND(OR(K4473=1,K4473="1"),OR(L4473=1,L4473="1"),OR(M4473=1,M4473="1")),"adequate","partial"),IF(AND(H4473="W4",F4473="predictive",OR(J4473="P2",J4473="P3",J4473="P4")),IF(OR(U4473=1,U4473="1"),"adequate","partial"),INDEX(Fit_Matrix!$B:$B,MATCH(P4473,Fit_Matrix!$A:$A,0)))),"CHECK KEY"))</f>
        <v/>
      </c>
      <c r="U4473" s="10" t="n"/>
      <c r="V4473" s="10" t="n"/>
      <c r="W4473" s="10" t="n"/>
      <c r="X4473" s="10" t="n"/>
      <c r="Y4473" s="10" t="n"/>
      <c r="Z4473" s="10" t="n"/>
      <c r="AA4473" s="11">
        <f>IF(A4473="","",IF(AND(J4473="P4",F4473="causal"),"P4-CAUSAL",""))</f>
        <v/>
      </c>
    </row>
    <row r="4474" ht="15" customHeight="1" s="1">
      <c r="P4474">
        <f>IF(OR(F4474="",H4474="",J4474=""),"",J4474&amp;"|"&amp;F4474&amp;"|"&amp;IF(H4474="W3","W3_"&amp;IF(I4474="","unknown",I4474),H4474))</f>
        <v/>
      </c>
      <c r="Q4474">
        <f>IF(P4474="","",IFERROR(IF(AND(H4474="W7",OR(F4474="causal",F4474="predictive")),IF(AND(OR(K4474=1,K4474="1"),OR(L4474=1,L4474="1"),OR(M4474=1,M4474="1")),"adequate","partial"),IF(AND(H4474="W4",F4474="predictive",OR(J4474="P2",J4474="P3",J4474="P4")),IF(OR(U4474=1,U4474="1"),"adequate","partial"),INDEX(Fit_Matrix!$B:$B,MATCH(P4474,Fit_Matrix!$A:$A,0)))),"CHECK KEY"))</f>
        <v/>
      </c>
      <c r="U4474" s="10" t="n"/>
      <c r="V4474" s="10" t="n"/>
      <c r="W4474" s="10" t="n"/>
      <c r="X4474" s="10" t="n"/>
      <c r="Y4474" s="10" t="n"/>
      <c r="Z4474" s="10" t="n"/>
      <c r="AA4474" s="11">
        <f>IF(A4474="","",IF(AND(J4474="P4",F4474="causal"),"P4-CAUSAL",""))</f>
        <v/>
      </c>
    </row>
    <row r="4475" ht="15" customHeight="1" s="1">
      <c r="P4475">
        <f>IF(OR(F4475="",H4475="",J4475=""),"",J4475&amp;"|"&amp;F4475&amp;"|"&amp;IF(H4475="W3","W3_"&amp;IF(I4475="","unknown",I4475),H4475))</f>
        <v/>
      </c>
      <c r="Q4475">
        <f>IF(P4475="","",IFERROR(IF(AND(H4475="W7",OR(F4475="causal",F4475="predictive")),IF(AND(OR(K4475=1,K4475="1"),OR(L4475=1,L4475="1"),OR(M4475=1,M4475="1")),"adequate","partial"),IF(AND(H4475="W4",F4475="predictive",OR(J4475="P2",J4475="P3",J4475="P4")),IF(OR(U4475=1,U4475="1"),"adequate","partial"),INDEX(Fit_Matrix!$B:$B,MATCH(P4475,Fit_Matrix!$A:$A,0)))),"CHECK KEY"))</f>
        <v/>
      </c>
      <c r="U4475" s="10" t="n"/>
      <c r="V4475" s="10" t="n"/>
      <c r="W4475" s="10" t="n"/>
      <c r="X4475" s="10" t="n"/>
      <c r="Y4475" s="10" t="n"/>
      <c r="Z4475" s="10" t="n"/>
      <c r="AA4475" s="11">
        <f>IF(A4475="","",IF(AND(J4475="P4",F4475="causal"),"P4-CAUSAL",""))</f>
        <v/>
      </c>
    </row>
    <row r="4476" ht="15" customHeight="1" s="1">
      <c r="P4476">
        <f>IF(OR(F4476="",H4476="",J4476=""),"",J4476&amp;"|"&amp;F4476&amp;"|"&amp;IF(H4476="W3","W3_"&amp;IF(I4476="","unknown",I4476),H4476))</f>
        <v/>
      </c>
      <c r="Q4476">
        <f>IF(P4476="","",IFERROR(IF(AND(H4476="W7",OR(F4476="causal",F4476="predictive")),IF(AND(OR(K4476=1,K4476="1"),OR(L4476=1,L4476="1"),OR(M4476=1,M4476="1")),"adequate","partial"),IF(AND(H4476="W4",F4476="predictive",OR(J4476="P2",J4476="P3",J4476="P4")),IF(OR(U4476=1,U4476="1"),"adequate","partial"),INDEX(Fit_Matrix!$B:$B,MATCH(P4476,Fit_Matrix!$A:$A,0)))),"CHECK KEY"))</f>
        <v/>
      </c>
      <c r="U4476" s="10" t="n"/>
      <c r="V4476" s="10" t="n"/>
      <c r="W4476" s="10" t="n"/>
      <c r="X4476" s="10" t="n"/>
      <c r="Y4476" s="10" t="n"/>
      <c r="Z4476" s="10" t="n"/>
      <c r="AA4476" s="11">
        <f>IF(A4476="","",IF(AND(J4476="P4",F4476="causal"),"P4-CAUSAL",""))</f>
        <v/>
      </c>
    </row>
    <row r="4477" ht="15" customHeight="1" s="1">
      <c r="P4477">
        <f>IF(OR(F4477="",H4477="",J4477=""),"",J4477&amp;"|"&amp;F4477&amp;"|"&amp;IF(H4477="W3","W3_"&amp;IF(I4477="","unknown",I4477),H4477))</f>
        <v/>
      </c>
      <c r="Q4477">
        <f>IF(P4477="","",IFERROR(IF(AND(H4477="W7",OR(F4477="causal",F4477="predictive")),IF(AND(OR(K4477=1,K4477="1"),OR(L4477=1,L4477="1"),OR(M4477=1,M4477="1")),"adequate","partial"),IF(AND(H4477="W4",F4477="predictive",OR(J4477="P2",J4477="P3",J4477="P4")),IF(OR(U4477=1,U4477="1"),"adequate","partial"),INDEX(Fit_Matrix!$B:$B,MATCH(P4477,Fit_Matrix!$A:$A,0)))),"CHECK KEY"))</f>
        <v/>
      </c>
      <c r="U4477" s="10" t="n"/>
      <c r="V4477" s="10" t="n"/>
      <c r="W4477" s="10" t="n"/>
      <c r="X4477" s="10" t="n"/>
      <c r="Y4477" s="10" t="n"/>
      <c r="Z4477" s="10" t="n"/>
      <c r="AA4477" s="11">
        <f>IF(A4477="","",IF(AND(J4477="P4",F4477="causal"),"P4-CAUSAL",""))</f>
        <v/>
      </c>
    </row>
    <row r="4478" ht="15" customHeight="1" s="1">
      <c r="P4478">
        <f>IF(OR(F4478="",H4478="",J4478=""),"",J4478&amp;"|"&amp;F4478&amp;"|"&amp;IF(H4478="W3","W3_"&amp;IF(I4478="","unknown",I4478),H4478))</f>
        <v/>
      </c>
      <c r="Q4478">
        <f>IF(P4478="","",IFERROR(IF(AND(H4478="W7",OR(F4478="causal",F4478="predictive")),IF(AND(OR(K4478=1,K4478="1"),OR(L4478=1,L4478="1"),OR(M4478=1,M4478="1")),"adequate","partial"),IF(AND(H4478="W4",F4478="predictive",OR(J4478="P2",J4478="P3",J4478="P4")),IF(OR(U4478=1,U4478="1"),"adequate","partial"),INDEX(Fit_Matrix!$B:$B,MATCH(P4478,Fit_Matrix!$A:$A,0)))),"CHECK KEY"))</f>
        <v/>
      </c>
      <c r="U4478" s="10" t="n"/>
      <c r="V4478" s="10" t="n"/>
      <c r="W4478" s="10" t="n"/>
      <c r="X4478" s="10" t="n"/>
      <c r="Y4478" s="10" t="n"/>
      <c r="Z4478" s="10" t="n"/>
      <c r="AA4478" s="11">
        <f>IF(A4478="","",IF(AND(J4478="P4",F4478="causal"),"P4-CAUSAL",""))</f>
        <v/>
      </c>
    </row>
    <row r="4479" ht="15" customHeight="1" s="1">
      <c r="P4479">
        <f>IF(OR(F4479="",H4479="",J4479=""),"",J4479&amp;"|"&amp;F4479&amp;"|"&amp;IF(H4479="W3","W3_"&amp;IF(I4479="","unknown",I4479),H4479))</f>
        <v/>
      </c>
      <c r="Q4479">
        <f>IF(P4479="","",IFERROR(IF(AND(H4479="W7",OR(F4479="causal",F4479="predictive")),IF(AND(OR(K4479=1,K4479="1"),OR(L4479=1,L4479="1"),OR(M4479=1,M4479="1")),"adequate","partial"),IF(AND(H4479="W4",F4479="predictive",OR(J4479="P2",J4479="P3",J4479="P4")),IF(OR(U4479=1,U4479="1"),"adequate","partial"),INDEX(Fit_Matrix!$B:$B,MATCH(P4479,Fit_Matrix!$A:$A,0)))),"CHECK KEY"))</f>
        <v/>
      </c>
      <c r="U4479" s="10" t="n"/>
      <c r="V4479" s="10" t="n"/>
      <c r="W4479" s="10" t="n"/>
      <c r="X4479" s="10" t="n"/>
      <c r="Y4479" s="10" t="n"/>
      <c r="Z4479" s="10" t="n"/>
      <c r="AA4479" s="11">
        <f>IF(A4479="","",IF(AND(J4479="P4",F4479="causal"),"P4-CAUSAL",""))</f>
        <v/>
      </c>
    </row>
    <row r="4480" ht="15" customHeight="1" s="1">
      <c r="P4480">
        <f>IF(OR(F4480="",H4480="",J4480=""),"",J4480&amp;"|"&amp;F4480&amp;"|"&amp;IF(H4480="W3","W3_"&amp;IF(I4480="","unknown",I4480),H4480))</f>
        <v/>
      </c>
      <c r="Q4480">
        <f>IF(P4480="","",IFERROR(IF(AND(H4480="W7",OR(F4480="causal",F4480="predictive")),IF(AND(OR(K4480=1,K4480="1"),OR(L4480=1,L4480="1"),OR(M4480=1,M4480="1")),"adequate","partial"),IF(AND(H4480="W4",F4480="predictive",OR(J4480="P2",J4480="P3",J4480="P4")),IF(OR(U4480=1,U4480="1"),"adequate","partial"),INDEX(Fit_Matrix!$B:$B,MATCH(P4480,Fit_Matrix!$A:$A,0)))),"CHECK KEY"))</f>
        <v/>
      </c>
      <c r="U4480" s="10" t="n"/>
      <c r="V4480" s="10" t="n"/>
      <c r="W4480" s="10" t="n"/>
      <c r="X4480" s="10" t="n"/>
      <c r="Y4480" s="10" t="n"/>
      <c r="Z4480" s="10" t="n"/>
      <c r="AA4480" s="11">
        <f>IF(A4480="","",IF(AND(J4480="P4",F4480="causal"),"P4-CAUSAL",""))</f>
        <v/>
      </c>
    </row>
    <row r="4481" ht="15" customHeight="1" s="1">
      <c r="P4481">
        <f>IF(OR(F4481="",H4481="",J4481=""),"",J4481&amp;"|"&amp;F4481&amp;"|"&amp;IF(H4481="W3","W3_"&amp;IF(I4481="","unknown",I4481),H4481))</f>
        <v/>
      </c>
      <c r="Q4481">
        <f>IF(P4481="","",IFERROR(IF(AND(H4481="W7",OR(F4481="causal",F4481="predictive")),IF(AND(OR(K4481=1,K4481="1"),OR(L4481=1,L4481="1"),OR(M4481=1,M4481="1")),"adequate","partial"),IF(AND(H4481="W4",F4481="predictive",OR(J4481="P2",J4481="P3",J4481="P4")),IF(OR(U4481=1,U4481="1"),"adequate","partial"),INDEX(Fit_Matrix!$B:$B,MATCH(P4481,Fit_Matrix!$A:$A,0)))),"CHECK KEY"))</f>
        <v/>
      </c>
      <c r="U4481" s="10" t="n"/>
      <c r="V4481" s="10" t="n"/>
      <c r="W4481" s="10" t="n"/>
      <c r="X4481" s="10" t="n"/>
      <c r="Y4481" s="10" t="n"/>
      <c r="Z4481" s="10" t="n"/>
      <c r="AA4481" s="11">
        <f>IF(A4481="","",IF(AND(J4481="P4",F4481="causal"),"P4-CAUSAL",""))</f>
        <v/>
      </c>
    </row>
    <row r="4482" ht="15" customHeight="1" s="1">
      <c r="P4482">
        <f>IF(OR(F4482="",H4482="",J4482=""),"",J4482&amp;"|"&amp;F4482&amp;"|"&amp;IF(H4482="W3","W3_"&amp;IF(I4482="","unknown",I4482),H4482))</f>
        <v/>
      </c>
      <c r="Q4482">
        <f>IF(P4482="","",IFERROR(IF(AND(H4482="W7",OR(F4482="causal",F4482="predictive")),IF(AND(OR(K4482=1,K4482="1"),OR(L4482=1,L4482="1"),OR(M4482=1,M4482="1")),"adequate","partial"),IF(AND(H4482="W4",F4482="predictive",OR(J4482="P2",J4482="P3",J4482="P4")),IF(OR(U4482=1,U4482="1"),"adequate","partial"),INDEX(Fit_Matrix!$B:$B,MATCH(P4482,Fit_Matrix!$A:$A,0)))),"CHECK KEY"))</f>
        <v/>
      </c>
      <c r="U4482" s="10" t="n"/>
      <c r="V4482" s="10" t="n"/>
      <c r="W4482" s="10" t="n"/>
      <c r="X4482" s="10" t="n"/>
      <c r="Y4482" s="10" t="n"/>
      <c r="Z4482" s="10" t="n"/>
      <c r="AA4482" s="11">
        <f>IF(A4482="","",IF(AND(J4482="P4",F4482="causal"),"P4-CAUSAL",""))</f>
        <v/>
      </c>
    </row>
    <row r="4483" ht="15" customHeight="1" s="1">
      <c r="P4483">
        <f>IF(OR(F4483="",H4483="",J4483=""),"",J4483&amp;"|"&amp;F4483&amp;"|"&amp;IF(H4483="W3","W3_"&amp;IF(I4483="","unknown",I4483),H4483))</f>
        <v/>
      </c>
      <c r="Q4483">
        <f>IF(P4483="","",IFERROR(IF(AND(H4483="W7",OR(F4483="causal",F4483="predictive")),IF(AND(OR(K4483=1,K4483="1"),OR(L4483=1,L4483="1"),OR(M4483=1,M4483="1")),"adequate","partial"),IF(AND(H4483="W4",F4483="predictive",OR(J4483="P2",J4483="P3",J4483="P4")),IF(OR(U4483=1,U4483="1"),"adequate","partial"),INDEX(Fit_Matrix!$B:$B,MATCH(P4483,Fit_Matrix!$A:$A,0)))),"CHECK KEY"))</f>
        <v/>
      </c>
      <c r="U4483" s="10" t="n"/>
      <c r="V4483" s="10" t="n"/>
      <c r="W4483" s="10" t="n"/>
      <c r="X4483" s="10" t="n"/>
      <c r="Y4483" s="10" t="n"/>
      <c r="Z4483" s="10" t="n"/>
      <c r="AA4483" s="11">
        <f>IF(A4483="","",IF(AND(J4483="P4",F4483="causal"),"P4-CAUSAL",""))</f>
        <v/>
      </c>
    </row>
    <row r="4484" ht="15" customHeight="1" s="1">
      <c r="P4484">
        <f>IF(OR(F4484="",H4484="",J4484=""),"",J4484&amp;"|"&amp;F4484&amp;"|"&amp;IF(H4484="W3","W3_"&amp;IF(I4484="","unknown",I4484),H4484))</f>
        <v/>
      </c>
      <c r="Q4484">
        <f>IF(P4484="","",IFERROR(IF(AND(H4484="W7",OR(F4484="causal",F4484="predictive")),IF(AND(OR(K4484=1,K4484="1"),OR(L4484=1,L4484="1"),OR(M4484=1,M4484="1")),"adequate","partial"),IF(AND(H4484="W4",F4484="predictive",OR(J4484="P2",J4484="P3",J4484="P4")),IF(OR(U4484=1,U4484="1"),"adequate","partial"),INDEX(Fit_Matrix!$B:$B,MATCH(P4484,Fit_Matrix!$A:$A,0)))),"CHECK KEY"))</f>
        <v/>
      </c>
      <c r="U4484" s="10" t="n"/>
      <c r="V4484" s="10" t="n"/>
      <c r="W4484" s="10" t="n"/>
      <c r="X4484" s="10" t="n"/>
      <c r="Y4484" s="10" t="n"/>
      <c r="Z4484" s="10" t="n"/>
      <c r="AA4484" s="11">
        <f>IF(A4484="","",IF(AND(J4484="P4",F4484="causal"),"P4-CAUSAL",""))</f>
        <v/>
      </c>
    </row>
    <row r="4485" ht="15" customHeight="1" s="1">
      <c r="P4485">
        <f>IF(OR(F4485="",H4485="",J4485=""),"",J4485&amp;"|"&amp;F4485&amp;"|"&amp;IF(H4485="W3","W3_"&amp;IF(I4485="","unknown",I4485),H4485))</f>
        <v/>
      </c>
      <c r="Q4485">
        <f>IF(P4485="","",IFERROR(IF(AND(H4485="W7",OR(F4485="causal",F4485="predictive")),IF(AND(OR(K4485=1,K4485="1"),OR(L4485=1,L4485="1"),OR(M4485=1,M4485="1")),"adequate","partial"),IF(AND(H4485="W4",F4485="predictive",OR(J4485="P2",J4485="P3",J4485="P4")),IF(OR(U4485=1,U4485="1"),"adequate","partial"),INDEX(Fit_Matrix!$B:$B,MATCH(P4485,Fit_Matrix!$A:$A,0)))),"CHECK KEY"))</f>
        <v/>
      </c>
      <c r="U4485" s="10" t="n"/>
      <c r="V4485" s="10" t="n"/>
      <c r="W4485" s="10" t="n"/>
      <c r="X4485" s="10" t="n"/>
      <c r="Y4485" s="10" t="n"/>
      <c r="Z4485" s="10" t="n"/>
      <c r="AA4485" s="11">
        <f>IF(A4485="","",IF(AND(J4485="P4",F4485="causal"),"P4-CAUSAL",""))</f>
        <v/>
      </c>
    </row>
    <row r="4486" ht="15" customHeight="1" s="1">
      <c r="P4486">
        <f>IF(OR(F4486="",H4486="",J4486=""),"",J4486&amp;"|"&amp;F4486&amp;"|"&amp;IF(H4486="W3","W3_"&amp;IF(I4486="","unknown",I4486),H4486))</f>
        <v/>
      </c>
      <c r="Q4486">
        <f>IF(P4486="","",IFERROR(IF(AND(H4486="W7",OR(F4486="causal",F4486="predictive")),IF(AND(OR(K4486=1,K4486="1"),OR(L4486=1,L4486="1"),OR(M4486=1,M4486="1")),"adequate","partial"),IF(AND(H4486="W4",F4486="predictive",OR(J4486="P2",J4486="P3",J4486="P4")),IF(OR(U4486=1,U4486="1"),"adequate","partial"),INDEX(Fit_Matrix!$B:$B,MATCH(P4486,Fit_Matrix!$A:$A,0)))),"CHECK KEY"))</f>
        <v/>
      </c>
      <c r="U4486" s="10" t="n"/>
      <c r="V4486" s="10" t="n"/>
      <c r="W4486" s="10" t="n"/>
      <c r="X4486" s="10" t="n"/>
      <c r="Y4486" s="10" t="n"/>
      <c r="Z4486" s="10" t="n"/>
      <c r="AA4486" s="11">
        <f>IF(A4486="","",IF(AND(J4486="P4",F4486="causal"),"P4-CAUSAL",""))</f>
        <v/>
      </c>
    </row>
    <row r="4487" ht="15" customHeight="1" s="1">
      <c r="P4487">
        <f>IF(OR(F4487="",H4487="",J4487=""),"",J4487&amp;"|"&amp;F4487&amp;"|"&amp;IF(H4487="W3","W3_"&amp;IF(I4487="","unknown",I4487),H4487))</f>
        <v/>
      </c>
      <c r="Q4487">
        <f>IF(P4487="","",IFERROR(IF(AND(H4487="W7",OR(F4487="causal",F4487="predictive")),IF(AND(OR(K4487=1,K4487="1"),OR(L4487=1,L4487="1"),OR(M4487=1,M4487="1")),"adequate","partial"),IF(AND(H4487="W4",F4487="predictive",OR(J4487="P2",J4487="P3",J4487="P4")),IF(OR(U4487=1,U4487="1"),"adequate","partial"),INDEX(Fit_Matrix!$B:$B,MATCH(P4487,Fit_Matrix!$A:$A,0)))),"CHECK KEY"))</f>
        <v/>
      </c>
      <c r="U4487" s="10" t="n"/>
      <c r="V4487" s="10" t="n"/>
      <c r="W4487" s="10" t="n"/>
      <c r="X4487" s="10" t="n"/>
      <c r="Y4487" s="10" t="n"/>
      <c r="Z4487" s="10" t="n"/>
      <c r="AA4487" s="11">
        <f>IF(A4487="","",IF(AND(J4487="P4",F4487="causal"),"P4-CAUSAL",""))</f>
        <v/>
      </c>
    </row>
    <row r="4488" ht="15" customHeight="1" s="1">
      <c r="P4488">
        <f>IF(OR(F4488="",H4488="",J4488=""),"",J4488&amp;"|"&amp;F4488&amp;"|"&amp;IF(H4488="W3","W3_"&amp;IF(I4488="","unknown",I4488),H4488))</f>
        <v/>
      </c>
      <c r="Q4488">
        <f>IF(P4488="","",IFERROR(IF(AND(H4488="W7",OR(F4488="causal",F4488="predictive")),IF(AND(OR(K4488=1,K4488="1"),OR(L4488=1,L4488="1"),OR(M4488=1,M4488="1")),"adequate","partial"),IF(AND(H4488="W4",F4488="predictive",OR(J4488="P2",J4488="P3",J4488="P4")),IF(OR(U4488=1,U4488="1"),"adequate","partial"),INDEX(Fit_Matrix!$B:$B,MATCH(P4488,Fit_Matrix!$A:$A,0)))),"CHECK KEY"))</f>
        <v/>
      </c>
      <c r="U4488" s="10" t="n"/>
      <c r="V4488" s="10" t="n"/>
      <c r="W4488" s="10" t="n"/>
      <c r="X4488" s="10" t="n"/>
      <c r="Y4488" s="10" t="n"/>
      <c r="Z4488" s="10" t="n"/>
      <c r="AA4488" s="11">
        <f>IF(A4488="","",IF(AND(J4488="P4",F4488="causal"),"P4-CAUSAL",""))</f>
        <v/>
      </c>
    </row>
    <row r="4489" ht="15" customHeight="1" s="1">
      <c r="P4489">
        <f>IF(OR(F4489="",H4489="",J4489=""),"",J4489&amp;"|"&amp;F4489&amp;"|"&amp;IF(H4489="W3","W3_"&amp;IF(I4489="","unknown",I4489),H4489))</f>
        <v/>
      </c>
      <c r="Q4489">
        <f>IF(P4489="","",IFERROR(IF(AND(H4489="W7",OR(F4489="causal",F4489="predictive")),IF(AND(OR(K4489=1,K4489="1"),OR(L4489=1,L4489="1"),OR(M4489=1,M4489="1")),"adequate","partial"),IF(AND(H4489="W4",F4489="predictive",OR(J4489="P2",J4489="P3",J4489="P4")),IF(OR(U4489=1,U4489="1"),"adequate","partial"),INDEX(Fit_Matrix!$B:$B,MATCH(P4489,Fit_Matrix!$A:$A,0)))),"CHECK KEY"))</f>
        <v/>
      </c>
      <c r="U4489" s="10" t="n"/>
      <c r="V4489" s="10" t="n"/>
      <c r="W4489" s="10" t="n"/>
      <c r="X4489" s="10" t="n"/>
      <c r="Y4489" s="10" t="n"/>
      <c r="Z4489" s="10" t="n"/>
      <c r="AA4489" s="11">
        <f>IF(A4489="","",IF(AND(J4489="P4",F4489="causal"),"P4-CAUSAL",""))</f>
        <v/>
      </c>
    </row>
    <row r="4490" ht="15" customHeight="1" s="1">
      <c r="P4490">
        <f>IF(OR(F4490="",H4490="",J4490=""),"",J4490&amp;"|"&amp;F4490&amp;"|"&amp;IF(H4490="W3","W3_"&amp;IF(I4490="","unknown",I4490),H4490))</f>
        <v/>
      </c>
      <c r="Q4490">
        <f>IF(P4490="","",IFERROR(IF(AND(H4490="W7",OR(F4490="causal",F4490="predictive")),IF(AND(OR(K4490=1,K4490="1"),OR(L4490=1,L4490="1"),OR(M4490=1,M4490="1")),"adequate","partial"),IF(AND(H4490="W4",F4490="predictive",OR(J4490="P2",J4490="P3",J4490="P4")),IF(OR(U4490=1,U4490="1"),"adequate","partial"),INDEX(Fit_Matrix!$B:$B,MATCH(P4490,Fit_Matrix!$A:$A,0)))),"CHECK KEY"))</f>
        <v/>
      </c>
      <c r="U4490" s="10" t="n"/>
      <c r="V4490" s="10" t="n"/>
      <c r="W4490" s="10" t="n"/>
      <c r="X4490" s="10" t="n"/>
      <c r="Y4490" s="10" t="n"/>
      <c r="Z4490" s="10" t="n"/>
      <c r="AA4490" s="11">
        <f>IF(A4490="","",IF(AND(J4490="P4",F4490="causal"),"P4-CAUSAL",""))</f>
        <v/>
      </c>
    </row>
    <row r="4491" ht="15" customHeight="1" s="1">
      <c r="P4491">
        <f>IF(OR(F4491="",H4491="",J4491=""),"",J4491&amp;"|"&amp;F4491&amp;"|"&amp;IF(H4491="W3","W3_"&amp;IF(I4491="","unknown",I4491),H4491))</f>
        <v/>
      </c>
      <c r="Q4491">
        <f>IF(P4491="","",IFERROR(IF(AND(H4491="W7",OR(F4491="causal",F4491="predictive")),IF(AND(OR(K4491=1,K4491="1"),OR(L4491=1,L4491="1"),OR(M4491=1,M4491="1")),"adequate","partial"),IF(AND(H4491="W4",F4491="predictive",OR(J4491="P2",J4491="P3",J4491="P4")),IF(OR(U4491=1,U4491="1"),"adequate","partial"),INDEX(Fit_Matrix!$B:$B,MATCH(P4491,Fit_Matrix!$A:$A,0)))),"CHECK KEY"))</f>
        <v/>
      </c>
      <c r="U4491" s="10" t="n"/>
      <c r="V4491" s="10" t="n"/>
      <c r="W4491" s="10" t="n"/>
      <c r="X4491" s="10" t="n"/>
      <c r="Y4491" s="10" t="n"/>
      <c r="Z4491" s="10" t="n"/>
      <c r="AA4491" s="11">
        <f>IF(A4491="","",IF(AND(J4491="P4",F4491="causal"),"P4-CAUSAL",""))</f>
        <v/>
      </c>
    </row>
    <row r="4492" ht="15" customHeight="1" s="1">
      <c r="P4492">
        <f>IF(OR(F4492="",H4492="",J4492=""),"",J4492&amp;"|"&amp;F4492&amp;"|"&amp;IF(H4492="W3","W3_"&amp;IF(I4492="","unknown",I4492),H4492))</f>
        <v/>
      </c>
      <c r="Q4492">
        <f>IF(P4492="","",IFERROR(IF(AND(H4492="W7",OR(F4492="causal",F4492="predictive")),IF(AND(OR(K4492=1,K4492="1"),OR(L4492=1,L4492="1"),OR(M4492=1,M4492="1")),"adequate","partial"),IF(AND(H4492="W4",F4492="predictive",OR(J4492="P2",J4492="P3",J4492="P4")),IF(OR(U4492=1,U4492="1"),"adequate","partial"),INDEX(Fit_Matrix!$B:$B,MATCH(P4492,Fit_Matrix!$A:$A,0)))),"CHECK KEY"))</f>
        <v/>
      </c>
      <c r="U4492" s="10" t="n"/>
      <c r="V4492" s="10" t="n"/>
      <c r="W4492" s="10" t="n"/>
      <c r="X4492" s="10" t="n"/>
      <c r="Y4492" s="10" t="n"/>
      <c r="Z4492" s="10" t="n"/>
      <c r="AA4492" s="11">
        <f>IF(A4492="","",IF(AND(J4492="P4",F4492="causal"),"P4-CAUSAL",""))</f>
        <v/>
      </c>
    </row>
    <row r="4493" ht="15" customHeight="1" s="1">
      <c r="P4493">
        <f>IF(OR(F4493="",H4493="",J4493=""),"",J4493&amp;"|"&amp;F4493&amp;"|"&amp;IF(H4493="W3","W3_"&amp;IF(I4493="","unknown",I4493),H4493))</f>
        <v/>
      </c>
      <c r="Q4493">
        <f>IF(P4493="","",IFERROR(IF(AND(H4493="W7",OR(F4493="causal",F4493="predictive")),IF(AND(OR(K4493=1,K4493="1"),OR(L4493=1,L4493="1"),OR(M4493=1,M4493="1")),"adequate","partial"),IF(AND(H4493="W4",F4493="predictive",OR(J4493="P2",J4493="P3",J4493="P4")),IF(OR(U4493=1,U4493="1"),"adequate","partial"),INDEX(Fit_Matrix!$B:$B,MATCH(P4493,Fit_Matrix!$A:$A,0)))),"CHECK KEY"))</f>
        <v/>
      </c>
      <c r="U4493" s="10" t="n"/>
      <c r="V4493" s="10" t="n"/>
      <c r="W4493" s="10" t="n"/>
      <c r="X4493" s="10" t="n"/>
      <c r="Y4493" s="10" t="n"/>
      <c r="Z4493" s="10" t="n"/>
      <c r="AA4493" s="11">
        <f>IF(A4493="","",IF(AND(J4493="P4",F4493="causal"),"P4-CAUSAL",""))</f>
        <v/>
      </c>
    </row>
    <row r="4494" ht="15" customHeight="1" s="1">
      <c r="P4494">
        <f>IF(OR(F4494="",H4494="",J4494=""),"",J4494&amp;"|"&amp;F4494&amp;"|"&amp;IF(H4494="W3","W3_"&amp;IF(I4494="","unknown",I4494),H4494))</f>
        <v/>
      </c>
      <c r="Q4494">
        <f>IF(P4494="","",IFERROR(IF(AND(H4494="W7",OR(F4494="causal",F4494="predictive")),IF(AND(OR(K4494=1,K4494="1"),OR(L4494=1,L4494="1"),OR(M4494=1,M4494="1")),"adequate","partial"),IF(AND(H4494="W4",F4494="predictive",OR(J4494="P2",J4494="P3",J4494="P4")),IF(OR(U4494=1,U4494="1"),"adequate","partial"),INDEX(Fit_Matrix!$B:$B,MATCH(P4494,Fit_Matrix!$A:$A,0)))),"CHECK KEY"))</f>
        <v/>
      </c>
      <c r="U4494" s="10" t="n"/>
      <c r="V4494" s="10" t="n"/>
      <c r="W4494" s="10" t="n"/>
      <c r="X4494" s="10" t="n"/>
      <c r="Y4494" s="10" t="n"/>
      <c r="Z4494" s="10" t="n"/>
      <c r="AA4494" s="11">
        <f>IF(A4494="","",IF(AND(J4494="P4",F4494="causal"),"P4-CAUSAL",""))</f>
        <v/>
      </c>
    </row>
    <row r="4495" ht="15" customHeight="1" s="1">
      <c r="P4495">
        <f>IF(OR(F4495="",H4495="",J4495=""),"",J4495&amp;"|"&amp;F4495&amp;"|"&amp;IF(H4495="W3","W3_"&amp;IF(I4495="","unknown",I4495),H4495))</f>
        <v/>
      </c>
      <c r="Q4495">
        <f>IF(P4495="","",IFERROR(IF(AND(H4495="W7",OR(F4495="causal",F4495="predictive")),IF(AND(OR(K4495=1,K4495="1"),OR(L4495=1,L4495="1"),OR(M4495=1,M4495="1")),"adequate","partial"),IF(AND(H4495="W4",F4495="predictive",OR(J4495="P2",J4495="P3",J4495="P4")),IF(OR(U4495=1,U4495="1"),"adequate","partial"),INDEX(Fit_Matrix!$B:$B,MATCH(P4495,Fit_Matrix!$A:$A,0)))),"CHECK KEY"))</f>
        <v/>
      </c>
      <c r="U4495" s="10" t="n"/>
      <c r="V4495" s="10" t="n"/>
      <c r="W4495" s="10" t="n"/>
      <c r="X4495" s="10" t="n"/>
      <c r="Y4495" s="10" t="n"/>
      <c r="Z4495" s="10" t="n"/>
      <c r="AA4495" s="11">
        <f>IF(A4495="","",IF(AND(J4495="P4",F4495="causal"),"P4-CAUSAL",""))</f>
        <v/>
      </c>
    </row>
    <row r="4496" ht="15" customHeight="1" s="1">
      <c r="P4496">
        <f>IF(OR(F4496="",H4496="",J4496=""),"",J4496&amp;"|"&amp;F4496&amp;"|"&amp;IF(H4496="W3","W3_"&amp;IF(I4496="","unknown",I4496),H4496))</f>
        <v/>
      </c>
      <c r="Q4496">
        <f>IF(P4496="","",IFERROR(IF(AND(H4496="W7",OR(F4496="causal",F4496="predictive")),IF(AND(OR(K4496=1,K4496="1"),OR(L4496=1,L4496="1"),OR(M4496=1,M4496="1")),"adequate","partial"),IF(AND(H4496="W4",F4496="predictive",OR(J4496="P2",J4496="P3",J4496="P4")),IF(OR(U4496=1,U4496="1"),"adequate","partial"),INDEX(Fit_Matrix!$B:$B,MATCH(P4496,Fit_Matrix!$A:$A,0)))),"CHECK KEY"))</f>
        <v/>
      </c>
      <c r="U4496" s="10" t="n"/>
      <c r="V4496" s="10" t="n"/>
      <c r="W4496" s="10" t="n"/>
      <c r="X4496" s="10" t="n"/>
      <c r="Y4496" s="10" t="n"/>
      <c r="Z4496" s="10" t="n"/>
      <c r="AA4496" s="11">
        <f>IF(A4496="","",IF(AND(J4496="P4",F4496="causal"),"P4-CAUSAL",""))</f>
        <v/>
      </c>
    </row>
    <row r="4497" ht="15" customHeight="1" s="1">
      <c r="P4497">
        <f>IF(OR(F4497="",H4497="",J4497=""),"",J4497&amp;"|"&amp;F4497&amp;"|"&amp;IF(H4497="W3","W3_"&amp;IF(I4497="","unknown",I4497),H4497))</f>
        <v/>
      </c>
      <c r="Q4497">
        <f>IF(P4497="","",IFERROR(IF(AND(H4497="W7",OR(F4497="causal",F4497="predictive")),IF(AND(OR(K4497=1,K4497="1"),OR(L4497=1,L4497="1"),OR(M4497=1,M4497="1")),"adequate","partial"),IF(AND(H4497="W4",F4497="predictive",OR(J4497="P2",J4497="P3",J4497="P4")),IF(OR(U4497=1,U4497="1"),"adequate","partial"),INDEX(Fit_Matrix!$B:$B,MATCH(P4497,Fit_Matrix!$A:$A,0)))),"CHECK KEY"))</f>
        <v/>
      </c>
      <c r="U4497" s="10" t="n"/>
      <c r="V4497" s="10" t="n"/>
      <c r="W4497" s="10" t="n"/>
      <c r="X4497" s="10" t="n"/>
      <c r="Y4497" s="10" t="n"/>
      <c r="Z4497" s="10" t="n"/>
      <c r="AA4497" s="11">
        <f>IF(A4497="","",IF(AND(J4497="P4",F4497="causal"),"P4-CAUSAL",""))</f>
        <v/>
      </c>
    </row>
    <row r="4498" ht="15" customHeight="1" s="1">
      <c r="P4498">
        <f>IF(OR(F4498="",H4498="",J4498=""),"",J4498&amp;"|"&amp;F4498&amp;"|"&amp;IF(H4498="W3","W3_"&amp;IF(I4498="","unknown",I4498),H4498))</f>
        <v/>
      </c>
      <c r="Q4498">
        <f>IF(P4498="","",IFERROR(IF(AND(H4498="W7",OR(F4498="causal",F4498="predictive")),IF(AND(OR(K4498=1,K4498="1"),OR(L4498=1,L4498="1"),OR(M4498=1,M4498="1")),"adequate","partial"),IF(AND(H4498="W4",F4498="predictive",OR(J4498="P2",J4498="P3",J4498="P4")),IF(OR(U4498=1,U4498="1"),"adequate","partial"),INDEX(Fit_Matrix!$B:$B,MATCH(P4498,Fit_Matrix!$A:$A,0)))),"CHECK KEY"))</f>
        <v/>
      </c>
      <c r="U4498" s="10" t="n"/>
      <c r="V4498" s="10" t="n"/>
      <c r="W4498" s="10" t="n"/>
      <c r="X4498" s="10" t="n"/>
      <c r="Y4498" s="10" t="n"/>
      <c r="Z4498" s="10" t="n"/>
      <c r="AA4498" s="11">
        <f>IF(A4498="","",IF(AND(J4498="P4",F4498="causal"),"P4-CAUSAL",""))</f>
        <v/>
      </c>
    </row>
    <row r="4499" ht="15" customHeight="1" s="1">
      <c r="P4499">
        <f>IF(OR(F4499="",H4499="",J4499=""),"",J4499&amp;"|"&amp;F4499&amp;"|"&amp;IF(H4499="W3","W3_"&amp;IF(I4499="","unknown",I4499),H4499))</f>
        <v/>
      </c>
      <c r="Q4499">
        <f>IF(P4499="","",IFERROR(IF(AND(H4499="W7",OR(F4499="causal",F4499="predictive")),IF(AND(OR(K4499=1,K4499="1"),OR(L4499=1,L4499="1"),OR(M4499=1,M4499="1")),"adequate","partial"),IF(AND(H4499="W4",F4499="predictive",OR(J4499="P2",J4499="P3",J4499="P4")),IF(OR(U4499=1,U4499="1"),"adequate","partial"),INDEX(Fit_Matrix!$B:$B,MATCH(P4499,Fit_Matrix!$A:$A,0)))),"CHECK KEY"))</f>
        <v/>
      </c>
      <c r="U4499" s="10" t="n"/>
      <c r="V4499" s="10" t="n"/>
      <c r="W4499" s="10" t="n"/>
      <c r="X4499" s="10" t="n"/>
      <c r="Y4499" s="10" t="n"/>
      <c r="Z4499" s="10" t="n"/>
      <c r="AA4499" s="11">
        <f>IF(A4499="","",IF(AND(J4499="P4",F4499="causal"),"P4-CAUSAL",""))</f>
        <v/>
      </c>
    </row>
    <row r="4500" ht="15" customHeight="1" s="1">
      <c r="P4500">
        <f>IF(OR(F4500="",H4500="",J4500=""),"",J4500&amp;"|"&amp;F4500&amp;"|"&amp;IF(H4500="W3","W3_"&amp;IF(I4500="","unknown",I4500),H4500))</f>
        <v/>
      </c>
      <c r="Q4500">
        <f>IF(P4500="","",IFERROR(IF(AND(H4500="W7",OR(F4500="causal",F4500="predictive")),IF(AND(OR(K4500=1,K4500="1"),OR(L4500=1,L4500="1"),OR(M4500=1,M4500="1")),"adequate","partial"),IF(AND(H4500="W4",F4500="predictive",OR(J4500="P2",J4500="P3",J4500="P4")),IF(OR(U4500=1,U4500="1"),"adequate","partial"),INDEX(Fit_Matrix!$B:$B,MATCH(P4500,Fit_Matrix!$A:$A,0)))),"CHECK KEY"))</f>
        <v/>
      </c>
      <c r="U4500" s="10" t="n"/>
      <c r="V4500" s="10" t="n"/>
      <c r="W4500" s="10" t="n"/>
      <c r="X4500" s="10" t="n"/>
      <c r="Y4500" s="10" t="n"/>
      <c r="Z4500" s="10" t="n"/>
      <c r="AA4500" s="11">
        <f>IF(A4500="","",IF(AND(J4500="P4",F4500="causal"),"P4-CAUSAL",""))</f>
        <v/>
      </c>
    </row>
    <row r="4501" ht="15" customHeight="1" s="1">
      <c r="P4501">
        <f>IF(OR(F4501="",H4501="",J4501=""),"",J4501&amp;"|"&amp;F4501&amp;"|"&amp;IF(H4501="W3","W3_"&amp;IF(I4501="","unknown",I4501),H4501))</f>
        <v/>
      </c>
      <c r="Q4501">
        <f>IF(P4501="","",IFERROR(IF(AND(H4501="W7",OR(F4501="causal",F4501="predictive")),IF(AND(OR(K4501=1,K4501="1"),OR(L4501=1,L4501="1"),OR(M4501=1,M4501="1")),"adequate","partial"),IF(AND(H4501="W4",F4501="predictive",OR(J4501="P2",J4501="P3",J4501="P4")),IF(OR(U4501=1,U4501="1"),"adequate","partial"),INDEX(Fit_Matrix!$B:$B,MATCH(P4501,Fit_Matrix!$A:$A,0)))),"CHECK KEY"))</f>
        <v/>
      </c>
      <c r="U4501" s="10" t="n"/>
      <c r="V4501" s="10" t="n"/>
      <c r="W4501" s="10" t="n"/>
      <c r="X4501" s="10" t="n"/>
      <c r="Y4501" s="10" t="n"/>
      <c r="Z4501" s="10" t="n"/>
      <c r="AA4501" s="11">
        <f>IF(A4501="","",IF(AND(J4501="P4",F4501="causal"),"P4-CAUSAL",""))</f>
        <v/>
      </c>
    </row>
    <row r="4502" ht="15" customHeight="1" s="1">
      <c r="P4502">
        <f>IF(OR(F4502="",H4502="",J4502=""),"",J4502&amp;"|"&amp;F4502&amp;"|"&amp;IF(H4502="W3","W3_"&amp;IF(I4502="","unknown",I4502),H4502))</f>
        <v/>
      </c>
      <c r="Q4502">
        <f>IF(P4502="","",IFERROR(IF(AND(H4502="W7",OR(F4502="causal",F4502="predictive")),IF(AND(OR(K4502=1,K4502="1"),OR(L4502=1,L4502="1"),OR(M4502=1,M4502="1")),"adequate","partial"),IF(AND(H4502="W4",F4502="predictive",OR(J4502="P2",J4502="P3",J4502="P4")),IF(OR(U4502=1,U4502="1"),"adequate","partial"),INDEX(Fit_Matrix!$B:$B,MATCH(P4502,Fit_Matrix!$A:$A,0)))),"CHECK KEY"))</f>
        <v/>
      </c>
      <c r="U4502" s="10" t="n"/>
      <c r="V4502" s="10" t="n"/>
      <c r="W4502" s="10" t="n"/>
      <c r="X4502" s="10" t="n"/>
      <c r="Y4502" s="10" t="n"/>
      <c r="Z4502" s="10" t="n"/>
      <c r="AA4502" s="11">
        <f>IF(A4502="","",IF(AND(J4502="P4",F4502="causal"),"P4-CAUSAL",""))</f>
        <v/>
      </c>
    </row>
    <row r="4503" ht="15" customHeight="1" s="1">
      <c r="P4503">
        <f>IF(OR(F4503="",H4503="",J4503=""),"",J4503&amp;"|"&amp;F4503&amp;"|"&amp;IF(H4503="W3","W3_"&amp;IF(I4503="","unknown",I4503),H4503))</f>
        <v/>
      </c>
      <c r="Q4503">
        <f>IF(P4503="","",IFERROR(IF(AND(H4503="W7",OR(F4503="causal",F4503="predictive")),IF(AND(OR(K4503=1,K4503="1"),OR(L4503=1,L4503="1"),OR(M4503=1,M4503="1")),"adequate","partial"),IF(AND(H4503="W4",F4503="predictive",OR(J4503="P2",J4503="P3",J4503="P4")),IF(OR(U4503=1,U4503="1"),"adequate","partial"),INDEX(Fit_Matrix!$B:$B,MATCH(P4503,Fit_Matrix!$A:$A,0)))),"CHECK KEY"))</f>
        <v/>
      </c>
      <c r="U4503" s="10" t="n"/>
      <c r="V4503" s="10" t="n"/>
      <c r="W4503" s="10" t="n"/>
      <c r="X4503" s="10" t="n"/>
      <c r="Y4503" s="10" t="n"/>
      <c r="Z4503" s="10" t="n"/>
      <c r="AA4503" s="11">
        <f>IF(A4503="","",IF(AND(J4503="P4",F4503="causal"),"P4-CAUSAL",""))</f>
        <v/>
      </c>
    </row>
    <row r="4504" ht="15" customHeight="1" s="1">
      <c r="P4504">
        <f>IF(OR(F4504="",H4504="",J4504=""),"",J4504&amp;"|"&amp;F4504&amp;"|"&amp;IF(H4504="W3","W3_"&amp;IF(I4504="","unknown",I4504),H4504))</f>
        <v/>
      </c>
      <c r="Q4504">
        <f>IF(P4504="","",IFERROR(IF(AND(H4504="W7",OR(F4504="causal",F4504="predictive")),IF(AND(OR(K4504=1,K4504="1"),OR(L4504=1,L4504="1"),OR(M4504=1,M4504="1")),"adequate","partial"),IF(AND(H4504="W4",F4504="predictive",OR(J4504="P2",J4504="P3",J4504="P4")),IF(OR(U4504=1,U4504="1"),"adequate","partial"),INDEX(Fit_Matrix!$B:$B,MATCH(P4504,Fit_Matrix!$A:$A,0)))),"CHECK KEY"))</f>
        <v/>
      </c>
      <c r="U4504" s="10" t="n"/>
      <c r="V4504" s="10" t="n"/>
      <c r="W4504" s="10" t="n"/>
      <c r="X4504" s="10" t="n"/>
      <c r="Y4504" s="10" t="n"/>
      <c r="Z4504" s="10" t="n"/>
      <c r="AA4504" s="11">
        <f>IF(A4504="","",IF(AND(J4504="P4",F4504="causal"),"P4-CAUSAL",""))</f>
        <v/>
      </c>
    </row>
    <row r="4505" ht="15" customHeight="1" s="1">
      <c r="P4505">
        <f>IF(OR(F4505="",H4505="",J4505=""),"",J4505&amp;"|"&amp;F4505&amp;"|"&amp;IF(H4505="W3","W3_"&amp;IF(I4505="","unknown",I4505),H4505))</f>
        <v/>
      </c>
      <c r="Q4505">
        <f>IF(P4505="","",IFERROR(IF(AND(H4505="W7",OR(F4505="causal",F4505="predictive")),IF(AND(OR(K4505=1,K4505="1"),OR(L4505=1,L4505="1"),OR(M4505=1,M4505="1")),"adequate","partial"),IF(AND(H4505="W4",F4505="predictive",OR(J4505="P2",J4505="P3",J4505="P4")),IF(OR(U4505=1,U4505="1"),"adequate","partial"),INDEX(Fit_Matrix!$B:$B,MATCH(P4505,Fit_Matrix!$A:$A,0)))),"CHECK KEY"))</f>
        <v/>
      </c>
      <c r="U4505" s="10" t="n"/>
      <c r="V4505" s="10" t="n"/>
      <c r="W4505" s="10" t="n"/>
      <c r="X4505" s="10" t="n"/>
      <c r="Y4505" s="10" t="n"/>
      <c r="Z4505" s="10" t="n"/>
      <c r="AA4505" s="11">
        <f>IF(A4505="","",IF(AND(J4505="P4",F4505="causal"),"P4-CAUSAL",""))</f>
        <v/>
      </c>
    </row>
    <row r="4506" ht="15" customHeight="1" s="1">
      <c r="P4506">
        <f>IF(OR(F4506="",H4506="",J4506=""),"",J4506&amp;"|"&amp;F4506&amp;"|"&amp;IF(H4506="W3","W3_"&amp;IF(I4506="","unknown",I4506),H4506))</f>
        <v/>
      </c>
      <c r="Q4506">
        <f>IF(P4506="","",IFERROR(IF(AND(H4506="W7",OR(F4506="causal",F4506="predictive")),IF(AND(OR(K4506=1,K4506="1"),OR(L4506=1,L4506="1"),OR(M4506=1,M4506="1")),"adequate","partial"),IF(AND(H4506="W4",F4506="predictive",OR(J4506="P2",J4506="P3",J4506="P4")),IF(OR(U4506=1,U4506="1"),"adequate","partial"),INDEX(Fit_Matrix!$B:$B,MATCH(P4506,Fit_Matrix!$A:$A,0)))),"CHECK KEY"))</f>
        <v/>
      </c>
      <c r="U4506" s="10" t="n"/>
      <c r="V4506" s="10" t="n"/>
      <c r="W4506" s="10" t="n"/>
      <c r="X4506" s="10" t="n"/>
      <c r="Y4506" s="10" t="n"/>
      <c r="Z4506" s="10" t="n"/>
      <c r="AA4506" s="11">
        <f>IF(A4506="","",IF(AND(J4506="P4",F4506="causal"),"P4-CAUSAL",""))</f>
        <v/>
      </c>
    </row>
    <row r="4507" ht="15" customHeight="1" s="1">
      <c r="P4507">
        <f>IF(OR(F4507="",H4507="",J4507=""),"",J4507&amp;"|"&amp;F4507&amp;"|"&amp;IF(H4507="W3","W3_"&amp;IF(I4507="","unknown",I4507),H4507))</f>
        <v/>
      </c>
      <c r="Q4507">
        <f>IF(P4507="","",IFERROR(IF(AND(H4507="W7",OR(F4507="causal",F4507="predictive")),IF(AND(OR(K4507=1,K4507="1"),OR(L4507=1,L4507="1"),OR(M4507=1,M4507="1")),"adequate","partial"),IF(AND(H4507="W4",F4507="predictive",OR(J4507="P2",J4507="P3",J4507="P4")),IF(OR(U4507=1,U4507="1"),"adequate","partial"),INDEX(Fit_Matrix!$B:$B,MATCH(P4507,Fit_Matrix!$A:$A,0)))),"CHECK KEY"))</f>
        <v/>
      </c>
      <c r="U4507" s="10" t="n"/>
      <c r="V4507" s="10" t="n"/>
      <c r="W4507" s="10" t="n"/>
      <c r="X4507" s="10" t="n"/>
      <c r="Y4507" s="10" t="n"/>
      <c r="Z4507" s="10" t="n"/>
      <c r="AA4507" s="11">
        <f>IF(A4507="","",IF(AND(J4507="P4",F4507="causal"),"P4-CAUSAL",""))</f>
        <v/>
      </c>
    </row>
    <row r="4508" ht="15" customHeight="1" s="1">
      <c r="P4508">
        <f>IF(OR(F4508="",H4508="",J4508=""),"",J4508&amp;"|"&amp;F4508&amp;"|"&amp;IF(H4508="W3","W3_"&amp;IF(I4508="","unknown",I4508),H4508))</f>
        <v/>
      </c>
      <c r="Q4508">
        <f>IF(P4508="","",IFERROR(IF(AND(H4508="W7",OR(F4508="causal",F4508="predictive")),IF(AND(OR(K4508=1,K4508="1"),OR(L4508=1,L4508="1"),OR(M4508=1,M4508="1")),"adequate","partial"),IF(AND(H4508="W4",F4508="predictive",OR(J4508="P2",J4508="P3",J4508="P4")),IF(OR(U4508=1,U4508="1"),"adequate","partial"),INDEX(Fit_Matrix!$B:$B,MATCH(P4508,Fit_Matrix!$A:$A,0)))),"CHECK KEY"))</f>
        <v/>
      </c>
      <c r="U4508" s="10" t="n"/>
      <c r="V4508" s="10" t="n"/>
      <c r="W4508" s="10" t="n"/>
      <c r="X4508" s="10" t="n"/>
      <c r="Y4508" s="10" t="n"/>
      <c r="Z4508" s="10" t="n"/>
      <c r="AA4508" s="11">
        <f>IF(A4508="","",IF(AND(J4508="P4",F4508="causal"),"P4-CAUSAL",""))</f>
        <v/>
      </c>
    </row>
    <row r="4509" ht="15" customHeight="1" s="1">
      <c r="P4509">
        <f>IF(OR(F4509="",H4509="",J4509=""),"",J4509&amp;"|"&amp;F4509&amp;"|"&amp;IF(H4509="W3","W3_"&amp;IF(I4509="","unknown",I4509),H4509))</f>
        <v/>
      </c>
      <c r="Q4509">
        <f>IF(P4509="","",IFERROR(IF(AND(H4509="W7",OR(F4509="causal",F4509="predictive")),IF(AND(OR(K4509=1,K4509="1"),OR(L4509=1,L4509="1"),OR(M4509=1,M4509="1")),"adequate","partial"),IF(AND(H4509="W4",F4509="predictive",OR(J4509="P2",J4509="P3",J4509="P4")),IF(OR(U4509=1,U4509="1"),"adequate","partial"),INDEX(Fit_Matrix!$B:$B,MATCH(P4509,Fit_Matrix!$A:$A,0)))),"CHECK KEY"))</f>
        <v/>
      </c>
      <c r="U4509" s="10" t="n"/>
      <c r="V4509" s="10" t="n"/>
      <c r="W4509" s="10" t="n"/>
      <c r="X4509" s="10" t="n"/>
      <c r="Y4509" s="10" t="n"/>
      <c r="Z4509" s="10" t="n"/>
      <c r="AA4509" s="11">
        <f>IF(A4509="","",IF(AND(J4509="P4",F4509="causal"),"P4-CAUSAL",""))</f>
        <v/>
      </c>
    </row>
    <row r="4510" ht="15" customHeight="1" s="1">
      <c r="P4510">
        <f>IF(OR(F4510="",H4510="",J4510=""),"",J4510&amp;"|"&amp;F4510&amp;"|"&amp;IF(H4510="W3","W3_"&amp;IF(I4510="","unknown",I4510),H4510))</f>
        <v/>
      </c>
      <c r="Q4510">
        <f>IF(P4510="","",IFERROR(IF(AND(H4510="W7",OR(F4510="causal",F4510="predictive")),IF(AND(OR(K4510=1,K4510="1"),OR(L4510=1,L4510="1"),OR(M4510=1,M4510="1")),"adequate","partial"),IF(AND(H4510="W4",F4510="predictive",OR(J4510="P2",J4510="P3",J4510="P4")),IF(OR(U4510=1,U4510="1"),"adequate","partial"),INDEX(Fit_Matrix!$B:$B,MATCH(P4510,Fit_Matrix!$A:$A,0)))),"CHECK KEY"))</f>
        <v/>
      </c>
      <c r="U4510" s="10" t="n"/>
      <c r="V4510" s="10" t="n"/>
      <c r="W4510" s="10" t="n"/>
      <c r="X4510" s="10" t="n"/>
      <c r="Y4510" s="10" t="n"/>
      <c r="Z4510" s="10" t="n"/>
      <c r="AA4510" s="11">
        <f>IF(A4510="","",IF(AND(J4510="P4",F4510="causal"),"P4-CAUSAL",""))</f>
        <v/>
      </c>
    </row>
    <row r="4511" ht="15" customHeight="1" s="1">
      <c r="P4511">
        <f>IF(OR(F4511="",H4511="",J4511=""),"",J4511&amp;"|"&amp;F4511&amp;"|"&amp;IF(H4511="W3","W3_"&amp;IF(I4511="","unknown",I4511),H4511))</f>
        <v/>
      </c>
      <c r="Q4511">
        <f>IF(P4511="","",IFERROR(IF(AND(H4511="W7",OR(F4511="causal",F4511="predictive")),IF(AND(OR(K4511=1,K4511="1"),OR(L4511=1,L4511="1"),OR(M4511=1,M4511="1")),"adequate","partial"),IF(AND(H4511="W4",F4511="predictive",OR(J4511="P2",J4511="P3",J4511="P4")),IF(OR(U4511=1,U4511="1"),"adequate","partial"),INDEX(Fit_Matrix!$B:$B,MATCH(P4511,Fit_Matrix!$A:$A,0)))),"CHECK KEY"))</f>
        <v/>
      </c>
      <c r="U4511" s="10" t="n"/>
      <c r="V4511" s="10" t="n"/>
      <c r="W4511" s="10" t="n"/>
      <c r="X4511" s="10" t="n"/>
      <c r="Y4511" s="10" t="n"/>
      <c r="Z4511" s="10" t="n"/>
      <c r="AA4511" s="11">
        <f>IF(A4511="","",IF(AND(J4511="P4",F4511="causal"),"P4-CAUSAL",""))</f>
        <v/>
      </c>
    </row>
    <row r="4512" ht="15" customHeight="1" s="1">
      <c r="P4512">
        <f>IF(OR(F4512="",H4512="",J4512=""),"",J4512&amp;"|"&amp;F4512&amp;"|"&amp;IF(H4512="W3","W3_"&amp;IF(I4512="","unknown",I4512),H4512))</f>
        <v/>
      </c>
      <c r="Q4512">
        <f>IF(P4512="","",IFERROR(IF(AND(H4512="W7",OR(F4512="causal",F4512="predictive")),IF(AND(OR(K4512=1,K4512="1"),OR(L4512=1,L4512="1"),OR(M4512=1,M4512="1")),"adequate","partial"),IF(AND(H4512="W4",F4512="predictive",OR(J4512="P2",J4512="P3",J4512="P4")),IF(OR(U4512=1,U4512="1"),"adequate","partial"),INDEX(Fit_Matrix!$B:$B,MATCH(P4512,Fit_Matrix!$A:$A,0)))),"CHECK KEY"))</f>
        <v/>
      </c>
      <c r="U4512" s="10" t="n"/>
      <c r="V4512" s="10" t="n"/>
      <c r="W4512" s="10" t="n"/>
      <c r="X4512" s="10" t="n"/>
      <c r="Y4512" s="10" t="n"/>
      <c r="Z4512" s="10" t="n"/>
      <c r="AA4512" s="11">
        <f>IF(A4512="","",IF(AND(J4512="P4",F4512="causal"),"P4-CAUSAL",""))</f>
        <v/>
      </c>
    </row>
    <row r="4513" ht="15" customHeight="1" s="1">
      <c r="P4513">
        <f>IF(OR(F4513="",H4513="",J4513=""),"",J4513&amp;"|"&amp;F4513&amp;"|"&amp;IF(H4513="W3","W3_"&amp;IF(I4513="","unknown",I4513),H4513))</f>
        <v/>
      </c>
      <c r="Q4513">
        <f>IF(P4513="","",IFERROR(IF(AND(H4513="W7",OR(F4513="causal",F4513="predictive")),IF(AND(OR(K4513=1,K4513="1"),OR(L4513=1,L4513="1"),OR(M4513=1,M4513="1")),"adequate","partial"),IF(AND(H4513="W4",F4513="predictive",OR(J4513="P2",J4513="P3",J4513="P4")),IF(OR(U4513=1,U4513="1"),"adequate","partial"),INDEX(Fit_Matrix!$B:$B,MATCH(P4513,Fit_Matrix!$A:$A,0)))),"CHECK KEY"))</f>
        <v/>
      </c>
      <c r="U4513" s="10" t="n"/>
      <c r="V4513" s="10" t="n"/>
      <c r="W4513" s="10" t="n"/>
      <c r="X4513" s="10" t="n"/>
      <c r="Y4513" s="10" t="n"/>
      <c r="Z4513" s="10" t="n"/>
      <c r="AA4513" s="11">
        <f>IF(A4513="","",IF(AND(J4513="P4",F4513="causal"),"P4-CAUSAL",""))</f>
        <v/>
      </c>
    </row>
    <row r="4514" ht="15" customHeight="1" s="1">
      <c r="P4514">
        <f>IF(OR(F4514="",H4514="",J4514=""),"",J4514&amp;"|"&amp;F4514&amp;"|"&amp;IF(H4514="W3","W3_"&amp;IF(I4514="","unknown",I4514),H4514))</f>
        <v/>
      </c>
      <c r="Q4514">
        <f>IF(P4514="","",IFERROR(IF(AND(H4514="W7",OR(F4514="causal",F4514="predictive")),IF(AND(OR(K4514=1,K4514="1"),OR(L4514=1,L4514="1"),OR(M4514=1,M4514="1")),"adequate","partial"),IF(AND(H4514="W4",F4514="predictive",OR(J4514="P2",J4514="P3",J4514="P4")),IF(OR(U4514=1,U4514="1"),"adequate","partial"),INDEX(Fit_Matrix!$B:$B,MATCH(P4514,Fit_Matrix!$A:$A,0)))),"CHECK KEY"))</f>
        <v/>
      </c>
      <c r="U4514" s="10" t="n"/>
      <c r="V4514" s="10" t="n"/>
      <c r="W4514" s="10" t="n"/>
      <c r="X4514" s="10" t="n"/>
      <c r="Y4514" s="10" t="n"/>
      <c r="Z4514" s="10" t="n"/>
      <c r="AA4514" s="11">
        <f>IF(A4514="","",IF(AND(J4514="P4",F4514="causal"),"P4-CAUSAL",""))</f>
        <v/>
      </c>
    </row>
    <row r="4515" ht="15" customHeight="1" s="1">
      <c r="P4515">
        <f>IF(OR(F4515="",H4515="",J4515=""),"",J4515&amp;"|"&amp;F4515&amp;"|"&amp;IF(H4515="W3","W3_"&amp;IF(I4515="","unknown",I4515),H4515))</f>
        <v/>
      </c>
      <c r="Q4515">
        <f>IF(P4515="","",IFERROR(IF(AND(H4515="W7",OR(F4515="causal",F4515="predictive")),IF(AND(OR(K4515=1,K4515="1"),OR(L4515=1,L4515="1"),OR(M4515=1,M4515="1")),"adequate","partial"),IF(AND(H4515="W4",F4515="predictive",OR(J4515="P2",J4515="P3",J4515="P4")),IF(OR(U4515=1,U4515="1"),"adequate","partial"),INDEX(Fit_Matrix!$B:$B,MATCH(P4515,Fit_Matrix!$A:$A,0)))),"CHECK KEY"))</f>
        <v/>
      </c>
      <c r="U4515" s="10" t="n"/>
      <c r="V4515" s="10" t="n"/>
      <c r="W4515" s="10" t="n"/>
      <c r="X4515" s="10" t="n"/>
      <c r="Y4515" s="10" t="n"/>
      <c r="Z4515" s="10" t="n"/>
      <c r="AA4515" s="11">
        <f>IF(A4515="","",IF(AND(J4515="P4",F4515="causal"),"P4-CAUSAL",""))</f>
        <v/>
      </c>
    </row>
    <row r="4516" ht="15" customHeight="1" s="1">
      <c r="P4516">
        <f>IF(OR(F4516="",H4516="",J4516=""),"",J4516&amp;"|"&amp;F4516&amp;"|"&amp;IF(H4516="W3","W3_"&amp;IF(I4516="","unknown",I4516),H4516))</f>
        <v/>
      </c>
      <c r="Q4516">
        <f>IF(P4516="","",IFERROR(IF(AND(H4516="W7",OR(F4516="causal",F4516="predictive")),IF(AND(OR(K4516=1,K4516="1"),OR(L4516=1,L4516="1"),OR(M4516=1,M4516="1")),"adequate","partial"),IF(AND(H4516="W4",F4516="predictive",OR(J4516="P2",J4516="P3",J4516="P4")),IF(OR(U4516=1,U4516="1"),"adequate","partial"),INDEX(Fit_Matrix!$B:$B,MATCH(P4516,Fit_Matrix!$A:$A,0)))),"CHECK KEY"))</f>
        <v/>
      </c>
      <c r="U4516" s="10" t="n"/>
      <c r="V4516" s="10" t="n"/>
      <c r="W4516" s="10" t="n"/>
      <c r="X4516" s="10" t="n"/>
      <c r="Y4516" s="10" t="n"/>
      <c r="Z4516" s="10" t="n"/>
      <c r="AA4516" s="11">
        <f>IF(A4516="","",IF(AND(J4516="P4",F4516="causal"),"P4-CAUSAL",""))</f>
        <v/>
      </c>
    </row>
    <row r="4517" ht="15" customHeight="1" s="1">
      <c r="P4517">
        <f>IF(OR(F4517="",H4517="",J4517=""),"",J4517&amp;"|"&amp;F4517&amp;"|"&amp;IF(H4517="W3","W3_"&amp;IF(I4517="","unknown",I4517),H4517))</f>
        <v/>
      </c>
      <c r="Q4517">
        <f>IF(P4517="","",IFERROR(IF(AND(H4517="W7",OR(F4517="causal",F4517="predictive")),IF(AND(OR(K4517=1,K4517="1"),OR(L4517=1,L4517="1"),OR(M4517=1,M4517="1")),"adequate","partial"),IF(AND(H4517="W4",F4517="predictive",OR(J4517="P2",J4517="P3",J4517="P4")),IF(OR(U4517=1,U4517="1"),"adequate","partial"),INDEX(Fit_Matrix!$B:$B,MATCH(P4517,Fit_Matrix!$A:$A,0)))),"CHECK KEY"))</f>
        <v/>
      </c>
      <c r="U4517" s="10" t="n"/>
      <c r="V4517" s="10" t="n"/>
      <c r="W4517" s="10" t="n"/>
      <c r="X4517" s="10" t="n"/>
      <c r="Y4517" s="10" t="n"/>
      <c r="Z4517" s="10" t="n"/>
      <c r="AA4517" s="11">
        <f>IF(A4517="","",IF(AND(J4517="P4",F4517="causal"),"P4-CAUSAL",""))</f>
        <v/>
      </c>
    </row>
    <row r="4518" ht="15" customHeight="1" s="1">
      <c r="P4518">
        <f>IF(OR(F4518="",H4518="",J4518=""),"",J4518&amp;"|"&amp;F4518&amp;"|"&amp;IF(H4518="W3","W3_"&amp;IF(I4518="","unknown",I4518),H4518))</f>
        <v/>
      </c>
      <c r="Q4518">
        <f>IF(P4518="","",IFERROR(IF(AND(H4518="W7",OR(F4518="causal",F4518="predictive")),IF(AND(OR(K4518=1,K4518="1"),OR(L4518=1,L4518="1"),OR(M4518=1,M4518="1")),"adequate","partial"),IF(AND(H4518="W4",F4518="predictive",OR(J4518="P2",J4518="P3",J4518="P4")),IF(OR(U4518=1,U4518="1"),"adequate","partial"),INDEX(Fit_Matrix!$B:$B,MATCH(P4518,Fit_Matrix!$A:$A,0)))),"CHECK KEY"))</f>
        <v/>
      </c>
      <c r="U4518" s="10" t="n"/>
      <c r="V4518" s="10" t="n"/>
      <c r="W4518" s="10" t="n"/>
      <c r="X4518" s="10" t="n"/>
      <c r="Y4518" s="10" t="n"/>
      <c r="Z4518" s="10" t="n"/>
      <c r="AA4518" s="11">
        <f>IF(A4518="","",IF(AND(J4518="P4",F4518="causal"),"P4-CAUSAL",""))</f>
        <v/>
      </c>
    </row>
    <row r="4519" ht="15" customHeight="1" s="1">
      <c r="P4519">
        <f>IF(OR(F4519="",H4519="",J4519=""),"",J4519&amp;"|"&amp;F4519&amp;"|"&amp;IF(H4519="W3","W3_"&amp;IF(I4519="","unknown",I4519),H4519))</f>
        <v/>
      </c>
      <c r="Q4519">
        <f>IF(P4519="","",IFERROR(IF(AND(H4519="W7",OR(F4519="causal",F4519="predictive")),IF(AND(OR(K4519=1,K4519="1"),OR(L4519=1,L4519="1"),OR(M4519=1,M4519="1")),"adequate","partial"),IF(AND(H4519="W4",F4519="predictive",OR(J4519="P2",J4519="P3",J4519="P4")),IF(OR(U4519=1,U4519="1"),"adequate","partial"),INDEX(Fit_Matrix!$B:$B,MATCH(P4519,Fit_Matrix!$A:$A,0)))),"CHECK KEY"))</f>
        <v/>
      </c>
      <c r="U4519" s="10" t="n"/>
      <c r="V4519" s="10" t="n"/>
      <c r="W4519" s="10" t="n"/>
      <c r="X4519" s="10" t="n"/>
      <c r="Y4519" s="10" t="n"/>
      <c r="Z4519" s="10" t="n"/>
      <c r="AA4519" s="11">
        <f>IF(A4519="","",IF(AND(J4519="P4",F4519="causal"),"P4-CAUSAL",""))</f>
        <v/>
      </c>
    </row>
    <row r="4520" ht="15" customHeight="1" s="1">
      <c r="P4520">
        <f>IF(OR(F4520="",H4520="",J4520=""),"",J4520&amp;"|"&amp;F4520&amp;"|"&amp;IF(H4520="W3","W3_"&amp;IF(I4520="","unknown",I4520),H4520))</f>
        <v/>
      </c>
      <c r="Q4520">
        <f>IF(P4520="","",IFERROR(IF(AND(H4520="W7",OR(F4520="causal",F4520="predictive")),IF(AND(OR(K4520=1,K4520="1"),OR(L4520=1,L4520="1"),OR(M4520=1,M4520="1")),"adequate","partial"),IF(AND(H4520="W4",F4520="predictive",OR(J4520="P2",J4520="P3",J4520="P4")),IF(OR(U4520=1,U4520="1"),"adequate","partial"),INDEX(Fit_Matrix!$B:$B,MATCH(P4520,Fit_Matrix!$A:$A,0)))),"CHECK KEY"))</f>
        <v/>
      </c>
      <c r="U4520" s="10" t="n"/>
      <c r="V4520" s="10" t="n"/>
      <c r="W4520" s="10" t="n"/>
      <c r="X4520" s="10" t="n"/>
      <c r="Y4520" s="10" t="n"/>
      <c r="Z4520" s="10" t="n"/>
      <c r="AA4520" s="11">
        <f>IF(A4520="","",IF(AND(J4520="P4",F4520="causal"),"P4-CAUSAL",""))</f>
        <v/>
      </c>
    </row>
    <row r="4521" ht="15" customHeight="1" s="1">
      <c r="P4521">
        <f>IF(OR(F4521="",H4521="",J4521=""),"",J4521&amp;"|"&amp;F4521&amp;"|"&amp;IF(H4521="W3","W3_"&amp;IF(I4521="","unknown",I4521),H4521))</f>
        <v/>
      </c>
      <c r="Q4521">
        <f>IF(P4521="","",IFERROR(IF(AND(H4521="W7",OR(F4521="causal",F4521="predictive")),IF(AND(OR(K4521=1,K4521="1"),OR(L4521=1,L4521="1"),OR(M4521=1,M4521="1")),"adequate","partial"),IF(AND(H4521="W4",F4521="predictive",OR(J4521="P2",J4521="P3",J4521="P4")),IF(OR(U4521=1,U4521="1"),"adequate","partial"),INDEX(Fit_Matrix!$B:$B,MATCH(P4521,Fit_Matrix!$A:$A,0)))),"CHECK KEY"))</f>
        <v/>
      </c>
      <c r="U4521" s="10" t="n"/>
      <c r="V4521" s="10" t="n"/>
      <c r="W4521" s="10" t="n"/>
      <c r="X4521" s="10" t="n"/>
      <c r="Y4521" s="10" t="n"/>
      <c r="Z4521" s="10" t="n"/>
      <c r="AA4521" s="11">
        <f>IF(A4521="","",IF(AND(J4521="P4",F4521="causal"),"P4-CAUSAL",""))</f>
        <v/>
      </c>
    </row>
    <row r="4522" ht="15" customHeight="1" s="1">
      <c r="P4522">
        <f>IF(OR(F4522="",H4522="",J4522=""),"",J4522&amp;"|"&amp;F4522&amp;"|"&amp;IF(H4522="W3","W3_"&amp;IF(I4522="","unknown",I4522),H4522))</f>
        <v/>
      </c>
      <c r="Q4522">
        <f>IF(P4522="","",IFERROR(IF(AND(H4522="W7",OR(F4522="causal",F4522="predictive")),IF(AND(OR(K4522=1,K4522="1"),OR(L4522=1,L4522="1"),OR(M4522=1,M4522="1")),"adequate","partial"),IF(AND(H4522="W4",F4522="predictive",OR(J4522="P2",J4522="P3",J4522="P4")),IF(OR(U4522=1,U4522="1"),"adequate","partial"),INDEX(Fit_Matrix!$B:$B,MATCH(P4522,Fit_Matrix!$A:$A,0)))),"CHECK KEY"))</f>
        <v/>
      </c>
      <c r="U4522" s="10" t="n"/>
      <c r="V4522" s="10" t="n"/>
      <c r="W4522" s="10" t="n"/>
      <c r="X4522" s="10" t="n"/>
      <c r="Y4522" s="10" t="n"/>
      <c r="Z4522" s="10" t="n"/>
      <c r="AA4522" s="11">
        <f>IF(A4522="","",IF(AND(J4522="P4",F4522="causal"),"P4-CAUSAL",""))</f>
        <v/>
      </c>
    </row>
    <row r="4523" ht="15" customHeight="1" s="1">
      <c r="P4523">
        <f>IF(OR(F4523="",H4523="",J4523=""),"",J4523&amp;"|"&amp;F4523&amp;"|"&amp;IF(H4523="W3","W3_"&amp;IF(I4523="","unknown",I4523),H4523))</f>
        <v/>
      </c>
      <c r="Q4523">
        <f>IF(P4523="","",IFERROR(IF(AND(H4523="W7",OR(F4523="causal",F4523="predictive")),IF(AND(OR(K4523=1,K4523="1"),OR(L4523=1,L4523="1"),OR(M4523=1,M4523="1")),"adequate","partial"),IF(AND(H4523="W4",F4523="predictive",OR(J4523="P2",J4523="P3",J4523="P4")),IF(OR(U4523=1,U4523="1"),"adequate","partial"),INDEX(Fit_Matrix!$B:$B,MATCH(P4523,Fit_Matrix!$A:$A,0)))),"CHECK KEY"))</f>
        <v/>
      </c>
      <c r="U4523" s="10" t="n"/>
      <c r="V4523" s="10" t="n"/>
      <c r="W4523" s="10" t="n"/>
      <c r="X4523" s="10" t="n"/>
      <c r="Y4523" s="10" t="n"/>
      <c r="Z4523" s="10" t="n"/>
      <c r="AA4523" s="11">
        <f>IF(A4523="","",IF(AND(J4523="P4",F4523="causal"),"P4-CAUSAL",""))</f>
        <v/>
      </c>
    </row>
    <row r="4524" ht="15" customHeight="1" s="1">
      <c r="P4524">
        <f>IF(OR(F4524="",H4524="",J4524=""),"",J4524&amp;"|"&amp;F4524&amp;"|"&amp;IF(H4524="W3","W3_"&amp;IF(I4524="","unknown",I4524),H4524))</f>
        <v/>
      </c>
      <c r="Q4524">
        <f>IF(P4524="","",IFERROR(IF(AND(H4524="W7",OR(F4524="causal",F4524="predictive")),IF(AND(OR(K4524=1,K4524="1"),OR(L4524=1,L4524="1"),OR(M4524=1,M4524="1")),"adequate","partial"),IF(AND(H4524="W4",F4524="predictive",OR(J4524="P2",J4524="P3",J4524="P4")),IF(OR(U4524=1,U4524="1"),"adequate","partial"),INDEX(Fit_Matrix!$B:$B,MATCH(P4524,Fit_Matrix!$A:$A,0)))),"CHECK KEY"))</f>
        <v/>
      </c>
      <c r="U4524" s="10" t="n"/>
      <c r="V4524" s="10" t="n"/>
      <c r="W4524" s="10" t="n"/>
      <c r="X4524" s="10" t="n"/>
      <c r="Y4524" s="10" t="n"/>
      <c r="Z4524" s="10" t="n"/>
      <c r="AA4524" s="11">
        <f>IF(A4524="","",IF(AND(J4524="P4",F4524="causal"),"P4-CAUSAL",""))</f>
        <v/>
      </c>
    </row>
    <row r="4525" ht="15" customHeight="1" s="1">
      <c r="P4525">
        <f>IF(OR(F4525="",H4525="",J4525=""),"",J4525&amp;"|"&amp;F4525&amp;"|"&amp;IF(H4525="W3","W3_"&amp;IF(I4525="","unknown",I4525),H4525))</f>
        <v/>
      </c>
      <c r="Q4525">
        <f>IF(P4525="","",IFERROR(IF(AND(H4525="W7",OR(F4525="causal",F4525="predictive")),IF(AND(OR(K4525=1,K4525="1"),OR(L4525=1,L4525="1"),OR(M4525=1,M4525="1")),"adequate","partial"),IF(AND(H4525="W4",F4525="predictive",OR(J4525="P2",J4525="P3",J4525="P4")),IF(OR(U4525=1,U4525="1"),"adequate","partial"),INDEX(Fit_Matrix!$B:$B,MATCH(P4525,Fit_Matrix!$A:$A,0)))),"CHECK KEY"))</f>
        <v/>
      </c>
      <c r="U4525" s="10" t="n"/>
      <c r="V4525" s="10" t="n"/>
      <c r="W4525" s="10" t="n"/>
      <c r="X4525" s="10" t="n"/>
      <c r="Y4525" s="10" t="n"/>
      <c r="Z4525" s="10" t="n"/>
      <c r="AA4525" s="11">
        <f>IF(A4525="","",IF(AND(J4525="P4",F4525="causal"),"P4-CAUSAL",""))</f>
        <v/>
      </c>
    </row>
    <row r="4526" ht="15" customHeight="1" s="1">
      <c r="P4526">
        <f>IF(OR(F4526="",H4526="",J4526=""),"",J4526&amp;"|"&amp;F4526&amp;"|"&amp;IF(H4526="W3","W3_"&amp;IF(I4526="","unknown",I4526),H4526))</f>
        <v/>
      </c>
      <c r="Q4526">
        <f>IF(P4526="","",IFERROR(IF(AND(H4526="W7",OR(F4526="causal",F4526="predictive")),IF(AND(OR(K4526=1,K4526="1"),OR(L4526=1,L4526="1"),OR(M4526=1,M4526="1")),"adequate","partial"),IF(AND(H4526="W4",F4526="predictive",OR(J4526="P2",J4526="P3",J4526="P4")),IF(OR(U4526=1,U4526="1"),"adequate","partial"),INDEX(Fit_Matrix!$B:$B,MATCH(P4526,Fit_Matrix!$A:$A,0)))),"CHECK KEY"))</f>
        <v/>
      </c>
      <c r="U4526" s="10" t="n"/>
      <c r="V4526" s="10" t="n"/>
      <c r="W4526" s="10" t="n"/>
      <c r="X4526" s="10" t="n"/>
      <c r="Y4526" s="10" t="n"/>
      <c r="Z4526" s="10" t="n"/>
      <c r="AA4526" s="11">
        <f>IF(A4526="","",IF(AND(J4526="P4",F4526="causal"),"P4-CAUSAL",""))</f>
        <v/>
      </c>
    </row>
    <row r="4527" ht="15" customHeight="1" s="1">
      <c r="P4527">
        <f>IF(OR(F4527="",H4527="",J4527=""),"",J4527&amp;"|"&amp;F4527&amp;"|"&amp;IF(H4527="W3","W3_"&amp;IF(I4527="","unknown",I4527),H4527))</f>
        <v/>
      </c>
      <c r="Q4527">
        <f>IF(P4527="","",IFERROR(IF(AND(H4527="W7",OR(F4527="causal",F4527="predictive")),IF(AND(OR(K4527=1,K4527="1"),OR(L4527=1,L4527="1"),OR(M4527=1,M4527="1")),"adequate","partial"),IF(AND(H4527="W4",F4527="predictive",OR(J4527="P2",J4527="P3",J4527="P4")),IF(OR(U4527=1,U4527="1"),"adequate","partial"),INDEX(Fit_Matrix!$B:$B,MATCH(P4527,Fit_Matrix!$A:$A,0)))),"CHECK KEY"))</f>
        <v/>
      </c>
      <c r="U4527" s="10" t="n"/>
      <c r="V4527" s="10" t="n"/>
      <c r="W4527" s="10" t="n"/>
      <c r="X4527" s="10" t="n"/>
      <c r="Y4527" s="10" t="n"/>
      <c r="Z4527" s="10" t="n"/>
      <c r="AA4527" s="11">
        <f>IF(A4527="","",IF(AND(J4527="P4",F4527="causal"),"P4-CAUSAL",""))</f>
        <v/>
      </c>
    </row>
    <row r="4528" ht="15" customHeight="1" s="1">
      <c r="P4528">
        <f>IF(OR(F4528="",H4528="",J4528=""),"",J4528&amp;"|"&amp;F4528&amp;"|"&amp;IF(H4528="W3","W3_"&amp;IF(I4528="","unknown",I4528),H4528))</f>
        <v/>
      </c>
      <c r="Q4528">
        <f>IF(P4528="","",IFERROR(IF(AND(H4528="W7",OR(F4528="causal",F4528="predictive")),IF(AND(OR(K4528=1,K4528="1"),OR(L4528=1,L4528="1"),OR(M4528=1,M4528="1")),"adequate","partial"),IF(AND(H4528="W4",F4528="predictive",OR(J4528="P2",J4528="P3",J4528="P4")),IF(OR(U4528=1,U4528="1"),"adequate","partial"),INDEX(Fit_Matrix!$B:$B,MATCH(P4528,Fit_Matrix!$A:$A,0)))),"CHECK KEY"))</f>
        <v/>
      </c>
      <c r="U4528" s="10" t="n"/>
      <c r="V4528" s="10" t="n"/>
      <c r="W4528" s="10" t="n"/>
      <c r="X4528" s="10" t="n"/>
      <c r="Y4528" s="10" t="n"/>
      <c r="Z4528" s="10" t="n"/>
      <c r="AA4528" s="11">
        <f>IF(A4528="","",IF(AND(J4528="P4",F4528="causal"),"P4-CAUSAL",""))</f>
        <v/>
      </c>
    </row>
    <row r="4529" ht="15" customHeight="1" s="1">
      <c r="P4529">
        <f>IF(OR(F4529="",H4529="",J4529=""),"",J4529&amp;"|"&amp;F4529&amp;"|"&amp;IF(H4529="W3","W3_"&amp;IF(I4529="","unknown",I4529),H4529))</f>
        <v/>
      </c>
      <c r="Q4529">
        <f>IF(P4529="","",IFERROR(IF(AND(H4529="W7",OR(F4529="causal",F4529="predictive")),IF(AND(OR(K4529=1,K4529="1"),OR(L4529=1,L4529="1"),OR(M4529=1,M4529="1")),"adequate","partial"),IF(AND(H4529="W4",F4529="predictive",OR(J4529="P2",J4529="P3",J4529="P4")),IF(OR(U4529=1,U4529="1"),"adequate","partial"),INDEX(Fit_Matrix!$B:$B,MATCH(P4529,Fit_Matrix!$A:$A,0)))),"CHECK KEY"))</f>
        <v/>
      </c>
      <c r="U4529" s="10" t="n"/>
      <c r="V4529" s="10" t="n"/>
      <c r="W4529" s="10" t="n"/>
      <c r="X4529" s="10" t="n"/>
      <c r="Y4529" s="10" t="n"/>
      <c r="Z4529" s="10" t="n"/>
      <c r="AA4529" s="11">
        <f>IF(A4529="","",IF(AND(J4529="P4",F4529="causal"),"P4-CAUSAL",""))</f>
        <v/>
      </c>
    </row>
    <row r="4530" ht="15" customHeight="1" s="1">
      <c r="P4530">
        <f>IF(OR(F4530="",H4530="",J4530=""),"",J4530&amp;"|"&amp;F4530&amp;"|"&amp;IF(H4530="W3","W3_"&amp;IF(I4530="","unknown",I4530),H4530))</f>
        <v/>
      </c>
      <c r="Q4530">
        <f>IF(P4530="","",IFERROR(IF(AND(H4530="W7",OR(F4530="causal",F4530="predictive")),IF(AND(OR(K4530=1,K4530="1"),OR(L4530=1,L4530="1"),OR(M4530=1,M4530="1")),"adequate","partial"),IF(AND(H4530="W4",F4530="predictive",OR(J4530="P2",J4530="P3",J4530="P4")),IF(OR(U4530=1,U4530="1"),"adequate","partial"),INDEX(Fit_Matrix!$B:$B,MATCH(P4530,Fit_Matrix!$A:$A,0)))),"CHECK KEY"))</f>
        <v/>
      </c>
      <c r="U4530" s="10" t="n"/>
      <c r="V4530" s="10" t="n"/>
      <c r="W4530" s="10" t="n"/>
      <c r="X4530" s="10" t="n"/>
      <c r="Y4530" s="10" t="n"/>
      <c r="Z4530" s="10" t="n"/>
      <c r="AA4530" s="11">
        <f>IF(A4530="","",IF(AND(J4530="P4",F4530="causal"),"P4-CAUSAL",""))</f>
        <v/>
      </c>
    </row>
    <row r="4531" ht="15" customHeight="1" s="1">
      <c r="P4531">
        <f>IF(OR(F4531="",H4531="",J4531=""),"",J4531&amp;"|"&amp;F4531&amp;"|"&amp;IF(H4531="W3","W3_"&amp;IF(I4531="","unknown",I4531),H4531))</f>
        <v/>
      </c>
      <c r="Q4531">
        <f>IF(P4531="","",IFERROR(IF(AND(H4531="W7",OR(F4531="causal",F4531="predictive")),IF(AND(OR(K4531=1,K4531="1"),OR(L4531=1,L4531="1"),OR(M4531=1,M4531="1")),"adequate","partial"),IF(AND(H4531="W4",F4531="predictive",OR(J4531="P2",J4531="P3",J4531="P4")),IF(OR(U4531=1,U4531="1"),"adequate","partial"),INDEX(Fit_Matrix!$B:$B,MATCH(P4531,Fit_Matrix!$A:$A,0)))),"CHECK KEY"))</f>
        <v/>
      </c>
      <c r="U4531" s="10" t="n"/>
      <c r="V4531" s="10" t="n"/>
      <c r="W4531" s="10" t="n"/>
      <c r="X4531" s="10" t="n"/>
      <c r="Y4531" s="10" t="n"/>
      <c r="Z4531" s="10" t="n"/>
      <c r="AA4531" s="11">
        <f>IF(A4531="","",IF(AND(J4531="P4",F4531="causal"),"P4-CAUSAL",""))</f>
        <v/>
      </c>
    </row>
    <row r="4532" ht="15" customHeight="1" s="1">
      <c r="P4532">
        <f>IF(OR(F4532="",H4532="",J4532=""),"",J4532&amp;"|"&amp;F4532&amp;"|"&amp;IF(H4532="W3","W3_"&amp;IF(I4532="","unknown",I4532),H4532))</f>
        <v/>
      </c>
      <c r="Q4532">
        <f>IF(P4532="","",IFERROR(IF(AND(H4532="W7",OR(F4532="causal",F4532="predictive")),IF(AND(OR(K4532=1,K4532="1"),OR(L4532=1,L4532="1"),OR(M4532=1,M4532="1")),"adequate","partial"),IF(AND(H4532="W4",F4532="predictive",OR(J4532="P2",J4532="P3",J4532="P4")),IF(OR(U4532=1,U4532="1"),"adequate","partial"),INDEX(Fit_Matrix!$B:$B,MATCH(P4532,Fit_Matrix!$A:$A,0)))),"CHECK KEY"))</f>
        <v/>
      </c>
      <c r="U4532" s="10" t="n"/>
      <c r="V4532" s="10" t="n"/>
      <c r="W4532" s="10" t="n"/>
      <c r="X4532" s="10" t="n"/>
      <c r="Y4532" s="10" t="n"/>
      <c r="Z4532" s="10" t="n"/>
      <c r="AA4532" s="11">
        <f>IF(A4532="","",IF(AND(J4532="P4",F4532="causal"),"P4-CAUSAL",""))</f>
        <v/>
      </c>
    </row>
    <row r="4533" ht="15" customHeight="1" s="1">
      <c r="P4533">
        <f>IF(OR(F4533="",H4533="",J4533=""),"",J4533&amp;"|"&amp;F4533&amp;"|"&amp;IF(H4533="W3","W3_"&amp;IF(I4533="","unknown",I4533),H4533))</f>
        <v/>
      </c>
      <c r="Q4533">
        <f>IF(P4533="","",IFERROR(IF(AND(H4533="W7",OR(F4533="causal",F4533="predictive")),IF(AND(OR(K4533=1,K4533="1"),OR(L4533=1,L4533="1"),OR(M4533=1,M4533="1")),"adequate","partial"),IF(AND(H4533="W4",F4533="predictive",OR(J4533="P2",J4533="P3",J4533="P4")),IF(OR(U4533=1,U4533="1"),"adequate","partial"),INDEX(Fit_Matrix!$B:$B,MATCH(P4533,Fit_Matrix!$A:$A,0)))),"CHECK KEY"))</f>
        <v/>
      </c>
      <c r="U4533" s="10" t="n"/>
      <c r="V4533" s="10" t="n"/>
      <c r="W4533" s="10" t="n"/>
      <c r="X4533" s="10" t="n"/>
      <c r="Y4533" s="10" t="n"/>
      <c r="Z4533" s="10" t="n"/>
      <c r="AA4533" s="11">
        <f>IF(A4533="","",IF(AND(J4533="P4",F4533="causal"),"P4-CAUSAL",""))</f>
        <v/>
      </c>
    </row>
    <row r="4534" ht="15" customHeight="1" s="1">
      <c r="P4534">
        <f>IF(OR(F4534="",H4534="",J4534=""),"",J4534&amp;"|"&amp;F4534&amp;"|"&amp;IF(H4534="W3","W3_"&amp;IF(I4534="","unknown",I4534),H4534))</f>
        <v/>
      </c>
      <c r="Q4534">
        <f>IF(P4534="","",IFERROR(IF(AND(H4534="W7",OR(F4534="causal",F4534="predictive")),IF(AND(OR(K4534=1,K4534="1"),OR(L4534=1,L4534="1"),OR(M4534=1,M4534="1")),"adequate","partial"),IF(AND(H4534="W4",F4534="predictive",OR(J4534="P2",J4534="P3",J4534="P4")),IF(OR(U4534=1,U4534="1"),"adequate","partial"),INDEX(Fit_Matrix!$B:$B,MATCH(P4534,Fit_Matrix!$A:$A,0)))),"CHECK KEY"))</f>
        <v/>
      </c>
      <c r="U4534" s="10" t="n"/>
      <c r="V4534" s="10" t="n"/>
      <c r="W4534" s="10" t="n"/>
      <c r="X4534" s="10" t="n"/>
      <c r="Y4534" s="10" t="n"/>
      <c r="Z4534" s="10" t="n"/>
      <c r="AA4534" s="11">
        <f>IF(A4534="","",IF(AND(J4534="P4",F4534="causal"),"P4-CAUSAL",""))</f>
        <v/>
      </c>
    </row>
    <row r="4535" ht="15" customHeight="1" s="1">
      <c r="P4535">
        <f>IF(OR(F4535="",H4535="",J4535=""),"",J4535&amp;"|"&amp;F4535&amp;"|"&amp;IF(H4535="W3","W3_"&amp;IF(I4535="","unknown",I4535),H4535))</f>
        <v/>
      </c>
      <c r="Q4535">
        <f>IF(P4535="","",IFERROR(IF(AND(H4535="W7",OR(F4535="causal",F4535="predictive")),IF(AND(OR(K4535=1,K4535="1"),OR(L4535=1,L4535="1"),OR(M4535=1,M4535="1")),"adequate","partial"),IF(AND(H4535="W4",F4535="predictive",OR(J4535="P2",J4535="P3",J4535="P4")),IF(OR(U4535=1,U4535="1"),"adequate","partial"),INDEX(Fit_Matrix!$B:$B,MATCH(P4535,Fit_Matrix!$A:$A,0)))),"CHECK KEY"))</f>
        <v/>
      </c>
      <c r="U4535" s="10" t="n"/>
      <c r="V4535" s="10" t="n"/>
      <c r="W4535" s="10" t="n"/>
      <c r="X4535" s="10" t="n"/>
      <c r="Y4535" s="10" t="n"/>
      <c r="Z4535" s="10" t="n"/>
      <c r="AA4535" s="11">
        <f>IF(A4535="","",IF(AND(J4535="P4",F4535="causal"),"P4-CAUSAL",""))</f>
        <v/>
      </c>
    </row>
    <row r="4536" ht="15" customHeight="1" s="1">
      <c r="P4536">
        <f>IF(OR(F4536="",H4536="",J4536=""),"",J4536&amp;"|"&amp;F4536&amp;"|"&amp;IF(H4536="W3","W3_"&amp;IF(I4536="","unknown",I4536),H4536))</f>
        <v/>
      </c>
      <c r="Q4536">
        <f>IF(P4536="","",IFERROR(IF(AND(H4536="W7",OR(F4536="causal",F4536="predictive")),IF(AND(OR(K4536=1,K4536="1"),OR(L4536=1,L4536="1"),OR(M4536=1,M4536="1")),"adequate","partial"),IF(AND(H4536="W4",F4536="predictive",OR(J4536="P2",J4536="P3",J4536="P4")),IF(OR(U4536=1,U4536="1"),"adequate","partial"),INDEX(Fit_Matrix!$B:$B,MATCH(P4536,Fit_Matrix!$A:$A,0)))),"CHECK KEY"))</f>
        <v/>
      </c>
      <c r="U4536" s="10" t="n"/>
      <c r="V4536" s="10" t="n"/>
      <c r="W4536" s="10" t="n"/>
      <c r="X4536" s="10" t="n"/>
      <c r="Y4536" s="10" t="n"/>
      <c r="Z4536" s="10" t="n"/>
      <c r="AA4536" s="11">
        <f>IF(A4536="","",IF(AND(J4536="P4",F4536="causal"),"P4-CAUSAL",""))</f>
        <v/>
      </c>
    </row>
    <row r="4537" ht="15" customHeight="1" s="1">
      <c r="P4537">
        <f>IF(OR(F4537="",H4537="",J4537=""),"",J4537&amp;"|"&amp;F4537&amp;"|"&amp;IF(H4537="W3","W3_"&amp;IF(I4537="","unknown",I4537),H4537))</f>
        <v/>
      </c>
      <c r="Q4537">
        <f>IF(P4537="","",IFERROR(IF(AND(H4537="W7",OR(F4537="causal",F4537="predictive")),IF(AND(OR(K4537=1,K4537="1"),OR(L4537=1,L4537="1"),OR(M4537=1,M4537="1")),"adequate","partial"),IF(AND(H4537="W4",F4537="predictive",OR(J4537="P2",J4537="P3",J4537="P4")),IF(OR(U4537=1,U4537="1"),"adequate","partial"),INDEX(Fit_Matrix!$B:$B,MATCH(P4537,Fit_Matrix!$A:$A,0)))),"CHECK KEY"))</f>
        <v/>
      </c>
      <c r="U4537" s="10" t="n"/>
      <c r="V4537" s="10" t="n"/>
      <c r="W4537" s="10" t="n"/>
      <c r="X4537" s="10" t="n"/>
      <c r="Y4537" s="10" t="n"/>
      <c r="Z4537" s="10" t="n"/>
      <c r="AA4537" s="11">
        <f>IF(A4537="","",IF(AND(J4537="P4",F4537="causal"),"P4-CAUSAL",""))</f>
        <v/>
      </c>
    </row>
    <row r="4538" ht="15" customHeight="1" s="1">
      <c r="P4538">
        <f>IF(OR(F4538="",H4538="",J4538=""),"",J4538&amp;"|"&amp;F4538&amp;"|"&amp;IF(H4538="W3","W3_"&amp;IF(I4538="","unknown",I4538),H4538))</f>
        <v/>
      </c>
      <c r="Q4538">
        <f>IF(P4538="","",IFERROR(IF(AND(H4538="W7",OR(F4538="causal",F4538="predictive")),IF(AND(OR(K4538=1,K4538="1"),OR(L4538=1,L4538="1"),OR(M4538=1,M4538="1")),"adequate","partial"),IF(AND(H4538="W4",F4538="predictive",OR(J4538="P2",J4538="P3",J4538="P4")),IF(OR(U4538=1,U4538="1"),"adequate","partial"),INDEX(Fit_Matrix!$B:$B,MATCH(P4538,Fit_Matrix!$A:$A,0)))),"CHECK KEY"))</f>
        <v/>
      </c>
      <c r="U4538" s="10" t="n"/>
      <c r="V4538" s="10" t="n"/>
      <c r="W4538" s="10" t="n"/>
      <c r="X4538" s="10" t="n"/>
      <c r="Y4538" s="10" t="n"/>
      <c r="Z4538" s="10" t="n"/>
      <c r="AA4538" s="11">
        <f>IF(A4538="","",IF(AND(J4538="P4",F4538="causal"),"P4-CAUSAL",""))</f>
        <v/>
      </c>
    </row>
    <row r="4539" ht="15" customHeight="1" s="1">
      <c r="P4539">
        <f>IF(OR(F4539="",H4539="",J4539=""),"",J4539&amp;"|"&amp;F4539&amp;"|"&amp;IF(H4539="W3","W3_"&amp;IF(I4539="","unknown",I4539),H4539))</f>
        <v/>
      </c>
      <c r="Q4539">
        <f>IF(P4539="","",IFERROR(IF(AND(H4539="W7",OR(F4539="causal",F4539="predictive")),IF(AND(OR(K4539=1,K4539="1"),OR(L4539=1,L4539="1"),OR(M4539=1,M4539="1")),"adequate","partial"),IF(AND(H4539="W4",F4539="predictive",OR(J4539="P2",J4539="P3",J4539="P4")),IF(OR(U4539=1,U4539="1"),"adequate","partial"),INDEX(Fit_Matrix!$B:$B,MATCH(P4539,Fit_Matrix!$A:$A,0)))),"CHECK KEY"))</f>
        <v/>
      </c>
      <c r="U4539" s="10" t="n"/>
      <c r="V4539" s="10" t="n"/>
      <c r="W4539" s="10" t="n"/>
      <c r="X4539" s="10" t="n"/>
      <c r="Y4539" s="10" t="n"/>
      <c r="Z4539" s="10" t="n"/>
      <c r="AA4539" s="11">
        <f>IF(A4539="","",IF(AND(J4539="P4",F4539="causal"),"P4-CAUSAL",""))</f>
        <v/>
      </c>
    </row>
    <row r="4540" ht="15" customHeight="1" s="1">
      <c r="P4540">
        <f>IF(OR(F4540="",H4540="",J4540=""),"",J4540&amp;"|"&amp;F4540&amp;"|"&amp;IF(H4540="W3","W3_"&amp;IF(I4540="","unknown",I4540),H4540))</f>
        <v/>
      </c>
      <c r="Q4540">
        <f>IF(P4540="","",IFERROR(IF(AND(H4540="W7",OR(F4540="causal",F4540="predictive")),IF(AND(OR(K4540=1,K4540="1"),OR(L4540=1,L4540="1"),OR(M4540=1,M4540="1")),"adequate","partial"),IF(AND(H4540="W4",F4540="predictive",OR(J4540="P2",J4540="P3",J4540="P4")),IF(OR(U4540=1,U4540="1"),"adequate","partial"),INDEX(Fit_Matrix!$B:$B,MATCH(P4540,Fit_Matrix!$A:$A,0)))),"CHECK KEY"))</f>
        <v/>
      </c>
      <c r="U4540" s="10" t="n"/>
      <c r="V4540" s="10" t="n"/>
      <c r="W4540" s="10" t="n"/>
      <c r="X4540" s="10" t="n"/>
      <c r="Y4540" s="10" t="n"/>
      <c r="Z4540" s="10" t="n"/>
      <c r="AA4540" s="11">
        <f>IF(A4540="","",IF(AND(J4540="P4",F4540="causal"),"P4-CAUSAL",""))</f>
        <v/>
      </c>
    </row>
    <row r="4541" ht="15" customHeight="1" s="1">
      <c r="P4541">
        <f>IF(OR(F4541="",H4541="",J4541=""),"",J4541&amp;"|"&amp;F4541&amp;"|"&amp;IF(H4541="W3","W3_"&amp;IF(I4541="","unknown",I4541),H4541))</f>
        <v/>
      </c>
      <c r="Q4541">
        <f>IF(P4541="","",IFERROR(IF(AND(H4541="W7",OR(F4541="causal",F4541="predictive")),IF(AND(OR(K4541=1,K4541="1"),OR(L4541=1,L4541="1"),OR(M4541=1,M4541="1")),"adequate","partial"),IF(AND(H4541="W4",F4541="predictive",OR(J4541="P2",J4541="P3",J4541="P4")),IF(OR(U4541=1,U4541="1"),"adequate","partial"),INDEX(Fit_Matrix!$B:$B,MATCH(P4541,Fit_Matrix!$A:$A,0)))),"CHECK KEY"))</f>
        <v/>
      </c>
      <c r="U4541" s="10" t="n"/>
      <c r="V4541" s="10" t="n"/>
      <c r="W4541" s="10" t="n"/>
      <c r="X4541" s="10" t="n"/>
      <c r="Y4541" s="10" t="n"/>
      <c r="Z4541" s="10" t="n"/>
      <c r="AA4541" s="11">
        <f>IF(A4541="","",IF(AND(J4541="P4",F4541="causal"),"P4-CAUSAL",""))</f>
        <v/>
      </c>
    </row>
    <row r="4542" ht="15" customHeight="1" s="1">
      <c r="P4542">
        <f>IF(OR(F4542="",H4542="",J4542=""),"",J4542&amp;"|"&amp;F4542&amp;"|"&amp;IF(H4542="W3","W3_"&amp;IF(I4542="","unknown",I4542),H4542))</f>
        <v/>
      </c>
      <c r="Q4542">
        <f>IF(P4542="","",IFERROR(IF(AND(H4542="W7",OR(F4542="causal",F4542="predictive")),IF(AND(OR(K4542=1,K4542="1"),OR(L4542=1,L4542="1"),OR(M4542=1,M4542="1")),"adequate","partial"),IF(AND(H4542="W4",F4542="predictive",OR(J4542="P2",J4542="P3",J4542="P4")),IF(OR(U4542=1,U4542="1"),"adequate","partial"),INDEX(Fit_Matrix!$B:$B,MATCH(P4542,Fit_Matrix!$A:$A,0)))),"CHECK KEY"))</f>
        <v/>
      </c>
      <c r="U4542" s="10" t="n"/>
      <c r="V4542" s="10" t="n"/>
      <c r="W4542" s="10" t="n"/>
      <c r="X4542" s="10" t="n"/>
      <c r="Y4542" s="10" t="n"/>
      <c r="Z4542" s="10" t="n"/>
      <c r="AA4542" s="11">
        <f>IF(A4542="","",IF(AND(J4542="P4",F4542="causal"),"P4-CAUSAL",""))</f>
        <v/>
      </c>
    </row>
    <row r="4543" ht="15" customHeight="1" s="1">
      <c r="P4543">
        <f>IF(OR(F4543="",H4543="",J4543=""),"",J4543&amp;"|"&amp;F4543&amp;"|"&amp;IF(H4543="W3","W3_"&amp;IF(I4543="","unknown",I4543),H4543))</f>
        <v/>
      </c>
      <c r="Q4543">
        <f>IF(P4543="","",IFERROR(IF(AND(H4543="W7",OR(F4543="causal",F4543="predictive")),IF(AND(OR(K4543=1,K4543="1"),OR(L4543=1,L4543="1"),OR(M4543=1,M4543="1")),"adequate","partial"),IF(AND(H4543="W4",F4543="predictive",OR(J4543="P2",J4543="P3",J4543="P4")),IF(OR(U4543=1,U4543="1"),"adequate","partial"),INDEX(Fit_Matrix!$B:$B,MATCH(P4543,Fit_Matrix!$A:$A,0)))),"CHECK KEY"))</f>
        <v/>
      </c>
      <c r="U4543" s="10" t="n"/>
      <c r="V4543" s="10" t="n"/>
      <c r="W4543" s="10" t="n"/>
      <c r="X4543" s="10" t="n"/>
      <c r="Y4543" s="10" t="n"/>
      <c r="Z4543" s="10" t="n"/>
      <c r="AA4543" s="11">
        <f>IF(A4543="","",IF(AND(J4543="P4",F4543="causal"),"P4-CAUSAL",""))</f>
        <v/>
      </c>
    </row>
    <row r="4544" ht="15" customHeight="1" s="1">
      <c r="P4544">
        <f>IF(OR(F4544="",H4544="",J4544=""),"",J4544&amp;"|"&amp;F4544&amp;"|"&amp;IF(H4544="W3","W3_"&amp;IF(I4544="","unknown",I4544),H4544))</f>
        <v/>
      </c>
      <c r="Q4544">
        <f>IF(P4544="","",IFERROR(IF(AND(H4544="W7",OR(F4544="causal",F4544="predictive")),IF(AND(OR(K4544=1,K4544="1"),OR(L4544=1,L4544="1"),OR(M4544=1,M4544="1")),"adequate","partial"),IF(AND(H4544="W4",F4544="predictive",OR(J4544="P2",J4544="P3",J4544="P4")),IF(OR(U4544=1,U4544="1"),"adequate","partial"),INDEX(Fit_Matrix!$B:$B,MATCH(P4544,Fit_Matrix!$A:$A,0)))),"CHECK KEY"))</f>
        <v/>
      </c>
      <c r="U4544" s="10" t="n"/>
      <c r="V4544" s="10" t="n"/>
      <c r="W4544" s="10" t="n"/>
      <c r="X4544" s="10" t="n"/>
      <c r="Y4544" s="10" t="n"/>
      <c r="Z4544" s="10" t="n"/>
      <c r="AA4544" s="11">
        <f>IF(A4544="","",IF(AND(J4544="P4",F4544="causal"),"P4-CAUSAL",""))</f>
        <v/>
      </c>
    </row>
    <row r="4545" ht="15" customHeight="1" s="1">
      <c r="P4545">
        <f>IF(OR(F4545="",H4545="",J4545=""),"",J4545&amp;"|"&amp;F4545&amp;"|"&amp;IF(H4545="W3","W3_"&amp;IF(I4545="","unknown",I4545),H4545))</f>
        <v/>
      </c>
      <c r="Q4545">
        <f>IF(P4545="","",IFERROR(IF(AND(H4545="W7",OR(F4545="causal",F4545="predictive")),IF(AND(OR(K4545=1,K4545="1"),OR(L4545=1,L4545="1"),OR(M4545=1,M4545="1")),"adequate","partial"),IF(AND(H4545="W4",F4545="predictive",OR(J4545="P2",J4545="P3",J4545="P4")),IF(OR(U4545=1,U4545="1"),"adequate","partial"),INDEX(Fit_Matrix!$B:$B,MATCH(P4545,Fit_Matrix!$A:$A,0)))),"CHECK KEY"))</f>
        <v/>
      </c>
      <c r="U4545" s="10" t="n"/>
      <c r="V4545" s="10" t="n"/>
      <c r="W4545" s="10" t="n"/>
      <c r="X4545" s="10" t="n"/>
      <c r="Y4545" s="10" t="n"/>
      <c r="Z4545" s="10" t="n"/>
      <c r="AA4545" s="11">
        <f>IF(A4545="","",IF(AND(J4545="P4",F4545="causal"),"P4-CAUSAL",""))</f>
        <v/>
      </c>
    </row>
    <row r="4546" ht="15" customHeight="1" s="1">
      <c r="P4546">
        <f>IF(OR(F4546="",H4546="",J4546=""),"",J4546&amp;"|"&amp;F4546&amp;"|"&amp;IF(H4546="W3","W3_"&amp;IF(I4546="","unknown",I4546),H4546))</f>
        <v/>
      </c>
      <c r="Q4546">
        <f>IF(P4546="","",IFERROR(IF(AND(H4546="W7",OR(F4546="causal",F4546="predictive")),IF(AND(OR(K4546=1,K4546="1"),OR(L4546=1,L4546="1"),OR(M4546=1,M4546="1")),"adequate","partial"),IF(AND(H4546="W4",F4546="predictive",OR(J4546="P2",J4546="P3",J4546="P4")),IF(OR(U4546=1,U4546="1"),"adequate","partial"),INDEX(Fit_Matrix!$B:$B,MATCH(P4546,Fit_Matrix!$A:$A,0)))),"CHECK KEY"))</f>
        <v/>
      </c>
      <c r="U4546" s="10" t="n"/>
      <c r="V4546" s="10" t="n"/>
      <c r="W4546" s="10" t="n"/>
      <c r="X4546" s="10" t="n"/>
      <c r="Y4546" s="10" t="n"/>
      <c r="Z4546" s="10" t="n"/>
      <c r="AA4546" s="11">
        <f>IF(A4546="","",IF(AND(J4546="P4",F4546="causal"),"P4-CAUSAL",""))</f>
        <v/>
      </c>
    </row>
    <row r="4547" ht="15" customHeight="1" s="1">
      <c r="P4547">
        <f>IF(OR(F4547="",H4547="",J4547=""),"",J4547&amp;"|"&amp;F4547&amp;"|"&amp;IF(H4547="W3","W3_"&amp;IF(I4547="","unknown",I4547),H4547))</f>
        <v/>
      </c>
      <c r="Q4547">
        <f>IF(P4547="","",IFERROR(IF(AND(H4547="W7",OR(F4547="causal",F4547="predictive")),IF(AND(OR(K4547=1,K4547="1"),OR(L4547=1,L4547="1"),OR(M4547=1,M4547="1")),"adequate","partial"),IF(AND(H4547="W4",F4547="predictive",OR(J4547="P2",J4547="P3",J4547="P4")),IF(OR(U4547=1,U4547="1"),"adequate","partial"),INDEX(Fit_Matrix!$B:$B,MATCH(P4547,Fit_Matrix!$A:$A,0)))),"CHECK KEY"))</f>
        <v/>
      </c>
      <c r="U4547" s="10" t="n"/>
      <c r="V4547" s="10" t="n"/>
      <c r="W4547" s="10" t="n"/>
      <c r="X4547" s="10" t="n"/>
      <c r="Y4547" s="10" t="n"/>
      <c r="Z4547" s="10" t="n"/>
      <c r="AA4547" s="11">
        <f>IF(A4547="","",IF(AND(J4547="P4",F4547="causal"),"P4-CAUSAL",""))</f>
        <v/>
      </c>
    </row>
    <row r="4548" ht="15" customHeight="1" s="1">
      <c r="P4548">
        <f>IF(OR(F4548="",H4548="",J4548=""),"",J4548&amp;"|"&amp;F4548&amp;"|"&amp;IF(H4548="W3","W3_"&amp;IF(I4548="","unknown",I4548),H4548))</f>
        <v/>
      </c>
      <c r="Q4548">
        <f>IF(P4548="","",IFERROR(IF(AND(H4548="W7",OR(F4548="causal",F4548="predictive")),IF(AND(OR(K4548=1,K4548="1"),OR(L4548=1,L4548="1"),OR(M4548=1,M4548="1")),"adequate","partial"),IF(AND(H4548="W4",F4548="predictive",OR(J4548="P2",J4548="P3",J4548="P4")),IF(OR(U4548=1,U4548="1"),"adequate","partial"),INDEX(Fit_Matrix!$B:$B,MATCH(P4548,Fit_Matrix!$A:$A,0)))),"CHECK KEY"))</f>
        <v/>
      </c>
      <c r="U4548" s="10" t="n"/>
      <c r="V4548" s="10" t="n"/>
      <c r="W4548" s="10" t="n"/>
      <c r="X4548" s="10" t="n"/>
      <c r="Y4548" s="10" t="n"/>
      <c r="Z4548" s="10" t="n"/>
      <c r="AA4548" s="11">
        <f>IF(A4548="","",IF(AND(J4548="P4",F4548="causal"),"P4-CAUSAL",""))</f>
        <v/>
      </c>
    </row>
    <row r="4549" ht="15" customHeight="1" s="1">
      <c r="P4549">
        <f>IF(OR(F4549="",H4549="",J4549=""),"",J4549&amp;"|"&amp;F4549&amp;"|"&amp;IF(H4549="W3","W3_"&amp;IF(I4549="","unknown",I4549),H4549))</f>
        <v/>
      </c>
      <c r="Q4549">
        <f>IF(P4549="","",IFERROR(IF(AND(H4549="W7",OR(F4549="causal",F4549="predictive")),IF(AND(OR(K4549=1,K4549="1"),OR(L4549=1,L4549="1"),OR(M4549=1,M4549="1")),"adequate","partial"),IF(AND(H4549="W4",F4549="predictive",OR(J4549="P2",J4549="P3",J4549="P4")),IF(OR(U4549=1,U4549="1"),"adequate","partial"),INDEX(Fit_Matrix!$B:$B,MATCH(P4549,Fit_Matrix!$A:$A,0)))),"CHECK KEY"))</f>
        <v/>
      </c>
      <c r="U4549" s="10" t="n"/>
      <c r="V4549" s="10" t="n"/>
      <c r="W4549" s="10" t="n"/>
      <c r="X4549" s="10" t="n"/>
      <c r="Y4549" s="10" t="n"/>
      <c r="Z4549" s="10" t="n"/>
      <c r="AA4549" s="11">
        <f>IF(A4549="","",IF(AND(J4549="P4",F4549="causal"),"P4-CAUSAL",""))</f>
        <v/>
      </c>
    </row>
    <row r="4550" ht="15" customHeight="1" s="1">
      <c r="P4550">
        <f>IF(OR(F4550="",H4550="",J4550=""),"",J4550&amp;"|"&amp;F4550&amp;"|"&amp;IF(H4550="W3","W3_"&amp;IF(I4550="","unknown",I4550),H4550))</f>
        <v/>
      </c>
      <c r="Q4550">
        <f>IF(P4550="","",IFERROR(IF(AND(H4550="W7",OR(F4550="causal",F4550="predictive")),IF(AND(OR(K4550=1,K4550="1"),OR(L4550=1,L4550="1"),OR(M4550=1,M4550="1")),"adequate","partial"),IF(AND(H4550="W4",F4550="predictive",OR(J4550="P2",J4550="P3",J4550="P4")),IF(OR(U4550=1,U4550="1"),"adequate","partial"),INDEX(Fit_Matrix!$B:$B,MATCH(P4550,Fit_Matrix!$A:$A,0)))),"CHECK KEY"))</f>
        <v/>
      </c>
      <c r="U4550" s="10" t="n"/>
      <c r="V4550" s="10" t="n"/>
      <c r="W4550" s="10" t="n"/>
      <c r="X4550" s="10" t="n"/>
      <c r="Y4550" s="10" t="n"/>
      <c r="Z4550" s="10" t="n"/>
      <c r="AA4550" s="11">
        <f>IF(A4550="","",IF(AND(J4550="P4",F4550="causal"),"P4-CAUSAL",""))</f>
        <v/>
      </c>
    </row>
    <row r="4551" ht="15" customHeight="1" s="1">
      <c r="P4551">
        <f>IF(OR(F4551="",H4551="",J4551=""),"",J4551&amp;"|"&amp;F4551&amp;"|"&amp;IF(H4551="W3","W3_"&amp;IF(I4551="","unknown",I4551),H4551))</f>
        <v/>
      </c>
      <c r="Q4551">
        <f>IF(P4551="","",IFERROR(IF(AND(H4551="W7",OR(F4551="causal",F4551="predictive")),IF(AND(OR(K4551=1,K4551="1"),OR(L4551=1,L4551="1"),OR(M4551=1,M4551="1")),"adequate","partial"),IF(AND(H4551="W4",F4551="predictive",OR(J4551="P2",J4551="P3",J4551="P4")),IF(OR(U4551=1,U4551="1"),"adequate","partial"),INDEX(Fit_Matrix!$B:$B,MATCH(P4551,Fit_Matrix!$A:$A,0)))),"CHECK KEY"))</f>
        <v/>
      </c>
      <c r="U4551" s="10" t="n"/>
      <c r="V4551" s="10" t="n"/>
      <c r="W4551" s="10" t="n"/>
      <c r="X4551" s="10" t="n"/>
      <c r="Y4551" s="10" t="n"/>
      <c r="Z4551" s="10" t="n"/>
      <c r="AA4551" s="11">
        <f>IF(A4551="","",IF(AND(J4551="P4",F4551="causal"),"P4-CAUSAL",""))</f>
        <v/>
      </c>
    </row>
    <row r="4552" ht="15" customHeight="1" s="1">
      <c r="P4552">
        <f>IF(OR(F4552="",H4552="",J4552=""),"",J4552&amp;"|"&amp;F4552&amp;"|"&amp;IF(H4552="W3","W3_"&amp;IF(I4552="","unknown",I4552),H4552))</f>
        <v/>
      </c>
      <c r="Q4552">
        <f>IF(P4552="","",IFERROR(IF(AND(H4552="W7",OR(F4552="causal",F4552="predictive")),IF(AND(OR(K4552=1,K4552="1"),OR(L4552=1,L4552="1"),OR(M4552=1,M4552="1")),"adequate","partial"),IF(AND(H4552="W4",F4552="predictive",OR(J4552="P2",J4552="P3",J4552="P4")),IF(OR(U4552=1,U4552="1"),"adequate","partial"),INDEX(Fit_Matrix!$B:$B,MATCH(P4552,Fit_Matrix!$A:$A,0)))),"CHECK KEY"))</f>
        <v/>
      </c>
      <c r="U4552" s="10" t="n"/>
      <c r="V4552" s="10" t="n"/>
      <c r="W4552" s="10" t="n"/>
      <c r="X4552" s="10" t="n"/>
      <c r="Y4552" s="10" t="n"/>
      <c r="Z4552" s="10" t="n"/>
      <c r="AA4552" s="11">
        <f>IF(A4552="","",IF(AND(J4552="P4",F4552="causal"),"P4-CAUSAL",""))</f>
        <v/>
      </c>
    </row>
    <row r="4553" ht="15" customHeight="1" s="1">
      <c r="P4553">
        <f>IF(OR(F4553="",H4553="",J4553=""),"",J4553&amp;"|"&amp;F4553&amp;"|"&amp;IF(H4553="W3","W3_"&amp;IF(I4553="","unknown",I4553),H4553))</f>
        <v/>
      </c>
      <c r="Q4553">
        <f>IF(P4553="","",IFERROR(IF(AND(H4553="W7",OR(F4553="causal",F4553="predictive")),IF(AND(OR(K4553=1,K4553="1"),OR(L4553=1,L4553="1"),OR(M4553=1,M4553="1")),"adequate","partial"),IF(AND(H4553="W4",F4553="predictive",OR(J4553="P2",J4553="P3",J4553="P4")),IF(OR(U4553=1,U4553="1"),"adequate","partial"),INDEX(Fit_Matrix!$B:$B,MATCH(P4553,Fit_Matrix!$A:$A,0)))),"CHECK KEY"))</f>
        <v/>
      </c>
      <c r="U4553" s="10" t="n"/>
      <c r="V4553" s="10" t="n"/>
      <c r="W4553" s="10" t="n"/>
      <c r="X4553" s="10" t="n"/>
      <c r="Y4553" s="10" t="n"/>
      <c r="Z4553" s="10" t="n"/>
      <c r="AA4553" s="11">
        <f>IF(A4553="","",IF(AND(J4553="P4",F4553="causal"),"P4-CAUSAL",""))</f>
        <v/>
      </c>
    </row>
    <row r="4554" ht="15" customHeight="1" s="1">
      <c r="P4554">
        <f>IF(OR(F4554="",H4554="",J4554=""),"",J4554&amp;"|"&amp;F4554&amp;"|"&amp;IF(H4554="W3","W3_"&amp;IF(I4554="","unknown",I4554),H4554))</f>
        <v/>
      </c>
      <c r="Q4554">
        <f>IF(P4554="","",IFERROR(IF(AND(H4554="W7",OR(F4554="causal",F4554="predictive")),IF(AND(OR(K4554=1,K4554="1"),OR(L4554=1,L4554="1"),OR(M4554=1,M4554="1")),"adequate","partial"),IF(AND(H4554="W4",F4554="predictive",OR(J4554="P2",J4554="P3",J4554="P4")),IF(OR(U4554=1,U4554="1"),"adequate","partial"),INDEX(Fit_Matrix!$B:$B,MATCH(P4554,Fit_Matrix!$A:$A,0)))),"CHECK KEY"))</f>
        <v/>
      </c>
      <c r="U4554" s="10" t="n"/>
      <c r="V4554" s="10" t="n"/>
      <c r="W4554" s="10" t="n"/>
      <c r="X4554" s="10" t="n"/>
      <c r="Y4554" s="10" t="n"/>
      <c r="Z4554" s="10" t="n"/>
      <c r="AA4554" s="11">
        <f>IF(A4554="","",IF(AND(J4554="P4",F4554="causal"),"P4-CAUSAL",""))</f>
        <v/>
      </c>
    </row>
    <row r="4555" ht="15" customHeight="1" s="1">
      <c r="P4555">
        <f>IF(OR(F4555="",H4555="",J4555=""),"",J4555&amp;"|"&amp;F4555&amp;"|"&amp;IF(H4555="W3","W3_"&amp;IF(I4555="","unknown",I4555),H4555))</f>
        <v/>
      </c>
      <c r="Q4555">
        <f>IF(P4555="","",IFERROR(IF(AND(H4555="W7",OR(F4555="causal",F4555="predictive")),IF(AND(OR(K4555=1,K4555="1"),OR(L4555=1,L4555="1"),OR(M4555=1,M4555="1")),"adequate","partial"),IF(AND(H4555="W4",F4555="predictive",OR(J4555="P2",J4555="P3",J4555="P4")),IF(OR(U4555=1,U4555="1"),"adequate","partial"),INDEX(Fit_Matrix!$B:$B,MATCH(P4555,Fit_Matrix!$A:$A,0)))),"CHECK KEY"))</f>
        <v/>
      </c>
      <c r="U4555" s="10" t="n"/>
      <c r="V4555" s="10" t="n"/>
      <c r="W4555" s="10" t="n"/>
      <c r="X4555" s="10" t="n"/>
      <c r="Y4555" s="10" t="n"/>
      <c r="Z4555" s="10" t="n"/>
      <c r="AA4555" s="11">
        <f>IF(A4555="","",IF(AND(J4555="P4",F4555="causal"),"P4-CAUSAL",""))</f>
        <v/>
      </c>
    </row>
    <row r="4556" ht="15" customHeight="1" s="1">
      <c r="P4556">
        <f>IF(OR(F4556="",H4556="",J4556=""),"",J4556&amp;"|"&amp;F4556&amp;"|"&amp;IF(H4556="W3","W3_"&amp;IF(I4556="","unknown",I4556),H4556))</f>
        <v/>
      </c>
      <c r="Q4556">
        <f>IF(P4556="","",IFERROR(IF(AND(H4556="W7",OR(F4556="causal",F4556="predictive")),IF(AND(OR(K4556=1,K4556="1"),OR(L4556=1,L4556="1"),OR(M4556=1,M4556="1")),"adequate","partial"),IF(AND(H4556="W4",F4556="predictive",OR(J4556="P2",J4556="P3",J4556="P4")),IF(OR(U4556=1,U4556="1"),"adequate","partial"),INDEX(Fit_Matrix!$B:$B,MATCH(P4556,Fit_Matrix!$A:$A,0)))),"CHECK KEY"))</f>
        <v/>
      </c>
      <c r="U4556" s="10" t="n"/>
      <c r="V4556" s="10" t="n"/>
      <c r="W4556" s="10" t="n"/>
      <c r="X4556" s="10" t="n"/>
      <c r="Y4556" s="10" t="n"/>
      <c r="Z4556" s="10" t="n"/>
      <c r="AA4556" s="11">
        <f>IF(A4556="","",IF(AND(J4556="P4",F4556="causal"),"P4-CAUSAL",""))</f>
        <v/>
      </c>
    </row>
    <row r="4557" ht="15" customHeight="1" s="1">
      <c r="P4557">
        <f>IF(OR(F4557="",H4557="",J4557=""),"",J4557&amp;"|"&amp;F4557&amp;"|"&amp;IF(H4557="W3","W3_"&amp;IF(I4557="","unknown",I4557),H4557))</f>
        <v/>
      </c>
      <c r="Q4557">
        <f>IF(P4557="","",IFERROR(IF(AND(H4557="W7",OR(F4557="causal",F4557="predictive")),IF(AND(OR(K4557=1,K4557="1"),OR(L4557=1,L4557="1"),OR(M4557=1,M4557="1")),"adequate","partial"),IF(AND(H4557="W4",F4557="predictive",OR(J4557="P2",J4557="P3",J4557="P4")),IF(OR(U4557=1,U4557="1"),"adequate","partial"),INDEX(Fit_Matrix!$B:$B,MATCH(P4557,Fit_Matrix!$A:$A,0)))),"CHECK KEY"))</f>
        <v/>
      </c>
      <c r="U4557" s="10" t="n"/>
      <c r="V4557" s="10" t="n"/>
      <c r="W4557" s="10" t="n"/>
      <c r="X4557" s="10" t="n"/>
      <c r="Y4557" s="10" t="n"/>
      <c r="Z4557" s="10" t="n"/>
      <c r="AA4557" s="11">
        <f>IF(A4557="","",IF(AND(J4557="P4",F4557="causal"),"P4-CAUSAL",""))</f>
        <v/>
      </c>
    </row>
    <row r="4558" ht="15" customHeight="1" s="1">
      <c r="P4558">
        <f>IF(OR(F4558="",H4558="",J4558=""),"",J4558&amp;"|"&amp;F4558&amp;"|"&amp;IF(H4558="W3","W3_"&amp;IF(I4558="","unknown",I4558),H4558))</f>
        <v/>
      </c>
      <c r="Q4558">
        <f>IF(P4558="","",IFERROR(IF(AND(H4558="W7",OR(F4558="causal",F4558="predictive")),IF(AND(OR(K4558=1,K4558="1"),OR(L4558=1,L4558="1"),OR(M4558=1,M4558="1")),"adequate","partial"),IF(AND(H4558="W4",F4558="predictive",OR(J4558="P2",J4558="P3",J4558="P4")),IF(OR(U4558=1,U4558="1"),"adequate","partial"),INDEX(Fit_Matrix!$B:$B,MATCH(P4558,Fit_Matrix!$A:$A,0)))),"CHECK KEY"))</f>
        <v/>
      </c>
      <c r="U4558" s="10" t="n"/>
      <c r="V4558" s="10" t="n"/>
      <c r="W4558" s="10" t="n"/>
      <c r="X4558" s="10" t="n"/>
      <c r="Y4558" s="10" t="n"/>
      <c r="Z4558" s="10" t="n"/>
      <c r="AA4558" s="11">
        <f>IF(A4558="","",IF(AND(J4558="P4",F4558="causal"),"P4-CAUSAL",""))</f>
        <v/>
      </c>
    </row>
    <row r="4559" ht="15" customHeight="1" s="1">
      <c r="P4559">
        <f>IF(OR(F4559="",H4559="",J4559=""),"",J4559&amp;"|"&amp;F4559&amp;"|"&amp;IF(H4559="W3","W3_"&amp;IF(I4559="","unknown",I4559),H4559))</f>
        <v/>
      </c>
      <c r="Q4559">
        <f>IF(P4559="","",IFERROR(IF(AND(H4559="W7",OR(F4559="causal",F4559="predictive")),IF(AND(OR(K4559=1,K4559="1"),OR(L4559=1,L4559="1"),OR(M4559=1,M4559="1")),"adequate","partial"),IF(AND(H4559="W4",F4559="predictive",OR(J4559="P2",J4559="P3",J4559="P4")),IF(OR(U4559=1,U4559="1"),"adequate","partial"),INDEX(Fit_Matrix!$B:$B,MATCH(P4559,Fit_Matrix!$A:$A,0)))),"CHECK KEY"))</f>
        <v/>
      </c>
      <c r="U4559" s="10" t="n"/>
      <c r="V4559" s="10" t="n"/>
      <c r="W4559" s="10" t="n"/>
      <c r="X4559" s="10" t="n"/>
      <c r="Y4559" s="10" t="n"/>
      <c r="Z4559" s="10" t="n"/>
      <c r="AA4559" s="11">
        <f>IF(A4559="","",IF(AND(J4559="P4",F4559="causal"),"P4-CAUSAL",""))</f>
        <v/>
      </c>
    </row>
    <row r="4560" ht="15" customHeight="1" s="1">
      <c r="P4560">
        <f>IF(OR(F4560="",H4560="",J4560=""),"",J4560&amp;"|"&amp;F4560&amp;"|"&amp;IF(H4560="W3","W3_"&amp;IF(I4560="","unknown",I4560),H4560))</f>
        <v/>
      </c>
      <c r="Q4560">
        <f>IF(P4560="","",IFERROR(IF(AND(H4560="W7",OR(F4560="causal",F4560="predictive")),IF(AND(OR(K4560=1,K4560="1"),OR(L4560=1,L4560="1"),OR(M4560=1,M4560="1")),"adequate","partial"),IF(AND(H4560="W4",F4560="predictive",OR(J4560="P2",J4560="P3",J4560="P4")),IF(OR(U4560=1,U4560="1"),"adequate","partial"),INDEX(Fit_Matrix!$B:$B,MATCH(P4560,Fit_Matrix!$A:$A,0)))),"CHECK KEY"))</f>
        <v/>
      </c>
      <c r="U4560" s="10" t="n"/>
      <c r="V4560" s="10" t="n"/>
      <c r="W4560" s="10" t="n"/>
      <c r="X4560" s="10" t="n"/>
      <c r="Y4560" s="10" t="n"/>
      <c r="Z4560" s="10" t="n"/>
      <c r="AA4560" s="11">
        <f>IF(A4560="","",IF(AND(J4560="P4",F4560="causal"),"P4-CAUSAL",""))</f>
        <v/>
      </c>
    </row>
    <row r="4561" ht="15" customHeight="1" s="1">
      <c r="P4561">
        <f>IF(OR(F4561="",H4561="",J4561=""),"",J4561&amp;"|"&amp;F4561&amp;"|"&amp;IF(H4561="W3","W3_"&amp;IF(I4561="","unknown",I4561),H4561))</f>
        <v/>
      </c>
      <c r="Q4561">
        <f>IF(P4561="","",IFERROR(IF(AND(H4561="W7",OR(F4561="causal",F4561="predictive")),IF(AND(OR(K4561=1,K4561="1"),OR(L4561=1,L4561="1"),OR(M4561=1,M4561="1")),"adequate","partial"),IF(AND(H4561="W4",F4561="predictive",OR(J4561="P2",J4561="P3",J4561="P4")),IF(OR(U4561=1,U4561="1"),"adequate","partial"),INDEX(Fit_Matrix!$B:$B,MATCH(P4561,Fit_Matrix!$A:$A,0)))),"CHECK KEY"))</f>
        <v/>
      </c>
      <c r="U4561" s="10" t="n"/>
      <c r="V4561" s="10" t="n"/>
      <c r="W4561" s="10" t="n"/>
      <c r="X4561" s="10" t="n"/>
      <c r="Y4561" s="10" t="n"/>
      <c r="Z4561" s="10" t="n"/>
      <c r="AA4561" s="11">
        <f>IF(A4561="","",IF(AND(J4561="P4",F4561="causal"),"P4-CAUSAL",""))</f>
        <v/>
      </c>
    </row>
    <row r="4562" ht="15" customHeight="1" s="1">
      <c r="P4562">
        <f>IF(OR(F4562="",H4562="",J4562=""),"",J4562&amp;"|"&amp;F4562&amp;"|"&amp;IF(H4562="W3","W3_"&amp;IF(I4562="","unknown",I4562),H4562))</f>
        <v/>
      </c>
      <c r="Q4562">
        <f>IF(P4562="","",IFERROR(IF(AND(H4562="W7",OR(F4562="causal",F4562="predictive")),IF(AND(OR(K4562=1,K4562="1"),OR(L4562=1,L4562="1"),OR(M4562=1,M4562="1")),"adequate","partial"),IF(AND(H4562="W4",F4562="predictive",OR(J4562="P2",J4562="P3",J4562="P4")),IF(OR(U4562=1,U4562="1"),"adequate","partial"),INDEX(Fit_Matrix!$B:$B,MATCH(P4562,Fit_Matrix!$A:$A,0)))),"CHECK KEY"))</f>
        <v/>
      </c>
      <c r="U4562" s="10" t="n"/>
      <c r="V4562" s="10" t="n"/>
      <c r="W4562" s="10" t="n"/>
      <c r="X4562" s="10" t="n"/>
      <c r="Y4562" s="10" t="n"/>
      <c r="Z4562" s="10" t="n"/>
      <c r="AA4562" s="11">
        <f>IF(A4562="","",IF(AND(J4562="P4",F4562="causal"),"P4-CAUSAL",""))</f>
        <v/>
      </c>
    </row>
    <row r="4563" ht="15" customHeight="1" s="1">
      <c r="P4563">
        <f>IF(OR(F4563="",H4563="",J4563=""),"",J4563&amp;"|"&amp;F4563&amp;"|"&amp;IF(H4563="W3","W3_"&amp;IF(I4563="","unknown",I4563),H4563))</f>
        <v/>
      </c>
      <c r="Q4563">
        <f>IF(P4563="","",IFERROR(IF(AND(H4563="W7",OR(F4563="causal",F4563="predictive")),IF(AND(OR(K4563=1,K4563="1"),OR(L4563=1,L4563="1"),OR(M4563=1,M4563="1")),"adequate","partial"),IF(AND(H4563="W4",F4563="predictive",OR(J4563="P2",J4563="P3",J4563="P4")),IF(OR(U4563=1,U4563="1"),"adequate","partial"),INDEX(Fit_Matrix!$B:$B,MATCH(P4563,Fit_Matrix!$A:$A,0)))),"CHECK KEY"))</f>
        <v/>
      </c>
      <c r="U4563" s="10" t="n"/>
      <c r="V4563" s="10" t="n"/>
      <c r="W4563" s="10" t="n"/>
      <c r="X4563" s="10" t="n"/>
      <c r="Y4563" s="10" t="n"/>
      <c r="Z4563" s="10" t="n"/>
      <c r="AA4563" s="11">
        <f>IF(A4563="","",IF(AND(J4563="P4",F4563="causal"),"P4-CAUSAL",""))</f>
        <v/>
      </c>
    </row>
    <row r="4564" ht="15" customHeight="1" s="1">
      <c r="P4564">
        <f>IF(OR(F4564="",H4564="",J4564=""),"",J4564&amp;"|"&amp;F4564&amp;"|"&amp;IF(H4564="W3","W3_"&amp;IF(I4564="","unknown",I4564),H4564))</f>
        <v/>
      </c>
      <c r="Q4564">
        <f>IF(P4564="","",IFERROR(IF(AND(H4564="W7",OR(F4564="causal",F4564="predictive")),IF(AND(OR(K4564=1,K4564="1"),OR(L4564=1,L4564="1"),OR(M4564=1,M4564="1")),"adequate","partial"),IF(AND(H4564="W4",F4564="predictive",OR(J4564="P2",J4564="P3",J4564="P4")),IF(OR(U4564=1,U4564="1"),"adequate","partial"),INDEX(Fit_Matrix!$B:$B,MATCH(P4564,Fit_Matrix!$A:$A,0)))),"CHECK KEY"))</f>
        <v/>
      </c>
      <c r="U4564" s="10" t="n"/>
      <c r="V4564" s="10" t="n"/>
      <c r="W4564" s="10" t="n"/>
      <c r="X4564" s="10" t="n"/>
      <c r="Y4564" s="10" t="n"/>
      <c r="Z4564" s="10" t="n"/>
      <c r="AA4564" s="11">
        <f>IF(A4564="","",IF(AND(J4564="P4",F4564="causal"),"P4-CAUSAL",""))</f>
        <v/>
      </c>
    </row>
    <row r="4565" ht="15" customHeight="1" s="1">
      <c r="P4565">
        <f>IF(OR(F4565="",H4565="",J4565=""),"",J4565&amp;"|"&amp;F4565&amp;"|"&amp;IF(H4565="W3","W3_"&amp;IF(I4565="","unknown",I4565),H4565))</f>
        <v/>
      </c>
      <c r="Q4565">
        <f>IF(P4565="","",IFERROR(IF(AND(H4565="W7",OR(F4565="causal",F4565="predictive")),IF(AND(OR(K4565=1,K4565="1"),OR(L4565=1,L4565="1"),OR(M4565=1,M4565="1")),"adequate","partial"),IF(AND(H4565="W4",F4565="predictive",OR(J4565="P2",J4565="P3",J4565="P4")),IF(OR(U4565=1,U4565="1"),"adequate","partial"),INDEX(Fit_Matrix!$B:$B,MATCH(P4565,Fit_Matrix!$A:$A,0)))),"CHECK KEY"))</f>
        <v/>
      </c>
      <c r="U4565" s="10" t="n"/>
      <c r="V4565" s="10" t="n"/>
      <c r="W4565" s="10" t="n"/>
      <c r="X4565" s="10" t="n"/>
      <c r="Y4565" s="10" t="n"/>
      <c r="Z4565" s="10" t="n"/>
      <c r="AA4565" s="11">
        <f>IF(A4565="","",IF(AND(J4565="P4",F4565="causal"),"P4-CAUSAL",""))</f>
        <v/>
      </c>
    </row>
    <row r="4566" ht="15" customHeight="1" s="1">
      <c r="P4566">
        <f>IF(OR(F4566="",H4566="",J4566=""),"",J4566&amp;"|"&amp;F4566&amp;"|"&amp;IF(H4566="W3","W3_"&amp;IF(I4566="","unknown",I4566),H4566))</f>
        <v/>
      </c>
      <c r="Q4566">
        <f>IF(P4566="","",IFERROR(IF(AND(H4566="W7",OR(F4566="causal",F4566="predictive")),IF(AND(OR(K4566=1,K4566="1"),OR(L4566=1,L4566="1"),OR(M4566=1,M4566="1")),"adequate","partial"),IF(AND(H4566="W4",F4566="predictive",OR(J4566="P2",J4566="P3",J4566="P4")),IF(OR(U4566=1,U4566="1"),"adequate","partial"),INDEX(Fit_Matrix!$B:$B,MATCH(P4566,Fit_Matrix!$A:$A,0)))),"CHECK KEY"))</f>
        <v/>
      </c>
      <c r="U4566" s="10" t="n"/>
      <c r="V4566" s="10" t="n"/>
      <c r="W4566" s="10" t="n"/>
      <c r="X4566" s="10" t="n"/>
      <c r="Y4566" s="10" t="n"/>
      <c r="Z4566" s="10" t="n"/>
      <c r="AA4566" s="11">
        <f>IF(A4566="","",IF(AND(J4566="P4",F4566="causal"),"P4-CAUSAL",""))</f>
        <v/>
      </c>
    </row>
    <row r="4567" ht="15" customHeight="1" s="1">
      <c r="P4567">
        <f>IF(OR(F4567="",H4567="",J4567=""),"",J4567&amp;"|"&amp;F4567&amp;"|"&amp;IF(H4567="W3","W3_"&amp;IF(I4567="","unknown",I4567),H4567))</f>
        <v/>
      </c>
      <c r="Q4567">
        <f>IF(P4567="","",IFERROR(IF(AND(H4567="W7",OR(F4567="causal",F4567="predictive")),IF(AND(OR(K4567=1,K4567="1"),OR(L4567=1,L4567="1"),OR(M4567=1,M4567="1")),"adequate","partial"),IF(AND(H4567="W4",F4567="predictive",OR(J4567="P2",J4567="P3",J4567="P4")),IF(OR(U4567=1,U4567="1"),"adequate","partial"),INDEX(Fit_Matrix!$B:$B,MATCH(P4567,Fit_Matrix!$A:$A,0)))),"CHECK KEY"))</f>
        <v/>
      </c>
      <c r="U4567" s="10" t="n"/>
      <c r="V4567" s="10" t="n"/>
      <c r="W4567" s="10" t="n"/>
      <c r="X4567" s="10" t="n"/>
      <c r="Y4567" s="10" t="n"/>
      <c r="Z4567" s="10" t="n"/>
      <c r="AA4567" s="11">
        <f>IF(A4567="","",IF(AND(J4567="P4",F4567="causal"),"P4-CAUSAL",""))</f>
        <v/>
      </c>
    </row>
    <row r="4568" ht="15" customHeight="1" s="1">
      <c r="P4568">
        <f>IF(OR(F4568="",H4568="",J4568=""),"",J4568&amp;"|"&amp;F4568&amp;"|"&amp;IF(H4568="W3","W3_"&amp;IF(I4568="","unknown",I4568),H4568))</f>
        <v/>
      </c>
      <c r="Q4568">
        <f>IF(P4568="","",IFERROR(IF(AND(H4568="W7",OR(F4568="causal",F4568="predictive")),IF(AND(OR(K4568=1,K4568="1"),OR(L4568=1,L4568="1"),OR(M4568=1,M4568="1")),"adequate","partial"),IF(AND(H4568="W4",F4568="predictive",OR(J4568="P2",J4568="P3",J4568="P4")),IF(OR(U4568=1,U4568="1"),"adequate","partial"),INDEX(Fit_Matrix!$B:$B,MATCH(P4568,Fit_Matrix!$A:$A,0)))),"CHECK KEY"))</f>
        <v/>
      </c>
      <c r="U4568" s="10" t="n"/>
      <c r="V4568" s="10" t="n"/>
      <c r="W4568" s="10" t="n"/>
      <c r="X4568" s="10" t="n"/>
      <c r="Y4568" s="10" t="n"/>
      <c r="Z4568" s="10" t="n"/>
      <c r="AA4568" s="11">
        <f>IF(A4568="","",IF(AND(J4568="P4",F4568="causal"),"P4-CAUSAL",""))</f>
        <v/>
      </c>
    </row>
    <row r="4569" ht="15" customHeight="1" s="1">
      <c r="P4569">
        <f>IF(OR(F4569="",H4569="",J4569=""),"",J4569&amp;"|"&amp;F4569&amp;"|"&amp;IF(H4569="W3","W3_"&amp;IF(I4569="","unknown",I4569),H4569))</f>
        <v/>
      </c>
      <c r="Q4569">
        <f>IF(P4569="","",IFERROR(IF(AND(H4569="W7",OR(F4569="causal",F4569="predictive")),IF(AND(OR(K4569=1,K4569="1"),OR(L4569=1,L4569="1"),OR(M4569=1,M4569="1")),"adequate","partial"),IF(AND(H4569="W4",F4569="predictive",OR(J4569="P2",J4569="P3",J4569="P4")),IF(OR(U4569=1,U4569="1"),"adequate","partial"),INDEX(Fit_Matrix!$B:$B,MATCH(P4569,Fit_Matrix!$A:$A,0)))),"CHECK KEY"))</f>
        <v/>
      </c>
      <c r="U4569" s="10" t="n"/>
      <c r="V4569" s="10" t="n"/>
      <c r="W4569" s="10" t="n"/>
      <c r="X4569" s="10" t="n"/>
      <c r="Y4569" s="10" t="n"/>
      <c r="Z4569" s="10" t="n"/>
      <c r="AA4569" s="11">
        <f>IF(A4569="","",IF(AND(J4569="P4",F4569="causal"),"P4-CAUSAL",""))</f>
        <v/>
      </c>
    </row>
    <row r="4570" ht="15" customHeight="1" s="1">
      <c r="P4570">
        <f>IF(OR(F4570="",H4570="",J4570=""),"",J4570&amp;"|"&amp;F4570&amp;"|"&amp;IF(H4570="W3","W3_"&amp;IF(I4570="","unknown",I4570),H4570))</f>
        <v/>
      </c>
      <c r="Q4570">
        <f>IF(P4570="","",IFERROR(IF(AND(H4570="W7",OR(F4570="causal",F4570="predictive")),IF(AND(OR(K4570=1,K4570="1"),OR(L4570=1,L4570="1"),OR(M4570=1,M4570="1")),"adequate","partial"),IF(AND(H4570="W4",F4570="predictive",OR(J4570="P2",J4570="P3",J4570="P4")),IF(OR(U4570=1,U4570="1"),"adequate","partial"),INDEX(Fit_Matrix!$B:$B,MATCH(P4570,Fit_Matrix!$A:$A,0)))),"CHECK KEY"))</f>
        <v/>
      </c>
      <c r="U4570" s="10" t="n"/>
      <c r="V4570" s="10" t="n"/>
      <c r="W4570" s="10" t="n"/>
      <c r="X4570" s="10" t="n"/>
      <c r="Y4570" s="10" t="n"/>
      <c r="Z4570" s="10" t="n"/>
      <c r="AA4570" s="11">
        <f>IF(A4570="","",IF(AND(J4570="P4",F4570="causal"),"P4-CAUSAL",""))</f>
        <v/>
      </c>
    </row>
    <row r="4571" ht="15" customHeight="1" s="1">
      <c r="P4571">
        <f>IF(OR(F4571="",H4571="",J4571=""),"",J4571&amp;"|"&amp;F4571&amp;"|"&amp;IF(H4571="W3","W3_"&amp;IF(I4571="","unknown",I4571),H4571))</f>
        <v/>
      </c>
      <c r="Q4571">
        <f>IF(P4571="","",IFERROR(IF(AND(H4571="W7",OR(F4571="causal",F4571="predictive")),IF(AND(OR(K4571=1,K4571="1"),OR(L4571=1,L4571="1"),OR(M4571=1,M4571="1")),"adequate","partial"),IF(AND(H4571="W4",F4571="predictive",OR(J4571="P2",J4571="P3",J4571="P4")),IF(OR(U4571=1,U4571="1"),"adequate","partial"),INDEX(Fit_Matrix!$B:$B,MATCH(P4571,Fit_Matrix!$A:$A,0)))),"CHECK KEY"))</f>
        <v/>
      </c>
      <c r="U4571" s="10" t="n"/>
      <c r="V4571" s="10" t="n"/>
      <c r="W4571" s="10" t="n"/>
      <c r="X4571" s="10" t="n"/>
      <c r="Y4571" s="10" t="n"/>
      <c r="Z4571" s="10" t="n"/>
      <c r="AA4571" s="11">
        <f>IF(A4571="","",IF(AND(J4571="P4",F4571="causal"),"P4-CAUSAL",""))</f>
        <v/>
      </c>
    </row>
    <row r="4572" ht="15" customHeight="1" s="1">
      <c r="P4572">
        <f>IF(OR(F4572="",H4572="",J4572=""),"",J4572&amp;"|"&amp;F4572&amp;"|"&amp;IF(H4572="W3","W3_"&amp;IF(I4572="","unknown",I4572),H4572))</f>
        <v/>
      </c>
      <c r="Q4572">
        <f>IF(P4572="","",IFERROR(IF(AND(H4572="W7",OR(F4572="causal",F4572="predictive")),IF(AND(OR(K4572=1,K4572="1"),OR(L4572=1,L4572="1"),OR(M4572=1,M4572="1")),"adequate","partial"),IF(AND(H4572="W4",F4572="predictive",OR(J4572="P2",J4572="P3",J4572="P4")),IF(OR(U4572=1,U4572="1"),"adequate","partial"),INDEX(Fit_Matrix!$B:$B,MATCH(P4572,Fit_Matrix!$A:$A,0)))),"CHECK KEY"))</f>
        <v/>
      </c>
      <c r="U4572" s="10" t="n"/>
      <c r="V4572" s="10" t="n"/>
      <c r="W4572" s="10" t="n"/>
      <c r="X4572" s="10" t="n"/>
      <c r="Y4572" s="10" t="n"/>
      <c r="Z4572" s="10" t="n"/>
      <c r="AA4572" s="11">
        <f>IF(A4572="","",IF(AND(J4572="P4",F4572="causal"),"P4-CAUSAL",""))</f>
        <v/>
      </c>
    </row>
    <row r="4573" ht="15" customHeight="1" s="1">
      <c r="P4573">
        <f>IF(OR(F4573="",H4573="",J4573=""),"",J4573&amp;"|"&amp;F4573&amp;"|"&amp;IF(H4573="W3","W3_"&amp;IF(I4573="","unknown",I4573),H4573))</f>
        <v/>
      </c>
      <c r="Q4573">
        <f>IF(P4573="","",IFERROR(IF(AND(H4573="W7",OR(F4573="causal",F4573="predictive")),IF(AND(OR(K4573=1,K4573="1"),OR(L4573=1,L4573="1"),OR(M4573=1,M4573="1")),"adequate","partial"),IF(AND(H4573="W4",F4573="predictive",OR(J4573="P2",J4573="P3",J4573="P4")),IF(OR(U4573=1,U4573="1"),"adequate","partial"),INDEX(Fit_Matrix!$B:$B,MATCH(P4573,Fit_Matrix!$A:$A,0)))),"CHECK KEY"))</f>
        <v/>
      </c>
      <c r="U4573" s="10" t="n"/>
      <c r="V4573" s="10" t="n"/>
      <c r="W4573" s="10" t="n"/>
      <c r="X4573" s="10" t="n"/>
      <c r="Y4573" s="10" t="n"/>
      <c r="Z4573" s="10" t="n"/>
      <c r="AA4573" s="11">
        <f>IF(A4573="","",IF(AND(J4573="P4",F4573="causal"),"P4-CAUSAL",""))</f>
        <v/>
      </c>
    </row>
    <row r="4574" ht="15" customHeight="1" s="1">
      <c r="P4574">
        <f>IF(OR(F4574="",H4574="",J4574=""),"",J4574&amp;"|"&amp;F4574&amp;"|"&amp;IF(H4574="W3","W3_"&amp;IF(I4574="","unknown",I4574),H4574))</f>
        <v/>
      </c>
      <c r="Q4574">
        <f>IF(P4574="","",IFERROR(IF(AND(H4574="W7",OR(F4574="causal",F4574="predictive")),IF(AND(OR(K4574=1,K4574="1"),OR(L4574=1,L4574="1"),OR(M4574=1,M4574="1")),"adequate","partial"),IF(AND(H4574="W4",F4574="predictive",OR(J4574="P2",J4574="P3",J4574="P4")),IF(OR(U4574=1,U4574="1"),"adequate","partial"),INDEX(Fit_Matrix!$B:$B,MATCH(P4574,Fit_Matrix!$A:$A,0)))),"CHECK KEY"))</f>
        <v/>
      </c>
      <c r="U4574" s="10" t="n"/>
      <c r="V4574" s="10" t="n"/>
      <c r="W4574" s="10" t="n"/>
      <c r="X4574" s="10" t="n"/>
      <c r="Y4574" s="10" t="n"/>
      <c r="Z4574" s="10" t="n"/>
      <c r="AA4574" s="11">
        <f>IF(A4574="","",IF(AND(J4574="P4",F4574="causal"),"P4-CAUSAL",""))</f>
        <v/>
      </c>
    </row>
    <row r="4575" ht="15" customHeight="1" s="1">
      <c r="P4575">
        <f>IF(OR(F4575="",H4575="",J4575=""),"",J4575&amp;"|"&amp;F4575&amp;"|"&amp;IF(H4575="W3","W3_"&amp;IF(I4575="","unknown",I4575),H4575))</f>
        <v/>
      </c>
      <c r="Q4575">
        <f>IF(P4575="","",IFERROR(IF(AND(H4575="W7",OR(F4575="causal",F4575="predictive")),IF(AND(OR(K4575=1,K4575="1"),OR(L4575=1,L4575="1"),OR(M4575=1,M4575="1")),"adequate","partial"),IF(AND(H4575="W4",F4575="predictive",OR(J4575="P2",J4575="P3",J4575="P4")),IF(OR(U4575=1,U4575="1"),"adequate","partial"),INDEX(Fit_Matrix!$B:$B,MATCH(P4575,Fit_Matrix!$A:$A,0)))),"CHECK KEY"))</f>
        <v/>
      </c>
      <c r="U4575" s="10" t="n"/>
      <c r="V4575" s="10" t="n"/>
      <c r="W4575" s="10" t="n"/>
      <c r="X4575" s="10" t="n"/>
      <c r="Y4575" s="10" t="n"/>
      <c r="Z4575" s="10" t="n"/>
      <c r="AA4575" s="11">
        <f>IF(A4575="","",IF(AND(J4575="P4",F4575="causal"),"P4-CAUSAL",""))</f>
        <v/>
      </c>
    </row>
    <row r="4576" ht="15" customHeight="1" s="1">
      <c r="P4576">
        <f>IF(OR(F4576="",H4576="",J4576=""),"",J4576&amp;"|"&amp;F4576&amp;"|"&amp;IF(H4576="W3","W3_"&amp;IF(I4576="","unknown",I4576),H4576))</f>
        <v/>
      </c>
      <c r="Q4576">
        <f>IF(P4576="","",IFERROR(IF(AND(H4576="W7",OR(F4576="causal",F4576="predictive")),IF(AND(OR(K4576=1,K4576="1"),OR(L4576=1,L4576="1"),OR(M4576=1,M4576="1")),"adequate","partial"),IF(AND(H4576="W4",F4576="predictive",OR(J4576="P2",J4576="P3",J4576="P4")),IF(OR(U4576=1,U4576="1"),"adequate","partial"),INDEX(Fit_Matrix!$B:$B,MATCH(P4576,Fit_Matrix!$A:$A,0)))),"CHECK KEY"))</f>
        <v/>
      </c>
      <c r="U4576" s="10" t="n"/>
      <c r="V4576" s="10" t="n"/>
      <c r="W4576" s="10" t="n"/>
      <c r="X4576" s="10" t="n"/>
      <c r="Y4576" s="10" t="n"/>
      <c r="Z4576" s="10" t="n"/>
      <c r="AA4576" s="11">
        <f>IF(A4576="","",IF(AND(J4576="P4",F4576="causal"),"P4-CAUSAL",""))</f>
        <v/>
      </c>
    </row>
    <row r="4577" ht="15" customHeight="1" s="1">
      <c r="P4577">
        <f>IF(OR(F4577="",H4577="",J4577=""),"",J4577&amp;"|"&amp;F4577&amp;"|"&amp;IF(H4577="W3","W3_"&amp;IF(I4577="","unknown",I4577),H4577))</f>
        <v/>
      </c>
      <c r="Q4577">
        <f>IF(P4577="","",IFERROR(IF(AND(H4577="W7",OR(F4577="causal",F4577="predictive")),IF(AND(OR(K4577=1,K4577="1"),OR(L4577=1,L4577="1"),OR(M4577=1,M4577="1")),"adequate","partial"),IF(AND(H4577="W4",F4577="predictive",OR(J4577="P2",J4577="P3",J4577="P4")),IF(OR(U4577=1,U4577="1"),"adequate","partial"),INDEX(Fit_Matrix!$B:$B,MATCH(P4577,Fit_Matrix!$A:$A,0)))),"CHECK KEY"))</f>
        <v/>
      </c>
      <c r="U4577" s="10" t="n"/>
      <c r="V4577" s="10" t="n"/>
      <c r="W4577" s="10" t="n"/>
      <c r="X4577" s="10" t="n"/>
      <c r="Y4577" s="10" t="n"/>
      <c r="Z4577" s="10" t="n"/>
      <c r="AA4577" s="11">
        <f>IF(A4577="","",IF(AND(J4577="P4",F4577="causal"),"P4-CAUSAL",""))</f>
        <v/>
      </c>
    </row>
    <row r="4578" ht="15" customHeight="1" s="1">
      <c r="P4578">
        <f>IF(OR(F4578="",H4578="",J4578=""),"",J4578&amp;"|"&amp;F4578&amp;"|"&amp;IF(H4578="W3","W3_"&amp;IF(I4578="","unknown",I4578),H4578))</f>
        <v/>
      </c>
      <c r="Q4578">
        <f>IF(P4578="","",IFERROR(IF(AND(H4578="W7",OR(F4578="causal",F4578="predictive")),IF(AND(OR(K4578=1,K4578="1"),OR(L4578=1,L4578="1"),OR(M4578=1,M4578="1")),"adequate","partial"),IF(AND(H4578="W4",F4578="predictive",OR(J4578="P2",J4578="P3",J4578="P4")),IF(OR(U4578=1,U4578="1"),"adequate","partial"),INDEX(Fit_Matrix!$B:$B,MATCH(P4578,Fit_Matrix!$A:$A,0)))),"CHECK KEY"))</f>
        <v/>
      </c>
      <c r="U4578" s="10" t="n"/>
      <c r="V4578" s="10" t="n"/>
      <c r="W4578" s="10" t="n"/>
      <c r="X4578" s="10" t="n"/>
      <c r="Y4578" s="10" t="n"/>
      <c r="Z4578" s="10" t="n"/>
      <c r="AA4578" s="11">
        <f>IF(A4578="","",IF(AND(J4578="P4",F4578="causal"),"P4-CAUSAL",""))</f>
        <v/>
      </c>
    </row>
    <row r="4579" ht="15" customHeight="1" s="1">
      <c r="P4579">
        <f>IF(OR(F4579="",H4579="",J4579=""),"",J4579&amp;"|"&amp;F4579&amp;"|"&amp;IF(H4579="W3","W3_"&amp;IF(I4579="","unknown",I4579),H4579))</f>
        <v/>
      </c>
      <c r="Q4579">
        <f>IF(P4579="","",IFERROR(IF(AND(H4579="W7",OR(F4579="causal",F4579="predictive")),IF(AND(OR(K4579=1,K4579="1"),OR(L4579=1,L4579="1"),OR(M4579=1,M4579="1")),"adequate","partial"),IF(AND(H4579="W4",F4579="predictive",OR(J4579="P2",J4579="P3",J4579="P4")),IF(OR(U4579=1,U4579="1"),"adequate","partial"),INDEX(Fit_Matrix!$B:$B,MATCH(P4579,Fit_Matrix!$A:$A,0)))),"CHECK KEY"))</f>
        <v/>
      </c>
      <c r="U4579" s="10" t="n"/>
      <c r="V4579" s="10" t="n"/>
      <c r="W4579" s="10" t="n"/>
      <c r="X4579" s="10" t="n"/>
      <c r="Y4579" s="10" t="n"/>
      <c r="Z4579" s="10" t="n"/>
      <c r="AA4579" s="11">
        <f>IF(A4579="","",IF(AND(J4579="P4",F4579="causal"),"P4-CAUSAL",""))</f>
        <v/>
      </c>
    </row>
    <row r="4580" ht="15" customHeight="1" s="1">
      <c r="P4580">
        <f>IF(OR(F4580="",H4580="",J4580=""),"",J4580&amp;"|"&amp;F4580&amp;"|"&amp;IF(H4580="W3","W3_"&amp;IF(I4580="","unknown",I4580),H4580))</f>
        <v/>
      </c>
      <c r="Q4580">
        <f>IF(P4580="","",IFERROR(IF(AND(H4580="W7",OR(F4580="causal",F4580="predictive")),IF(AND(OR(K4580=1,K4580="1"),OR(L4580=1,L4580="1"),OR(M4580=1,M4580="1")),"adequate","partial"),IF(AND(H4580="W4",F4580="predictive",OR(J4580="P2",J4580="P3",J4580="P4")),IF(OR(U4580=1,U4580="1"),"adequate","partial"),INDEX(Fit_Matrix!$B:$B,MATCH(P4580,Fit_Matrix!$A:$A,0)))),"CHECK KEY"))</f>
        <v/>
      </c>
      <c r="U4580" s="10" t="n"/>
      <c r="V4580" s="10" t="n"/>
      <c r="W4580" s="10" t="n"/>
      <c r="X4580" s="10" t="n"/>
      <c r="Y4580" s="10" t="n"/>
      <c r="Z4580" s="10" t="n"/>
      <c r="AA4580" s="11">
        <f>IF(A4580="","",IF(AND(J4580="P4",F4580="causal"),"P4-CAUSAL",""))</f>
        <v/>
      </c>
    </row>
    <row r="4581" ht="15" customHeight="1" s="1">
      <c r="P4581">
        <f>IF(OR(F4581="",H4581="",J4581=""),"",J4581&amp;"|"&amp;F4581&amp;"|"&amp;IF(H4581="W3","W3_"&amp;IF(I4581="","unknown",I4581),H4581))</f>
        <v/>
      </c>
      <c r="Q4581">
        <f>IF(P4581="","",IFERROR(IF(AND(H4581="W7",OR(F4581="causal",F4581="predictive")),IF(AND(OR(K4581=1,K4581="1"),OR(L4581=1,L4581="1"),OR(M4581=1,M4581="1")),"adequate","partial"),IF(AND(H4581="W4",F4581="predictive",OR(J4581="P2",J4581="P3",J4581="P4")),IF(OR(U4581=1,U4581="1"),"adequate","partial"),INDEX(Fit_Matrix!$B:$B,MATCH(P4581,Fit_Matrix!$A:$A,0)))),"CHECK KEY"))</f>
        <v/>
      </c>
      <c r="U4581" s="10" t="n"/>
      <c r="V4581" s="10" t="n"/>
      <c r="W4581" s="10" t="n"/>
      <c r="X4581" s="10" t="n"/>
      <c r="Y4581" s="10" t="n"/>
      <c r="Z4581" s="10" t="n"/>
      <c r="AA4581" s="11">
        <f>IF(A4581="","",IF(AND(J4581="P4",F4581="causal"),"P4-CAUSAL",""))</f>
        <v/>
      </c>
    </row>
    <row r="4582" ht="15" customHeight="1" s="1">
      <c r="P4582">
        <f>IF(OR(F4582="",H4582="",J4582=""),"",J4582&amp;"|"&amp;F4582&amp;"|"&amp;IF(H4582="W3","W3_"&amp;IF(I4582="","unknown",I4582),H4582))</f>
        <v/>
      </c>
      <c r="Q4582">
        <f>IF(P4582="","",IFERROR(IF(AND(H4582="W7",OR(F4582="causal",F4582="predictive")),IF(AND(OR(K4582=1,K4582="1"),OR(L4582=1,L4582="1"),OR(M4582=1,M4582="1")),"adequate","partial"),IF(AND(H4582="W4",F4582="predictive",OR(J4582="P2",J4582="P3",J4582="P4")),IF(OR(U4582=1,U4582="1"),"adequate","partial"),INDEX(Fit_Matrix!$B:$B,MATCH(P4582,Fit_Matrix!$A:$A,0)))),"CHECK KEY"))</f>
        <v/>
      </c>
      <c r="U4582" s="10" t="n"/>
      <c r="V4582" s="10" t="n"/>
      <c r="W4582" s="10" t="n"/>
      <c r="X4582" s="10" t="n"/>
      <c r="Y4582" s="10" t="n"/>
      <c r="Z4582" s="10" t="n"/>
      <c r="AA4582" s="11">
        <f>IF(A4582="","",IF(AND(J4582="P4",F4582="causal"),"P4-CAUSAL",""))</f>
        <v/>
      </c>
    </row>
    <row r="4583" ht="15" customHeight="1" s="1">
      <c r="P4583">
        <f>IF(OR(F4583="",H4583="",J4583=""),"",J4583&amp;"|"&amp;F4583&amp;"|"&amp;IF(H4583="W3","W3_"&amp;IF(I4583="","unknown",I4583),H4583))</f>
        <v/>
      </c>
      <c r="Q4583">
        <f>IF(P4583="","",IFERROR(IF(AND(H4583="W7",OR(F4583="causal",F4583="predictive")),IF(AND(OR(K4583=1,K4583="1"),OR(L4583=1,L4583="1"),OR(M4583=1,M4583="1")),"adequate","partial"),IF(AND(H4583="W4",F4583="predictive",OR(J4583="P2",J4583="P3",J4583="P4")),IF(OR(U4583=1,U4583="1"),"adequate","partial"),INDEX(Fit_Matrix!$B:$B,MATCH(P4583,Fit_Matrix!$A:$A,0)))),"CHECK KEY"))</f>
        <v/>
      </c>
      <c r="U4583" s="10" t="n"/>
      <c r="V4583" s="10" t="n"/>
      <c r="W4583" s="10" t="n"/>
      <c r="X4583" s="10" t="n"/>
      <c r="Y4583" s="10" t="n"/>
      <c r="Z4583" s="10" t="n"/>
      <c r="AA4583" s="11">
        <f>IF(A4583="","",IF(AND(J4583="P4",F4583="causal"),"P4-CAUSAL",""))</f>
        <v/>
      </c>
    </row>
    <row r="4584" ht="15" customHeight="1" s="1">
      <c r="P4584">
        <f>IF(OR(F4584="",H4584="",J4584=""),"",J4584&amp;"|"&amp;F4584&amp;"|"&amp;IF(H4584="W3","W3_"&amp;IF(I4584="","unknown",I4584),H4584))</f>
        <v/>
      </c>
      <c r="Q4584">
        <f>IF(P4584="","",IFERROR(IF(AND(H4584="W7",OR(F4584="causal",F4584="predictive")),IF(AND(OR(K4584=1,K4584="1"),OR(L4584=1,L4584="1"),OR(M4584=1,M4584="1")),"adequate","partial"),IF(AND(H4584="W4",F4584="predictive",OR(J4584="P2",J4584="P3",J4584="P4")),IF(OR(U4584=1,U4584="1"),"adequate","partial"),INDEX(Fit_Matrix!$B:$B,MATCH(P4584,Fit_Matrix!$A:$A,0)))),"CHECK KEY"))</f>
        <v/>
      </c>
      <c r="U4584" s="10" t="n"/>
      <c r="V4584" s="10" t="n"/>
      <c r="W4584" s="10" t="n"/>
      <c r="X4584" s="10" t="n"/>
      <c r="Y4584" s="10" t="n"/>
      <c r="Z4584" s="10" t="n"/>
      <c r="AA4584" s="11">
        <f>IF(A4584="","",IF(AND(J4584="P4",F4584="causal"),"P4-CAUSAL",""))</f>
        <v/>
      </c>
    </row>
    <row r="4585" ht="15" customHeight="1" s="1">
      <c r="P4585">
        <f>IF(OR(F4585="",H4585="",J4585=""),"",J4585&amp;"|"&amp;F4585&amp;"|"&amp;IF(H4585="W3","W3_"&amp;IF(I4585="","unknown",I4585),H4585))</f>
        <v/>
      </c>
      <c r="Q4585">
        <f>IF(P4585="","",IFERROR(IF(AND(H4585="W7",OR(F4585="causal",F4585="predictive")),IF(AND(OR(K4585=1,K4585="1"),OR(L4585=1,L4585="1"),OR(M4585=1,M4585="1")),"adequate","partial"),IF(AND(H4585="W4",F4585="predictive",OR(J4585="P2",J4585="P3",J4585="P4")),IF(OR(U4585=1,U4585="1"),"adequate","partial"),INDEX(Fit_Matrix!$B:$B,MATCH(P4585,Fit_Matrix!$A:$A,0)))),"CHECK KEY"))</f>
        <v/>
      </c>
      <c r="U4585" s="10" t="n"/>
      <c r="V4585" s="10" t="n"/>
      <c r="W4585" s="10" t="n"/>
      <c r="X4585" s="10" t="n"/>
      <c r="Y4585" s="10" t="n"/>
      <c r="Z4585" s="10" t="n"/>
      <c r="AA4585" s="11">
        <f>IF(A4585="","",IF(AND(J4585="P4",F4585="causal"),"P4-CAUSAL",""))</f>
        <v/>
      </c>
    </row>
    <row r="4586" ht="15" customHeight="1" s="1">
      <c r="P4586">
        <f>IF(OR(F4586="",H4586="",J4586=""),"",J4586&amp;"|"&amp;F4586&amp;"|"&amp;IF(H4586="W3","W3_"&amp;IF(I4586="","unknown",I4586),H4586))</f>
        <v/>
      </c>
      <c r="Q4586">
        <f>IF(P4586="","",IFERROR(IF(AND(H4586="W7",OR(F4586="causal",F4586="predictive")),IF(AND(OR(K4586=1,K4586="1"),OR(L4586=1,L4586="1"),OR(M4586=1,M4586="1")),"adequate","partial"),IF(AND(H4586="W4",F4586="predictive",OR(J4586="P2",J4586="P3",J4586="P4")),IF(OR(U4586=1,U4586="1"),"adequate","partial"),INDEX(Fit_Matrix!$B:$B,MATCH(P4586,Fit_Matrix!$A:$A,0)))),"CHECK KEY"))</f>
        <v/>
      </c>
      <c r="U4586" s="10" t="n"/>
      <c r="V4586" s="10" t="n"/>
      <c r="W4586" s="10" t="n"/>
      <c r="X4586" s="10" t="n"/>
      <c r="Y4586" s="10" t="n"/>
      <c r="Z4586" s="10" t="n"/>
      <c r="AA4586" s="11">
        <f>IF(A4586="","",IF(AND(J4586="P4",F4586="causal"),"P4-CAUSAL",""))</f>
        <v/>
      </c>
    </row>
    <row r="4587" ht="15" customHeight="1" s="1">
      <c r="P4587">
        <f>IF(OR(F4587="",H4587="",J4587=""),"",J4587&amp;"|"&amp;F4587&amp;"|"&amp;IF(H4587="W3","W3_"&amp;IF(I4587="","unknown",I4587),H4587))</f>
        <v/>
      </c>
      <c r="Q4587">
        <f>IF(P4587="","",IFERROR(IF(AND(H4587="W7",OR(F4587="causal",F4587="predictive")),IF(AND(OR(K4587=1,K4587="1"),OR(L4587=1,L4587="1"),OR(M4587=1,M4587="1")),"adequate","partial"),IF(AND(H4587="W4",F4587="predictive",OR(J4587="P2",J4587="P3",J4587="P4")),IF(OR(U4587=1,U4587="1"),"adequate","partial"),INDEX(Fit_Matrix!$B:$B,MATCH(P4587,Fit_Matrix!$A:$A,0)))),"CHECK KEY"))</f>
        <v/>
      </c>
      <c r="U4587" s="10" t="n"/>
      <c r="V4587" s="10" t="n"/>
      <c r="W4587" s="10" t="n"/>
      <c r="X4587" s="10" t="n"/>
      <c r="Y4587" s="10" t="n"/>
      <c r="Z4587" s="10" t="n"/>
      <c r="AA4587" s="11">
        <f>IF(A4587="","",IF(AND(J4587="P4",F4587="causal"),"P4-CAUSAL",""))</f>
        <v/>
      </c>
    </row>
    <row r="4588" ht="15" customHeight="1" s="1">
      <c r="P4588">
        <f>IF(OR(F4588="",H4588="",J4588=""),"",J4588&amp;"|"&amp;F4588&amp;"|"&amp;IF(H4588="W3","W3_"&amp;IF(I4588="","unknown",I4588),H4588))</f>
        <v/>
      </c>
      <c r="Q4588">
        <f>IF(P4588="","",IFERROR(IF(AND(H4588="W7",OR(F4588="causal",F4588="predictive")),IF(AND(OR(K4588=1,K4588="1"),OR(L4588=1,L4588="1"),OR(M4588=1,M4588="1")),"adequate","partial"),IF(AND(H4588="W4",F4588="predictive",OR(J4588="P2",J4588="P3",J4588="P4")),IF(OR(U4588=1,U4588="1"),"adequate","partial"),INDEX(Fit_Matrix!$B:$B,MATCH(P4588,Fit_Matrix!$A:$A,0)))),"CHECK KEY"))</f>
        <v/>
      </c>
      <c r="U4588" s="10" t="n"/>
      <c r="V4588" s="10" t="n"/>
      <c r="W4588" s="10" t="n"/>
      <c r="X4588" s="10" t="n"/>
      <c r="Y4588" s="10" t="n"/>
      <c r="Z4588" s="10" t="n"/>
      <c r="AA4588" s="11">
        <f>IF(A4588="","",IF(AND(J4588="P4",F4588="causal"),"P4-CAUSAL",""))</f>
        <v/>
      </c>
    </row>
    <row r="4589" ht="15" customHeight="1" s="1">
      <c r="P4589">
        <f>IF(OR(F4589="",H4589="",J4589=""),"",J4589&amp;"|"&amp;F4589&amp;"|"&amp;IF(H4589="W3","W3_"&amp;IF(I4589="","unknown",I4589),H4589))</f>
        <v/>
      </c>
      <c r="Q4589">
        <f>IF(P4589="","",IFERROR(IF(AND(H4589="W7",OR(F4589="causal",F4589="predictive")),IF(AND(OR(K4589=1,K4589="1"),OR(L4589=1,L4589="1"),OR(M4589=1,M4589="1")),"adequate","partial"),IF(AND(H4589="W4",F4589="predictive",OR(J4589="P2",J4589="P3",J4589="P4")),IF(OR(U4589=1,U4589="1"),"adequate","partial"),INDEX(Fit_Matrix!$B:$B,MATCH(P4589,Fit_Matrix!$A:$A,0)))),"CHECK KEY"))</f>
        <v/>
      </c>
      <c r="U4589" s="10" t="n"/>
      <c r="V4589" s="10" t="n"/>
      <c r="W4589" s="10" t="n"/>
      <c r="X4589" s="10" t="n"/>
      <c r="Y4589" s="10" t="n"/>
      <c r="Z4589" s="10" t="n"/>
      <c r="AA4589" s="11">
        <f>IF(A4589="","",IF(AND(J4589="P4",F4589="causal"),"P4-CAUSAL",""))</f>
        <v/>
      </c>
    </row>
    <row r="4590" ht="15" customHeight="1" s="1">
      <c r="P4590">
        <f>IF(OR(F4590="",H4590="",J4590=""),"",J4590&amp;"|"&amp;F4590&amp;"|"&amp;IF(H4590="W3","W3_"&amp;IF(I4590="","unknown",I4590),H4590))</f>
        <v/>
      </c>
      <c r="Q4590">
        <f>IF(P4590="","",IFERROR(IF(AND(H4590="W7",OR(F4590="causal",F4590="predictive")),IF(AND(OR(K4590=1,K4590="1"),OR(L4590=1,L4590="1"),OR(M4590=1,M4590="1")),"adequate","partial"),IF(AND(H4590="W4",F4590="predictive",OR(J4590="P2",J4590="P3",J4590="P4")),IF(OR(U4590=1,U4590="1"),"adequate","partial"),INDEX(Fit_Matrix!$B:$B,MATCH(P4590,Fit_Matrix!$A:$A,0)))),"CHECK KEY"))</f>
        <v/>
      </c>
      <c r="U4590" s="10" t="n"/>
      <c r="V4590" s="10" t="n"/>
      <c r="W4590" s="10" t="n"/>
      <c r="X4590" s="10" t="n"/>
      <c r="Y4590" s="10" t="n"/>
      <c r="Z4590" s="10" t="n"/>
      <c r="AA4590" s="11">
        <f>IF(A4590="","",IF(AND(J4590="P4",F4590="causal"),"P4-CAUSAL",""))</f>
        <v/>
      </c>
    </row>
    <row r="4591" ht="15" customHeight="1" s="1">
      <c r="P4591">
        <f>IF(OR(F4591="",H4591="",J4591=""),"",J4591&amp;"|"&amp;F4591&amp;"|"&amp;IF(H4591="W3","W3_"&amp;IF(I4591="","unknown",I4591),H4591))</f>
        <v/>
      </c>
      <c r="Q4591">
        <f>IF(P4591="","",IFERROR(IF(AND(H4591="W7",OR(F4591="causal",F4591="predictive")),IF(AND(OR(K4591=1,K4591="1"),OR(L4591=1,L4591="1"),OR(M4591=1,M4591="1")),"adequate","partial"),IF(AND(H4591="W4",F4591="predictive",OR(J4591="P2",J4591="P3",J4591="P4")),IF(OR(U4591=1,U4591="1"),"adequate","partial"),INDEX(Fit_Matrix!$B:$B,MATCH(P4591,Fit_Matrix!$A:$A,0)))),"CHECK KEY"))</f>
        <v/>
      </c>
      <c r="U4591" s="10" t="n"/>
      <c r="V4591" s="10" t="n"/>
      <c r="W4591" s="10" t="n"/>
      <c r="X4591" s="10" t="n"/>
      <c r="Y4591" s="10" t="n"/>
      <c r="Z4591" s="10" t="n"/>
      <c r="AA4591" s="11">
        <f>IF(A4591="","",IF(AND(J4591="P4",F4591="causal"),"P4-CAUSAL",""))</f>
        <v/>
      </c>
    </row>
    <row r="4592" ht="15" customHeight="1" s="1">
      <c r="P4592">
        <f>IF(OR(F4592="",H4592="",J4592=""),"",J4592&amp;"|"&amp;F4592&amp;"|"&amp;IF(H4592="W3","W3_"&amp;IF(I4592="","unknown",I4592),H4592))</f>
        <v/>
      </c>
      <c r="Q4592">
        <f>IF(P4592="","",IFERROR(IF(AND(H4592="W7",OR(F4592="causal",F4592="predictive")),IF(AND(OR(K4592=1,K4592="1"),OR(L4592=1,L4592="1"),OR(M4592=1,M4592="1")),"adequate","partial"),IF(AND(H4592="W4",F4592="predictive",OR(J4592="P2",J4592="P3",J4592="P4")),IF(OR(U4592=1,U4592="1"),"adequate","partial"),INDEX(Fit_Matrix!$B:$B,MATCH(P4592,Fit_Matrix!$A:$A,0)))),"CHECK KEY"))</f>
        <v/>
      </c>
      <c r="U4592" s="10" t="n"/>
      <c r="V4592" s="10" t="n"/>
      <c r="W4592" s="10" t="n"/>
      <c r="X4592" s="10" t="n"/>
      <c r="Y4592" s="10" t="n"/>
      <c r="Z4592" s="10" t="n"/>
      <c r="AA4592" s="11">
        <f>IF(A4592="","",IF(AND(J4592="P4",F4592="causal"),"P4-CAUSAL",""))</f>
        <v/>
      </c>
    </row>
    <row r="4593" ht="15" customHeight="1" s="1">
      <c r="P4593">
        <f>IF(OR(F4593="",H4593="",J4593=""),"",J4593&amp;"|"&amp;F4593&amp;"|"&amp;IF(H4593="W3","W3_"&amp;IF(I4593="","unknown",I4593),H4593))</f>
        <v/>
      </c>
      <c r="Q4593">
        <f>IF(P4593="","",IFERROR(IF(AND(H4593="W7",OR(F4593="causal",F4593="predictive")),IF(AND(OR(K4593=1,K4593="1"),OR(L4593=1,L4593="1"),OR(M4593=1,M4593="1")),"adequate","partial"),IF(AND(H4593="W4",F4593="predictive",OR(J4593="P2",J4593="P3",J4593="P4")),IF(OR(U4593=1,U4593="1"),"adequate","partial"),INDEX(Fit_Matrix!$B:$B,MATCH(P4593,Fit_Matrix!$A:$A,0)))),"CHECK KEY"))</f>
        <v/>
      </c>
      <c r="U4593" s="10" t="n"/>
      <c r="V4593" s="10" t="n"/>
      <c r="W4593" s="10" t="n"/>
      <c r="X4593" s="10" t="n"/>
      <c r="Y4593" s="10" t="n"/>
      <c r="Z4593" s="10" t="n"/>
      <c r="AA4593" s="11">
        <f>IF(A4593="","",IF(AND(J4593="P4",F4593="causal"),"P4-CAUSAL",""))</f>
        <v/>
      </c>
    </row>
    <row r="4594" ht="15" customHeight="1" s="1">
      <c r="P4594">
        <f>IF(OR(F4594="",H4594="",J4594=""),"",J4594&amp;"|"&amp;F4594&amp;"|"&amp;IF(H4594="W3","W3_"&amp;IF(I4594="","unknown",I4594),H4594))</f>
        <v/>
      </c>
      <c r="Q4594">
        <f>IF(P4594="","",IFERROR(IF(AND(H4594="W7",OR(F4594="causal",F4594="predictive")),IF(AND(OR(K4594=1,K4594="1"),OR(L4594=1,L4594="1"),OR(M4594=1,M4594="1")),"adequate","partial"),IF(AND(H4594="W4",F4594="predictive",OR(J4594="P2",J4594="P3",J4594="P4")),IF(OR(U4594=1,U4594="1"),"adequate","partial"),INDEX(Fit_Matrix!$B:$B,MATCH(P4594,Fit_Matrix!$A:$A,0)))),"CHECK KEY"))</f>
        <v/>
      </c>
      <c r="U4594" s="10" t="n"/>
      <c r="V4594" s="10" t="n"/>
      <c r="W4594" s="10" t="n"/>
      <c r="X4594" s="10" t="n"/>
      <c r="Y4594" s="10" t="n"/>
      <c r="Z4594" s="10" t="n"/>
      <c r="AA4594" s="11">
        <f>IF(A4594="","",IF(AND(J4594="P4",F4594="causal"),"P4-CAUSAL",""))</f>
        <v/>
      </c>
    </row>
    <row r="4595" ht="15" customHeight="1" s="1">
      <c r="P4595">
        <f>IF(OR(F4595="",H4595="",J4595=""),"",J4595&amp;"|"&amp;F4595&amp;"|"&amp;IF(H4595="W3","W3_"&amp;IF(I4595="","unknown",I4595),H4595))</f>
        <v/>
      </c>
      <c r="Q4595">
        <f>IF(P4595="","",IFERROR(IF(AND(H4595="W7",OR(F4595="causal",F4595="predictive")),IF(AND(OR(K4595=1,K4595="1"),OR(L4595=1,L4595="1"),OR(M4595=1,M4595="1")),"adequate","partial"),IF(AND(H4595="W4",F4595="predictive",OR(J4595="P2",J4595="P3",J4595="P4")),IF(OR(U4595=1,U4595="1"),"adequate","partial"),INDEX(Fit_Matrix!$B:$B,MATCH(P4595,Fit_Matrix!$A:$A,0)))),"CHECK KEY"))</f>
        <v/>
      </c>
      <c r="U4595" s="10" t="n"/>
      <c r="V4595" s="10" t="n"/>
      <c r="W4595" s="10" t="n"/>
      <c r="X4595" s="10" t="n"/>
      <c r="Y4595" s="10" t="n"/>
      <c r="Z4595" s="10" t="n"/>
      <c r="AA4595" s="11">
        <f>IF(A4595="","",IF(AND(J4595="P4",F4595="causal"),"P4-CAUSAL",""))</f>
        <v/>
      </c>
    </row>
    <row r="4596" ht="15" customHeight="1" s="1">
      <c r="P4596">
        <f>IF(OR(F4596="",H4596="",J4596=""),"",J4596&amp;"|"&amp;F4596&amp;"|"&amp;IF(H4596="W3","W3_"&amp;IF(I4596="","unknown",I4596),H4596))</f>
        <v/>
      </c>
      <c r="Q4596">
        <f>IF(P4596="","",IFERROR(IF(AND(H4596="W7",OR(F4596="causal",F4596="predictive")),IF(AND(OR(K4596=1,K4596="1"),OR(L4596=1,L4596="1"),OR(M4596=1,M4596="1")),"adequate","partial"),IF(AND(H4596="W4",F4596="predictive",OR(J4596="P2",J4596="P3",J4596="P4")),IF(OR(U4596=1,U4596="1"),"adequate","partial"),INDEX(Fit_Matrix!$B:$B,MATCH(P4596,Fit_Matrix!$A:$A,0)))),"CHECK KEY"))</f>
        <v/>
      </c>
      <c r="U4596" s="10" t="n"/>
      <c r="V4596" s="10" t="n"/>
      <c r="W4596" s="10" t="n"/>
      <c r="X4596" s="10" t="n"/>
      <c r="Y4596" s="10" t="n"/>
      <c r="Z4596" s="10" t="n"/>
      <c r="AA4596" s="11">
        <f>IF(A4596="","",IF(AND(J4596="P4",F4596="causal"),"P4-CAUSAL",""))</f>
        <v/>
      </c>
    </row>
    <row r="4597" ht="15" customHeight="1" s="1">
      <c r="P4597">
        <f>IF(OR(F4597="",H4597="",J4597=""),"",J4597&amp;"|"&amp;F4597&amp;"|"&amp;IF(H4597="W3","W3_"&amp;IF(I4597="","unknown",I4597),H4597))</f>
        <v/>
      </c>
      <c r="Q4597">
        <f>IF(P4597="","",IFERROR(IF(AND(H4597="W7",OR(F4597="causal",F4597="predictive")),IF(AND(OR(K4597=1,K4597="1"),OR(L4597=1,L4597="1"),OR(M4597=1,M4597="1")),"adequate","partial"),IF(AND(H4597="W4",F4597="predictive",OR(J4597="P2",J4597="P3",J4597="P4")),IF(OR(U4597=1,U4597="1"),"adequate","partial"),INDEX(Fit_Matrix!$B:$B,MATCH(P4597,Fit_Matrix!$A:$A,0)))),"CHECK KEY"))</f>
        <v/>
      </c>
      <c r="U4597" s="10" t="n"/>
      <c r="V4597" s="10" t="n"/>
      <c r="W4597" s="10" t="n"/>
      <c r="X4597" s="10" t="n"/>
      <c r="Y4597" s="10" t="n"/>
      <c r="Z4597" s="10" t="n"/>
      <c r="AA4597" s="11">
        <f>IF(A4597="","",IF(AND(J4597="P4",F4597="causal"),"P4-CAUSAL",""))</f>
        <v/>
      </c>
    </row>
    <row r="4598" ht="15" customHeight="1" s="1">
      <c r="P4598">
        <f>IF(OR(F4598="",H4598="",J4598=""),"",J4598&amp;"|"&amp;F4598&amp;"|"&amp;IF(H4598="W3","W3_"&amp;IF(I4598="","unknown",I4598),H4598))</f>
        <v/>
      </c>
      <c r="Q4598">
        <f>IF(P4598="","",IFERROR(IF(AND(H4598="W7",OR(F4598="causal",F4598="predictive")),IF(AND(OR(K4598=1,K4598="1"),OR(L4598=1,L4598="1"),OR(M4598=1,M4598="1")),"adequate","partial"),IF(AND(H4598="W4",F4598="predictive",OR(J4598="P2",J4598="P3",J4598="P4")),IF(OR(U4598=1,U4598="1"),"adequate","partial"),INDEX(Fit_Matrix!$B:$B,MATCH(P4598,Fit_Matrix!$A:$A,0)))),"CHECK KEY"))</f>
        <v/>
      </c>
      <c r="U4598" s="10" t="n"/>
      <c r="V4598" s="10" t="n"/>
      <c r="W4598" s="10" t="n"/>
      <c r="X4598" s="10" t="n"/>
      <c r="Y4598" s="10" t="n"/>
      <c r="Z4598" s="10" t="n"/>
      <c r="AA4598" s="11">
        <f>IF(A4598="","",IF(AND(J4598="P4",F4598="causal"),"P4-CAUSAL",""))</f>
        <v/>
      </c>
    </row>
    <row r="4599" ht="15" customHeight="1" s="1">
      <c r="P4599">
        <f>IF(OR(F4599="",H4599="",J4599=""),"",J4599&amp;"|"&amp;F4599&amp;"|"&amp;IF(H4599="W3","W3_"&amp;IF(I4599="","unknown",I4599),H4599))</f>
        <v/>
      </c>
      <c r="Q4599">
        <f>IF(P4599="","",IFERROR(IF(AND(H4599="W7",OR(F4599="causal",F4599="predictive")),IF(AND(OR(K4599=1,K4599="1"),OR(L4599=1,L4599="1"),OR(M4599=1,M4599="1")),"adequate","partial"),IF(AND(H4599="W4",F4599="predictive",OR(J4599="P2",J4599="P3",J4599="P4")),IF(OR(U4599=1,U4599="1"),"adequate","partial"),INDEX(Fit_Matrix!$B:$B,MATCH(P4599,Fit_Matrix!$A:$A,0)))),"CHECK KEY"))</f>
        <v/>
      </c>
      <c r="U4599" s="10" t="n"/>
      <c r="V4599" s="10" t="n"/>
      <c r="W4599" s="10" t="n"/>
      <c r="X4599" s="10" t="n"/>
      <c r="Y4599" s="10" t="n"/>
      <c r="Z4599" s="10" t="n"/>
      <c r="AA4599" s="11">
        <f>IF(A4599="","",IF(AND(J4599="P4",F4599="causal"),"P4-CAUSAL",""))</f>
        <v/>
      </c>
    </row>
    <row r="4600" ht="15" customHeight="1" s="1">
      <c r="P4600">
        <f>IF(OR(F4600="",H4600="",J4600=""),"",J4600&amp;"|"&amp;F4600&amp;"|"&amp;IF(H4600="W3","W3_"&amp;IF(I4600="","unknown",I4600),H4600))</f>
        <v/>
      </c>
      <c r="Q4600">
        <f>IF(P4600="","",IFERROR(IF(AND(H4600="W7",OR(F4600="causal",F4600="predictive")),IF(AND(OR(K4600=1,K4600="1"),OR(L4600=1,L4600="1"),OR(M4600=1,M4600="1")),"adequate","partial"),IF(AND(H4600="W4",F4600="predictive",OR(J4600="P2",J4600="P3",J4600="P4")),IF(OR(U4600=1,U4600="1"),"adequate","partial"),INDEX(Fit_Matrix!$B:$B,MATCH(P4600,Fit_Matrix!$A:$A,0)))),"CHECK KEY"))</f>
        <v/>
      </c>
      <c r="U4600" s="10" t="n"/>
      <c r="V4600" s="10" t="n"/>
      <c r="W4600" s="10" t="n"/>
      <c r="X4600" s="10" t="n"/>
      <c r="Y4600" s="10" t="n"/>
      <c r="Z4600" s="10" t="n"/>
      <c r="AA4600" s="11">
        <f>IF(A4600="","",IF(AND(J4600="P4",F4600="causal"),"P4-CAUSAL",""))</f>
        <v/>
      </c>
    </row>
    <row r="4601" ht="15" customHeight="1" s="1">
      <c r="P4601">
        <f>IF(OR(F4601="",H4601="",J4601=""),"",J4601&amp;"|"&amp;F4601&amp;"|"&amp;IF(H4601="W3","W3_"&amp;IF(I4601="","unknown",I4601),H4601))</f>
        <v/>
      </c>
      <c r="Q4601">
        <f>IF(P4601="","",IFERROR(IF(AND(H4601="W7",OR(F4601="causal",F4601="predictive")),IF(AND(OR(K4601=1,K4601="1"),OR(L4601=1,L4601="1"),OR(M4601=1,M4601="1")),"adequate","partial"),IF(AND(H4601="W4",F4601="predictive",OR(J4601="P2",J4601="P3",J4601="P4")),IF(OR(U4601=1,U4601="1"),"adequate","partial"),INDEX(Fit_Matrix!$B:$B,MATCH(P4601,Fit_Matrix!$A:$A,0)))),"CHECK KEY"))</f>
        <v/>
      </c>
      <c r="U4601" s="10" t="n"/>
      <c r="V4601" s="10" t="n"/>
      <c r="W4601" s="10" t="n"/>
      <c r="X4601" s="10" t="n"/>
      <c r="Y4601" s="10" t="n"/>
      <c r="Z4601" s="10" t="n"/>
      <c r="AA4601" s="11">
        <f>IF(A4601="","",IF(AND(J4601="P4",F4601="causal"),"P4-CAUSAL",""))</f>
        <v/>
      </c>
    </row>
    <row r="4602" ht="15" customHeight="1" s="1">
      <c r="P4602">
        <f>IF(OR(F4602="",H4602="",J4602=""),"",J4602&amp;"|"&amp;F4602&amp;"|"&amp;IF(H4602="W3","W3_"&amp;IF(I4602="","unknown",I4602),H4602))</f>
        <v/>
      </c>
      <c r="Q4602">
        <f>IF(P4602="","",IFERROR(IF(AND(H4602="W7",OR(F4602="causal",F4602="predictive")),IF(AND(OR(K4602=1,K4602="1"),OR(L4602=1,L4602="1"),OR(M4602=1,M4602="1")),"adequate","partial"),IF(AND(H4602="W4",F4602="predictive",OR(J4602="P2",J4602="P3",J4602="P4")),IF(OR(U4602=1,U4602="1"),"adequate","partial"),INDEX(Fit_Matrix!$B:$B,MATCH(P4602,Fit_Matrix!$A:$A,0)))),"CHECK KEY"))</f>
        <v/>
      </c>
      <c r="U4602" s="10" t="n"/>
      <c r="V4602" s="10" t="n"/>
      <c r="W4602" s="10" t="n"/>
      <c r="X4602" s="10" t="n"/>
      <c r="Y4602" s="10" t="n"/>
      <c r="Z4602" s="10" t="n"/>
      <c r="AA4602" s="11">
        <f>IF(A4602="","",IF(AND(J4602="P4",F4602="causal"),"P4-CAUSAL",""))</f>
        <v/>
      </c>
    </row>
    <row r="4603" ht="15" customHeight="1" s="1">
      <c r="P4603">
        <f>IF(OR(F4603="",H4603="",J4603=""),"",J4603&amp;"|"&amp;F4603&amp;"|"&amp;IF(H4603="W3","W3_"&amp;IF(I4603="","unknown",I4603),H4603))</f>
        <v/>
      </c>
      <c r="Q4603">
        <f>IF(P4603="","",IFERROR(IF(AND(H4603="W7",OR(F4603="causal",F4603="predictive")),IF(AND(OR(K4603=1,K4603="1"),OR(L4603=1,L4603="1"),OR(M4603=1,M4603="1")),"adequate","partial"),IF(AND(H4603="W4",F4603="predictive",OR(J4603="P2",J4603="P3",J4603="P4")),IF(OR(U4603=1,U4603="1"),"adequate","partial"),INDEX(Fit_Matrix!$B:$B,MATCH(P4603,Fit_Matrix!$A:$A,0)))),"CHECK KEY"))</f>
        <v/>
      </c>
      <c r="U4603" s="10" t="n"/>
      <c r="V4603" s="10" t="n"/>
      <c r="W4603" s="10" t="n"/>
      <c r="X4603" s="10" t="n"/>
      <c r="Y4603" s="10" t="n"/>
      <c r="Z4603" s="10" t="n"/>
      <c r="AA4603" s="11">
        <f>IF(A4603="","",IF(AND(J4603="P4",F4603="causal"),"P4-CAUSAL",""))</f>
        <v/>
      </c>
    </row>
    <row r="4604" ht="15" customHeight="1" s="1">
      <c r="P4604">
        <f>IF(OR(F4604="",H4604="",J4604=""),"",J4604&amp;"|"&amp;F4604&amp;"|"&amp;IF(H4604="W3","W3_"&amp;IF(I4604="","unknown",I4604),H4604))</f>
        <v/>
      </c>
      <c r="Q4604">
        <f>IF(P4604="","",IFERROR(IF(AND(H4604="W7",OR(F4604="causal",F4604="predictive")),IF(AND(OR(K4604=1,K4604="1"),OR(L4604=1,L4604="1"),OR(M4604=1,M4604="1")),"adequate","partial"),IF(AND(H4604="W4",F4604="predictive",OR(J4604="P2",J4604="P3",J4604="P4")),IF(OR(U4604=1,U4604="1"),"adequate","partial"),INDEX(Fit_Matrix!$B:$B,MATCH(P4604,Fit_Matrix!$A:$A,0)))),"CHECK KEY"))</f>
        <v/>
      </c>
      <c r="U4604" s="10" t="n"/>
      <c r="V4604" s="10" t="n"/>
      <c r="W4604" s="10" t="n"/>
      <c r="X4604" s="10" t="n"/>
      <c r="Y4604" s="10" t="n"/>
      <c r="Z4604" s="10" t="n"/>
      <c r="AA4604" s="11">
        <f>IF(A4604="","",IF(AND(J4604="P4",F4604="causal"),"P4-CAUSAL",""))</f>
        <v/>
      </c>
    </row>
    <row r="4605" ht="15" customHeight="1" s="1">
      <c r="P4605">
        <f>IF(OR(F4605="",H4605="",J4605=""),"",J4605&amp;"|"&amp;F4605&amp;"|"&amp;IF(H4605="W3","W3_"&amp;IF(I4605="","unknown",I4605),H4605))</f>
        <v/>
      </c>
      <c r="Q4605">
        <f>IF(P4605="","",IFERROR(IF(AND(H4605="W7",OR(F4605="causal",F4605="predictive")),IF(AND(OR(K4605=1,K4605="1"),OR(L4605=1,L4605="1"),OR(M4605=1,M4605="1")),"adequate","partial"),IF(AND(H4605="W4",F4605="predictive",OR(J4605="P2",J4605="P3",J4605="P4")),IF(OR(U4605=1,U4605="1"),"adequate","partial"),INDEX(Fit_Matrix!$B:$B,MATCH(P4605,Fit_Matrix!$A:$A,0)))),"CHECK KEY"))</f>
        <v/>
      </c>
      <c r="U4605" s="10" t="n"/>
      <c r="V4605" s="10" t="n"/>
      <c r="W4605" s="10" t="n"/>
      <c r="X4605" s="10" t="n"/>
      <c r="Y4605" s="10" t="n"/>
      <c r="Z4605" s="10" t="n"/>
      <c r="AA4605" s="11">
        <f>IF(A4605="","",IF(AND(J4605="P4",F4605="causal"),"P4-CAUSAL",""))</f>
        <v/>
      </c>
    </row>
    <row r="4606" ht="15" customHeight="1" s="1">
      <c r="P4606">
        <f>IF(OR(F4606="",H4606="",J4606=""),"",J4606&amp;"|"&amp;F4606&amp;"|"&amp;IF(H4606="W3","W3_"&amp;IF(I4606="","unknown",I4606),H4606))</f>
        <v/>
      </c>
      <c r="Q4606">
        <f>IF(P4606="","",IFERROR(IF(AND(H4606="W7",OR(F4606="causal",F4606="predictive")),IF(AND(OR(K4606=1,K4606="1"),OR(L4606=1,L4606="1"),OR(M4606=1,M4606="1")),"adequate","partial"),IF(AND(H4606="W4",F4606="predictive",OR(J4606="P2",J4606="P3",J4606="P4")),IF(OR(U4606=1,U4606="1"),"adequate","partial"),INDEX(Fit_Matrix!$B:$B,MATCH(P4606,Fit_Matrix!$A:$A,0)))),"CHECK KEY"))</f>
        <v/>
      </c>
      <c r="U4606" s="10" t="n"/>
      <c r="V4606" s="10" t="n"/>
      <c r="W4606" s="10" t="n"/>
      <c r="X4606" s="10" t="n"/>
      <c r="Y4606" s="10" t="n"/>
      <c r="Z4606" s="10" t="n"/>
      <c r="AA4606" s="11">
        <f>IF(A4606="","",IF(AND(J4606="P4",F4606="causal"),"P4-CAUSAL",""))</f>
        <v/>
      </c>
    </row>
    <row r="4607" ht="15" customHeight="1" s="1">
      <c r="P4607">
        <f>IF(OR(F4607="",H4607="",J4607=""),"",J4607&amp;"|"&amp;F4607&amp;"|"&amp;IF(H4607="W3","W3_"&amp;IF(I4607="","unknown",I4607),H4607))</f>
        <v/>
      </c>
      <c r="Q4607">
        <f>IF(P4607="","",IFERROR(IF(AND(H4607="W7",OR(F4607="causal",F4607="predictive")),IF(AND(OR(K4607=1,K4607="1"),OR(L4607=1,L4607="1"),OR(M4607=1,M4607="1")),"adequate","partial"),IF(AND(H4607="W4",F4607="predictive",OR(J4607="P2",J4607="P3",J4607="P4")),IF(OR(U4607=1,U4607="1"),"adequate","partial"),INDEX(Fit_Matrix!$B:$B,MATCH(P4607,Fit_Matrix!$A:$A,0)))),"CHECK KEY"))</f>
        <v/>
      </c>
      <c r="U4607" s="10" t="n"/>
      <c r="V4607" s="10" t="n"/>
      <c r="W4607" s="10" t="n"/>
      <c r="X4607" s="10" t="n"/>
      <c r="Y4607" s="10" t="n"/>
      <c r="Z4607" s="10" t="n"/>
      <c r="AA4607" s="11">
        <f>IF(A4607="","",IF(AND(J4607="P4",F4607="causal"),"P4-CAUSAL",""))</f>
        <v/>
      </c>
    </row>
    <row r="4608" ht="15" customHeight="1" s="1">
      <c r="P4608">
        <f>IF(OR(F4608="",H4608="",J4608=""),"",J4608&amp;"|"&amp;F4608&amp;"|"&amp;IF(H4608="W3","W3_"&amp;IF(I4608="","unknown",I4608),H4608))</f>
        <v/>
      </c>
      <c r="Q4608">
        <f>IF(P4608="","",IFERROR(IF(AND(H4608="W7",OR(F4608="causal",F4608="predictive")),IF(AND(OR(K4608=1,K4608="1"),OR(L4608=1,L4608="1"),OR(M4608=1,M4608="1")),"adequate","partial"),IF(AND(H4608="W4",F4608="predictive",OR(J4608="P2",J4608="P3",J4608="P4")),IF(OR(U4608=1,U4608="1"),"adequate","partial"),INDEX(Fit_Matrix!$B:$B,MATCH(P4608,Fit_Matrix!$A:$A,0)))),"CHECK KEY"))</f>
        <v/>
      </c>
      <c r="U4608" s="10" t="n"/>
      <c r="V4608" s="10" t="n"/>
      <c r="W4608" s="10" t="n"/>
      <c r="X4608" s="10" t="n"/>
      <c r="Y4608" s="10" t="n"/>
      <c r="Z4608" s="10" t="n"/>
      <c r="AA4608" s="11">
        <f>IF(A4608="","",IF(AND(J4608="P4",F4608="causal"),"P4-CAUSAL",""))</f>
        <v/>
      </c>
    </row>
    <row r="4609" ht="15" customHeight="1" s="1">
      <c r="P4609">
        <f>IF(OR(F4609="",H4609="",J4609=""),"",J4609&amp;"|"&amp;F4609&amp;"|"&amp;IF(H4609="W3","W3_"&amp;IF(I4609="","unknown",I4609),H4609))</f>
        <v/>
      </c>
      <c r="Q4609">
        <f>IF(P4609="","",IFERROR(IF(AND(H4609="W7",OR(F4609="causal",F4609="predictive")),IF(AND(OR(K4609=1,K4609="1"),OR(L4609=1,L4609="1"),OR(M4609=1,M4609="1")),"adequate","partial"),IF(AND(H4609="W4",F4609="predictive",OR(J4609="P2",J4609="P3",J4609="P4")),IF(OR(U4609=1,U4609="1"),"adequate","partial"),INDEX(Fit_Matrix!$B:$B,MATCH(P4609,Fit_Matrix!$A:$A,0)))),"CHECK KEY"))</f>
        <v/>
      </c>
      <c r="U4609" s="10" t="n"/>
      <c r="V4609" s="10" t="n"/>
      <c r="W4609" s="10" t="n"/>
      <c r="X4609" s="10" t="n"/>
      <c r="Y4609" s="10" t="n"/>
      <c r="Z4609" s="10" t="n"/>
      <c r="AA4609" s="11">
        <f>IF(A4609="","",IF(AND(J4609="P4",F4609="causal"),"P4-CAUSAL",""))</f>
        <v/>
      </c>
    </row>
    <row r="4610" ht="15" customHeight="1" s="1">
      <c r="P4610">
        <f>IF(OR(F4610="",H4610="",J4610=""),"",J4610&amp;"|"&amp;F4610&amp;"|"&amp;IF(H4610="W3","W3_"&amp;IF(I4610="","unknown",I4610),H4610))</f>
        <v/>
      </c>
      <c r="Q4610">
        <f>IF(P4610="","",IFERROR(IF(AND(H4610="W7",OR(F4610="causal",F4610="predictive")),IF(AND(OR(K4610=1,K4610="1"),OR(L4610=1,L4610="1"),OR(M4610=1,M4610="1")),"adequate","partial"),IF(AND(H4610="W4",F4610="predictive",OR(J4610="P2",J4610="P3",J4610="P4")),IF(OR(U4610=1,U4610="1"),"adequate","partial"),INDEX(Fit_Matrix!$B:$B,MATCH(P4610,Fit_Matrix!$A:$A,0)))),"CHECK KEY"))</f>
        <v/>
      </c>
      <c r="U4610" s="10" t="n"/>
      <c r="V4610" s="10" t="n"/>
      <c r="W4610" s="10" t="n"/>
      <c r="X4610" s="10" t="n"/>
      <c r="Y4610" s="10" t="n"/>
      <c r="Z4610" s="10" t="n"/>
      <c r="AA4610" s="11">
        <f>IF(A4610="","",IF(AND(J4610="P4",F4610="causal"),"P4-CAUSAL",""))</f>
        <v/>
      </c>
    </row>
    <row r="4611" ht="15" customHeight="1" s="1">
      <c r="P4611">
        <f>IF(OR(F4611="",H4611="",J4611=""),"",J4611&amp;"|"&amp;F4611&amp;"|"&amp;IF(H4611="W3","W3_"&amp;IF(I4611="","unknown",I4611),H4611))</f>
        <v/>
      </c>
      <c r="Q4611">
        <f>IF(P4611="","",IFERROR(IF(AND(H4611="W7",OR(F4611="causal",F4611="predictive")),IF(AND(OR(K4611=1,K4611="1"),OR(L4611=1,L4611="1"),OR(M4611=1,M4611="1")),"adequate","partial"),IF(AND(H4611="W4",F4611="predictive",OR(J4611="P2",J4611="P3",J4611="P4")),IF(OR(U4611=1,U4611="1"),"adequate","partial"),INDEX(Fit_Matrix!$B:$B,MATCH(P4611,Fit_Matrix!$A:$A,0)))),"CHECK KEY"))</f>
        <v/>
      </c>
      <c r="U4611" s="10" t="n"/>
      <c r="V4611" s="10" t="n"/>
      <c r="W4611" s="10" t="n"/>
      <c r="X4611" s="10" t="n"/>
      <c r="Y4611" s="10" t="n"/>
      <c r="Z4611" s="10" t="n"/>
      <c r="AA4611" s="11">
        <f>IF(A4611="","",IF(AND(J4611="P4",F4611="causal"),"P4-CAUSAL",""))</f>
        <v/>
      </c>
    </row>
    <row r="4612" ht="15" customHeight="1" s="1">
      <c r="P4612">
        <f>IF(OR(F4612="",H4612="",J4612=""),"",J4612&amp;"|"&amp;F4612&amp;"|"&amp;IF(H4612="W3","W3_"&amp;IF(I4612="","unknown",I4612),H4612))</f>
        <v/>
      </c>
      <c r="Q4612">
        <f>IF(P4612="","",IFERROR(IF(AND(H4612="W7",OR(F4612="causal",F4612="predictive")),IF(AND(OR(K4612=1,K4612="1"),OR(L4612=1,L4612="1"),OR(M4612=1,M4612="1")),"adequate","partial"),IF(AND(H4612="W4",F4612="predictive",OR(J4612="P2",J4612="P3",J4612="P4")),IF(OR(U4612=1,U4612="1"),"adequate","partial"),INDEX(Fit_Matrix!$B:$B,MATCH(P4612,Fit_Matrix!$A:$A,0)))),"CHECK KEY"))</f>
        <v/>
      </c>
      <c r="U4612" s="10" t="n"/>
      <c r="V4612" s="10" t="n"/>
      <c r="W4612" s="10" t="n"/>
      <c r="X4612" s="10" t="n"/>
      <c r="Y4612" s="10" t="n"/>
      <c r="Z4612" s="10" t="n"/>
      <c r="AA4612" s="11">
        <f>IF(A4612="","",IF(AND(J4612="P4",F4612="causal"),"P4-CAUSAL",""))</f>
        <v/>
      </c>
    </row>
    <row r="4613" ht="15" customHeight="1" s="1">
      <c r="P4613">
        <f>IF(OR(F4613="",H4613="",J4613=""),"",J4613&amp;"|"&amp;F4613&amp;"|"&amp;IF(H4613="W3","W3_"&amp;IF(I4613="","unknown",I4613),H4613))</f>
        <v/>
      </c>
      <c r="Q4613">
        <f>IF(P4613="","",IFERROR(IF(AND(H4613="W7",OR(F4613="causal",F4613="predictive")),IF(AND(OR(K4613=1,K4613="1"),OR(L4613=1,L4613="1"),OR(M4613=1,M4613="1")),"adequate","partial"),IF(AND(H4613="W4",F4613="predictive",OR(J4613="P2",J4613="P3",J4613="P4")),IF(OR(U4613=1,U4613="1"),"adequate","partial"),INDEX(Fit_Matrix!$B:$B,MATCH(P4613,Fit_Matrix!$A:$A,0)))),"CHECK KEY"))</f>
        <v/>
      </c>
      <c r="U4613" s="10" t="n"/>
      <c r="V4613" s="10" t="n"/>
      <c r="W4613" s="10" t="n"/>
      <c r="X4613" s="10" t="n"/>
      <c r="Y4613" s="10" t="n"/>
      <c r="Z4613" s="10" t="n"/>
      <c r="AA4613" s="11">
        <f>IF(A4613="","",IF(AND(J4613="P4",F4613="causal"),"P4-CAUSAL",""))</f>
        <v/>
      </c>
    </row>
    <row r="4614" ht="15" customHeight="1" s="1">
      <c r="P4614">
        <f>IF(OR(F4614="",H4614="",J4614=""),"",J4614&amp;"|"&amp;F4614&amp;"|"&amp;IF(H4614="W3","W3_"&amp;IF(I4614="","unknown",I4614),H4614))</f>
        <v/>
      </c>
      <c r="Q4614">
        <f>IF(P4614="","",IFERROR(IF(AND(H4614="W7",OR(F4614="causal",F4614="predictive")),IF(AND(OR(K4614=1,K4614="1"),OR(L4614=1,L4614="1"),OR(M4614=1,M4614="1")),"adequate","partial"),IF(AND(H4614="W4",F4614="predictive",OR(J4614="P2",J4614="P3",J4614="P4")),IF(OR(U4614=1,U4614="1"),"adequate","partial"),INDEX(Fit_Matrix!$B:$B,MATCH(P4614,Fit_Matrix!$A:$A,0)))),"CHECK KEY"))</f>
        <v/>
      </c>
      <c r="U4614" s="10" t="n"/>
      <c r="V4614" s="10" t="n"/>
      <c r="W4614" s="10" t="n"/>
      <c r="X4614" s="10" t="n"/>
      <c r="Y4614" s="10" t="n"/>
      <c r="Z4614" s="10" t="n"/>
      <c r="AA4614" s="11">
        <f>IF(A4614="","",IF(AND(J4614="P4",F4614="causal"),"P4-CAUSAL",""))</f>
        <v/>
      </c>
    </row>
    <row r="4615" ht="15" customHeight="1" s="1">
      <c r="P4615">
        <f>IF(OR(F4615="",H4615="",J4615=""),"",J4615&amp;"|"&amp;F4615&amp;"|"&amp;IF(H4615="W3","W3_"&amp;IF(I4615="","unknown",I4615),H4615))</f>
        <v/>
      </c>
      <c r="Q4615">
        <f>IF(P4615="","",IFERROR(IF(AND(H4615="W7",OR(F4615="causal",F4615="predictive")),IF(AND(OR(K4615=1,K4615="1"),OR(L4615=1,L4615="1"),OR(M4615=1,M4615="1")),"adequate","partial"),IF(AND(H4615="W4",F4615="predictive",OR(J4615="P2",J4615="P3",J4615="P4")),IF(OR(U4615=1,U4615="1"),"adequate","partial"),INDEX(Fit_Matrix!$B:$B,MATCH(P4615,Fit_Matrix!$A:$A,0)))),"CHECK KEY"))</f>
        <v/>
      </c>
      <c r="U4615" s="10" t="n"/>
      <c r="V4615" s="10" t="n"/>
      <c r="W4615" s="10" t="n"/>
      <c r="X4615" s="10" t="n"/>
      <c r="Y4615" s="10" t="n"/>
      <c r="Z4615" s="10" t="n"/>
      <c r="AA4615" s="11">
        <f>IF(A4615="","",IF(AND(J4615="P4",F4615="causal"),"P4-CAUSAL",""))</f>
        <v/>
      </c>
    </row>
    <row r="4616" ht="15" customHeight="1" s="1">
      <c r="P4616">
        <f>IF(OR(F4616="",H4616="",J4616=""),"",J4616&amp;"|"&amp;F4616&amp;"|"&amp;IF(H4616="W3","W3_"&amp;IF(I4616="","unknown",I4616),H4616))</f>
        <v/>
      </c>
      <c r="Q4616">
        <f>IF(P4616="","",IFERROR(IF(AND(H4616="W7",OR(F4616="causal",F4616="predictive")),IF(AND(OR(K4616=1,K4616="1"),OR(L4616=1,L4616="1"),OR(M4616=1,M4616="1")),"adequate","partial"),IF(AND(H4616="W4",F4616="predictive",OR(J4616="P2",J4616="P3",J4616="P4")),IF(OR(U4616=1,U4616="1"),"adequate","partial"),INDEX(Fit_Matrix!$B:$B,MATCH(P4616,Fit_Matrix!$A:$A,0)))),"CHECK KEY"))</f>
        <v/>
      </c>
      <c r="U4616" s="10" t="n"/>
      <c r="V4616" s="10" t="n"/>
      <c r="W4616" s="10" t="n"/>
      <c r="X4616" s="10" t="n"/>
      <c r="Y4616" s="10" t="n"/>
      <c r="Z4616" s="10" t="n"/>
      <c r="AA4616" s="11">
        <f>IF(A4616="","",IF(AND(J4616="P4",F4616="causal"),"P4-CAUSAL",""))</f>
        <v/>
      </c>
    </row>
    <row r="4617" ht="15" customHeight="1" s="1">
      <c r="P4617">
        <f>IF(OR(F4617="",H4617="",J4617=""),"",J4617&amp;"|"&amp;F4617&amp;"|"&amp;IF(H4617="W3","W3_"&amp;IF(I4617="","unknown",I4617),H4617))</f>
        <v/>
      </c>
      <c r="Q4617">
        <f>IF(P4617="","",IFERROR(IF(AND(H4617="W7",OR(F4617="causal",F4617="predictive")),IF(AND(OR(K4617=1,K4617="1"),OR(L4617=1,L4617="1"),OR(M4617=1,M4617="1")),"adequate","partial"),IF(AND(H4617="W4",F4617="predictive",OR(J4617="P2",J4617="P3",J4617="P4")),IF(OR(U4617=1,U4617="1"),"adequate","partial"),INDEX(Fit_Matrix!$B:$B,MATCH(P4617,Fit_Matrix!$A:$A,0)))),"CHECK KEY"))</f>
        <v/>
      </c>
      <c r="U4617" s="10" t="n"/>
      <c r="V4617" s="10" t="n"/>
      <c r="W4617" s="10" t="n"/>
      <c r="X4617" s="10" t="n"/>
      <c r="Y4617" s="10" t="n"/>
      <c r="Z4617" s="10" t="n"/>
      <c r="AA4617" s="11">
        <f>IF(A4617="","",IF(AND(J4617="P4",F4617="causal"),"P4-CAUSAL",""))</f>
        <v/>
      </c>
    </row>
    <row r="4618" ht="15" customHeight="1" s="1">
      <c r="P4618">
        <f>IF(OR(F4618="",H4618="",J4618=""),"",J4618&amp;"|"&amp;F4618&amp;"|"&amp;IF(H4618="W3","W3_"&amp;IF(I4618="","unknown",I4618),H4618))</f>
        <v/>
      </c>
      <c r="Q4618">
        <f>IF(P4618="","",IFERROR(IF(AND(H4618="W7",OR(F4618="causal",F4618="predictive")),IF(AND(OR(K4618=1,K4618="1"),OR(L4618=1,L4618="1"),OR(M4618=1,M4618="1")),"adequate","partial"),IF(AND(H4618="W4",F4618="predictive",OR(J4618="P2",J4618="P3",J4618="P4")),IF(OR(U4618=1,U4618="1"),"adequate","partial"),INDEX(Fit_Matrix!$B:$B,MATCH(P4618,Fit_Matrix!$A:$A,0)))),"CHECK KEY"))</f>
        <v/>
      </c>
      <c r="U4618" s="10" t="n"/>
      <c r="V4618" s="10" t="n"/>
      <c r="W4618" s="10" t="n"/>
      <c r="X4618" s="10" t="n"/>
      <c r="Y4618" s="10" t="n"/>
      <c r="Z4618" s="10" t="n"/>
      <c r="AA4618" s="11">
        <f>IF(A4618="","",IF(AND(J4618="P4",F4618="causal"),"P4-CAUSAL",""))</f>
        <v/>
      </c>
    </row>
    <row r="4619" ht="15" customHeight="1" s="1">
      <c r="P4619">
        <f>IF(OR(F4619="",H4619="",J4619=""),"",J4619&amp;"|"&amp;F4619&amp;"|"&amp;IF(H4619="W3","W3_"&amp;IF(I4619="","unknown",I4619),H4619))</f>
        <v/>
      </c>
      <c r="Q4619">
        <f>IF(P4619="","",IFERROR(IF(AND(H4619="W7",OR(F4619="causal",F4619="predictive")),IF(AND(OR(K4619=1,K4619="1"),OR(L4619=1,L4619="1"),OR(M4619=1,M4619="1")),"adequate","partial"),IF(AND(H4619="W4",F4619="predictive",OR(J4619="P2",J4619="P3",J4619="P4")),IF(OR(U4619=1,U4619="1"),"adequate","partial"),INDEX(Fit_Matrix!$B:$B,MATCH(P4619,Fit_Matrix!$A:$A,0)))),"CHECK KEY"))</f>
        <v/>
      </c>
      <c r="U4619" s="10" t="n"/>
      <c r="V4619" s="10" t="n"/>
      <c r="W4619" s="10" t="n"/>
      <c r="X4619" s="10" t="n"/>
      <c r="Y4619" s="10" t="n"/>
      <c r="Z4619" s="10" t="n"/>
      <c r="AA4619" s="11">
        <f>IF(A4619="","",IF(AND(J4619="P4",F4619="causal"),"P4-CAUSAL",""))</f>
        <v/>
      </c>
    </row>
    <row r="4620" ht="15" customHeight="1" s="1">
      <c r="P4620">
        <f>IF(OR(F4620="",H4620="",J4620=""),"",J4620&amp;"|"&amp;F4620&amp;"|"&amp;IF(H4620="W3","W3_"&amp;IF(I4620="","unknown",I4620),H4620))</f>
        <v/>
      </c>
      <c r="Q4620">
        <f>IF(P4620="","",IFERROR(IF(AND(H4620="W7",OR(F4620="causal",F4620="predictive")),IF(AND(OR(K4620=1,K4620="1"),OR(L4620=1,L4620="1"),OR(M4620=1,M4620="1")),"adequate","partial"),IF(AND(H4620="W4",F4620="predictive",OR(J4620="P2",J4620="P3",J4620="P4")),IF(OR(U4620=1,U4620="1"),"adequate","partial"),INDEX(Fit_Matrix!$B:$B,MATCH(P4620,Fit_Matrix!$A:$A,0)))),"CHECK KEY"))</f>
        <v/>
      </c>
      <c r="U4620" s="10" t="n"/>
      <c r="V4620" s="10" t="n"/>
      <c r="W4620" s="10" t="n"/>
      <c r="X4620" s="10" t="n"/>
      <c r="Y4620" s="10" t="n"/>
      <c r="Z4620" s="10" t="n"/>
      <c r="AA4620" s="11">
        <f>IF(A4620="","",IF(AND(J4620="P4",F4620="causal"),"P4-CAUSAL",""))</f>
        <v/>
      </c>
    </row>
    <row r="4621" ht="15" customHeight="1" s="1">
      <c r="P4621">
        <f>IF(OR(F4621="",H4621="",J4621=""),"",J4621&amp;"|"&amp;F4621&amp;"|"&amp;IF(H4621="W3","W3_"&amp;IF(I4621="","unknown",I4621),H4621))</f>
        <v/>
      </c>
      <c r="Q4621">
        <f>IF(P4621="","",IFERROR(IF(AND(H4621="W7",OR(F4621="causal",F4621="predictive")),IF(AND(OR(K4621=1,K4621="1"),OR(L4621=1,L4621="1"),OR(M4621=1,M4621="1")),"adequate","partial"),IF(AND(H4621="W4",F4621="predictive",OR(J4621="P2",J4621="P3",J4621="P4")),IF(OR(U4621=1,U4621="1"),"adequate","partial"),INDEX(Fit_Matrix!$B:$B,MATCH(P4621,Fit_Matrix!$A:$A,0)))),"CHECK KEY"))</f>
        <v/>
      </c>
      <c r="U4621" s="10" t="n"/>
      <c r="V4621" s="10" t="n"/>
      <c r="W4621" s="10" t="n"/>
      <c r="X4621" s="10" t="n"/>
      <c r="Y4621" s="10" t="n"/>
      <c r="Z4621" s="10" t="n"/>
      <c r="AA4621" s="11">
        <f>IF(A4621="","",IF(AND(J4621="P4",F4621="causal"),"P4-CAUSAL",""))</f>
        <v/>
      </c>
    </row>
    <row r="4622" ht="15" customHeight="1" s="1">
      <c r="P4622">
        <f>IF(OR(F4622="",H4622="",J4622=""),"",J4622&amp;"|"&amp;F4622&amp;"|"&amp;IF(H4622="W3","W3_"&amp;IF(I4622="","unknown",I4622),H4622))</f>
        <v/>
      </c>
      <c r="Q4622">
        <f>IF(P4622="","",IFERROR(IF(AND(H4622="W7",OR(F4622="causal",F4622="predictive")),IF(AND(OR(K4622=1,K4622="1"),OR(L4622=1,L4622="1"),OR(M4622=1,M4622="1")),"adequate","partial"),IF(AND(H4622="W4",F4622="predictive",OR(J4622="P2",J4622="P3",J4622="P4")),IF(OR(U4622=1,U4622="1"),"adequate","partial"),INDEX(Fit_Matrix!$B:$B,MATCH(P4622,Fit_Matrix!$A:$A,0)))),"CHECK KEY"))</f>
        <v/>
      </c>
      <c r="U4622" s="10" t="n"/>
      <c r="V4622" s="10" t="n"/>
      <c r="W4622" s="10" t="n"/>
      <c r="X4622" s="10" t="n"/>
      <c r="Y4622" s="10" t="n"/>
      <c r="Z4622" s="10" t="n"/>
      <c r="AA4622" s="11">
        <f>IF(A4622="","",IF(AND(J4622="P4",F4622="causal"),"P4-CAUSAL",""))</f>
        <v/>
      </c>
    </row>
    <row r="4623" ht="15" customHeight="1" s="1">
      <c r="P4623">
        <f>IF(OR(F4623="",H4623="",J4623=""),"",J4623&amp;"|"&amp;F4623&amp;"|"&amp;IF(H4623="W3","W3_"&amp;IF(I4623="","unknown",I4623),H4623))</f>
        <v/>
      </c>
      <c r="Q4623">
        <f>IF(P4623="","",IFERROR(IF(AND(H4623="W7",OR(F4623="causal",F4623="predictive")),IF(AND(OR(K4623=1,K4623="1"),OR(L4623=1,L4623="1"),OR(M4623=1,M4623="1")),"adequate","partial"),IF(AND(H4623="W4",F4623="predictive",OR(J4623="P2",J4623="P3",J4623="P4")),IF(OR(U4623=1,U4623="1"),"adequate","partial"),INDEX(Fit_Matrix!$B:$B,MATCH(P4623,Fit_Matrix!$A:$A,0)))),"CHECK KEY"))</f>
        <v/>
      </c>
      <c r="U4623" s="10" t="n"/>
      <c r="V4623" s="10" t="n"/>
      <c r="W4623" s="10" t="n"/>
      <c r="X4623" s="10" t="n"/>
      <c r="Y4623" s="10" t="n"/>
      <c r="Z4623" s="10" t="n"/>
      <c r="AA4623" s="11">
        <f>IF(A4623="","",IF(AND(J4623="P4",F4623="causal"),"P4-CAUSAL",""))</f>
        <v/>
      </c>
    </row>
    <row r="4624" ht="15" customHeight="1" s="1">
      <c r="P4624">
        <f>IF(OR(F4624="",H4624="",J4624=""),"",J4624&amp;"|"&amp;F4624&amp;"|"&amp;IF(H4624="W3","W3_"&amp;IF(I4624="","unknown",I4624),H4624))</f>
        <v/>
      </c>
      <c r="Q4624">
        <f>IF(P4624="","",IFERROR(IF(AND(H4624="W7",OR(F4624="causal",F4624="predictive")),IF(AND(OR(K4624=1,K4624="1"),OR(L4624=1,L4624="1"),OR(M4624=1,M4624="1")),"adequate","partial"),IF(AND(H4624="W4",F4624="predictive",OR(J4624="P2",J4624="P3",J4624="P4")),IF(OR(U4624=1,U4624="1"),"adequate","partial"),INDEX(Fit_Matrix!$B:$B,MATCH(P4624,Fit_Matrix!$A:$A,0)))),"CHECK KEY"))</f>
        <v/>
      </c>
      <c r="U4624" s="10" t="n"/>
      <c r="V4624" s="10" t="n"/>
      <c r="W4624" s="10" t="n"/>
      <c r="X4624" s="10" t="n"/>
      <c r="Y4624" s="10" t="n"/>
      <c r="Z4624" s="10" t="n"/>
      <c r="AA4624" s="11">
        <f>IF(A4624="","",IF(AND(J4624="P4",F4624="causal"),"P4-CAUSAL",""))</f>
        <v/>
      </c>
    </row>
    <row r="4625" ht="15" customHeight="1" s="1">
      <c r="P4625">
        <f>IF(OR(F4625="",H4625="",J4625=""),"",J4625&amp;"|"&amp;F4625&amp;"|"&amp;IF(H4625="W3","W3_"&amp;IF(I4625="","unknown",I4625),H4625))</f>
        <v/>
      </c>
      <c r="Q4625">
        <f>IF(P4625="","",IFERROR(IF(AND(H4625="W7",OR(F4625="causal",F4625="predictive")),IF(AND(OR(K4625=1,K4625="1"),OR(L4625=1,L4625="1"),OR(M4625=1,M4625="1")),"adequate","partial"),IF(AND(H4625="W4",F4625="predictive",OR(J4625="P2",J4625="P3",J4625="P4")),IF(OR(U4625=1,U4625="1"),"adequate","partial"),INDEX(Fit_Matrix!$B:$B,MATCH(P4625,Fit_Matrix!$A:$A,0)))),"CHECK KEY"))</f>
        <v/>
      </c>
      <c r="U4625" s="10" t="n"/>
      <c r="V4625" s="10" t="n"/>
      <c r="W4625" s="10" t="n"/>
      <c r="X4625" s="10" t="n"/>
      <c r="Y4625" s="10" t="n"/>
      <c r="Z4625" s="10" t="n"/>
      <c r="AA4625" s="11">
        <f>IF(A4625="","",IF(AND(J4625="P4",F4625="causal"),"P4-CAUSAL",""))</f>
        <v/>
      </c>
    </row>
    <row r="4626" ht="15" customHeight="1" s="1">
      <c r="P4626">
        <f>IF(OR(F4626="",H4626="",J4626=""),"",J4626&amp;"|"&amp;F4626&amp;"|"&amp;IF(H4626="W3","W3_"&amp;IF(I4626="","unknown",I4626),H4626))</f>
        <v/>
      </c>
      <c r="Q4626">
        <f>IF(P4626="","",IFERROR(IF(AND(H4626="W7",OR(F4626="causal",F4626="predictive")),IF(AND(OR(K4626=1,K4626="1"),OR(L4626=1,L4626="1"),OR(M4626=1,M4626="1")),"adequate","partial"),IF(AND(H4626="W4",F4626="predictive",OR(J4626="P2",J4626="P3",J4626="P4")),IF(OR(U4626=1,U4626="1"),"adequate","partial"),INDEX(Fit_Matrix!$B:$B,MATCH(P4626,Fit_Matrix!$A:$A,0)))),"CHECK KEY"))</f>
        <v/>
      </c>
      <c r="U4626" s="10" t="n"/>
      <c r="V4626" s="10" t="n"/>
      <c r="W4626" s="10" t="n"/>
      <c r="X4626" s="10" t="n"/>
      <c r="Y4626" s="10" t="n"/>
      <c r="Z4626" s="10" t="n"/>
      <c r="AA4626" s="11">
        <f>IF(A4626="","",IF(AND(J4626="P4",F4626="causal"),"P4-CAUSAL",""))</f>
        <v/>
      </c>
    </row>
    <row r="4627" ht="15" customHeight="1" s="1">
      <c r="P4627">
        <f>IF(OR(F4627="",H4627="",J4627=""),"",J4627&amp;"|"&amp;F4627&amp;"|"&amp;IF(H4627="W3","W3_"&amp;IF(I4627="","unknown",I4627),H4627))</f>
        <v/>
      </c>
      <c r="Q4627">
        <f>IF(P4627="","",IFERROR(IF(AND(H4627="W7",OR(F4627="causal",F4627="predictive")),IF(AND(OR(K4627=1,K4627="1"),OR(L4627=1,L4627="1"),OR(M4627=1,M4627="1")),"adequate","partial"),IF(AND(H4627="W4",F4627="predictive",OR(J4627="P2",J4627="P3",J4627="P4")),IF(OR(U4627=1,U4627="1"),"adequate","partial"),INDEX(Fit_Matrix!$B:$B,MATCH(P4627,Fit_Matrix!$A:$A,0)))),"CHECK KEY"))</f>
        <v/>
      </c>
      <c r="U4627" s="10" t="n"/>
      <c r="V4627" s="10" t="n"/>
      <c r="W4627" s="10" t="n"/>
      <c r="X4627" s="10" t="n"/>
      <c r="Y4627" s="10" t="n"/>
      <c r="Z4627" s="10" t="n"/>
      <c r="AA4627" s="11">
        <f>IF(A4627="","",IF(AND(J4627="P4",F4627="causal"),"P4-CAUSAL",""))</f>
        <v/>
      </c>
    </row>
    <row r="4628" ht="15" customHeight="1" s="1">
      <c r="P4628">
        <f>IF(OR(F4628="",H4628="",J4628=""),"",J4628&amp;"|"&amp;F4628&amp;"|"&amp;IF(H4628="W3","W3_"&amp;IF(I4628="","unknown",I4628),H4628))</f>
        <v/>
      </c>
      <c r="Q4628">
        <f>IF(P4628="","",IFERROR(IF(AND(H4628="W7",OR(F4628="causal",F4628="predictive")),IF(AND(OR(K4628=1,K4628="1"),OR(L4628=1,L4628="1"),OR(M4628=1,M4628="1")),"adequate","partial"),IF(AND(H4628="W4",F4628="predictive",OR(J4628="P2",J4628="P3",J4628="P4")),IF(OR(U4628=1,U4628="1"),"adequate","partial"),INDEX(Fit_Matrix!$B:$B,MATCH(P4628,Fit_Matrix!$A:$A,0)))),"CHECK KEY"))</f>
        <v/>
      </c>
      <c r="U4628" s="10" t="n"/>
      <c r="V4628" s="10" t="n"/>
      <c r="W4628" s="10" t="n"/>
      <c r="X4628" s="10" t="n"/>
      <c r="Y4628" s="10" t="n"/>
      <c r="Z4628" s="10" t="n"/>
      <c r="AA4628" s="11">
        <f>IF(A4628="","",IF(AND(J4628="P4",F4628="causal"),"P4-CAUSAL",""))</f>
        <v/>
      </c>
    </row>
    <row r="4629" ht="15" customHeight="1" s="1">
      <c r="P4629">
        <f>IF(OR(F4629="",H4629="",J4629=""),"",J4629&amp;"|"&amp;F4629&amp;"|"&amp;IF(H4629="W3","W3_"&amp;IF(I4629="","unknown",I4629),H4629))</f>
        <v/>
      </c>
      <c r="Q4629">
        <f>IF(P4629="","",IFERROR(IF(AND(H4629="W7",OR(F4629="causal",F4629="predictive")),IF(AND(OR(K4629=1,K4629="1"),OR(L4629=1,L4629="1"),OR(M4629=1,M4629="1")),"adequate","partial"),IF(AND(H4629="W4",F4629="predictive",OR(J4629="P2",J4629="P3",J4629="P4")),IF(OR(U4629=1,U4629="1"),"adequate","partial"),INDEX(Fit_Matrix!$B:$B,MATCH(P4629,Fit_Matrix!$A:$A,0)))),"CHECK KEY"))</f>
        <v/>
      </c>
      <c r="U4629" s="10" t="n"/>
      <c r="V4629" s="10" t="n"/>
      <c r="W4629" s="10" t="n"/>
      <c r="X4629" s="10" t="n"/>
      <c r="Y4629" s="10" t="n"/>
      <c r="Z4629" s="10" t="n"/>
      <c r="AA4629" s="11">
        <f>IF(A4629="","",IF(AND(J4629="P4",F4629="causal"),"P4-CAUSAL",""))</f>
        <v/>
      </c>
    </row>
    <row r="4630" ht="15" customHeight="1" s="1">
      <c r="P4630">
        <f>IF(OR(F4630="",H4630="",J4630=""),"",J4630&amp;"|"&amp;F4630&amp;"|"&amp;IF(H4630="W3","W3_"&amp;IF(I4630="","unknown",I4630),H4630))</f>
        <v/>
      </c>
      <c r="Q4630">
        <f>IF(P4630="","",IFERROR(IF(AND(H4630="W7",OR(F4630="causal",F4630="predictive")),IF(AND(OR(K4630=1,K4630="1"),OR(L4630=1,L4630="1"),OR(M4630=1,M4630="1")),"adequate","partial"),IF(AND(H4630="W4",F4630="predictive",OR(J4630="P2",J4630="P3",J4630="P4")),IF(OR(U4630=1,U4630="1"),"adequate","partial"),INDEX(Fit_Matrix!$B:$B,MATCH(P4630,Fit_Matrix!$A:$A,0)))),"CHECK KEY"))</f>
        <v/>
      </c>
      <c r="U4630" s="10" t="n"/>
      <c r="V4630" s="10" t="n"/>
      <c r="W4630" s="10" t="n"/>
      <c r="X4630" s="10" t="n"/>
      <c r="Y4630" s="10" t="n"/>
      <c r="Z4630" s="10" t="n"/>
      <c r="AA4630" s="11">
        <f>IF(A4630="","",IF(AND(J4630="P4",F4630="causal"),"P4-CAUSAL",""))</f>
        <v/>
      </c>
    </row>
    <row r="4631" ht="15" customHeight="1" s="1">
      <c r="P4631">
        <f>IF(OR(F4631="",H4631="",J4631=""),"",J4631&amp;"|"&amp;F4631&amp;"|"&amp;IF(H4631="W3","W3_"&amp;IF(I4631="","unknown",I4631),H4631))</f>
        <v/>
      </c>
      <c r="Q4631">
        <f>IF(P4631="","",IFERROR(IF(AND(H4631="W7",OR(F4631="causal",F4631="predictive")),IF(AND(OR(K4631=1,K4631="1"),OR(L4631=1,L4631="1"),OR(M4631=1,M4631="1")),"adequate","partial"),IF(AND(H4631="W4",F4631="predictive",OR(J4631="P2",J4631="P3",J4631="P4")),IF(OR(U4631=1,U4631="1"),"adequate","partial"),INDEX(Fit_Matrix!$B:$B,MATCH(P4631,Fit_Matrix!$A:$A,0)))),"CHECK KEY"))</f>
        <v/>
      </c>
      <c r="U4631" s="10" t="n"/>
      <c r="V4631" s="10" t="n"/>
      <c r="W4631" s="10" t="n"/>
      <c r="X4631" s="10" t="n"/>
      <c r="Y4631" s="10" t="n"/>
      <c r="Z4631" s="10" t="n"/>
      <c r="AA4631" s="11">
        <f>IF(A4631="","",IF(AND(J4631="P4",F4631="causal"),"P4-CAUSAL",""))</f>
        <v/>
      </c>
    </row>
    <row r="4632" ht="15" customHeight="1" s="1">
      <c r="P4632">
        <f>IF(OR(F4632="",H4632="",J4632=""),"",J4632&amp;"|"&amp;F4632&amp;"|"&amp;IF(H4632="W3","W3_"&amp;IF(I4632="","unknown",I4632),H4632))</f>
        <v/>
      </c>
      <c r="Q4632">
        <f>IF(P4632="","",IFERROR(IF(AND(H4632="W7",OR(F4632="causal",F4632="predictive")),IF(AND(OR(K4632=1,K4632="1"),OR(L4632=1,L4632="1"),OR(M4632=1,M4632="1")),"adequate","partial"),IF(AND(H4632="W4",F4632="predictive",OR(J4632="P2",J4632="P3",J4632="P4")),IF(OR(U4632=1,U4632="1"),"adequate","partial"),INDEX(Fit_Matrix!$B:$B,MATCH(P4632,Fit_Matrix!$A:$A,0)))),"CHECK KEY"))</f>
        <v/>
      </c>
      <c r="U4632" s="10" t="n"/>
      <c r="V4632" s="10" t="n"/>
      <c r="W4632" s="10" t="n"/>
      <c r="X4632" s="10" t="n"/>
      <c r="Y4632" s="10" t="n"/>
      <c r="Z4632" s="10" t="n"/>
      <c r="AA4632" s="11">
        <f>IF(A4632="","",IF(AND(J4632="P4",F4632="causal"),"P4-CAUSAL",""))</f>
        <v/>
      </c>
    </row>
    <row r="4633" ht="15" customHeight="1" s="1">
      <c r="P4633">
        <f>IF(OR(F4633="",H4633="",J4633=""),"",J4633&amp;"|"&amp;F4633&amp;"|"&amp;IF(H4633="W3","W3_"&amp;IF(I4633="","unknown",I4633),H4633))</f>
        <v/>
      </c>
      <c r="Q4633">
        <f>IF(P4633="","",IFERROR(IF(AND(H4633="W7",OR(F4633="causal",F4633="predictive")),IF(AND(OR(K4633=1,K4633="1"),OR(L4633=1,L4633="1"),OR(M4633=1,M4633="1")),"adequate","partial"),IF(AND(H4633="W4",F4633="predictive",OR(J4633="P2",J4633="P3",J4633="P4")),IF(OR(U4633=1,U4633="1"),"adequate","partial"),INDEX(Fit_Matrix!$B:$B,MATCH(P4633,Fit_Matrix!$A:$A,0)))),"CHECK KEY"))</f>
        <v/>
      </c>
      <c r="U4633" s="10" t="n"/>
      <c r="V4633" s="10" t="n"/>
      <c r="W4633" s="10" t="n"/>
      <c r="X4633" s="10" t="n"/>
      <c r="Y4633" s="10" t="n"/>
      <c r="Z4633" s="10" t="n"/>
      <c r="AA4633" s="11">
        <f>IF(A4633="","",IF(AND(J4633="P4",F4633="causal"),"P4-CAUSAL",""))</f>
        <v/>
      </c>
    </row>
    <row r="4634" ht="15" customHeight="1" s="1">
      <c r="P4634">
        <f>IF(OR(F4634="",H4634="",J4634=""),"",J4634&amp;"|"&amp;F4634&amp;"|"&amp;IF(H4634="W3","W3_"&amp;IF(I4634="","unknown",I4634),H4634))</f>
        <v/>
      </c>
      <c r="Q4634">
        <f>IF(P4634="","",IFERROR(IF(AND(H4634="W7",OR(F4634="causal",F4634="predictive")),IF(AND(OR(K4634=1,K4634="1"),OR(L4634=1,L4634="1"),OR(M4634=1,M4634="1")),"adequate","partial"),IF(AND(H4634="W4",F4634="predictive",OR(J4634="P2",J4634="P3",J4634="P4")),IF(OR(U4634=1,U4634="1"),"adequate","partial"),INDEX(Fit_Matrix!$B:$B,MATCH(P4634,Fit_Matrix!$A:$A,0)))),"CHECK KEY"))</f>
        <v/>
      </c>
      <c r="U4634" s="10" t="n"/>
      <c r="V4634" s="10" t="n"/>
      <c r="W4634" s="10" t="n"/>
      <c r="X4634" s="10" t="n"/>
      <c r="Y4634" s="10" t="n"/>
      <c r="Z4634" s="10" t="n"/>
      <c r="AA4634" s="11">
        <f>IF(A4634="","",IF(AND(J4634="P4",F4634="causal"),"P4-CAUSAL",""))</f>
        <v/>
      </c>
    </row>
    <row r="4635" ht="15" customHeight="1" s="1">
      <c r="P4635">
        <f>IF(OR(F4635="",H4635="",J4635=""),"",J4635&amp;"|"&amp;F4635&amp;"|"&amp;IF(H4635="W3","W3_"&amp;IF(I4635="","unknown",I4635),H4635))</f>
        <v/>
      </c>
      <c r="Q4635">
        <f>IF(P4635="","",IFERROR(IF(AND(H4635="W7",OR(F4635="causal",F4635="predictive")),IF(AND(OR(K4635=1,K4635="1"),OR(L4635=1,L4635="1"),OR(M4635=1,M4635="1")),"adequate","partial"),IF(AND(H4635="W4",F4635="predictive",OR(J4635="P2",J4635="P3",J4635="P4")),IF(OR(U4635=1,U4635="1"),"adequate","partial"),INDEX(Fit_Matrix!$B:$B,MATCH(P4635,Fit_Matrix!$A:$A,0)))),"CHECK KEY"))</f>
        <v/>
      </c>
      <c r="U4635" s="10" t="n"/>
      <c r="V4635" s="10" t="n"/>
      <c r="W4635" s="10" t="n"/>
      <c r="X4635" s="10" t="n"/>
      <c r="Y4635" s="10" t="n"/>
      <c r="Z4635" s="10" t="n"/>
      <c r="AA4635" s="11">
        <f>IF(A4635="","",IF(AND(J4635="P4",F4635="causal"),"P4-CAUSAL",""))</f>
        <v/>
      </c>
    </row>
    <row r="4636" ht="15" customHeight="1" s="1">
      <c r="P4636">
        <f>IF(OR(F4636="",H4636="",J4636=""),"",J4636&amp;"|"&amp;F4636&amp;"|"&amp;IF(H4636="W3","W3_"&amp;IF(I4636="","unknown",I4636),H4636))</f>
        <v/>
      </c>
      <c r="Q4636">
        <f>IF(P4636="","",IFERROR(IF(AND(H4636="W7",OR(F4636="causal",F4636="predictive")),IF(AND(OR(K4636=1,K4636="1"),OR(L4636=1,L4636="1"),OR(M4636=1,M4636="1")),"adequate","partial"),IF(AND(H4636="W4",F4636="predictive",OR(J4636="P2",J4636="P3",J4636="P4")),IF(OR(U4636=1,U4636="1"),"adequate","partial"),INDEX(Fit_Matrix!$B:$B,MATCH(P4636,Fit_Matrix!$A:$A,0)))),"CHECK KEY"))</f>
        <v/>
      </c>
      <c r="U4636" s="10" t="n"/>
      <c r="V4636" s="10" t="n"/>
      <c r="W4636" s="10" t="n"/>
      <c r="X4636" s="10" t="n"/>
      <c r="Y4636" s="10" t="n"/>
      <c r="Z4636" s="10" t="n"/>
      <c r="AA4636" s="11">
        <f>IF(A4636="","",IF(AND(J4636="P4",F4636="causal"),"P4-CAUSAL",""))</f>
        <v/>
      </c>
    </row>
    <row r="4637" ht="15" customHeight="1" s="1">
      <c r="P4637">
        <f>IF(OR(F4637="",H4637="",J4637=""),"",J4637&amp;"|"&amp;F4637&amp;"|"&amp;IF(H4637="W3","W3_"&amp;IF(I4637="","unknown",I4637),H4637))</f>
        <v/>
      </c>
      <c r="Q4637">
        <f>IF(P4637="","",IFERROR(IF(AND(H4637="W7",OR(F4637="causal",F4637="predictive")),IF(AND(OR(K4637=1,K4637="1"),OR(L4637=1,L4637="1"),OR(M4637=1,M4637="1")),"adequate","partial"),IF(AND(H4637="W4",F4637="predictive",OR(J4637="P2",J4637="P3",J4637="P4")),IF(OR(U4637=1,U4637="1"),"adequate","partial"),INDEX(Fit_Matrix!$B:$B,MATCH(P4637,Fit_Matrix!$A:$A,0)))),"CHECK KEY"))</f>
        <v/>
      </c>
      <c r="U4637" s="10" t="n"/>
      <c r="V4637" s="10" t="n"/>
      <c r="W4637" s="10" t="n"/>
      <c r="X4637" s="10" t="n"/>
      <c r="Y4637" s="10" t="n"/>
      <c r="Z4637" s="10" t="n"/>
      <c r="AA4637" s="11">
        <f>IF(A4637="","",IF(AND(J4637="P4",F4637="causal"),"P4-CAUSAL",""))</f>
        <v/>
      </c>
    </row>
    <row r="4638" ht="15" customHeight="1" s="1">
      <c r="P4638">
        <f>IF(OR(F4638="",H4638="",J4638=""),"",J4638&amp;"|"&amp;F4638&amp;"|"&amp;IF(H4638="W3","W3_"&amp;IF(I4638="","unknown",I4638),H4638))</f>
        <v/>
      </c>
      <c r="Q4638">
        <f>IF(P4638="","",IFERROR(IF(AND(H4638="W7",OR(F4638="causal",F4638="predictive")),IF(AND(OR(K4638=1,K4638="1"),OR(L4638=1,L4638="1"),OR(M4638=1,M4638="1")),"adequate","partial"),IF(AND(H4638="W4",F4638="predictive",OR(J4638="P2",J4638="P3",J4638="P4")),IF(OR(U4638=1,U4638="1"),"adequate","partial"),INDEX(Fit_Matrix!$B:$B,MATCH(P4638,Fit_Matrix!$A:$A,0)))),"CHECK KEY"))</f>
        <v/>
      </c>
      <c r="U4638" s="10" t="n"/>
      <c r="V4638" s="10" t="n"/>
      <c r="W4638" s="10" t="n"/>
      <c r="X4638" s="10" t="n"/>
      <c r="Y4638" s="10" t="n"/>
      <c r="Z4638" s="10" t="n"/>
      <c r="AA4638" s="11">
        <f>IF(A4638="","",IF(AND(J4638="P4",F4638="causal"),"P4-CAUSAL",""))</f>
        <v/>
      </c>
    </row>
    <row r="4639" ht="15" customHeight="1" s="1">
      <c r="P4639">
        <f>IF(OR(F4639="",H4639="",J4639=""),"",J4639&amp;"|"&amp;F4639&amp;"|"&amp;IF(H4639="W3","W3_"&amp;IF(I4639="","unknown",I4639),H4639))</f>
        <v/>
      </c>
      <c r="Q4639">
        <f>IF(P4639="","",IFERROR(IF(AND(H4639="W7",OR(F4639="causal",F4639="predictive")),IF(AND(OR(K4639=1,K4639="1"),OR(L4639=1,L4639="1"),OR(M4639=1,M4639="1")),"adequate","partial"),IF(AND(H4639="W4",F4639="predictive",OR(J4639="P2",J4639="P3",J4639="P4")),IF(OR(U4639=1,U4639="1"),"adequate","partial"),INDEX(Fit_Matrix!$B:$B,MATCH(P4639,Fit_Matrix!$A:$A,0)))),"CHECK KEY"))</f>
        <v/>
      </c>
      <c r="U4639" s="10" t="n"/>
      <c r="V4639" s="10" t="n"/>
      <c r="W4639" s="10" t="n"/>
      <c r="X4639" s="10" t="n"/>
      <c r="Y4639" s="10" t="n"/>
      <c r="Z4639" s="10" t="n"/>
      <c r="AA4639" s="11">
        <f>IF(A4639="","",IF(AND(J4639="P4",F4639="causal"),"P4-CAUSAL",""))</f>
        <v/>
      </c>
    </row>
    <row r="4640" ht="15" customHeight="1" s="1">
      <c r="P4640">
        <f>IF(OR(F4640="",H4640="",J4640=""),"",J4640&amp;"|"&amp;F4640&amp;"|"&amp;IF(H4640="W3","W3_"&amp;IF(I4640="","unknown",I4640),H4640))</f>
        <v/>
      </c>
      <c r="Q4640">
        <f>IF(P4640="","",IFERROR(IF(AND(H4640="W7",OR(F4640="causal",F4640="predictive")),IF(AND(OR(K4640=1,K4640="1"),OR(L4640=1,L4640="1"),OR(M4640=1,M4640="1")),"adequate","partial"),IF(AND(H4640="W4",F4640="predictive",OR(J4640="P2",J4640="P3",J4640="P4")),IF(OR(U4640=1,U4640="1"),"adequate","partial"),INDEX(Fit_Matrix!$B:$B,MATCH(P4640,Fit_Matrix!$A:$A,0)))),"CHECK KEY"))</f>
        <v/>
      </c>
      <c r="U4640" s="10" t="n"/>
      <c r="V4640" s="10" t="n"/>
      <c r="W4640" s="10" t="n"/>
      <c r="X4640" s="10" t="n"/>
      <c r="Y4640" s="10" t="n"/>
      <c r="Z4640" s="10" t="n"/>
      <c r="AA4640" s="11">
        <f>IF(A4640="","",IF(AND(J4640="P4",F4640="causal"),"P4-CAUSAL",""))</f>
        <v/>
      </c>
    </row>
    <row r="4641" ht="15" customHeight="1" s="1">
      <c r="P4641">
        <f>IF(OR(F4641="",H4641="",J4641=""),"",J4641&amp;"|"&amp;F4641&amp;"|"&amp;IF(H4641="W3","W3_"&amp;IF(I4641="","unknown",I4641),H4641))</f>
        <v/>
      </c>
      <c r="Q4641">
        <f>IF(P4641="","",IFERROR(IF(AND(H4641="W7",OR(F4641="causal",F4641="predictive")),IF(AND(OR(K4641=1,K4641="1"),OR(L4641=1,L4641="1"),OR(M4641=1,M4641="1")),"adequate","partial"),IF(AND(H4641="W4",F4641="predictive",OR(J4641="P2",J4641="P3",J4641="P4")),IF(OR(U4641=1,U4641="1"),"adequate","partial"),INDEX(Fit_Matrix!$B:$B,MATCH(P4641,Fit_Matrix!$A:$A,0)))),"CHECK KEY"))</f>
        <v/>
      </c>
      <c r="U4641" s="10" t="n"/>
      <c r="V4641" s="10" t="n"/>
      <c r="W4641" s="10" t="n"/>
      <c r="X4641" s="10" t="n"/>
      <c r="Y4641" s="10" t="n"/>
      <c r="Z4641" s="10" t="n"/>
      <c r="AA4641" s="11">
        <f>IF(A4641="","",IF(AND(J4641="P4",F4641="causal"),"P4-CAUSAL",""))</f>
        <v/>
      </c>
    </row>
    <row r="4642" ht="15" customHeight="1" s="1">
      <c r="P4642">
        <f>IF(OR(F4642="",H4642="",J4642=""),"",J4642&amp;"|"&amp;F4642&amp;"|"&amp;IF(H4642="W3","W3_"&amp;IF(I4642="","unknown",I4642),H4642))</f>
        <v/>
      </c>
      <c r="Q4642">
        <f>IF(P4642="","",IFERROR(IF(AND(H4642="W7",OR(F4642="causal",F4642="predictive")),IF(AND(OR(K4642=1,K4642="1"),OR(L4642=1,L4642="1"),OR(M4642=1,M4642="1")),"adequate","partial"),IF(AND(H4642="W4",F4642="predictive",OR(J4642="P2",J4642="P3",J4642="P4")),IF(OR(U4642=1,U4642="1"),"adequate","partial"),INDEX(Fit_Matrix!$B:$B,MATCH(P4642,Fit_Matrix!$A:$A,0)))),"CHECK KEY"))</f>
        <v/>
      </c>
      <c r="U4642" s="10" t="n"/>
      <c r="V4642" s="10" t="n"/>
      <c r="W4642" s="10" t="n"/>
      <c r="X4642" s="10" t="n"/>
      <c r="Y4642" s="10" t="n"/>
      <c r="Z4642" s="10" t="n"/>
      <c r="AA4642" s="11">
        <f>IF(A4642="","",IF(AND(J4642="P4",F4642="causal"),"P4-CAUSAL",""))</f>
        <v/>
      </c>
    </row>
    <row r="4643" ht="15" customHeight="1" s="1">
      <c r="P4643">
        <f>IF(OR(F4643="",H4643="",J4643=""),"",J4643&amp;"|"&amp;F4643&amp;"|"&amp;IF(H4643="W3","W3_"&amp;IF(I4643="","unknown",I4643),H4643))</f>
        <v/>
      </c>
      <c r="Q4643">
        <f>IF(P4643="","",IFERROR(IF(AND(H4643="W7",OR(F4643="causal",F4643="predictive")),IF(AND(OR(K4643=1,K4643="1"),OR(L4643=1,L4643="1"),OR(M4643=1,M4643="1")),"adequate","partial"),IF(AND(H4643="W4",F4643="predictive",OR(J4643="P2",J4643="P3",J4643="P4")),IF(OR(U4643=1,U4643="1"),"adequate","partial"),INDEX(Fit_Matrix!$B:$B,MATCH(P4643,Fit_Matrix!$A:$A,0)))),"CHECK KEY"))</f>
        <v/>
      </c>
      <c r="U4643" s="10" t="n"/>
      <c r="V4643" s="10" t="n"/>
      <c r="W4643" s="10" t="n"/>
      <c r="X4643" s="10" t="n"/>
      <c r="Y4643" s="10" t="n"/>
      <c r="Z4643" s="10" t="n"/>
      <c r="AA4643" s="11">
        <f>IF(A4643="","",IF(AND(J4643="P4",F4643="causal"),"P4-CAUSAL",""))</f>
        <v/>
      </c>
    </row>
    <row r="4644" ht="15" customHeight="1" s="1">
      <c r="P4644">
        <f>IF(OR(F4644="",H4644="",J4644=""),"",J4644&amp;"|"&amp;F4644&amp;"|"&amp;IF(H4644="W3","W3_"&amp;IF(I4644="","unknown",I4644),H4644))</f>
        <v/>
      </c>
      <c r="Q4644">
        <f>IF(P4644="","",IFERROR(IF(AND(H4644="W7",OR(F4644="causal",F4644="predictive")),IF(AND(OR(K4644=1,K4644="1"),OR(L4644=1,L4644="1"),OR(M4644=1,M4644="1")),"adequate","partial"),IF(AND(H4644="W4",F4644="predictive",OR(J4644="P2",J4644="P3",J4644="P4")),IF(OR(U4644=1,U4644="1"),"adequate","partial"),INDEX(Fit_Matrix!$B:$B,MATCH(P4644,Fit_Matrix!$A:$A,0)))),"CHECK KEY"))</f>
        <v/>
      </c>
      <c r="U4644" s="10" t="n"/>
      <c r="V4644" s="10" t="n"/>
      <c r="W4644" s="10" t="n"/>
      <c r="X4644" s="10" t="n"/>
      <c r="Y4644" s="10" t="n"/>
      <c r="Z4644" s="10" t="n"/>
      <c r="AA4644" s="11">
        <f>IF(A4644="","",IF(AND(J4644="P4",F4644="causal"),"P4-CAUSAL",""))</f>
        <v/>
      </c>
    </row>
    <row r="4645" ht="15" customHeight="1" s="1">
      <c r="P4645">
        <f>IF(OR(F4645="",H4645="",J4645=""),"",J4645&amp;"|"&amp;F4645&amp;"|"&amp;IF(H4645="W3","W3_"&amp;IF(I4645="","unknown",I4645),H4645))</f>
        <v/>
      </c>
      <c r="Q4645">
        <f>IF(P4645="","",IFERROR(IF(AND(H4645="W7",OR(F4645="causal",F4645="predictive")),IF(AND(OR(K4645=1,K4645="1"),OR(L4645=1,L4645="1"),OR(M4645=1,M4645="1")),"adequate","partial"),IF(AND(H4645="W4",F4645="predictive",OR(J4645="P2",J4645="P3",J4645="P4")),IF(OR(U4645=1,U4645="1"),"adequate","partial"),INDEX(Fit_Matrix!$B:$B,MATCH(P4645,Fit_Matrix!$A:$A,0)))),"CHECK KEY"))</f>
        <v/>
      </c>
      <c r="U4645" s="10" t="n"/>
      <c r="V4645" s="10" t="n"/>
      <c r="W4645" s="10" t="n"/>
      <c r="X4645" s="10" t="n"/>
      <c r="Y4645" s="10" t="n"/>
      <c r="Z4645" s="10" t="n"/>
      <c r="AA4645" s="11">
        <f>IF(A4645="","",IF(AND(J4645="P4",F4645="causal"),"P4-CAUSAL",""))</f>
        <v/>
      </c>
    </row>
    <row r="4646" ht="15" customHeight="1" s="1">
      <c r="P4646">
        <f>IF(OR(F4646="",H4646="",J4646=""),"",J4646&amp;"|"&amp;F4646&amp;"|"&amp;IF(H4646="W3","W3_"&amp;IF(I4646="","unknown",I4646),H4646))</f>
        <v/>
      </c>
      <c r="Q4646">
        <f>IF(P4646="","",IFERROR(IF(AND(H4646="W7",OR(F4646="causal",F4646="predictive")),IF(AND(OR(K4646=1,K4646="1"),OR(L4646=1,L4646="1"),OR(M4646=1,M4646="1")),"adequate","partial"),IF(AND(H4646="W4",F4646="predictive",OR(J4646="P2",J4646="P3",J4646="P4")),IF(OR(U4646=1,U4646="1"),"adequate","partial"),INDEX(Fit_Matrix!$B:$B,MATCH(P4646,Fit_Matrix!$A:$A,0)))),"CHECK KEY"))</f>
        <v/>
      </c>
      <c r="U4646" s="10" t="n"/>
      <c r="V4646" s="10" t="n"/>
      <c r="W4646" s="10" t="n"/>
      <c r="X4646" s="10" t="n"/>
      <c r="Y4646" s="10" t="n"/>
      <c r="Z4646" s="10" t="n"/>
      <c r="AA4646" s="11">
        <f>IF(A4646="","",IF(AND(J4646="P4",F4646="causal"),"P4-CAUSAL",""))</f>
        <v/>
      </c>
    </row>
    <row r="4647" ht="15" customHeight="1" s="1">
      <c r="P4647">
        <f>IF(OR(F4647="",H4647="",J4647=""),"",J4647&amp;"|"&amp;F4647&amp;"|"&amp;IF(H4647="W3","W3_"&amp;IF(I4647="","unknown",I4647),H4647))</f>
        <v/>
      </c>
      <c r="Q4647">
        <f>IF(P4647="","",IFERROR(IF(AND(H4647="W7",OR(F4647="causal",F4647="predictive")),IF(AND(OR(K4647=1,K4647="1"),OR(L4647=1,L4647="1"),OR(M4647=1,M4647="1")),"adequate","partial"),IF(AND(H4647="W4",F4647="predictive",OR(J4647="P2",J4647="P3",J4647="P4")),IF(OR(U4647=1,U4647="1"),"adequate","partial"),INDEX(Fit_Matrix!$B:$B,MATCH(P4647,Fit_Matrix!$A:$A,0)))),"CHECK KEY"))</f>
        <v/>
      </c>
      <c r="U4647" s="10" t="n"/>
      <c r="V4647" s="10" t="n"/>
      <c r="W4647" s="10" t="n"/>
      <c r="X4647" s="10" t="n"/>
      <c r="Y4647" s="10" t="n"/>
      <c r="Z4647" s="10" t="n"/>
      <c r="AA4647" s="11">
        <f>IF(A4647="","",IF(AND(J4647="P4",F4647="causal"),"P4-CAUSAL",""))</f>
        <v/>
      </c>
    </row>
    <row r="4648" ht="15" customHeight="1" s="1">
      <c r="P4648">
        <f>IF(OR(F4648="",H4648="",J4648=""),"",J4648&amp;"|"&amp;F4648&amp;"|"&amp;IF(H4648="W3","W3_"&amp;IF(I4648="","unknown",I4648),H4648))</f>
        <v/>
      </c>
      <c r="Q4648">
        <f>IF(P4648="","",IFERROR(IF(AND(H4648="W7",OR(F4648="causal",F4648="predictive")),IF(AND(OR(K4648=1,K4648="1"),OR(L4648=1,L4648="1"),OR(M4648=1,M4648="1")),"adequate","partial"),IF(AND(H4648="W4",F4648="predictive",OR(J4648="P2",J4648="P3",J4648="P4")),IF(OR(U4648=1,U4648="1"),"adequate","partial"),INDEX(Fit_Matrix!$B:$B,MATCH(P4648,Fit_Matrix!$A:$A,0)))),"CHECK KEY"))</f>
        <v/>
      </c>
      <c r="U4648" s="10" t="n"/>
      <c r="V4648" s="10" t="n"/>
      <c r="W4648" s="10" t="n"/>
      <c r="X4648" s="10" t="n"/>
      <c r="Y4648" s="10" t="n"/>
      <c r="Z4648" s="10" t="n"/>
      <c r="AA4648" s="11">
        <f>IF(A4648="","",IF(AND(J4648="P4",F4648="causal"),"P4-CAUSAL",""))</f>
        <v/>
      </c>
    </row>
    <row r="4649" ht="15" customHeight="1" s="1">
      <c r="P4649">
        <f>IF(OR(F4649="",H4649="",J4649=""),"",J4649&amp;"|"&amp;F4649&amp;"|"&amp;IF(H4649="W3","W3_"&amp;IF(I4649="","unknown",I4649),H4649))</f>
        <v/>
      </c>
      <c r="Q4649">
        <f>IF(P4649="","",IFERROR(IF(AND(H4649="W7",OR(F4649="causal",F4649="predictive")),IF(AND(OR(K4649=1,K4649="1"),OR(L4649=1,L4649="1"),OR(M4649=1,M4649="1")),"adequate","partial"),IF(AND(H4649="W4",F4649="predictive",OR(J4649="P2",J4649="P3",J4649="P4")),IF(OR(U4649=1,U4649="1"),"adequate","partial"),INDEX(Fit_Matrix!$B:$B,MATCH(P4649,Fit_Matrix!$A:$A,0)))),"CHECK KEY"))</f>
        <v/>
      </c>
      <c r="U4649" s="10" t="n"/>
      <c r="V4649" s="10" t="n"/>
      <c r="W4649" s="10" t="n"/>
      <c r="X4649" s="10" t="n"/>
      <c r="Y4649" s="10" t="n"/>
      <c r="Z4649" s="10" t="n"/>
      <c r="AA4649" s="11">
        <f>IF(A4649="","",IF(AND(J4649="P4",F4649="causal"),"P4-CAUSAL",""))</f>
        <v/>
      </c>
    </row>
    <row r="4650" ht="15" customHeight="1" s="1">
      <c r="P4650">
        <f>IF(OR(F4650="",H4650="",J4650=""),"",J4650&amp;"|"&amp;F4650&amp;"|"&amp;IF(H4650="W3","W3_"&amp;IF(I4650="","unknown",I4650),H4650))</f>
        <v/>
      </c>
      <c r="Q4650">
        <f>IF(P4650="","",IFERROR(IF(AND(H4650="W7",OR(F4650="causal",F4650="predictive")),IF(AND(OR(K4650=1,K4650="1"),OR(L4650=1,L4650="1"),OR(M4650=1,M4650="1")),"adequate","partial"),IF(AND(H4650="W4",F4650="predictive",OR(J4650="P2",J4650="P3",J4650="P4")),IF(OR(U4650=1,U4650="1"),"adequate","partial"),INDEX(Fit_Matrix!$B:$B,MATCH(P4650,Fit_Matrix!$A:$A,0)))),"CHECK KEY"))</f>
        <v/>
      </c>
      <c r="U4650" s="10" t="n"/>
      <c r="V4650" s="10" t="n"/>
      <c r="W4650" s="10" t="n"/>
      <c r="X4650" s="10" t="n"/>
      <c r="Y4650" s="10" t="n"/>
      <c r="Z4650" s="10" t="n"/>
      <c r="AA4650" s="11">
        <f>IF(A4650="","",IF(AND(J4650="P4",F4650="causal"),"P4-CAUSAL",""))</f>
        <v/>
      </c>
    </row>
    <row r="4651" ht="15" customHeight="1" s="1">
      <c r="P4651">
        <f>IF(OR(F4651="",H4651="",J4651=""),"",J4651&amp;"|"&amp;F4651&amp;"|"&amp;IF(H4651="W3","W3_"&amp;IF(I4651="","unknown",I4651),H4651))</f>
        <v/>
      </c>
      <c r="Q4651">
        <f>IF(P4651="","",IFERROR(IF(AND(H4651="W7",OR(F4651="causal",F4651="predictive")),IF(AND(OR(K4651=1,K4651="1"),OR(L4651=1,L4651="1"),OR(M4651=1,M4651="1")),"adequate","partial"),IF(AND(H4651="W4",F4651="predictive",OR(J4651="P2",J4651="P3",J4651="P4")),IF(OR(U4651=1,U4651="1"),"adequate","partial"),INDEX(Fit_Matrix!$B:$B,MATCH(P4651,Fit_Matrix!$A:$A,0)))),"CHECK KEY"))</f>
        <v/>
      </c>
      <c r="U4651" s="10" t="n"/>
      <c r="V4651" s="10" t="n"/>
      <c r="W4651" s="10" t="n"/>
      <c r="X4651" s="10" t="n"/>
      <c r="Y4651" s="10" t="n"/>
      <c r="Z4651" s="10" t="n"/>
      <c r="AA4651" s="11">
        <f>IF(A4651="","",IF(AND(J4651="P4",F4651="causal"),"P4-CAUSAL",""))</f>
        <v/>
      </c>
    </row>
    <row r="4652" ht="15" customHeight="1" s="1">
      <c r="P4652">
        <f>IF(OR(F4652="",H4652="",J4652=""),"",J4652&amp;"|"&amp;F4652&amp;"|"&amp;IF(H4652="W3","W3_"&amp;IF(I4652="","unknown",I4652),H4652))</f>
        <v/>
      </c>
      <c r="Q4652">
        <f>IF(P4652="","",IFERROR(IF(AND(H4652="W7",OR(F4652="causal",F4652="predictive")),IF(AND(OR(K4652=1,K4652="1"),OR(L4652=1,L4652="1"),OR(M4652=1,M4652="1")),"adequate","partial"),IF(AND(H4652="W4",F4652="predictive",OR(J4652="P2",J4652="P3",J4652="P4")),IF(OR(U4652=1,U4652="1"),"adequate","partial"),INDEX(Fit_Matrix!$B:$B,MATCH(P4652,Fit_Matrix!$A:$A,0)))),"CHECK KEY"))</f>
        <v/>
      </c>
      <c r="U4652" s="10" t="n"/>
      <c r="V4652" s="10" t="n"/>
      <c r="W4652" s="10" t="n"/>
      <c r="X4652" s="10" t="n"/>
      <c r="Y4652" s="10" t="n"/>
      <c r="Z4652" s="10" t="n"/>
      <c r="AA4652" s="11">
        <f>IF(A4652="","",IF(AND(J4652="P4",F4652="causal"),"P4-CAUSAL",""))</f>
        <v/>
      </c>
    </row>
    <row r="4653" ht="15" customHeight="1" s="1">
      <c r="P4653">
        <f>IF(OR(F4653="",H4653="",J4653=""),"",J4653&amp;"|"&amp;F4653&amp;"|"&amp;IF(H4653="W3","W3_"&amp;IF(I4653="","unknown",I4653),H4653))</f>
        <v/>
      </c>
      <c r="Q4653">
        <f>IF(P4653="","",IFERROR(IF(AND(H4653="W7",OR(F4653="causal",F4653="predictive")),IF(AND(OR(K4653=1,K4653="1"),OR(L4653=1,L4653="1"),OR(M4653=1,M4653="1")),"adequate","partial"),IF(AND(H4653="W4",F4653="predictive",OR(J4653="P2",J4653="P3",J4653="P4")),IF(OR(U4653=1,U4653="1"),"adequate","partial"),INDEX(Fit_Matrix!$B:$B,MATCH(P4653,Fit_Matrix!$A:$A,0)))),"CHECK KEY"))</f>
        <v/>
      </c>
      <c r="U4653" s="10" t="n"/>
      <c r="V4653" s="10" t="n"/>
      <c r="W4653" s="10" t="n"/>
      <c r="X4653" s="10" t="n"/>
      <c r="Y4653" s="10" t="n"/>
      <c r="Z4653" s="10" t="n"/>
      <c r="AA4653" s="11">
        <f>IF(A4653="","",IF(AND(J4653="P4",F4653="causal"),"P4-CAUSAL",""))</f>
        <v/>
      </c>
    </row>
    <row r="4654" ht="15" customHeight="1" s="1">
      <c r="P4654">
        <f>IF(OR(F4654="",H4654="",J4654=""),"",J4654&amp;"|"&amp;F4654&amp;"|"&amp;IF(H4654="W3","W3_"&amp;IF(I4654="","unknown",I4654),H4654))</f>
        <v/>
      </c>
      <c r="Q4654">
        <f>IF(P4654="","",IFERROR(IF(AND(H4654="W7",OR(F4654="causal",F4654="predictive")),IF(AND(OR(K4654=1,K4654="1"),OR(L4654=1,L4654="1"),OR(M4654=1,M4654="1")),"adequate","partial"),IF(AND(H4654="W4",F4654="predictive",OR(J4654="P2",J4654="P3",J4654="P4")),IF(OR(U4654=1,U4654="1"),"adequate","partial"),INDEX(Fit_Matrix!$B:$B,MATCH(P4654,Fit_Matrix!$A:$A,0)))),"CHECK KEY"))</f>
        <v/>
      </c>
      <c r="U4654" s="10" t="n"/>
      <c r="V4654" s="10" t="n"/>
      <c r="W4654" s="10" t="n"/>
      <c r="X4654" s="10" t="n"/>
      <c r="Y4654" s="10" t="n"/>
      <c r="Z4654" s="10" t="n"/>
      <c r="AA4654" s="11">
        <f>IF(A4654="","",IF(AND(J4654="P4",F4654="causal"),"P4-CAUSAL",""))</f>
        <v/>
      </c>
    </row>
    <row r="4655" ht="15" customHeight="1" s="1">
      <c r="P4655">
        <f>IF(OR(F4655="",H4655="",J4655=""),"",J4655&amp;"|"&amp;F4655&amp;"|"&amp;IF(H4655="W3","W3_"&amp;IF(I4655="","unknown",I4655),H4655))</f>
        <v/>
      </c>
      <c r="Q4655">
        <f>IF(P4655="","",IFERROR(IF(AND(H4655="W7",OR(F4655="causal",F4655="predictive")),IF(AND(OR(K4655=1,K4655="1"),OR(L4655=1,L4655="1"),OR(M4655=1,M4655="1")),"adequate","partial"),IF(AND(H4655="W4",F4655="predictive",OR(J4655="P2",J4655="P3",J4655="P4")),IF(OR(U4655=1,U4655="1"),"adequate","partial"),INDEX(Fit_Matrix!$B:$B,MATCH(P4655,Fit_Matrix!$A:$A,0)))),"CHECK KEY"))</f>
        <v/>
      </c>
      <c r="U4655" s="10" t="n"/>
      <c r="V4655" s="10" t="n"/>
      <c r="W4655" s="10" t="n"/>
      <c r="X4655" s="10" t="n"/>
      <c r="Y4655" s="10" t="n"/>
      <c r="Z4655" s="10" t="n"/>
      <c r="AA4655" s="11">
        <f>IF(A4655="","",IF(AND(J4655="P4",F4655="causal"),"P4-CAUSAL",""))</f>
        <v/>
      </c>
    </row>
    <row r="4656" ht="15" customHeight="1" s="1">
      <c r="P4656">
        <f>IF(OR(F4656="",H4656="",J4656=""),"",J4656&amp;"|"&amp;F4656&amp;"|"&amp;IF(H4656="W3","W3_"&amp;IF(I4656="","unknown",I4656),H4656))</f>
        <v/>
      </c>
      <c r="Q4656">
        <f>IF(P4656="","",IFERROR(IF(AND(H4656="W7",OR(F4656="causal",F4656="predictive")),IF(AND(OR(K4656=1,K4656="1"),OR(L4656=1,L4656="1"),OR(M4656=1,M4656="1")),"adequate","partial"),IF(AND(H4656="W4",F4656="predictive",OR(J4656="P2",J4656="P3",J4656="P4")),IF(OR(U4656=1,U4656="1"),"adequate","partial"),INDEX(Fit_Matrix!$B:$B,MATCH(P4656,Fit_Matrix!$A:$A,0)))),"CHECK KEY"))</f>
        <v/>
      </c>
      <c r="U4656" s="10" t="n"/>
      <c r="V4656" s="10" t="n"/>
      <c r="W4656" s="10" t="n"/>
      <c r="X4656" s="10" t="n"/>
      <c r="Y4656" s="10" t="n"/>
      <c r="Z4656" s="10" t="n"/>
      <c r="AA4656" s="11">
        <f>IF(A4656="","",IF(AND(J4656="P4",F4656="causal"),"P4-CAUSAL",""))</f>
        <v/>
      </c>
    </row>
    <row r="4657" ht="15" customHeight="1" s="1">
      <c r="P4657">
        <f>IF(OR(F4657="",H4657="",J4657=""),"",J4657&amp;"|"&amp;F4657&amp;"|"&amp;IF(H4657="W3","W3_"&amp;IF(I4657="","unknown",I4657),H4657))</f>
        <v/>
      </c>
      <c r="Q4657">
        <f>IF(P4657="","",IFERROR(IF(AND(H4657="W7",OR(F4657="causal",F4657="predictive")),IF(AND(OR(K4657=1,K4657="1"),OR(L4657=1,L4657="1"),OR(M4657=1,M4657="1")),"adequate","partial"),IF(AND(H4657="W4",F4657="predictive",OR(J4657="P2",J4657="P3",J4657="P4")),IF(OR(U4657=1,U4657="1"),"adequate","partial"),INDEX(Fit_Matrix!$B:$B,MATCH(P4657,Fit_Matrix!$A:$A,0)))),"CHECK KEY"))</f>
        <v/>
      </c>
      <c r="U4657" s="10" t="n"/>
      <c r="V4657" s="10" t="n"/>
      <c r="W4657" s="10" t="n"/>
      <c r="X4657" s="10" t="n"/>
      <c r="Y4657" s="10" t="n"/>
      <c r="Z4657" s="10" t="n"/>
      <c r="AA4657" s="11">
        <f>IF(A4657="","",IF(AND(J4657="P4",F4657="causal"),"P4-CAUSAL",""))</f>
        <v/>
      </c>
    </row>
    <row r="4658" ht="15" customHeight="1" s="1">
      <c r="P4658">
        <f>IF(OR(F4658="",H4658="",J4658=""),"",J4658&amp;"|"&amp;F4658&amp;"|"&amp;IF(H4658="W3","W3_"&amp;IF(I4658="","unknown",I4658),H4658))</f>
        <v/>
      </c>
      <c r="Q4658">
        <f>IF(P4658="","",IFERROR(IF(AND(H4658="W7",OR(F4658="causal",F4658="predictive")),IF(AND(OR(K4658=1,K4658="1"),OR(L4658=1,L4658="1"),OR(M4658=1,M4658="1")),"adequate","partial"),IF(AND(H4658="W4",F4658="predictive",OR(J4658="P2",J4658="P3",J4658="P4")),IF(OR(U4658=1,U4658="1"),"adequate","partial"),INDEX(Fit_Matrix!$B:$B,MATCH(P4658,Fit_Matrix!$A:$A,0)))),"CHECK KEY"))</f>
        <v/>
      </c>
      <c r="U4658" s="10" t="n"/>
      <c r="V4658" s="10" t="n"/>
      <c r="W4658" s="10" t="n"/>
      <c r="X4658" s="10" t="n"/>
      <c r="Y4658" s="10" t="n"/>
      <c r="Z4658" s="10" t="n"/>
      <c r="AA4658" s="11">
        <f>IF(A4658="","",IF(AND(J4658="P4",F4658="causal"),"P4-CAUSAL",""))</f>
        <v/>
      </c>
    </row>
    <row r="4659" ht="15" customHeight="1" s="1">
      <c r="P4659">
        <f>IF(OR(F4659="",H4659="",J4659=""),"",J4659&amp;"|"&amp;F4659&amp;"|"&amp;IF(H4659="W3","W3_"&amp;IF(I4659="","unknown",I4659),H4659))</f>
        <v/>
      </c>
      <c r="Q4659">
        <f>IF(P4659="","",IFERROR(IF(AND(H4659="W7",OR(F4659="causal",F4659="predictive")),IF(AND(OR(K4659=1,K4659="1"),OR(L4659=1,L4659="1"),OR(M4659=1,M4659="1")),"adequate","partial"),IF(AND(H4659="W4",F4659="predictive",OR(J4659="P2",J4659="P3",J4659="P4")),IF(OR(U4659=1,U4659="1"),"adequate","partial"),INDEX(Fit_Matrix!$B:$B,MATCH(P4659,Fit_Matrix!$A:$A,0)))),"CHECK KEY"))</f>
        <v/>
      </c>
      <c r="U4659" s="10" t="n"/>
      <c r="V4659" s="10" t="n"/>
      <c r="W4659" s="10" t="n"/>
      <c r="X4659" s="10" t="n"/>
      <c r="Y4659" s="10" t="n"/>
      <c r="Z4659" s="10" t="n"/>
      <c r="AA4659" s="11">
        <f>IF(A4659="","",IF(AND(J4659="P4",F4659="causal"),"P4-CAUSAL",""))</f>
        <v/>
      </c>
    </row>
    <row r="4660" ht="15" customHeight="1" s="1">
      <c r="P4660">
        <f>IF(OR(F4660="",H4660="",J4660=""),"",J4660&amp;"|"&amp;F4660&amp;"|"&amp;IF(H4660="W3","W3_"&amp;IF(I4660="","unknown",I4660),H4660))</f>
        <v/>
      </c>
      <c r="Q4660">
        <f>IF(P4660="","",IFERROR(IF(AND(H4660="W7",OR(F4660="causal",F4660="predictive")),IF(AND(OR(K4660=1,K4660="1"),OR(L4660=1,L4660="1"),OR(M4660=1,M4660="1")),"adequate","partial"),IF(AND(H4660="W4",F4660="predictive",OR(J4660="P2",J4660="P3",J4660="P4")),IF(OR(U4660=1,U4660="1"),"adequate","partial"),INDEX(Fit_Matrix!$B:$B,MATCH(P4660,Fit_Matrix!$A:$A,0)))),"CHECK KEY"))</f>
        <v/>
      </c>
      <c r="U4660" s="10" t="n"/>
      <c r="V4660" s="10" t="n"/>
      <c r="W4660" s="10" t="n"/>
      <c r="X4660" s="10" t="n"/>
      <c r="Y4660" s="10" t="n"/>
      <c r="Z4660" s="10" t="n"/>
      <c r="AA4660" s="11">
        <f>IF(A4660="","",IF(AND(J4660="P4",F4660="causal"),"P4-CAUSAL",""))</f>
        <v/>
      </c>
    </row>
    <row r="4661" ht="15" customHeight="1" s="1">
      <c r="P4661">
        <f>IF(OR(F4661="",H4661="",J4661=""),"",J4661&amp;"|"&amp;F4661&amp;"|"&amp;IF(H4661="W3","W3_"&amp;IF(I4661="","unknown",I4661),H4661))</f>
        <v/>
      </c>
      <c r="Q4661">
        <f>IF(P4661="","",IFERROR(IF(AND(H4661="W7",OR(F4661="causal",F4661="predictive")),IF(AND(OR(K4661=1,K4661="1"),OR(L4661=1,L4661="1"),OR(M4661=1,M4661="1")),"adequate","partial"),IF(AND(H4661="W4",F4661="predictive",OR(J4661="P2",J4661="P3",J4661="P4")),IF(OR(U4661=1,U4661="1"),"adequate","partial"),INDEX(Fit_Matrix!$B:$B,MATCH(P4661,Fit_Matrix!$A:$A,0)))),"CHECK KEY"))</f>
        <v/>
      </c>
      <c r="U4661" s="10" t="n"/>
      <c r="V4661" s="10" t="n"/>
      <c r="W4661" s="10" t="n"/>
      <c r="X4661" s="10" t="n"/>
      <c r="Y4661" s="10" t="n"/>
      <c r="Z4661" s="10" t="n"/>
      <c r="AA4661" s="11">
        <f>IF(A4661="","",IF(AND(J4661="P4",F4661="causal"),"P4-CAUSAL",""))</f>
        <v/>
      </c>
    </row>
    <row r="4662" ht="15" customHeight="1" s="1">
      <c r="P4662">
        <f>IF(OR(F4662="",H4662="",J4662=""),"",J4662&amp;"|"&amp;F4662&amp;"|"&amp;IF(H4662="W3","W3_"&amp;IF(I4662="","unknown",I4662),H4662))</f>
        <v/>
      </c>
      <c r="Q4662">
        <f>IF(P4662="","",IFERROR(IF(AND(H4662="W7",OR(F4662="causal",F4662="predictive")),IF(AND(OR(K4662=1,K4662="1"),OR(L4662=1,L4662="1"),OR(M4662=1,M4662="1")),"adequate","partial"),IF(AND(H4662="W4",F4662="predictive",OR(J4662="P2",J4662="P3",J4662="P4")),IF(OR(U4662=1,U4662="1"),"adequate","partial"),INDEX(Fit_Matrix!$B:$B,MATCH(P4662,Fit_Matrix!$A:$A,0)))),"CHECK KEY"))</f>
        <v/>
      </c>
      <c r="U4662" s="10" t="n"/>
      <c r="V4662" s="10" t="n"/>
      <c r="W4662" s="10" t="n"/>
      <c r="X4662" s="10" t="n"/>
      <c r="Y4662" s="10" t="n"/>
      <c r="Z4662" s="10" t="n"/>
      <c r="AA4662" s="11">
        <f>IF(A4662="","",IF(AND(J4662="P4",F4662="causal"),"P4-CAUSAL",""))</f>
        <v/>
      </c>
    </row>
    <row r="4663" ht="15" customHeight="1" s="1">
      <c r="P4663">
        <f>IF(OR(F4663="",H4663="",J4663=""),"",J4663&amp;"|"&amp;F4663&amp;"|"&amp;IF(H4663="W3","W3_"&amp;IF(I4663="","unknown",I4663),H4663))</f>
        <v/>
      </c>
      <c r="Q4663">
        <f>IF(P4663="","",IFERROR(IF(AND(H4663="W7",OR(F4663="causal",F4663="predictive")),IF(AND(OR(K4663=1,K4663="1"),OR(L4663=1,L4663="1"),OR(M4663=1,M4663="1")),"adequate","partial"),IF(AND(H4663="W4",F4663="predictive",OR(J4663="P2",J4663="P3",J4663="P4")),IF(OR(U4663=1,U4663="1"),"adequate","partial"),INDEX(Fit_Matrix!$B:$B,MATCH(P4663,Fit_Matrix!$A:$A,0)))),"CHECK KEY"))</f>
        <v/>
      </c>
      <c r="U4663" s="10" t="n"/>
      <c r="V4663" s="10" t="n"/>
      <c r="W4663" s="10" t="n"/>
      <c r="X4663" s="10" t="n"/>
      <c r="Y4663" s="10" t="n"/>
      <c r="Z4663" s="10" t="n"/>
      <c r="AA4663" s="11">
        <f>IF(A4663="","",IF(AND(J4663="P4",F4663="causal"),"P4-CAUSAL",""))</f>
        <v/>
      </c>
    </row>
    <row r="4664" ht="15" customHeight="1" s="1">
      <c r="P4664">
        <f>IF(OR(F4664="",H4664="",J4664=""),"",J4664&amp;"|"&amp;F4664&amp;"|"&amp;IF(H4664="W3","W3_"&amp;IF(I4664="","unknown",I4664),H4664))</f>
        <v/>
      </c>
      <c r="Q4664">
        <f>IF(P4664="","",IFERROR(IF(AND(H4664="W7",OR(F4664="causal",F4664="predictive")),IF(AND(OR(K4664=1,K4664="1"),OR(L4664=1,L4664="1"),OR(M4664=1,M4664="1")),"adequate","partial"),IF(AND(H4664="W4",F4664="predictive",OR(J4664="P2",J4664="P3",J4664="P4")),IF(OR(U4664=1,U4664="1"),"adequate","partial"),INDEX(Fit_Matrix!$B:$B,MATCH(P4664,Fit_Matrix!$A:$A,0)))),"CHECK KEY"))</f>
        <v/>
      </c>
      <c r="U4664" s="10" t="n"/>
      <c r="V4664" s="10" t="n"/>
      <c r="W4664" s="10" t="n"/>
      <c r="X4664" s="10" t="n"/>
      <c r="Y4664" s="10" t="n"/>
      <c r="Z4664" s="10" t="n"/>
      <c r="AA4664" s="11">
        <f>IF(A4664="","",IF(AND(J4664="P4",F4664="causal"),"P4-CAUSAL",""))</f>
        <v/>
      </c>
    </row>
    <row r="4665" ht="15" customHeight="1" s="1">
      <c r="P4665">
        <f>IF(OR(F4665="",H4665="",J4665=""),"",J4665&amp;"|"&amp;F4665&amp;"|"&amp;IF(H4665="W3","W3_"&amp;IF(I4665="","unknown",I4665),H4665))</f>
        <v/>
      </c>
      <c r="Q4665">
        <f>IF(P4665="","",IFERROR(IF(AND(H4665="W7",OR(F4665="causal",F4665="predictive")),IF(AND(OR(K4665=1,K4665="1"),OR(L4665=1,L4665="1"),OR(M4665=1,M4665="1")),"adequate","partial"),IF(AND(H4665="W4",F4665="predictive",OR(J4665="P2",J4665="P3",J4665="P4")),IF(OR(U4665=1,U4665="1"),"adequate","partial"),INDEX(Fit_Matrix!$B:$B,MATCH(P4665,Fit_Matrix!$A:$A,0)))),"CHECK KEY"))</f>
        <v/>
      </c>
      <c r="U4665" s="10" t="n"/>
      <c r="V4665" s="10" t="n"/>
      <c r="W4665" s="10" t="n"/>
      <c r="X4665" s="10" t="n"/>
      <c r="Y4665" s="10" t="n"/>
      <c r="Z4665" s="10" t="n"/>
      <c r="AA4665" s="11">
        <f>IF(A4665="","",IF(AND(J4665="P4",F4665="causal"),"P4-CAUSAL",""))</f>
        <v/>
      </c>
    </row>
    <row r="4666" ht="15" customHeight="1" s="1">
      <c r="P4666">
        <f>IF(OR(F4666="",H4666="",J4666=""),"",J4666&amp;"|"&amp;F4666&amp;"|"&amp;IF(H4666="W3","W3_"&amp;IF(I4666="","unknown",I4666),H4666))</f>
        <v/>
      </c>
      <c r="Q4666">
        <f>IF(P4666="","",IFERROR(IF(AND(H4666="W7",OR(F4666="causal",F4666="predictive")),IF(AND(OR(K4666=1,K4666="1"),OR(L4666=1,L4666="1"),OR(M4666=1,M4666="1")),"adequate","partial"),IF(AND(H4666="W4",F4666="predictive",OR(J4666="P2",J4666="P3",J4666="P4")),IF(OR(U4666=1,U4666="1"),"adequate","partial"),INDEX(Fit_Matrix!$B:$B,MATCH(P4666,Fit_Matrix!$A:$A,0)))),"CHECK KEY"))</f>
        <v/>
      </c>
      <c r="U4666" s="10" t="n"/>
      <c r="V4666" s="10" t="n"/>
      <c r="W4666" s="10" t="n"/>
      <c r="X4666" s="10" t="n"/>
      <c r="Y4666" s="10" t="n"/>
      <c r="Z4666" s="10" t="n"/>
      <c r="AA4666" s="11">
        <f>IF(A4666="","",IF(AND(J4666="P4",F4666="causal"),"P4-CAUSAL",""))</f>
        <v/>
      </c>
    </row>
    <row r="4667" ht="15" customHeight="1" s="1">
      <c r="P4667">
        <f>IF(OR(F4667="",H4667="",J4667=""),"",J4667&amp;"|"&amp;F4667&amp;"|"&amp;IF(H4667="W3","W3_"&amp;IF(I4667="","unknown",I4667),H4667))</f>
        <v/>
      </c>
      <c r="Q4667">
        <f>IF(P4667="","",IFERROR(IF(AND(H4667="W7",OR(F4667="causal",F4667="predictive")),IF(AND(OR(K4667=1,K4667="1"),OR(L4667=1,L4667="1"),OR(M4667=1,M4667="1")),"adequate","partial"),IF(AND(H4667="W4",F4667="predictive",OR(J4667="P2",J4667="P3",J4667="P4")),IF(OR(U4667=1,U4667="1"),"adequate","partial"),INDEX(Fit_Matrix!$B:$B,MATCH(P4667,Fit_Matrix!$A:$A,0)))),"CHECK KEY"))</f>
        <v/>
      </c>
      <c r="U4667" s="10" t="n"/>
      <c r="V4667" s="10" t="n"/>
      <c r="W4667" s="10" t="n"/>
      <c r="X4667" s="10" t="n"/>
      <c r="Y4667" s="10" t="n"/>
      <c r="Z4667" s="10" t="n"/>
      <c r="AA4667" s="11">
        <f>IF(A4667="","",IF(AND(J4667="P4",F4667="causal"),"P4-CAUSAL",""))</f>
        <v/>
      </c>
    </row>
    <row r="4668" ht="15" customHeight="1" s="1">
      <c r="P4668">
        <f>IF(OR(F4668="",H4668="",J4668=""),"",J4668&amp;"|"&amp;F4668&amp;"|"&amp;IF(H4668="W3","W3_"&amp;IF(I4668="","unknown",I4668),H4668))</f>
        <v/>
      </c>
      <c r="Q4668">
        <f>IF(P4668="","",IFERROR(IF(AND(H4668="W7",OR(F4668="causal",F4668="predictive")),IF(AND(OR(K4668=1,K4668="1"),OR(L4668=1,L4668="1"),OR(M4668=1,M4668="1")),"adequate","partial"),IF(AND(H4668="W4",F4668="predictive",OR(J4668="P2",J4668="P3",J4668="P4")),IF(OR(U4668=1,U4668="1"),"adequate","partial"),INDEX(Fit_Matrix!$B:$B,MATCH(P4668,Fit_Matrix!$A:$A,0)))),"CHECK KEY"))</f>
        <v/>
      </c>
      <c r="U4668" s="10" t="n"/>
      <c r="V4668" s="10" t="n"/>
      <c r="W4668" s="10" t="n"/>
      <c r="X4668" s="10" t="n"/>
      <c r="Y4668" s="10" t="n"/>
      <c r="Z4668" s="10" t="n"/>
      <c r="AA4668" s="11">
        <f>IF(A4668="","",IF(AND(J4668="P4",F4668="causal"),"P4-CAUSAL",""))</f>
        <v/>
      </c>
    </row>
    <row r="4669" ht="15" customHeight="1" s="1">
      <c r="P4669">
        <f>IF(OR(F4669="",H4669="",J4669=""),"",J4669&amp;"|"&amp;F4669&amp;"|"&amp;IF(H4669="W3","W3_"&amp;IF(I4669="","unknown",I4669),H4669))</f>
        <v/>
      </c>
      <c r="Q4669">
        <f>IF(P4669="","",IFERROR(IF(AND(H4669="W7",OR(F4669="causal",F4669="predictive")),IF(AND(OR(K4669=1,K4669="1"),OR(L4669=1,L4669="1"),OR(M4669=1,M4669="1")),"adequate","partial"),IF(AND(H4669="W4",F4669="predictive",OR(J4669="P2",J4669="P3",J4669="P4")),IF(OR(U4669=1,U4669="1"),"adequate","partial"),INDEX(Fit_Matrix!$B:$B,MATCH(P4669,Fit_Matrix!$A:$A,0)))),"CHECK KEY"))</f>
        <v/>
      </c>
      <c r="U4669" s="10" t="n"/>
      <c r="V4669" s="10" t="n"/>
      <c r="W4669" s="10" t="n"/>
      <c r="X4669" s="10" t="n"/>
      <c r="Y4669" s="10" t="n"/>
      <c r="Z4669" s="10" t="n"/>
      <c r="AA4669" s="11">
        <f>IF(A4669="","",IF(AND(J4669="P4",F4669="causal"),"P4-CAUSAL",""))</f>
        <v/>
      </c>
    </row>
    <row r="4670" ht="15" customHeight="1" s="1">
      <c r="P4670">
        <f>IF(OR(F4670="",H4670="",J4670=""),"",J4670&amp;"|"&amp;F4670&amp;"|"&amp;IF(H4670="W3","W3_"&amp;IF(I4670="","unknown",I4670),H4670))</f>
        <v/>
      </c>
      <c r="Q4670">
        <f>IF(P4670="","",IFERROR(IF(AND(H4670="W7",OR(F4670="causal",F4670="predictive")),IF(AND(OR(K4670=1,K4670="1"),OR(L4670=1,L4670="1"),OR(M4670=1,M4670="1")),"adequate","partial"),IF(AND(H4670="W4",F4670="predictive",OR(J4670="P2",J4670="P3",J4670="P4")),IF(OR(U4670=1,U4670="1"),"adequate","partial"),INDEX(Fit_Matrix!$B:$B,MATCH(P4670,Fit_Matrix!$A:$A,0)))),"CHECK KEY"))</f>
        <v/>
      </c>
      <c r="U4670" s="10" t="n"/>
      <c r="V4670" s="10" t="n"/>
      <c r="W4670" s="10" t="n"/>
      <c r="X4670" s="10" t="n"/>
      <c r="Y4670" s="10" t="n"/>
      <c r="Z4670" s="10" t="n"/>
      <c r="AA4670" s="11">
        <f>IF(A4670="","",IF(AND(J4670="P4",F4670="causal"),"P4-CAUSAL",""))</f>
        <v/>
      </c>
    </row>
    <row r="4671" ht="15" customHeight="1" s="1">
      <c r="P4671">
        <f>IF(OR(F4671="",H4671="",J4671=""),"",J4671&amp;"|"&amp;F4671&amp;"|"&amp;IF(H4671="W3","W3_"&amp;IF(I4671="","unknown",I4671),H4671))</f>
        <v/>
      </c>
      <c r="Q4671">
        <f>IF(P4671="","",IFERROR(IF(AND(H4671="W7",OR(F4671="causal",F4671="predictive")),IF(AND(OR(K4671=1,K4671="1"),OR(L4671=1,L4671="1"),OR(M4671=1,M4671="1")),"adequate","partial"),IF(AND(H4671="W4",F4671="predictive",OR(J4671="P2",J4671="P3",J4671="P4")),IF(OR(U4671=1,U4671="1"),"adequate","partial"),INDEX(Fit_Matrix!$B:$B,MATCH(P4671,Fit_Matrix!$A:$A,0)))),"CHECK KEY"))</f>
        <v/>
      </c>
      <c r="U4671" s="10" t="n"/>
      <c r="V4671" s="10" t="n"/>
      <c r="W4671" s="10" t="n"/>
      <c r="X4671" s="10" t="n"/>
      <c r="Y4671" s="10" t="n"/>
      <c r="Z4671" s="10" t="n"/>
      <c r="AA4671" s="11">
        <f>IF(A4671="","",IF(AND(J4671="P4",F4671="causal"),"P4-CAUSAL",""))</f>
        <v/>
      </c>
    </row>
    <row r="4672" ht="15" customHeight="1" s="1">
      <c r="P4672">
        <f>IF(OR(F4672="",H4672="",J4672=""),"",J4672&amp;"|"&amp;F4672&amp;"|"&amp;IF(H4672="W3","W3_"&amp;IF(I4672="","unknown",I4672),H4672))</f>
        <v/>
      </c>
      <c r="Q4672">
        <f>IF(P4672="","",IFERROR(IF(AND(H4672="W7",OR(F4672="causal",F4672="predictive")),IF(AND(OR(K4672=1,K4672="1"),OR(L4672=1,L4672="1"),OR(M4672=1,M4672="1")),"adequate","partial"),IF(AND(H4672="W4",F4672="predictive",OR(J4672="P2",J4672="P3",J4672="P4")),IF(OR(U4672=1,U4672="1"),"adequate","partial"),INDEX(Fit_Matrix!$B:$B,MATCH(P4672,Fit_Matrix!$A:$A,0)))),"CHECK KEY"))</f>
        <v/>
      </c>
      <c r="U4672" s="10" t="n"/>
      <c r="V4672" s="10" t="n"/>
      <c r="W4672" s="10" t="n"/>
      <c r="X4672" s="10" t="n"/>
      <c r="Y4672" s="10" t="n"/>
      <c r="Z4672" s="10" t="n"/>
      <c r="AA4672" s="11">
        <f>IF(A4672="","",IF(AND(J4672="P4",F4672="causal"),"P4-CAUSAL",""))</f>
        <v/>
      </c>
    </row>
    <row r="4673" ht="15" customHeight="1" s="1">
      <c r="P4673">
        <f>IF(OR(F4673="",H4673="",J4673=""),"",J4673&amp;"|"&amp;F4673&amp;"|"&amp;IF(H4673="W3","W3_"&amp;IF(I4673="","unknown",I4673),H4673))</f>
        <v/>
      </c>
      <c r="Q4673">
        <f>IF(P4673="","",IFERROR(IF(AND(H4673="W7",OR(F4673="causal",F4673="predictive")),IF(AND(OR(K4673=1,K4673="1"),OR(L4673=1,L4673="1"),OR(M4673=1,M4673="1")),"adequate","partial"),IF(AND(H4673="W4",F4673="predictive",OR(J4673="P2",J4673="P3",J4673="P4")),IF(OR(U4673=1,U4673="1"),"adequate","partial"),INDEX(Fit_Matrix!$B:$B,MATCH(P4673,Fit_Matrix!$A:$A,0)))),"CHECK KEY"))</f>
        <v/>
      </c>
      <c r="U4673" s="10" t="n"/>
      <c r="V4673" s="10" t="n"/>
      <c r="W4673" s="10" t="n"/>
      <c r="X4673" s="10" t="n"/>
      <c r="Y4673" s="10" t="n"/>
      <c r="Z4673" s="10" t="n"/>
      <c r="AA4673" s="11">
        <f>IF(A4673="","",IF(AND(J4673="P4",F4673="causal"),"P4-CAUSAL",""))</f>
        <v/>
      </c>
    </row>
    <row r="4674" ht="15" customHeight="1" s="1">
      <c r="P4674">
        <f>IF(OR(F4674="",H4674="",J4674=""),"",J4674&amp;"|"&amp;F4674&amp;"|"&amp;IF(H4674="W3","W3_"&amp;IF(I4674="","unknown",I4674),H4674))</f>
        <v/>
      </c>
      <c r="Q4674">
        <f>IF(P4674="","",IFERROR(IF(AND(H4674="W7",OR(F4674="causal",F4674="predictive")),IF(AND(OR(K4674=1,K4674="1"),OR(L4674=1,L4674="1"),OR(M4674=1,M4674="1")),"adequate","partial"),IF(AND(H4674="W4",F4674="predictive",OR(J4674="P2",J4674="P3",J4674="P4")),IF(OR(U4674=1,U4674="1"),"adequate","partial"),INDEX(Fit_Matrix!$B:$B,MATCH(P4674,Fit_Matrix!$A:$A,0)))),"CHECK KEY"))</f>
        <v/>
      </c>
      <c r="U4674" s="10" t="n"/>
      <c r="V4674" s="10" t="n"/>
      <c r="W4674" s="10" t="n"/>
      <c r="X4674" s="10" t="n"/>
      <c r="Y4674" s="10" t="n"/>
      <c r="Z4674" s="10" t="n"/>
      <c r="AA4674" s="11">
        <f>IF(A4674="","",IF(AND(J4674="P4",F4674="causal"),"P4-CAUSAL",""))</f>
        <v/>
      </c>
    </row>
    <row r="4675" ht="15" customHeight="1" s="1">
      <c r="P4675">
        <f>IF(OR(F4675="",H4675="",J4675=""),"",J4675&amp;"|"&amp;F4675&amp;"|"&amp;IF(H4675="W3","W3_"&amp;IF(I4675="","unknown",I4675),H4675))</f>
        <v/>
      </c>
      <c r="Q4675">
        <f>IF(P4675="","",IFERROR(IF(AND(H4675="W7",OR(F4675="causal",F4675="predictive")),IF(AND(OR(K4675=1,K4675="1"),OR(L4675=1,L4675="1"),OR(M4675=1,M4675="1")),"adequate","partial"),IF(AND(H4675="W4",F4675="predictive",OR(J4675="P2",J4675="P3",J4675="P4")),IF(OR(U4675=1,U4675="1"),"adequate","partial"),INDEX(Fit_Matrix!$B:$B,MATCH(P4675,Fit_Matrix!$A:$A,0)))),"CHECK KEY"))</f>
        <v/>
      </c>
      <c r="U4675" s="10" t="n"/>
      <c r="V4675" s="10" t="n"/>
      <c r="W4675" s="10" t="n"/>
      <c r="X4675" s="10" t="n"/>
      <c r="Y4675" s="10" t="n"/>
      <c r="Z4675" s="10" t="n"/>
      <c r="AA4675" s="11">
        <f>IF(A4675="","",IF(AND(J4675="P4",F4675="causal"),"P4-CAUSAL",""))</f>
        <v/>
      </c>
    </row>
    <row r="4676" ht="15" customHeight="1" s="1">
      <c r="P4676">
        <f>IF(OR(F4676="",H4676="",J4676=""),"",J4676&amp;"|"&amp;F4676&amp;"|"&amp;IF(H4676="W3","W3_"&amp;IF(I4676="","unknown",I4676),H4676))</f>
        <v/>
      </c>
      <c r="Q4676">
        <f>IF(P4676="","",IFERROR(IF(AND(H4676="W7",OR(F4676="causal",F4676="predictive")),IF(AND(OR(K4676=1,K4676="1"),OR(L4676=1,L4676="1"),OR(M4676=1,M4676="1")),"adequate","partial"),IF(AND(H4676="W4",F4676="predictive",OR(J4676="P2",J4676="P3",J4676="P4")),IF(OR(U4676=1,U4676="1"),"adequate","partial"),INDEX(Fit_Matrix!$B:$B,MATCH(P4676,Fit_Matrix!$A:$A,0)))),"CHECK KEY"))</f>
        <v/>
      </c>
      <c r="U4676" s="10" t="n"/>
      <c r="V4676" s="10" t="n"/>
      <c r="W4676" s="10" t="n"/>
      <c r="X4676" s="10" t="n"/>
      <c r="Y4676" s="10" t="n"/>
      <c r="Z4676" s="10" t="n"/>
      <c r="AA4676" s="11">
        <f>IF(A4676="","",IF(AND(J4676="P4",F4676="causal"),"P4-CAUSAL",""))</f>
        <v/>
      </c>
    </row>
    <row r="4677" ht="15" customHeight="1" s="1">
      <c r="P4677">
        <f>IF(OR(F4677="",H4677="",J4677=""),"",J4677&amp;"|"&amp;F4677&amp;"|"&amp;IF(H4677="W3","W3_"&amp;IF(I4677="","unknown",I4677),H4677))</f>
        <v/>
      </c>
      <c r="Q4677">
        <f>IF(P4677="","",IFERROR(IF(AND(H4677="W7",OR(F4677="causal",F4677="predictive")),IF(AND(OR(K4677=1,K4677="1"),OR(L4677=1,L4677="1"),OR(M4677=1,M4677="1")),"adequate","partial"),IF(AND(H4677="W4",F4677="predictive",OR(J4677="P2",J4677="P3",J4677="P4")),IF(OR(U4677=1,U4677="1"),"adequate","partial"),INDEX(Fit_Matrix!$B:$B,MATCH(P4677,Fit_Matrix!$A:$A,0)))),"CHECK KEY"))</f>
        <v/>
      </c>
      <c r="U4677" s="10" t="n"/>
      <c r="V4677" s="10" t="n"/>
      <c r="W4677" s="10" t="n"/>
      <c r="X4677" s="10" t="n"/>
      <c r="Y4677" s="10" t="n"/>
      <c r="Z4677" s="10" t="n"/>
      <c r="AA4677" s="11">
        <f>IF(A4677="","",IF(AND(J4677="P4",F4677="causal"),"P4-CAUSAL",""))</f>
        <v/>
      </c>
    </row>
    <row r="4678" ht="15" customHeight="1" s="1">
      <c r="P4678">
        <f>IF(OR(F4678="",H4678="",J4678=""),"",J4678&amp;"|"&amp;F4678&amp;"|"&amp;IF(H4678="W3","W3_"&amp;IF(I4678="","unknown",I4678),H4678))</f>
        <v/>
      </c>
      <c r="Q4678">
        <f>IF(P4678="","",IFERROR(IF(AND(H4678="W7",OR(F4678="causal",F4678="predictive")),IF(AND(OR(K4678=1,K4678="1"),OR(L4678=1,L4678="1"),OR(M4678=1,M4678="1")),"adequate","partial"),IF(AND(H4678="W4",F4678="predictive",OR(J4678="P2",J4678="P3",J4678="P4")),IF(OR(U4678=1,U4678="1"),"adequate","partial"),INDEX(Fit_Matrix!$B:$B,MATCH(P4678,Fit_Matrix!$A:$A,0)))),"CHECK KEY"))</f>
        <v/>
      </c>
      <c r="U4678" s="10" t="n"/>
      <c r="V4678" s="10" t="n"/>
      <c r="W4678" s="10" t="n"/>
      <c r="X4678" s="10" t="n"/>
      <c r="Y4678" s="10" t="n"/>
      <c r="Z4678" s="10" t="n"/>
      <c r="AA4678" s="11">
        <f>IF(A4678="","",IF(AND(J4678="P4",F4678="causal"),"P4-CAUSAL",""))</f>
        <v/>
      </c>
    </row>
    <row r="4679" ht="15" customHeight="1" s="1">
      <c r="P4679">
        <f>IF(OR(F4679="",H4679="",J4679=""),"",J4679&amp;"|"&amp;F4679&amp;"|"&amp;IF(H4679="W3","W3_"&amp;IF(I4679="","unknown",I4679),H4679))</f>
        <v/>
      </c>
      <c r="Q4679">
        <f>IF(P4679="","",IFERROR(IF(AND(H4679="W7",OR(F4679="causal",F4679="predictive")),IF(AND(OR(K4679=1,K4679="1"),OR(L4679=1,L4679="1"),OR(M4679=1,M4679="1")),"adequate","partial"),IF(AND(H4679="W4",F4679="predictive",OR(J4679="P2",J4679="P3",J4679="P4")),IF(OR(U4679=1,U4679="1"),"adequate","partial"),INDEX(Fit_Matrix!$B:$B,MATCH(P4679,Fit_Matrix!$A:$A,0)))),"CHECK KEY"))</f>
        <v/>
      </c>
      <c r="U4679" s="10" t="n"/>
      <c r="V4679" s="10" t="n"/>
      <c r="W4679" s="10" t="n"/>
      <c r="X4679" s="10" t="n"/>
      <c r="Y4679" s="10" t="n"/>
      <c r="Z4679" s="10" t="n"/>
      <c r="AA4679" s="11">
        <f>IF(A4679="","",IF(AND(J4679="P4",F4679="causal"),"P4-CAUSAL",""))</f>
        <v/>
      </c>
    </row>
    <row r="4680" ht="15" customHeight="1" s="1">
      <c r="P4680">
        <f>IF(OR(F4680="",H4680="",J4680=""),"",J4680&amp;"|"&amp;F4680&amp;"|"&amp;IF(H4680="W3","W3_"&amp;IF(I4680="","unknown",I4680),H4680))</f>
        <v/>
      </c>
      <c r="Q4680">
        <f>IF(P4680="","",IFERROR(IF(AND(H4680="W7",OR(F4680="causal",F4680="predictive")),IF(AND(OR(K4680=1,K4680="1"),OR(L4680=1,L4680="1"),OR(M4680=1,M4680="1")),"adequate","partial"),IF(AND(H4680="W4",F4680="predictive",OR(J4680="P2",J4680="P3",J4680="P4")),IF(OR(U4680=1,U4680="1"),"adequate","partial"),INDEX(Fit_Matrix!$B:$B,MATCH(P4680,Fit_Matrix!$A:$A,0)))),"CHECK KEY"))</f>
        <v/>
      </c>
      <c r="U4680" s="10" t="n"/>
      <c r="V4680" s="10" t="n"/>
      <c r="W4680" s="10" t="n"/>
      <c r="X4680" s="10" t="n"/>
      <c r="Y4680" s="10" t="n"/>
      <c r="Z4680" s="10" t="n"/>
      <c r="AA4680" s="11">
        <f>IF(A4680="","",IF(AND(J4680="P4",F4680="causal"),"P4-CAUSAL",""))</f>
        <v/>
      </c>
    </row>
    <row r="4681" ht="15" customHeight="1" s="1">
      <c r="P4681">
        <f>IF(OR(F4681="",H4681="",J4681=""),"",J4681&amp;"|"&amp;F4681&amp;"|"&amp;IF(H4681="W3","W3_"&amp;IF(I4681="","unknown",I4681),H4681))</f>
        <v/>
      </c>
      <c r="Q4681">
        <f>IF(P4681="","",IFERROR(IF(AND(H4681="W7",OR(F4681="causal",F4681="predictive")),IF(AND(OR(K4681=1,K4681="1"),OR(L4681=1,L4681="1"),OR(M4681=1,M4681="1")),"adequate","partial"),IF(AND(H4681="W4",F4681="predictive",OR(J4681="P2",J4681="P3",J4681="P4")),IF(OR(U4681=1,U4681="1"),"adequate","partial"),INDEX(Fit_Matrix!$B:$B,MATCH(P4681,Fit_Matrix!$A:$A,0)))),"CHECK KEY"))</f>
        <v/>
      </c>
      <c r="U4681" s="10" t="n"/>
      <c r="V4681" s="10" t="n"/>
      <c r="W4681" s="10" t="n"/>
      <c r="X4681" s="10" t="n"/>
      <c r="Y4681" s="10" t="n"/>
      <c r="Z4681" s="10" t="n"/>
      <c r="AA4681" s="11">
        <f>IF(A4681="","",IF(AND(J4681="P4",F4681="causal"),"P4-CAUSAL",""))</f>
        <v/>
      </c>
    </row>
    <row r="4682" ht="15" customHeight="1" s="1">
      <c r="P4682">
        <f>IF(OR(F4682="",H4682="",J4682=""),"",J4682&amp;"|"&amp;F4682&amp;"|"&amp;IF(H4682="W3","W3_"&amp;IF(I4682="","unknown",I4682),H4682))</f>
        <v/>
      </c>
      <c r="Q4682">
        <f>IF(P4682="","",IFERROR(IF(AND(H4682="W7",OR(F4682="causal",F4682="predictive")),IF(AND(OR(K4682=1,K4682="1"),OR(L4682=1,L4682="1"),OR(M4682=1,M4682="1")),"adequate","partial"),IF(AND(H4682="W4",F4682="predictive",OR(J4682="P2",J4682="P3",J4682="P4")),IF(OR(U4682=1,U4682="1"),"adequate","partial"),INDEX(Fit_Matrix!$B:$B,MATCH(P4682,Fit_Matrix!$A:$A,0)))),"CHECK KEY"))</f>
        <v/>
      </c>
      <c r="U4682" s="10" t="n"/>
      <c r="V4682" s="10" t="n"/>
      <c r="W4682" s="10" t="n"/>
      <c r="X4682" s="10" t="n"/>
      <c r="Y4682" s="10" t="n"/>
      <c r="Z4682" s="10" t="n"/>
      <c r="AA4682" s="11">
        <f>IF(A4682="","",IF(AND(J4682="P4",F4682="causal"),"P4-CAUSAL",""))</f>
        <v/>
      </c>
    </row>
    <row r="4683" ht="15" customHeight="1" s="1">
      <c r="P4683">
        <f>IF(OR(F4683="",H4683="",J4683=""),"",J4683&amp;"|"&amp;F4683&amp;"|"&amp;IF(H4683="W3","W3_"&amp;IF(I4683="","unknown",I4683),H4683))</f>
        <v/>
      </c>
      <c r="Q4683">
        <f>IF(P4683="","",IFERROR(IF(AND(H4683="W7",OR(F4683="causal",F4683="predictive")),IF(AND(OR(K4683=1,K4683="1"),OR(L4683=1,L4683="1"),OR(M4683=1,M4683="1")),"adequate","partial"),IF(AND(H4683="W4",F4683="predictive",OR(J4683="P2",J4683="P3",J4683="P4")),IF(OR(U4683=1,U4683="1"),"adequate","partial"),INDEX(Fit_Matrix!$B:$B,MATCH(P4683,Fit_Matrix!$A:$A,0)))),"CHECK KEY"))</f>
        <v/>
      </c>
      <c r="U4683" s="10" t="n"/>
      <c r="V4683" s="10" t="n"/>
      <c r="W4683" s="10" t="n"/>
      <c r="X4683" s="10" t="n"/>
      <c r="Y4683" s="10" t="n"/>
      <c r="Z4683" s="10" t="n"/>
      <c r="AA4683" s="11">
        <f>IF(A4683="","",IF(AND(J4683="P4",F4683="causal"),"P4-CAUSAL",""))</f>
        <v/>
      </c>
    </row>
    <row r="4684" ht="15" customHeight="1" s="1">
      <c r="P4684">
        <f>IF(OR(F4684="",H4684="",J4684=""),"",J4684&amp;"|"&amp;F4684&amp;"|"&amp;IF(H4684="W3","W3_"&amp;IF(I4684="","unknown",I4684),H4684))</f>
        <v/>
      </c>
      <c r="Q4684">
        <f>IF(P4684="","",IFERROR(IF(AND(H4684="W7",OR(F4684="causal",F4684="predictive")),IF(AND(OR(K4684=1,K4684="1"),OR(L4684=1,L4684="1"),OR(M4684=1,M4684="1")),"adequate","partial"),IF(AND(H4684="W4",F4684="predictive",OR(J4684="P2",J4684="P3",J4684="P4")),IF(OR(U4684=1,U4684="1"),"adequate","partial"),INDEX(Fit_Matrix!$B:$B,MATCH(P4684,Fit_Matrix!$A:$A,0)))),"CHECK KEY"))</f>
        <v/>
      </c>
      <c r="U4684" s="10" t="n"/>
      <c r="V4684" s="10" t="n"/>
      <c r="W4684" s="10" t="n"/>
      <c r="X4684" s="10" t="n"/>
      <c r="Y4684" s="10" t="n"/>
      <c r="Z4684" s="10" t="n"/>
      <c r="AA4684" s="11">
        <f>IF(A4684="","",IF(AND(J4684="P4",F4684="causal"),"P4-CAUSAL",""))</f>
        <v/>
      </c>
    </row>
    <row r="4685" ht="15" customHeight="1" s="1">
      <c r="P4685">
        <f>IF(OR(F4685="",H4685="",J4685=""),"",J4685&amp;"|"&amp;F4685&amp;"|"&amp;IF(H4685="W3","W3_"&amp;IF(I4685="","unknown",I4685),H4685))</f>
        <v/>
      </c>
      <c r="Q4685">
        <f>IF(P4685="","",IFERROR(IF(AND(H4685="W7",OR(F4685="causal",F4685="predictive")),IF(AND(OR(K4685=1,K4685="1"),OR(L4685=1,L4685="1"),OR(M4685=1,M4685="1")),"adequate","partial"),IF(AND(H4685="W4",F4685="predictive",OR(J4685="P2",J4685="P3",J4685="P4")),IF(OR(U4685=1,U4685="1"),"adequate","partial"),INDEX(Fit_Matrix!$B:$B,MATCH(P4685,Fit_Matrix!$A:$A,0)))),"CHECK KEY"))</f>
        <v/>
      </c>
      <c r="U4685" s="10" t="n"/>
      <c r="V4685" s="10" t="n"/>
      <c r="W4685" s="10" t="n"/>
      <c r="X4685" s="10" t="n"/>
      <c r="Y4685" s="10" t="n"/>
      <c r="Z4685" s="10" t="n"/>
      <c r="AA4685" s="11">
        <f>IF(A4685="","",IF(AND(J4685="P4",F4685="causal"),"P4-CAUSAL",""))</f>
        <v/>
      </c>
    </row>
    <row r="4686" ht="15" customHeight="1" s="1">
      <c r="P4686">
        <f>IF(OR(F4686="",H4686="",J4686=""),"",J4686&amp;"|"&amp;F4686&amp;"|"&amp;IF(H4686="W3","W3_"&amp;IF(I4686="","unknown",I4686),H4686))</f>
        <v/>
      </c>
      <c r="Q4686">
        <f>IF(P4686="","",IFERROR(IF(AND(H4686="W7",OR(F4686="causal",F4686="predictive")),IF(AND(OR(K4686=1,K4686="1"),OR(L4686=1,L4686="1"),OR(M4686=1,M4686="1")),"adequate","partial"),IF(AND(H4686="W4",F4686="predictive",OR(J4686="P2",J4686="P3",J4686="P4")),IF(OR(U4686=1,U4686="1"),"adequate","partial"),INDEX(Fit_Matrix!$B:$B,MATCH(P4686,Fit_Matrix!$A:$A,0)))),"CHECK KEY"))</f>
        <v/>
      </c>
      <c r="U4686" s="10" t="n"/>
      <c r="V4686" s="10" t="n"/>
      <c r="W4686" s="10" t="n"/>
      <c r="X4686" s="10" t="n"/>
      <c r="Y4686" s="10" t="n"/>
      <c r="Z4686" s="10" t="n"/>
      <c r="AA4686" s="11">
        <f>IF(A4686="","",IF(AND(J4686="P4",F4686="causal"),"P4-CAUSAL",""))</f>
        <v/>
      </c>
    </row>
    <row r="4687" ht="15" customHeight="1" s="1">
      <c r="P4687">
        <f>IF(OR(F4687="",H4687="",J4687=""),"",J4687&amp;"|"&amp;F4687&amp;"|"&amp;IF(H4687="W3","W3_"&amp;IF(I4687="","unknown",I4687),H4687))</f>
        <v/>
      </c>
      <c r="Q4687">
        <f>IF(P4687="","",IFERROR(IF(AND(H4687="W7",OR(F4687="causal",F4687="predictive")),IF(AND(OR(K4687=1,K4687="1"),OR(L4687=1,L4687="1"),OR(M4687=1,M4687="1")),"adequate","partial"),IF(AND(H4687="W4",F4687="predictive",OR(J4687="P2",J4687="P3",J4687="P4")),IF(OR(U4687=1,U4687="1"),"adequate","partial"),INDEX(Fit_Matrix!$B:$B,MATCH(P4687,Fit_Matrix!$A:$A,0)))),"CHECK KEY"))</f>
        <v/>
      </c>
      <c r="U4687" s="10" t="n"/>
      <c r="V4687" s="10" t="n"/>
      <c r="W4687" s="10" t="n"/>
      <c r="X4687" s="10" t="n"/>
      <c r="Y4687" s="10" t="n"/>
      <c r="Z4687" s="10" t="n"/>
      <c r="AA4687" s="11">
        <f>IF(A4687="","",IF(AND(J4687="P4",F4687="causal"),"P4-CAUSAL",""))</f>
        <v/>
      </c>
    </row>
    <row r="4688" ht="15" customHeight="1" s="1">
      <c r="P4688">
        <f>IF(OR(F4688="",H4688="",J4688=""),"",J4688&amp;"|"&amp;F4688&amp;"|"&amp;IF(H4688="W3","W3_"&amp;IF(I4688="","unknown",I4688),H4688))</f>
        <v/>
      </c>
      <c r="Q4688">
        <f>IF(P4688="","",IFERROR(IF(AND(H4688="W7",OR(F4688="causal",F4688="predictive")),IF(AND(OR(K4688=1,K4688="1"),OR(L4688=1,L4688="1"),OR(M4688=1,M4688="1")),"adequate","partial"),IF(AND(H4688="W4",F4688="predictive",OR(J4688="P2",J4688="P3",J4688="P4")),IF(OR(U4688=1,U4688="1"),"adequate","partial"),INDEX(Fit_Matrix!$B:$B,MATCH(P4688,Fit_Matrix!$A:$A,0)))),"CHECK KEY"))</f>
        <v/>
      </c>
      <c r="U4688" s="10" t="n"/>
      <c r="V4688" s="10" t="n"/>
      <c r="W4688" s="10" t="n"/>
      <c r="X4688" s="10" t="n"/>
      <c r="Y4688" s="10" t="n"/>
      <c r="Z4688" s="10" t="n"/>
      <c r="AA4688" s="11">
        <f>IF(A4688="","",IF(AND(J4688="P4",F4688="causal"),"P4-CAUSAL",""))</f>
        <v/>
      </c>
    </row>
    <row r="4689" ht="15" customHeight="1" s="1">
      <c r="P4689">
        <f>IF(OR(F4689="",H4689="",J4689=""),"",J4689&amp;"|"&amp;F4689&amp;"|"&amp;IF(H4689="W3","W3_"&amp;IF(I4689="","unknown",I4689),H4689))</f>
        <v/>
      </c>
      <c r="Q4689">
        <f>IF(P4689="","",IFERROR(IF(AND(H4689="W7",OR(F4689="causal",F4689="predictive")),IF(AND(OR(K4689=1,K4689="1"),OR(L4689=1,L4689="1"),OR(M4689=1,M4689="1")),"adequate","partial"),IF(AND(H4689="W4",F4689="predictive",OR(J4689="P2",J4689="P3",J4689="P4")),IF(OR(U4689=1,U4689="1"),"adequate","partial"),INDEX(Fit_Matrix!$B:$B,MATCH(P4689,Fit_Matrix!$A:$A,0)))),"CHECK KEY"))</f>
        <v/>
      </c>
      <c r="U4689" s="10" t="n"/>
      <c r="V4689" s="10" t="n"/>
      <c r="W4689" s="10" t="n"/>
      <c r="X4689" s="10" t="n"/>
      <c r="Y4689" s="10" t="n"/>
      <c r="Z4689" s="10" t="n"/>
      <c r="AA4689" s="11">
        <f>IF(A4689="","",IF(AND(J4689="P4",F4689="causal"),"P4-CAUSAL",""))</f>
        <v/>
      </c>
    </row>
    <row r="4690" ht="15" customHeight="1" s="1">
      <c r="P4690">
        <f>IF(OR(F4690="",H4690="",J4690=""),"",J4690&amp;"|"&amp;F4690&amp;"|"&amp;IF(H4690="W3","W3_"&amp;IF(I4690="","unknown",I4690),H4690))</f>
        <v/>
      </c>
      <c r="Q4690">
        <f>IF(P4690="","",IFERROR(IF(AND(H4690="W7",OR(F4690="causal",F4690="predictive")),IF(AND(OR(K4690=1,K4690="1"),OR(L4690=1,L4690="1"),OR(M4690=1,M4690="1")),"adequate","partial"),IF(AND(H4690="W4",F4690="predictive",OR(J4690="P2",J4690="P3",J4690="P4")),IF(OR(U4690=1,U4690="1"),"adequate","partial"),INDEX(Fit_Matrix!$B:$B,MATCH(P4690,Fit_Matrix!$A:$A,0)))),"CHECK KEY"))</f>
        <v/>
      </c>
      <c r="U4690" s="10" t="n"/>
      <c r="V4690" s="10" t="n"/>
      <c r="W4690" s="10" t="n"/>
      <c r="X4690" s="10" t="n"/>
      <c r="Y4690" s="10" t="n"/>
      <c r="Z4690" s="10" t="n"/>
      <c r="AA4690" s="11">
        <f>IF(A4690="","",IF(AND(J4690="P4",F4690="causal"),"P4-CAUSAL",""))</f>
        <v/>
      </c>
    </row>
    <row r="4691" ht="15" customHeight="1" s="1">
      <c r="P4691">
        <f>IF(OR(F4691="",H4691="",J4691=""),"",J4691&amp;"|"&amp;F4691&amp;"|"&amp;IF(H4691="W3","W3_"&amp;IF(I4691="","unknown",I4691),H4691))</f>
        <v/>
      </c>
      <c r="Q4691">
        <f>IF(P4691="","",IFERROR(IF(AND(H4691="W7",OR(F4691="causal",F4691="predictive")),IF(AND(OR(K4691=1,K4691="1"),OR(L4691=1,L4691="1"),OR(M4691=1,M4691="1")),"adequate","partial"),IF(AND(H4691="W4",F4691="predictive",OR(J4691="P2",J4691="P3",J4691="P4")),IF(OR(U4691=1,U4691="1"),"adequate","partial"),INDEX(Fit_Matrix!$B:$B,MATCH(P4691,Fit_Matrix!$A:$A,0)))),"CHECK KEY"))</f>
        <v/>
      </c>
      <c r="U4691" s="10" t="n"/>
      <c r="V4691" s="10" t="n"/>
      <c r="W4691" s="10" t="n"/>
      <c r="X4691" s="10" t="n"/>
      <c r="Y4691" s="10" t="n"/>
      <c r="Z4691" s="10" t="n"/>
      <c r="AA4691" s="11">
        <f>IF(A4691="","",IF(AND(J4691="P4",F4691="causal"),"P4-CAUSAL",""))</f>
        <v/>
      </c>
    </row>
    <row r="4692" ht="15" customHeight="1" s="1">
      <c r="P4692">
        <f>IF(OR(F4692="",H4692="",J4692=""),"",J4692&amp;"|"&amp;F4692&amp;"|"&amp;IF(H4692="W3","W3_"&amp;IF(I4692="","unknown",I4692),H4692))</f>
        <v/>
      </c>
      <c r="Q4692">
        <f>IF(P4692="","",IFERROR(IF(AND(H4692="W7",OR(F4692="causal",F4692="predictive")),IF(AND(OR(K4692=1,K4692="1"),OR(L4692=1,L4692="1"),OR(M4692=1,M4692="1")),"adequate","partial"),IF(AND(H4692="W4",F4692="predictive",OR(J4692="P2",J4692="P3",J4692="P4")),IF(OR(U4692=1,U4692="1"),"adequate","partial"),INDEX(Fit_Matrix!$B:$B,MATCH(P4692,Fit_Matrix!$A:$A,0)))),"CHECK KEY"))</f>
        <v/>
      </c>
      <c r="U4692" s="10" t="n"/>
      <c r="V4692" s="10" t="n"/>
      <c r="W4692" s="10" t="n"/>
      <c r="X4692" s="10" t="n"/>
      <c r="Y4692" s="10" t="n"/>
      <c r="Z4692" s="10" t="n"/>
      <c r="AA4692" s="11">
        <f>IF(A4692="","",IF(AND(J4692="P4",F4692="causal"),"P4-CAUSAL",""))</f>
        <v/>
      </c>
    </row>
    <row r="4693" ht="15" customHeight="1" s="1">
      <c r="P4693">
        <f>IF(OR(F4693="",H4693="",J4693=""),"",J4693&amp;"|"&amp;F4693&amp;"|"&amp;IF(H4693="W3","W3_"&amp;IF(I4693="","unknown",I4693),H4693))</f>
        <v/>
      </c>
      <c r="Q4693">
        <f>IF(P4693="","",IFERROR(IF(AND(H4693="W7",OR(F4693="causal",F4693="predictive")),IF(AND(OR(K4693=1,K4693="1"),OR(L4693=1,L4693="1"),OR(M4693=1,M4693="1")),"adequate","partial"),IF(AND(H4693="W4",F4693="predictive",OR(J4693="P2",J4693="P3",J4693="P4")),IF(OR(U4693=1,U4693="1"),"adequate","partial"),INDEX(Fit_Matrix!$B:$B,MATCH(P4693,Fit_Matrix!$A:$A,0)))),"CHECK KEY"))</f>
        <v/>
      </c>
      <c r="U4693" s="10" t="n"/>
      <c r="V4693" s="10" t="n"/>
      <c r="W4693" s="10" t="n"/>
      <c r="X4693" s="10" t="n"/>
      <c r="Y4693" s="10" t="n"/>
      <c r="Z4693" s="10" t="n"/>
      <c r="AA4693" s="11">
        <f>IF(A4693="","",IF(AND(J4693="P4",F4693="causal"),"P4-CAUSAL",""))</f>
        <v/>
      </c>
    </row>
    <row r="4694" ht="15" customHeight="1" s="1">
      <c r="P4694">
        <f>IF(OR(F4694="",H4694="",J4694=""),"",J4694&amp;"|"&amp;F4694&amp;"|"&amp;IF(H4694="W3","W3_"&amp;IF(I4694="","unknown",I4694),H4694))</f>
        <v/>
      </c>
      <c r="Q4694">
        <f>IF(P4694="","",IFERROR(IF(AND(H4694="W7",OR(F4694="causal",F4694="predictive")),IF(AND(OR(K4694=1,K4694="1"),OR(L4694=1,L4694="1"),OR(M4694=1,M4694="1")),"adequate","partial"),IF(AND(H4694="W4",F4694="predictive",OR(J4694="P2",J4694="P3",J4694="P4")),IF(OR(U4694=1,U4694="1"),"adequate","partial"),INDEX(Fit_Matrix!$B:$B,MATCH(P4694,Fit_Matrix!$A:$A,0)))),"CHECK KEY"))</f>
        <v/>
      </c>
      <c r="U4694" s="10" t="n"/>
      <c r="V4694" s="10" t="n"/>
      <c r="W4694" s="10" t="n"/>
      <c r="X4694" s="10" t="n"/>
      <c r="Y4694" s="10" t="n"/>
      <c r="Z4694" s="10" t="n"/>
      <c r="AA4694" s="11">
        <f>IF(A4694="","",IF(AND(J4694="P4",F4694="causal"),"P4-CAUSAL",""))</f>
        <v/>
      </c>
    </row>
    <row r="4695" ht="15" customHeight="1" s="1">
      <c r="P4695">
        <f>IF(OR(F4695="",H4695="",J4695=""),"",J4695&amp;"|"&amp;F4695&amp;"|"&amp;IF(H4695="W3","W3_"&amp;IF(I4695="","unknown",I4695),H4695))</f>
        <v/>
      </c>
      <c r="Q4695">
        <f>IF(P4695="","",IFERROR(IF(AND(H4695="W7",OR(F4695="causal",F4695="predictive")),IF(AND(OR(K4695=1,K4695="1"),OR(L4695=1,L4695="1"),OR(M4695=1,M4695="1")),"adequate","partial"),IF(AND(H4695="W4",F4695="predictive",OR(J4695="P2",J4695="P3",J4695="P4")),IF(OR(U4695=1,U4695="1"),"adequate","partial"),INDEX(Fit_Matrix!$B:$B,MATCH(P4695,Fit_Matrix!$A:$A,0)))),"CHECK KEY"))</f>
        <v/>
      </c>
      <c r="U4695" s="10" t="n"/>
      <c r="V4695" s="10" t="n"/>
      <c r="W4695" s="10" t="n"/>
      <c r="X4695" s="10" t="n"/>
      <c r="Y4695" s="10" t="n"/>
      <c r="Z4695" s="10" t="n"/>
      <c r="AA4695" s="11">
        <f>IF(A4695="","",IF(AND(J4695="P4",F4695="causal"),"P4-CAUSAL",""))</f>
        <v/>
      </c>
    </row>
    <row r="4696" ht="15" customHeight="1" s="1">
      <c r="P4696">
        <f>IF(OR(F4696="",H4696="",J4696=""),"",J4696&amp;"|"&amp;F4696&amp;"|"&amp;IF(H4696="W3","W3_"&amp;IF(I4696="","unknown",I4696),H4696))</f>
        <v/>
      </c>
      <c r="Q4696">
        <f>IF(P4696="","",IFERROR(IF(AND(H4696="W7",OR(F4696="causal",F4696="predictive")),IF(AND(OR(K4696=1,K4696="1"),OR(L4696=1,L4696="1"),OR(M4696=1,M4696="1")),"adequate","partial"),IF(AND(H4696="W4",F4696="predictive",OR(J4696="P2",J4696="P3",J4696="P4")),IF(OR(U4696=1,U4696="1"),"adequate","partial"),INDEX(Fit_Matrix!$B:$B,MATCH(P4696,Fit_Matrix!$A:$A,0)))),"CHECK KEY"))</f>
        <v/>
      </c>
      <c r="U4696" s="10" t="n"/>
      <c r="V4696" s="10" t="n"/>
      <c r="W4696" s="10" t="n"/>
      <c r="X4696" s="10" t="n"/>
      <c r="Y4696" s="10" t="n"/>
      <c r="Z4696" s="10" t="n"/>
      <c r="AA4696" s="11">
        <f>IF(A4696="","",IF(AND(J4696="P4",F4696="causal"),"P4-CAUSAL",""))</f>
        <v/>
      </c>
    </row>
    <row r="4697" ht="15" customHeight="1" s="1">
      <c r="P4697">
        <f>IF(OR(F4697="",H4697="",J4697=""),"",J4697&amp;"|"&amp;F4697&amp;"|"&amp;IF(H4697="W3","W3_"&amp;IF(I4697="","unknown",I4697),H4697))</f>
        <v/>
      </c>
      <c r="Q4697">
        <f>IF(P4697="","",IFERROR(IF(AND(H4697="W7",OR(F4697="causal",F4697="predictive")),IF(AND(OR(K4697=1,K4697="1"),OR(L4697=1,L4697="1"),OR(M4697=1,M4697="1")),"adequate","partial"),IF(AND(H4697="W4",F4697="predictive",OR(J4697="P2",J4697="P3",J4697="P4")),IF(OR(U4697=1,U4697="1"),"adequate","partial"),INDEX(Fit_Matrix!$B:$B,MATCH(P4697,Fit_Matrix!$A:$A,0)))),"CHECK KEY"))</f>
        <v/>
      </c>
      <c r="U4697" s="10" t="n"/>
      <c r="V4697" s="10" t="n"/>
      <c r="W4697" s="10" t="n"/>
      <c r="X4697" s="10" t="n"/>
      <c r="Y4697" s="10" t="n"/>
      <c r="Z4697" s="10" t="n"/>
      <c r="AA4697" s="11">
        <f>IF(A4697="","",IF(AND(J4697="P4",F4697="causal"),"P4-CAUSAL",""))</f>
        <v/>
      </c>
    </row>
    <row r="4698" ht="15" customHeight="1" s="1">
      <c r="P4698">
        <f>IF(OR(F4698="",H4698="",J4698=""),"",J4698&amp;"|"&amp;F4698&amp;"|"&amp;IF(H4698="W3","W3_"&amp;IF(I4698="","unknown",I4698),H4698))</f>
        <v/>
      </c>
      <c r="Q4698">
        <f>IF(P4698="","",IFERROR(IF(AND(H4698="W7",OR(F4698="causal",F4698="predictive")),IF(AND(OR(K4698=1,K4698="1"),OR(L4698=1,L4698="1"),OR(M4698=1,M4698="1")),"adequate","partial"),IF(AND(H4698="W4",F4698="predictive",OR(J4698="P2",J4698="P3",J4698="P4")),IF(OR(U4698=1,U4698="1"),"adequate","partial"),INDEX(Fit_Matrix!$B:$B,MATCH(P4698,Fit_Matrix!$A:$A,0)))),"CHECK KEY"))</f>
        <v/>
      </c>
      <c r="U4698" s="10" t="n"/>
      <c r="V4698" s="10" t="n"/>
      <c r="W4698" s="10" t="n"/>
      <c r="X4698" s="10" t="n"/>
      <c r="Y4698" s="10" t="n"/>
      <c r="Z4698" s="10" t="n"/>
      <c r="AA4698" s="11">
        <f>IF(A4698="","",IF(AND(J4698="P4",F4698="causal"),"P4-CAUSAL",""))</f>
        <v/>
      </c>
    </row>
    <row r="4699" ht="15" customHeight="1" s="1">
      <c r="P4699">
        <f>IF(OR(F4699="",H4699="",J4699=""),"",J4699&amp;"|"&amp;F4699&amp;"|"&amp;IF(H4699="W3","W3_"&amp;IF(I4699="","unknown",I4699),H4699))</f>
        <v/>
      </c>
      <c r="Q4699">
        <f>IF(P4699="","",IFERROR(IF(AND(H4699="W7",OR(F4699="causal",F4699="predictive")),IF(AND(OR(K4699=1,K4699="1"),OR(L4699=1,L4699="1"),OR(M4699=1,M4699="1")),"adequate","partial"),IF(AND(H4699="W4",F4699="predictive",OR(J4699="P2",J4699="P3",J4699="P4")),IF(OR(U4699=1,U4699="1"),"adequate","partial"),INDEX(Fit_Matrix!$B:$B,MATCH(P4699,Fit_Matrix!$A:$A,0)))),"CHECK KEY"))</f>
        <v/>
      </c>
      <c r="U4699" s="10" t="n"/>
      <c r="V4699" s="10" t="n"/>
      <c r="W4699" s="10" t="n"/>
      <c r="X4699" s="10" t="n"/>
      <c r="Y4699" s="10" t="n"/>
      <c r="Z4699" s="10" t="n"/>
      <c r="AA4699" s="11">
        <f>IF(A4699="","",IF(AND(J4699="P4",F4699="causal"),"P4-CAUSAL",""))</f>
        <v/>
      </c>
    </row>
    <row r="4700" ht="15" customHeight="1" s="1">
      <c r="P4700">
        <f>IF(OR(F4700="",H4700="",J4700=""),"",J4700&amp;"|"&amp;F4700&amp;"|"&amp;IF(H4700="W3","W3_"&amp;IF(I4700="","unknown",I4700),H4700))</f>
        <v/>
      </c>
      <c r="Q4700">
        <f>IF(P4700="","",IFERROR(IF(AND(H4700="W7",OR(F4700="causal",F4700="predictive")),IF(AND(OR(K4700=1,K4700="1"),OR(L4700=1,L4700="1"),OR(M4700=1,M4700="1")),"adequate","partial"),IF(AND(H4700="W4",F4700="predictive",OR(J4700="P2",J4700="P3",J4700="P4")),IF(OR(U4700=1,U4700="1"),"adequate","partial"),INDEX(Fit_Matrix!$B:$B,MATCH(P4700,Fit_Matrix!$A:$A,0)))),"CHECK KEY"))</f>
        <v/>
      </c>
      <c r="U4700" s="10" t="n"/>
      <c r="V4700" s="10" t="n"/>
      <c r="W4700" s="10" t="n"/>
      <c r="X4700" s="10" t="n"/>
      <c r="Y4700" s="10" t="n"/>
      <c r="Z4700" s="10" t="n"/>
      <c r="AA4700" s="11">
        <f>IF(A4700="","",IF(AND(J4700="P4",F4700="causal"),"P4-CAUSAL",""))</f>
        <v/>
      </c>
    </row>
    <row r="4701" ht="15" customHeight="1" s="1">
      <c r="P4701">
        <f>IF(OR(F4701="",H4701="",J4701=""),"",J4701&amp;"|"&amp;F4701&amp;"|"&amp;IF(H4701="W3","W3_"&amp;IF(I4701="","unknown",I4701),H4701))</f>
        <v/>
      </c>
      <c r="Q4701">
        <f>IF(P4701="","",IFERROR(IF(AND(H4701="W7",OR(F4701="causal",F4701="predictive")),IF(AND(OR(K4701=1,K4701="1"),OR(L4701=1,L4701="1"),OR(M4701=1,M4701="1")),"adequate","partial"),IF(AND(H4701="W4",F4701="predictive",OR(J4701="P2",J4701="P3",J4701="P4")),IF(OR(U4701=1,U4701="1"),"adequate","partial"),INDEX(Fit_Matrix!$B:$B,MATCH(P4701,Fit_Matrix!$A:$A,0)))),"CHECK KEY"))</f>
        <v/>
      </c>
      <c r="U4701" s="10" t="n"/>
      <c r="V4701" s="10" t="n"/>
      <c r="W4701" s="10" t="n"/>
      <c r="X4701" s="10" t="n"/>
      <c r="Y4701" s="10" t="n"/>
      <c r="Z4701" s="10" t="n"/>
      <c r="AA4701" s="11">
        <f>IF(A4701="","",IF(AND(J4701="P4",F4701="causal"),"P4-CAUSAL",""))</f>
        <v/>
      </c>
    </row>
    <row r="4702" ht="15" customHeight="1" s="1">
      <c r="P4702">
        <f>IF(OR(F4702="",H4702="",J4702=""),"",J4702&amp;"|"&amp;F4702&amp;"|"&amp;IF(H4702="W3","W3_"&amp;IF(I4702="","unknown",I4702),H4702))</f>
        <v/>
      </c>
      <c r="Q4702">
        <f>IF(P4702="","",IFERROR(IF(AND(H4702="W7",OR(F4702="causal",F4702="predictive")),IF(AND(OR(K4702=1,K4702="1"),OR(L4702=1,L4702="1"),OR(M4702=1,M4702="1")),"adequate","partial"),IF(AND(H4702="W4",F4702="predictive",OR(J4702="P2",J4702="P3",J4702="P4")),IF(OR(U4702=1,U4702="1"),"adequate","partial"),INDEX(Fit_Matrix!$B:$B,MATCH(P4702,Fit_Matrix!$A:$A,0)))),"CHECK KEY"))</f>
        <v/>
      </c>
      <c r="U4702" s="10" t="n"/>
      <c r="V4702" s="10" t="n"/>
      <c r="W4702" s="10" t="n"/>
      <c r="X4702" s="10" t="n"/>
      <c r="Y4702" s="10" t="n"/>
      <c r="Z4702" s="10" t="n"/>
      <c r="AA4702" s="11">
        <f>IF(A4702="","",IF(AND(J4702="P4",F4702="causal"),"P4-CAUSAL",""))</f>
        <v/>
      </c>
    </row>
    <row r="4703" ht="15" customHeight="1" s="1">
      <c r="P4703">
        <f>IF(OR(F4703="",H4703="",J4703=""),"",J4703&amp;"|"&amp;F4703&amp;"|"&amp;IF(H4703="W3","W3_"&amp;IF(I4703="","unknown",I4703),H4703))</f>
        <v/>
      </c>
      <c r="Q4703">
        <f>IF(P4703="","",IFERROR(IF(AND(H4703="W7",OR(F4703="causal",F4703="predictive")),IF(AND(OR(K4703=1,K4703="1"),OR(L4703=1,L4703="1"),OR(M4703=1,M4703="1")),"adequate","partial"),IF(AND(H4703="W4",F4703="predictive",OR(J4703="P2",J4703="P3",J4703="P4")),IF(OR(U4703=1,U4703="1"),"adequate","partial"),INDEX(Fit_Matrix!$B:$B,MATCH(P4703,Fit_Matrix!$A:$A,0)))),"CHECK KEY"))</f>
        <v/>
      </c>
      <c r="U4703" s="10" t="n"/>
      <c r="V4703" s="10" t="n"/>
      <c r="W4703" s="10" t="n"/>
      <c r="X4703" s="10" t="n"/>
      <c r="Y4703" s="10" t="n"/>
      <c r="Z4703" s="10" t="n"/>
      <c r="AA4703" s="11">
        <f>IF(A4703="","",IF(AND(J4703="P4",F4703="causal"),"P4-CAUSAL",""))</f>
        <v/>
      </c>
    </row>
    <row r="4704" ht="15" customHeight="1" s="1">
      <c r="P4704">
        <f>IF(OR(F4704="",H4704="",J4704=""),"",J4704&amp;"|"&amp;F4704&amp;"|"&amp;IF(H4704="W3","W3_"&amp;IF(I4704="","unknown",I4704),H4704))</f>
        <v/>
      </c>
      <c r="Q4704">
        <f>IF(P4704="","",IFERROR(IF(AND(H4704="W7",OR(F4704="causal",F4704="predictive")),IF(AND(OR(K4704=1,K4704="1"),OR(L4704=1,L4704="1"),OR(M4704=1,M4704="1")),"adequate","partial"),IF(AND(H4704="W4",F4704="predictive",OR(J4704="P2",J4704="P3",J4704="P4")),IF(OR(U4704=1,U4704="1"),"adequate","partial"),INDEX(Fit_Matrix!$B:$B,MATCH(P4704,Fit_Matrix!$A:$A,0)))),"CHECK KEY"))</f>
        <v/>
      </c>
      <c r="U4704" s="10" t="n"/>
      <c r="V4704" s="10" t="n"/>
      <c r="W4704" s="10" t="n"/>
      <c r="X4704" s="10" t="n"/>
      <c r="Y4704" s="10" t="n"/>
      <c r="Z4704" s="10" t="n"/>
      <c r="AA4704" s="11">
        <f>IF(A4704="","",IF(AND(J4704="P4",F4704="causal"),"P4-CAUSAL",""))</f>
        <v/>
      </c>
    </row>
    <row r="4705" ht="15" customHeight="1" s="1">
      <c r="P4705">
        <f>IF(OR(F4705="",H4705="",J4705=""),"",J4705&amp;"|"&amp;F4705&amp;"|"&amp;IF(H4705="W3","W3_"&amp;IF(I4705="","unknown",I4705),H4705))</f>
        <v/>
      </c>
      <c r="Q4705">
        <f>IF(P4705="","",IFERROR(IF(AND(H4705="W7",OR(F4705="causal",F4705="predictive")),IF(AND(OR(K4705=1,K4705="1"),OR(L4705=1,L4705="1"),OR(M4705=1,M4705="1")),"adequate","partial"),IF(AND(H4705="W4",F4705="predictive",OR(J4705="P2",J4705="P3",J4705="P4")),IF(OR(U4705=1,U4705="1"),"adequate","partial"),INDEX(Fit_Matrix!$B:$B,MATCH(P4705,Fit_Matrix!$A:$A,0)))),"CHECK KEY"))</f>
        <v/>
      </c>
      <c r="U4705" s="10" t="n"/>
      <c r="V4705" s="10" t="n"/>
      <c r="W4705" s="10" t="n"/>
      <c r="X4705" s="10" t="n"/>
      <c r="Y4705" s="10" t="n"/>
      <c r="Z4705" s="10" t="n"/>
      <c r="AA4705" s="11">
        <f>IF(A4705="","",IF(AND(J4705="P4",F4705="causal"),"P4-CAUSAL",""))</f>
        <v/>
      </c>
    </row>
    <row r="4706" ht="15" customHeight="1" s="1">
      <c r="P4706">
        <f>IF(OR(F4706="",H4706="",J4706=""),"",J4706&amp;"|"&amp;F4706&amp;"|"&amp;IF(H4706="W3","W3_"&amp;IF(I4706="","unknown",I4706),H4706))</f>
        <v/>
      </c>
      <c r="Q4706">
        <f>IF(P4706="","",IFERROR(IF(AND(H4706="W7",OR(F4706="causal",F4706="predictive")),IF(AND(OR(K4706=1,K4706="1"),OR(L4706=1,L4706="1"),OR(M4706=1,M4706="1")),"adequate","partial"),IF(AND(H4706="W4",F4706="predictive",OR(J4706="P2",J4706="P3",J4706="P4")),IF(OR(U4706=1,U4706="1"),"adequate","partial"),INDEX(Fit_Matrix!$B:$B,MATCH(P4706,Fit_Matrix!$A:$A,0)))),"CHECK KEY"))</f>
        <v/>
      </c>
      <c r="U4706" s="10" t="n"/>
      <c r="V4706" s="10" t="n"/>
      <c r="W4706" s="10" t="n"/>
      <c r="X4706" s="10" t="n"/>
      <c r="Y4706" s="10" t="n"/>
      <c r="Z4706" s="10" t="n"/>
      <c r="AA4706" s="11">
        <f>IF(A4706="","",IF(AND(J4706="P4",F4706="causal"),"P4-CAUSAL",""))</f>
        <v/>
      </c>
    </row>
    <row r="4707" ht="15" customHeight="1" s="1">
      <c r="P4707">
        <f>IF(OR(F4707="",H4707="",J4707=""),"",J4707&amp;"|"&amp;F4707&amp;"|"&amp;IF(H4707="W3","W3_"&amp;IF(I4707="","unknown",I4707),H4707))</f>
        <v/>
      </c>
      <c r="Q4707">
        <f>IF(P4707="","",IFERROR(IF(AND(H4707="W7",OR(F4707="causal",F4707="predictive")),IF(AND(OR(K4707=1,K4707="1"),OR(L4707=1,L4707="1"),OR(M4707=1,M4707="1")),"adequate","partial"),IF(AND(H4707="W4",F4707="predictive",OR(J4707="P2",J4707="P3",J4707="P4")),IF(OR(U4707=1,U4707="1"),"adequate","partial"),INDEX(Fit_Matrix!$B:$B,MATCH(P4707,Fit_Matrix!$A:$A,0)))),"CHECK KEY"))</f>
        <v/>
      </c>
      <c r="U4707" s="10" t="n"/>
      <c r="V4707" s="10" t="n"/>
      <c r="W4707" s="10" t="n"/>
      <c r="X4707" s="10" t="n"/>
      <c r="Y4707" s="10" t="n"/>
      <c r="Z4707" s="10" t="n"/>
      <c r="AA4707" s="11">
        <f>IF(A4707="","",IF(AND(J4707="P4",F4707="causal"),"P4-CAUSAL",""))</f>
        <v/>
      </c>
    </row>
    <row r="4708" ht="15" customHeight="1" s="1">
      <c r="P4708">
        <f>IF(OR(F4708="",H4708="",J4708=""),"",J4708&amp;"|"&amp;F4708&amp;"|"&amp;IF(H4708="W3","W3_"&amp;IF(I4708="","unknown",I4708),H4708))</f>
        <v/>
      </c>
      <c r="Q4708">
        <f>IF(P4708="","",IFERROR(IF(AND(H4708="W7",OR(F4708="causal",F4708="predictive")),IF(AND(OR(K4708=1,K4708="1"),OR(L4708=1,L4708="1"),OR(M4708=1,M4708="1")),"adequate","partial"),IF(AND(H4708="W4",F4708="predictive",OR(J4708="P2",J4708="P3",J4708="P4")),IF(OR(U4708=1,U4708="1"),"adequate","partial"),INDEX(Fit_Matrix!$B:$B,MATCH(P4708,Fit_Matrix!$A:$A,0)))),"CHECK KEY"))</f>
        <v/>
      </c>
      <c r="U4708" s="10" t="n"/>
      <c r="V4708" s="10" t="n"/>
      <c r="W4708" s="10" t="n"/>
      <c r="X4708" s="10" t="n"/>
      <c r="Y4708" s="10" t="n"/>
      <c r="Z4708" s="10" t="n"/>
      <c r="AA4708" s="11">
        <f>IF(A4708="","",IF(AND(J4708="P4",F4708="causal"),"P4-CAUSAL",""))</f>
        <v/>
      </c>
    </row>
    <row r="4709" ht="15" customHeight="1" s="1">
      <c r="P4709">
        <f>IF(OR(F4709="",H4709="",J4709=""),"",J4709&amp;"|"&amp;F4709&amp;"|"&amp;IF(H4709="W3","W3_"&amp;IF(I4709="","unknown",I4709),H4709))</f>
        <v/>
      </c>
      <c r="Q4709">
        <f>IF(P4709="","",IFERROR(IF(AND(H4709="W7",OR(F4709="causal",F4709="predictive")),IF(AND(OR(K4709=1,K4709="1"),OR(L4709=1,L4709="1"),OR(M4709=1,M4709="1")),"adequate","partial"),IF(AND(H4709="W4",F4709="predictive",OR(J4709="P2",J4709="P3",J4709="P4")),IF(OR(U4709=1,U4709="1"),"adequate","partial"),INDEX(Fit_Matrix!$B:$B,MATCH(P4709,Fit_Matrix!$A:$A,0)))),"CHECK KEY"))</f>
        <v/>
      </c>
      <c r="U4709" s="10" t="n"/>
      <c r="V4709" s="10" t="n"/>
      <c r="W4709" s="10" t="n"/>
      <c r="X4709" s="10" t="n"/>
      <c r="Y4709" s="10" t="n"/>
      <c r="Z4709" s="10" t="n"/>
      <c r="AA4709" s="11">
        <f>IF(A4709="","",IF(AND(J4709="P4",F4709="causal"),"P4-CAUSAL",""))</f>
        <v/>
      </c>
    </row>
    <row r="4710" ht="15" customHeight="1" s="1">
      <c r="P4710">
        <f>IF(OR(F4710="",H4710="",J4710=""),"",J4710&amp;"|"&amp;F4710&amp;"|"&amp;IF(H4710="W3","W3_"&amp;IF(I4710="","unknown",I4710),H4710))</f>
        <v/>
      </c>
      <c r="Q4710">
        <f>IF(P4710="","",IFERROR(IF(AND(H4710="W7",OR(F4710="causal",F4710="predictive")),IF(AND(OR(K4710=1,K4710="1"),OR(L4710=1,L4710="1"),OR(M4710=1,M4710="1")),"adequate","partial"),IF(AND(H4710="W4",F4710="predictive",OR(J4710="P2",J4710="P3",J4710="P4")),IF(OR(U4710=1,U4710="1"),"adequate","partial"),INDEX(Fit_Matrix!$B:$B,MATCH(P4710,Fit_Matrix!$A:$A,0)))),"CHECK KEY"))</f>
        <v/>
      </c>
      <c r="U4710" s="10" t="n"/>
      <c r="V4710" s="10" t="n"/>
      <c r="W4710" s="10" t="n"/>
      <c r="X4710" s="10" t="n"/>
      <c r="Y4710" s="10" t="n"/>
      <c r="Z4710" s="10" t="n"/>
      <c r="AA4710" s="11">
        <f>IF(A4710="","",IF(AND(J4710="P4",F4710="causal"),"P4-CAUSAL",""))</f>
        <v/>
      </c>
    </row>
    <row r="4711" ht="15" customHeight="1" s="1">
      <c r="P4711">
        <f>IF(OR(F4711="",H4711="",J4711=""),"",J4711&amp;"|"&amp;F4711&amp;"|"&amp;IF(H4711="W3","W3_"&amp;IF(I4711="","unknown",I4711),H4711))</f>
        <v/>
      </c>
      <c r="Q4711">
        <f>IF(P4711="","",IFERROR(IF(AND(H4711="W7",OR(F4711="causal",F4711="predictive")),IF(AND(OR(K4711=1,K4711="1"),OR(L4711=1,L4711="1"),OR(M4711=1,M4711="1")),"adequate","partial"),IF(AND(H4711="W4",F4711="predictive",OR(J4711="P2",J4711="P3",J4711="P4")),IF(OR(U4711=1,U4711="1"),"adequate","partial"),INDEX(Fit_Matrix!$B:$B,MATCH(P4711,Fit_Matrix!$A:$A,0)))),"CHECK KEY"))</f>
        <v/>
      </c>
      <c r="U4711" s="10" t="n"/>
      <c r="V4711" s="10" t="n"/>
      <c r="W4711" s="10" t="n"/>
      <c r="X4711" s="10" t="n"/>
      <c r="Y4711" s="10" t="n"/>
      <c r="Z4711" s="10" t="n"/>
      <c r="AA4711" s="11">
        <f>IF(A4711="","",IF(AND(J4711="P4",F4711="causal"),"P4-CAUSAL",""))</f>
        <v/>
      </c>
    </row>
    <row r="4712" ht="15" customHeight="1" s="1">
      <c r="P4712">
        <f>IF(OR(F4712="",H4712="",J4712=""),"",J4712&amp;"|"&amp;F4712&amp;"|"&amp;IF(H4712="W3","W3_"&amp;IF(I4712="","unknown",I4712),H4712))</f>
        <v/>
      </c>
      <c r="Q4712">
        <f>IF(P4712="","",IFERROR(IF(AND(H4712="W7",OR(F4712="causal",F4712="predictive")),IF(AND(OR(K4712=1,K4712="1"),OR(L4712=1,L4712="1"),OR(M4712=1,M4712="1")),"adequate","partial"),IF(AND(H4712="W4",F4712="predictive",OR(J4712="P2",J4712="P3",J4712="P4")),IF(OR(U4712=1,U4712="1"),"adequate","partial"),INDEX(Fit_Matrix!$B:$B,MATCH(P4712,Fit_Matrix!$A:$A,0)))),"CHECK KEY"))</f>
        <v/>
      </c>
      <c r="U4712" s="10" t="n"/>
      <c r="V4712" s="10" t="n"/>
      <c r="W4712" s="10" t="n"/>
      <c r="X4712" s="10" t="n"/>
      <c r="Y4712" s="10" t="n"/>
      <c r="Z4712" s="10" t="n"/>
      <c r="AA4712" s="11">
        <f>IF(A4712="","",IF(AND(J4712="P4",F4712="causal"),"P4-CAUSAL",""))</f>
        <v/>
      </c>
    </row>
    <row r="4713" ht="15" customHeight="1" s="1">
      <c r="P4713">
        <f>IF(OR(F4713="",H4713="",J4713=""),"",J4713&amp;"|"&amp;F4713&amp;"|"&amp;IF(H4713="W3","W3_"&amp;IF(I4713="","unknown",I4713),H4713))</f>
        <v/>
      </c>
      <c r="Q4713">
        <f>IF(P4713="","",IFERROR(IF(AND(H4713="W7",OR(F4713="causal",F4713="predictive")),IF(AND(OR(K4713=1,K4713="1"),OR(L4713=1,L4713="1"),OR(M4713=1,M4713="1")),"adequate","partial"),IF(AND(H4713="W4",F4713="predictive",OR(J4713="P2",J4713="P3",J4713="P4")),IF(OR(U4713=1,U4713="1"),"adequate","partial"),INDEX(Fit_Matrix!$B:$B,MATCH(P4713,Fit_Matrix!$A:$A,0)))),"CHECK KEY"))</f>
        <v/>
      </c>
      <c r="U4713" s="10" t="n"/>
      <c r="V4713" s="10" t="n"/>
      <c r="W4713" s="10" t="n"/>
      <c r="X4713" s="10" t="n"/>
      <c r="Y4713" s="10" t="n"/>
      <c r="Z4713" s="10" t="n"/>
      <c r="AA4713" s="11">
        <f>IF(A4713="","",IF(AND(J4713="P4",F4713="causal"),"P4-CAUSAL",""))</f>
        <v/>
      </c>
    </row>
    <row r="4714" ht="15" customHeight="1" s="1">
      <c r="P4714">
        <f>IF(OR(F4714="",H4714="",J4714=""),"",J4714&amp;"|"&amp;F4714&amp;"|"&amp;IF(H4714="W3","W3_"&amp;IF(I4714="","unknown",I4714),H4714))</f>
        <v/>
      </c>
      <c r="Q4714">
        <f>IF(P4714="","",IFERROR(IF(AND(H4714="W7",OR(F4714="causal",F4714="predictive")),IF(AND(OR(K4714=1,K4714="1"),OR(L4714=1,L4714="1"),OR(M4714=1,M4714="1")),"adequate","partial"),IF(AND(H4714="W4",F4714="predictive",OR(J4714="P2",J4714="P3",J4714="P4")),IF(OR(U4714=1,U4714="1"),"adequate","partial"),INDEX(Fit_Matrix!$B:$B,MATCH(P4714,Fit_Matrix!$A:$A,0)))),"CHECK KEY"))</f>
        <v/>
      </c>
      <c r="U4714" s="10" t="n"/>
      <c r="V4714" s="10" t="n"/>
      <c r="W4714" s="10" t="n"/>
      <c r="X4714" s="10" t="n"/>
      <c r="Y4714" s="10" t="n"/>
      <c r="Z4714" s="10" t="n"/>
      <c r="AA4714" s="11">
        <f>IF(A4714="","",IF(AND(J4714="P4",F4714="causal"),"P4-CAUSAL",""))</f>
        <v/>
      </c>
    </row>
    <row r="4715" ht="15" customHeight="1" s="1">
      <c r="P4715">
        <f>IF(OR(F4715="",H4715="",J4715=""),"",J4715&amp;"|"&amp;F4715&amp;"|"&amp;IF(H4715="W3","W3_"&amp;IF(I4715="","unknown",I4715),H4715))</f>
        <v/>
      </c>
      <c r="Q4715">
        <f>IF(P4715="","",IFERROR(IF(AND(H4715="W7",OR(F4715="causal",F4715="predictive")),IF(AND(OR(K4715=1,K4715="1"),OR(L4715=1,L4715="1"),OR(M4715=1,M4715="1")),"adequate","partial"),IF(AND(H4715="W4",F4715="predictive",OR(J4715="P2",J4715="P3",J4715="P4")),IF(OR(U4715=1,U4715="1"),"adequate","partial"),INDEX(Fit_Matrix!$B:$B,MATCH(P4715,Fit_Matrix!$A:$A,0)))),"CHECK KEY"))</f>
        <v/>
      </c>
      <c r="U4715" s="10" t="n"/>
      <c r="V4715" s="10" t="n"/>
      <c r="W4715" s="10" t="n"/>
      <c r="X4715" s="10" t="n"/>
      <c r="Y4715" s="10" t="n"/>
      <c r="Z4715" s="10" t="n"/>
      <c r="AA4715" s="11">
        <f>IF(A4715="","",IF(AND(J4715="P4",F4715="causal"),"P4-CAUSAL",""))</f>
        <v/>
      </c>
    </row>
    <row r="4716" ht="15" customHeight="1" s="1">
      <c r="P4716">
        <f>IF(OR(F4716="",H4716="",J4716=""),"",J4716&amp;"|"&amp;F4716&amp;"|"&amp;IF(H4716="W3","W3_"&amp;IF(I4716="","unknown",I4716),H4716))</f>
        <v/>
      </c>
      <c r="Q4716">
        <f>IF(P4716="","",IFERROR(IF(AND(H4716="W7",OR(F4716="causal",F4716="predictive")),IF(AND(OR(K4716=1,K4716="1"),OR(L4716=1,L4716="1"),OR(M4716=1,M4716="1")),"adequate","partial"),IF(AND(H4716="W4",F4716="predictive",OR(J4716="P2",J4716="P3",J4716="P4")),IF(OR(U4716=1,U4716="1"),"adequate","partial"),INDEX(Fit_Matrix!$B:$B,MATCH(P4716,Fit_Matrix!$A:$A,0)))),"CHECK KEY"))</f>
        <v/>
      </c>
      <c r="U4716" s="10" t="n"/>
      <c r="V4716" s="10" t="n"/>
      <c r="W4716" s="10" t="n"/>
      <c r="X4716" s="10" t="n"/>
      <c r="Y4716" s="10" t="n"/>
      <c r="Z4716" s="10" t="n"/>
      <c r="AA4716" s="11">
        <f>IF(A4716="","",IF(AND(J4716="P4",F4716="causal"),"P4-CAUSAL",""))</f>
        <v/>
      </c>
    </row>
    <row r="4717" ht="15" customHeight="1" s="1">
      <c r="P4717">
        <f>IF(OR(F4717="",H4717="",J4717=""),"",J4717&amp;"|"&amp;F4717&amp;"|"&amp;IF(H4717="W3","W3_"&amp;IF(I4717="","unknown",I4717),H4717))</f>
        <v/>
      </c>
      <c r="Q4717">
        <f>IF(P4717="","",IFERROR(IF(AND(H4717="W7",OR(F4717="causal",F4717="predictive")),IF(AND(OR(K4717=1,K4717="1"),OR(L4717=1,L4717="1"),OR(M4717=1,M4717="1")),"adequate","partial"),IF(AND(H4717="W4",F4717="predictive",OR(J4717="P2",J4717="P3",J4717="P4")),IF(OR(U4717=1,U4717="1"),"adequate","partial"),INDEX(Fit_Matrix!$B:$B,MATCH(P4717,Fit_Matrix!$A:$A,0)))),"CHECK KEY"))</f>
        <v/>
      </c>
      <c r="U4717" s="10" t="n"/>
      <c r="V4717" s="10" t="n"/>
      <c r="W4717" s="10" t="n"/>
      <c r="X4717" s="10" t="n"/>
      <c r="Y4717" s="10" t="n"/>
      <c r="Z4717" s="10" t="n"/>
      <c r="AA4717" s="11">
        <f>IF(A4717="","",IF(AND(J4717="P4",F4717="causal"),"P4-CAUSAL",""))</f>
        <v/>
      </c>
    </row>
    <row r="4718" ht="15" customHeight="1" s="1">
      <c r="P4718">
        <f>IF(OR(F4718="",H4718="",J4718=""),"",J4718&amp;"|"&amp;F4718&amp;"|"&amp;IF(H4718="W3","W3_"&amp;IF(I4718="","unknown",I4718),H4718))</f>
        <v/>
      </c>
      <c r="Q4718">
        <f>IF(P4718="","",IFERROR(IF(AND(H4718="W7",OR(F4718="causal",F4718="predictive")),IF(AND(OR(K4718=1,K4718="1"),OR(L4718=1,L4718="1"),OR(M4718=1,M4718="1")),"adequate","partial"),IF(AND(H4718="W4",F4718="predictive",OR(J4718="P2",J4718="P3",J4718="P4")),IF(OR(U4718=1,U4718="1"),"adequate","partial"),INDEX(Fit_Matrix!$B:$B,MATCH(P4718,Fit_Matrix!$A:$A,0)))),"CHECK KEY"))</f>
        <v/>
      </c>
      <c r="U4718" s="10" t="n"/>
      <c r="V4718" s="10" t="n"/>
      <c r="W4718" s="10" t="n"/>
      <c r="X4718" s="10" t="n"/>
      <c r="Y4718" s="10" t="n"/>
      <c r="Z4718" s="10" t="n"/>
      <c r="AA4718" s="11">
        <f>IF(A4718="","",IF(AND(J4718="P4",F4718="causal"),"P4-CAUSAL",""))</f>
        <v/>
      </c>
    </row>
    <row r="4719" ht="15" customHeight="1" s="1">
      <c r="P4719">
        <f>IF(OR(F4719="",H4719="",J4719=""),"",J4719&amp;"|"&amp;F4719&amp;"|"&amp;IF(H4719="W3","W3_"&amp;IF(I4719="","unknown",I4719),H4719))</f>
        <v/>
      </c>
      <c r="Q4719">
        <f>IF(P4719="","",IFERROR(IF(AND(H4719="W7",OR(F4719="causal",F4719="predictive")),IF(AND(OR(K4719=1,K4719="1"),OR(L4719=1,L4719="1"),OR(M4719=1,M4719="1")),"adequate","partial"),IF(AND(H4719="W4",F4719="predictive",OR(J4719="P2",J4719="P3",J4719="P4")),IF(OR(U4719=1,U4719="1"),"adequate","partial"),INDEX(Fit_Matrix!$B:$B,MATCH(P4719,Fit_Matrix!$A:$A,0)))),"CHECK KEY"))</f>
        <v/>
      </c>
      <c r="U4719" s="10" t="n"/>
      <c r="V4719" s="10" t="n"/>
      <c r="W4719" s="10" t="n"/>
      <c r="X4719" s="10" t="n"/>
      <c r="Y4719" s="10" t="n"/>
      <c r="Z4719" s="10" t="n"/>
      <c r="AA4719" s="11">
        <f>IF(A4719="","",IF(AND(J4719="P4",F4719="causal"),"P4-CAUSAL",""))</f>
        <v/>
      </c>
    </row>
    <row r="4720" ht="15" customHeight="1" s="1">
      <c r="P4720">
        <f>IF(OR(F4720="",H4720="",J4720=""),"",J4720&amp;"|"&amp;F4720&amp;"|"&amp;IF(H4720="W3","W3_"&amp;IF(I4720="","unknown",I4720),H4720))</f>
        <v/>
      </c>
      <c r="Q4720">
        <f>IF(P4720="","",IFERROR(IF(AND(H4720="W7",OR(F4720="causal",F4720="predictive")),IF(AND(OR(K4720=1,K4720="1"),OR(L4720=1,L4720="1"),OR(M4720=1,M4720="1")),"adequate","partial"),IF(AND(H4720="W4",F4720="predictive",OR(J4720="P2",J4720="P3",J4720="P4")),IF(OR(U4720=1,U4720="1"),"adequate","partial"),INDEX(Fit_Matrix!$B:$B,MATCH(P4720,Fit_Matrix!$A:$A,0)))),"CHECK KEY"))</f>
        <v/>
      </c>
      <c r="U4720" s="10" t="n"/>
      <c r="V4720" s="10" t="n"/>
      <c r="W4720" s="10" t="n"/>
      <c r="X4720" s="10" t="n"/>
      <c r="Y4720" s="10" t="n"/>
      <c r="Z4720" s="10" t="n"/>
      <c r="AA4720" s="11">
        <f>IF(A4720="","",IF(AND(J4720="P4",F4720="causal"),"P4-CAUSAL",""))</f>
        <v/>
      </c>
    </row>
    <row r="4721" ht="15" customHeight="1" s="1">
      <c r="P4721">
        <f>IF(OR(F4721="",H4721="",J4721=""),"",J4721&amp;"|"&amp;F4721&amp;"|"&amp;IF(H4721="W3","W3_"&amp;IF(I4721="","unknown",I4721),H4721))</f>
        <v/>
      </c>
      <c r="Q4721">
        <f>IF(P4721="","",IFERROR(IF(AND(H4721="W7",OR(F4721="causal",F4721="predictive")),IF(AND(OR(K4721=1,K4721="1"),OR(L4721=1,L4721="1"),OR(M4721=1,M4721="1")),"adequate","partial"),IF(AND(H4721="W4",F4721="predictive",OR(J4721="P2",J4721="P3",J4721="P4")),IF(OR(U4721=1,U4721="1"),"adequate","partial"),INDEX(Fit_Matrix!$B:$B,MATCH(P4721,Fit_Matrix!$A:$A,0)))),"CHECK KEY"))</f>
        <v/>
      </c>
      <c r="U4721" s="10" t="n"/>
      <c r="V4721" s="10" t="n"/>
      <c r="W4721" s="10" t="n"/>
      <c r="X4721" s="10" t="n"/>
      <c r="Y4721" s="10" t="n"/>
      <c r="Z4721" s="10" t="n"/>
      <c r="AA4721" s="11">
        <f>IF(A4721="","",IF(AND(J4721="P4",F4721="causal"),"P4-CAUSAL",""))</f>
        <v/>
      </c>
    </row>
    <row r="4722" ht="15" customHeight="1" s="1">
      <c r="P4722">
        <f>IF(OR(F4722="",H4722="",J4722=""),"",J4722&amp;"|"&amp;F4722&amp;"|"&amp;IF(H4722="W3","W3_"&amp;IF(I4722="","unknown",I4722),H4722))</f>
        <v/>
      </c>
      <c r="Q4722">
        <f>IF(P4722="","",IFERROR(IF(AND(H4722="W7",OR(F4722="causal",F4722="predictive")),IF(AND(OR(K4722=1,K4722="1"),OR(L4722=1,L4722="1"),OR(M4722=1,M4722="1")),"adequate","partial"),IF(AND(H4722="W4",F4722="predictive",OR(J4722="P2",J4722="P3",J4722="P4")),IF(OR(U4722=1,U4722="1"),"adequate","partial"),INDEX(Fit_Matrix!$B:$B,MATCH(P4722,Fit_Matrix!$A:$A,0)))),"CHECK KEY"))</f>
        <v/>
      </c>
      <c r="U4722" s="10" t="n"/>
      <c r="V4722" s="10" t="n"/>
      <c r="W4722" s="10" t="n"/>
      <c r="X4722" s="10" t="n"/>
      <c r="Y4722" s="10" t="n"/>
      <c r="Z4722" s="10" t="n"/>
      <c r="AA4722" s="11">
        <f>IF(A4722="","",IF(AND(J4722="P4",F4722="causal"),"P4-CAUSAL",""))</f>
        <v/>
      </c>
    </row>
    <row r="4723" ht="15" customHeight="1" s="1">
      <c r="P4723">
        <f>IF(OR(F4723="",H4723="",J4723=""),"",J4723&amp;"|"&amp;F4723&amp;"|"&amp;IF(H4723="W3","W3_"&amp;IF(I4723="","unknown",I4723),H4723))</f>
        <v/>
      </c>
      <c r="Q4723">
        <f>IF(P4723="","",IFERROR(IF(AND(H4723="W7",OR(F4723="causal",F4723="predictive")),IF(AND(OR(K4723=1,K4723="1"),OR(L4723=1,L4723="1"),OR(M4723=1,M4723="1")),"adequate","partial"),IF(AND(H4723="W4",F4723="predictive",OR(J4723="P2",J4723="P3",J4723="P4")),IF(OR(U4723=1,U4723="1"),"adequate","partial"),INDEX(Fit_Matrix!$B:$B,MATCH(P4723,Fit_Matrix!$A:$A,0)))),"CHECK KEY"))</f>
        <v/>
      </c>
      <c r="U4723" s="10" t="n"/>
      <c r="V4723" s="10" t="n"/>
      <c r="W4723" s="10" t="n"/>
      <c r="X4723" s="10" t="n"/>
      <c r="Y4723" s="10" t="n"/>
      <c r="Z4723" s="10" t="n"/>
      <c r="AA4723" s="11">
        <f>IF(A4723="","",IF(AND(J4723="P4",F4723="causal"),"P4-CAUSAL",""))</f>
        <v/>
      </c>
    </row>
    <row r="4724" ht="15" customHeight="1" s="1">
      <c r="P4724">
        <f>IF(OR(F4724="",H4724="",J4724=""),"",J4724&amp;"|"&amp;F4724&amp;"|"&amp;IF(H4724="W3","W3_"&amp;IF(I4724="","unknown",I4724),H4724))</f>
        <v/>
      </c>
      <c r="Q4724">
        <f>IF(P4724="","",IFERROR(IF(AND(H4724="W7",OR(F4724="causal",F4724="predictive")),IF(AND(OR(K4724=1,K4724="1"),OR(L4724=1,L4724="1"),OR(M4724=1,M4724="1")),"adequate","partial"),IF(AND(H4724="W4",F4724="predictive",OR(J4724="P2",J4724="P3",J4724="P4")),IF(OR(U4724=1,U4724="1"),"adequate","partial"),INDEX(Fit_Matrix!$B:$B,MATCH(P4724,Fit_Matrix!$A:$A,0)))),"CHECK KEY"))</f>
        <v/>
      </c>
      <c r="U4724" s="10" t="n"/>
      <c r="V4724" s="10" t="n"/>
      <c r="W4724" s="10" t="n"/>
      <c r="X4724" s="10" t="n"/>
      <c r="Y4724" s="10" t="n"/>
      <c r="Z4724" s="10" t="n"/>
      <c r="AA4724" s="11">
        <f>IF(A4724="","",IF(AND(J4724="P4",F4724="causal"),"P4-CAUSAL",""))</f>
        <v/>
      </c>
    </row>
    <row r="4725" ht="15" customHeight="1" s="1">
      <c r="P4725">
        <f>IF(OR(F4725="",H4725="",J4725=""),"",J4725&amp;"|"&amp;F4725&amp;"|"&amp;IF(H4725="W3","W3_"&amp;IF(I4725="","unknown",I4725),H4725))</f>
        <v/>
      </c>
      <c r="Q4725">
        <f>IF(P4725="","",IFERROR(IF(AND(H4725="W7",OR(F4725="causal",F4725="predictive")),IF(AND(OR(K4725=1,K4725="1"),OR(L4725=1,L4725="1"),OR(M4725=1,M4725="1")),"adequate","partial"),IF(AND(H4725="W4",F4725="predictive",OR(J4725="P2",J4725="P3",J4725="P4")),IF(OR(U4725=1,U4725="1"),"adequate","partial"),INDEX(Fit_Matrix!$B:$B,MATCH(P4725,Fit_Matrix!$A:$A,0)))),"CHECK KEY"))</f>
        <v/>
      </c>
      <c r="U4725" s="10" t="n"/>
      <c r="V4725" s="10" t="n"/>
      <c r="W4725" s="10" t="n"/>
      <c r="X4725" s="10" t="n"/>
      <c r="Y4725" s="10" t="n"/>
      <c r="Z4725" s="10" t="n"/>
      <c r="AA4725" s="11">
        <f>IF(A4725="","",IF(AND(J4725="P4",F4725="causal"),"P4-CAUSAL",""))</f>
        <v/>
      </c>
    </row>
    <row r="4726" ht="15" customHeight="1" s="1">
      <c r="P4726">
        <f>IF(OR(F4726="",H4726="",J4726=""),"",J4726&amp;"|"&amp;F4726&amp;"|"&amp;IF(H4726="W3","W3_"&amp;IF(I4726="","unknown",I4726),H4726))</f>
        <v/>
      </c>
      <c r="Q4726">
        <f>IF(P4726="","",IFERROR(IF(AND(H4726="W7",OR(F4726="causal",F4726="predictive")),IF(AND(OR(K4726=1,K4726="1"),OR(L4726=1,L4726="1"),OR(M4726=1,M4726="1")),"adequate","partial"),IF(AND(H4726="W4",F4726="predictive",OR(J4726="P2",J4726="P3",J4726="P4")),IF(OR(U4726=1,U4726="1"),"adequate","partial"),INDEX(Fit_Matrix!$B:$B,MATCH(P4726,Fit_Matrix!$A:$A,0)))),"CHECK KEY"))</f>
        <v/>
      </c>
      <c r="U4726" s="10" t="n"/>
      <c r="V4726" s="10" t="n"/>
      <c r="W4726" s="10" t="n"/>
      <c r="X4726" s="10" t="n"/>
      <c r="Y4726" s="10" t="n"/>
      <c r="Z4726" s="10" t="n"/>
      <c r="AA4726" s="11">
        <f>IF(A4726="","",IF(AND(J4726="P4",F4726="causal"),"P4-CAUSAL",""))</f>
        <v/>
      </c>
    </row>
    <row r="4727" ht="15" customHeight="1" s="1">
      <c r="P4727">
        <f>IF(OR(F4727="",H4727="",J4727=""),"",J4727&amp;"|"&amp;F4727&amp;"|"&amp;IF(H4727="W3","W3_"&amp;IF(I4727="","unknown",I4727),H4727))</f>
        <v/>
      </c>
      <c r="Q4727">
        <f>IF(P4727="","",IFERROR(IF(AND(H4727="W7",OR(F4727="causal",F4727="predictive")),IF(AND(OR(K4727=1,K4727="1"),OR(L4727=1,L4727="1"),OR(M4727=1,M4727="1")),"adequate","partial"),IF(AND(H4727="W4",F4727="predictive",OR(J4727="P2",J4727="P3",J4727="P4")),IF(OR(U4727=1,U4727="1"),"adequate","partial"),INDEX(Fit_Matrix!$B:$B,MATCH(P4727,Fit_Matrix!$A:$A,0)))),"CHECK KEY"))</f>
        <v/>
      </c>
      <c r="U4727" s="10" t="n"/>
      <c r="V4727" s="10" t="n"/>
      <c r="W4727" s="10" t="n"/>
      <c r="X4727" s="10" t="n"/>
      <c r="Y4727" s="10" t="n"/>
      <c r="Z4727" s="10" t="n"/>
      <c r="AA4727" s="11">
        <f>IF(A4727="","",IF(AND(J4727="P4",F4727="causal"),"P4-CAUSAL",""))</f>
        <v/>
      </c>
    </row>
    <row r="4728" ht="15" customHeight="1" s="1">
      <c r="P4728">
        <f>IF(OR(F4728="",H4728="",J4728=""),"",J4728&amp;"|"&amp;F4728&amp;"|"&amp;IF(H4728="W3","W3_"&amp;IF(I4728="","unknown",I4728),H4728))</f>
        <v/>
      </c>
      <c r="Q4728">
        <f>IF(P4728="","",IFERROR(IF(AND(H4728="W7",OR(F4728="causal",F4728="predictive")),IF(AND(OR(K4728=1,K4728="1"),OR(L4728=1,L4728="1"),OR(M4728=1,M4728="1")),"adequate","partial"),IF(AND(H4728="W4",F4728="predictive",OR(J4728="P2",J4728="P3",J4728="P4")),IF(OR(U4728=1,U4728="1"),"adequate","partial"),INDEX(Fit_Matrix!$B:$B,MATCH(P4728,Fit_Matrix!$A:$A,0)))),"CHECK KEY"))</f>
        <v/>
      </c>
      <c r="U4728" s="10" t="n"/>
      <c r="V4728" s="10" t="n"/>
      <c r="W4728" s="10" t="n"/>
      <c r="X4728" s="10" t="n"/>
      <c r="Y4728" s="10" t="n"/>
      <c r="Z4728" s="10" t="n"/>
      <c r="AA4728" s="11">
        <f>IF(A4728="","",IF(AND(J4728="P4",F4728="causal"),"P4-CAUSAL",""))</f>
        <v/>
      </c>
    </row>
    <row r="4729" ht="15" customHeight="1" s="1">
      <c r="P4729">
        <f>IF(OR(F4729="",H4729="",J4729=""),"",J4729&amp;"|"&amp;F4729&amp;"|"&amp;IF(H4729="W3","W3_"&amp;IF(I4729="","unknown",I4729),H4729))</f>
        <v/>
      </c>
      <c r="Q4729">
        <f>IF(P4729="","",IFERROR(IF(AND(H4729="W7",OR(F4729="causal",F4729="predictive")),IF(AND(OR(K4729=1,K4729="1"),OR(L4729=1,L4729="1"),OR(M4729=1,M4729="1")),"adequate","partial"),IF(AND(H4729="W4",F4729="predictive",OR(J4729="P2",J4729="P3",J4729="P4")),IF(OR(U4729=1,U4729="1"),"adequate","partial"),INDEX(Fit_Matrix!$B:$B,MATCH(P4729,Fit_Matrix!$A:$A,0)))),"CHECK KEY"))</f>
        <v/>
      </c>
      <c r="U4729" s="10" t="n"/>
      <c r="V4729" s="10" t="n"/>
      <c r="W4729" s="10" t="n"/>
      <c r="X4729" s="10" t="n"/>
      <c r="Y4729" s="10" t="n"/>
      <c r="Z4729" s="10" t="n"/>
      <c r="AA4729" s="11">
        <f>IF(A4729="","",IF(AND(J4729="P4",F4729="causal"),"P4-CAUSAL",""))</f>
        <v/>
      </c>
    </row>
    <row r="4730" ht="15" customHeight="1" s="1">
      <c r="P4730">
        <f>IF(OR(F4730="",H4730="",J4730=""),"",J4730&amp;"|"&amp;F4730&amp;"|"&amp;IF(H4730="W3","W3_"&amp;IF(I4730="","unknown",I4730),H4730))</f>
        <v/>
      </c>
      <c r="Q4730">
        <f>IF(P4730="","",IFERROR(IF(AND(H4730="W7",OR(F4730="causal",F4730="predictive")),IF(AND(OR(K4730=1,K4730="1"),OR(L4730=1,L4730="1"),OR(M4730=1,M4730="1")),"adequate","partial"),IF(AND(H4730="W4",F4730="predictive",OR(J4730="P2",J4730="P3",J4730="P4")),IF(OR(U4730=1,U4730="1"),"adequate","partial"),INDEX(Fit_Matrix!$B:$B,MATCH(P4730,Fit_Matrix!$A:$A,0)))),"CHECK KEY"))</f>
        <v/>
      </c>
      <c r="U4730" s="10" t="n"/>
      <c r="V4730" s="10" t="n"/>
      <c r="W4730" s="10" t="n"/>
      <c r="X4730" s="10" t="n"/>
      <c r="Y4730" s="10" t="n"/>
      <c r="Z4730" s="10" t="n"/>
      <c r="AA4730" s="11">
        <f>IF(A4730="","",IF(AND(J4730="P4",F4730="causal"),"P4-CAUSAL",""))</f>
        <v/>
      </c>
    </row>
    <row r="4731" ht="15" customHeight="1" s="1">
      <c r="P4731">
        <f>IF(OR(F4731="",H4731="",J4731=""),"",J4731&amp;"|"&amp;F4731&amp;"|"&amp;IF(H4731="W3","W3_"&amp;IF(I4731="","unknown",I4731),H4731))</f>
        <v/>
      </c>
      <c r="Q4731">
        <f>IF(P4731="","",IFERROR(IF(AND(H4731="W7",OR(F4731="causal",F4731="predictive")),IF(AND(OR(K4731=1,K4731="1"),OR(L4731=1,L4731="1"),OR(M4731=1,M4731="1")),"adequate","partial"),IF(AND(H4731="W4",F4731="predictive",OR(J4731="P2",J4731="P3",J4731="P4")),IF(OR(U4731=1,U4731="1"),"adequate","partial"),INDEX(Fit_Matrix!$B:$B,MATCH(P4731,Fit_Matrix!$A:$A,0)))),"CHECK KEY"))</f>
        <v/>
      </c>
      <c r="U4731" s="10" t="n"/>
      <c r="V4731" s="10" t="n"/>
      <c r="W4731" s="10" t="n"/>
      <c r="X4731" s="10" t="n"/>
      <c r="Y4731" s="10" t="n"/>
      <c r="Z4731" s="10" t="n"/>
      <c r="AA4731" s="11">
        <f>IF(A4731="","",IF(AND(J4731="P4",F4731="causal"),"P4-CAUSAL",""))</f>
        <v/>
      </c>
    </row>
    <row r="4732" ht="15" customHeight="1" s="1">
      <c r="P4732">
        <f>IF(OR(F4732="",H4732="",J4732=""),"",J4732&amp;"|"&amp;F4732&amp;"|"&amp;IF(H4732="W3","W3_"&amp;IF(I4732="","unknown",I4732),H4732))</f>
        <v/>
      </c>
      <c r="Q4732">
        <f>IF(P4732="","",IFERROR(IF(AND(H4732="W7",OR(F4732="causal",F4732="predictive")),IF(AND(OR(K4732=1,K4732="1"),OR(L4732=1,L4732="1"),OR(M4732=1,M4732="1")),"adequate","partial"),IF(AND(H4732="W4",F4732="predictive",OR(J4732="P2",J4732="P3",J4732="P4")),IF(OR(U4732=1,U4732="1"),"adequate","partial"),INDEX(Fit_Matrix!$B:$B,MATCH(P4732,Fit_Matrix!$A:$A,0)))),"CHECK KEY"))</f>
        <v/>
      </c>
      <c r="U4732" s="10" t="n"/>
      <c r="V4732" s="10" t="n"/>
      <c r="W4732" s="10" t="n"/>
      <c r="X4732" s="10" t="n"/>
      <c r="Y4732" s="10" t="n"/>
      <c r="Z4732" s="10" t="n"/>
      <c r="AA4732" s="11">
        <f>IF(A4732="","",IF(AND(J4732="P4",F4732="causal"),"P4-CAUSAL",""))</f>
        <v/>
      </c>
    </row>
    <row r="4733" ht="15" customHeight="1" s="1">
      <c r="P4733">
        <f>IF(OR(F4733="",H4733="",J4733=""),"",J4733&amp;"|"&amp;F4733&amp;"|"&amp;IF(H4733="W3","W3_"&amp;IF(I4733="","unknown",I4733),H4733))</f>
        <v/>
      </c>
      <c r="Q4733">
        <f>IF(P4733="","",IFERROR(IF(AND(H4733="W7",OR(F4733="causal",F4733="predictive")),IF(AND(OR(K4733=1,K4733="1"),OR(L4733=1,L4733="1"),OR(M4733=1,M4733="1")),"adequate","partial"),IF(AND(H4733="W4",F4733="predictive",OR(J4733="P2",J4733="P3",J4733="P4")),IF(OR(U4733=1,U4733="1"),"adequate","partial"),INDEX(Fit_Matrix!$B:$B,MATCH(P4733,Fit_Matrix!$A:$A,0)))),"CHECK KEY"))</f>
        <v/>
      </c>
      <c r="U4733" s="10" t="n"/>
      <c r="V4733" s="10" t="n"/>
      <c r="W4733" s="10" t="n"/>
      <c r="X4733" s="10" t="n"/>
      <c r="Y4733" s="10" t="n"/>
      <c r="Z4733" s="10" t="n"/>
      <c r="AA4733" s="11">
        <f>IF(A4733="","",IF(AND(J4733="P4",F4733="causal"),"P4-CAUSAL",""))</f>
        <v/>
      </c>
    </row>
    <row r="4734" ht="15" customHeight="1" s="1">
      <c r="P4734">
        <f>IF(OR(F4734="",H4734="",J4734=""),"",J4734&amp;"|"&amp;F4734&amp;"|"&amp;IF(H4734="W3","W3_"&amp;IF(I4734="","unknown",I4734),H4734))</f>
        <v/>
      </c>
      <c r="Q4734">
        <f>IF(P4734="","",IFERROR(IF(AND(H4734="W7",OR(F4734="causal",F4734="predictive")),IF(AND(OR(K4734=1,K4734="1"),OR(L4734=1,L4734="1"),OR(M4734=1,M4734="1")),"adequate","partial"),IF(AND(H4734="W4",F4734="predictive",OR(J4734="P2",J4734="P3",J4734="P4")),IF(OR(U4734=1,U4734="1"),"adequate","partial"),INDEX(Fit_Matrix!$B:$B,MATCH(P4734,Fit_Matrix!$A:$A,0)))),"CHECK KEY"))</f>
        <v/>
      </c>
      <c r="U4734" s="10" t="n"/>
      <c r="V4734" s="10" t="n"/>
      <c r="W4734" s="10" t="n"/>
      <c r="X4734" s="10" t="n"/>
      <c r="Y4734" s="10" t="n"/>
      <c r="Z4734" s="10" t="n"/>
      <c r="AA4734" s="11">
        <f>IF(A4734="","",IF(AND(J4734="P4",F4734="causal"),"P4-CAUSAL",""))</f>
        <v/>
      </c>
    </row>
    <row r="4735" ht="15" customHeight="1" s="1">
      <c r="P4735">
        <f>IF(OR(F4735="",H4735="",J4735=""),"",J4735&amp;"|"&amp;F4735&amp;"|"&amp;IF(H4735="W3","W3_"&amp;IF(I4735="","unknown",I4735),H4735))</f>
        <v/>
      </c>
      <c r="Q4735">
        <f>IF(P4735="","",IFERROR(IF(AND(H4735="W7",OR(F4735="causal",F4735="predictive")),IF(AND(OR(K4735=1,K4735="1"),OR(L4735=1,L4735="1"),OR(M4735=1,M4735="1")),"adequate","partial"),IF(AND(H4735="W4",F4735="predictive",OR(J4735="P2",J4735="P3",J4735="P4")),IF(OR(U4735=1,U4735="1"),"adequate","partial"),INDEX(Fit_Matrix!$B:$B,MATCH(P4735,Fit_Matrix!$A:$A,0)))),"CHECK KEY"))</f>
        <v/>
      </c>
      <c r="U4735" s="10" t="n"/>
      <c r="V4735" s="10" t="n"/>
      <c r="W4735" s="10" t="n"/>
      <c r="X4735" s="10" t="n"/>
      <c r="Y4735" s="10" t="n"/>
      <c r="Z4735" s="10" t="n"/>
      <c r="AA4735" s="11">
        <f>IF(A4735="","",IF(AND(J4735="P4",F4735="causal"),"P4-CAUSAL",""))</f>
        <v/>
      </c>
    </row>
    <row r="4736" ht="15" customHeight="1" s="1">
      <c r="P4736">
        <f>IF(OR(F4736="",H4736="",J4736=""),"",J4736&amp;"|"&amp;F4736&amp;"|"&amp;IF(H4736="W3","W3_"&amp;IF(I4736="","unknown",I4736),H4736))</f>
        <v/>
      </c>
      <c r="Q4736">
        <f>IF(P4736="","",IFERROR(IF(AND(H4736="W7",OR(F4736="causal",F4736="predictive")),IF(AND(OR(K4736=1,K4736="1"),OR(L4736=1,L4736="1"),OR(M4736=1,M4736="1")),"adequate","partial"),IF(AND(H4736="W4",F4736="predictive",OR(J4736="P2",J4736="P3",J4736="P4")),IF(OR(U4736=1,U4736="1"),"adequate","partial"),INDEX(Fit_Matrix!$B:$B,MATCH(P4736,Fit_Matrix!$A:$A,0)))),"CHECK KEY"))</f>
        <v/>
      </c>
      <c r="U4736" s="10" t="n"/>
      <c r="V4736" s="10" t="n"/>
      <c r="W4736" s="10" t="n"/>
      <c r="X4736" s="10" t="n"/>
      <c r="Y4736" s="10" t="n"/>
      <c r="Z4736" s="10" t="n"/>
      <c r="AA4736" s="11">
        <f>IF(A4736="","",IF(AND(J4736="P4",F4736="causal"),"P4-CAUSAL",""))</f>
        <v/>
      </c>
    </row>
    <row r="4737" ht="15" customHeight="1" s="1">
      <c r="P4737">
        <f>IF(OR(F4737="",H4737="",J4737=""),"",J4737&amp;"|"&amp;F4737&amp;"|"&amp;IF(H4737="W3","W3_"&amp;IF(I4737="","unknown",I4737),H4737))</f>
        <v/>
      </c>
      <c r="Q4737">
        <f>IF(P4737="","",IFERROR(IF(AND(H4737="W7",OR(F4737="causal",F4737="predictive")),IF(AND(OR(K4737=1,K4737="1"),OR(L4737=1,L4737="1"),OR(M4737=1,M4737="1")),"adequate","partial"),IF(AND(H4737="W4",F4737="predictive",OR(J4737="P2",J4737="P3",J4737="P4")),IF(OR(U4737=1,U4737="1"),"adequate","partial"),INDEX(Fit_Matrix!$B:$B,MATCH(P4737,Fit_Matrix!$A:$A,0)))),"CHECK KEY"))</f>
        <v/>
      </c>
      <c r="U4737" s="10" t="n"/>
      <c r="V4737" s="10" t="n"/>
      <c r="W4737" s="10" t="n"/>
      <c r="X4737" s="10" t="n"/>
      <c r="Y4737" s="10" t="n"/>
      <c r="Z4737" s="10" t="n"/>
      <c r="AA4737" s="11">
        <f>IF(A4737="","",IF(AND(J4737="P4",F4737="causal"),"P4-CAUSAL",""))</f>
        <v/>
      </c>
    </row>
    <row r="4738" ht="15" customHeight="1" s="1">
      <c r="P4738">
        <f>IF(OR(F4738="",H4738="",J4738=""),"",J4738&amp;"|"&amp;F4738&amp;"|"&amp;IF(H4738="W3","W3_"&amp;IF(I4738="","unknown",I4738),H4738))</f>
        <v/>
      </c>
      <c r="Q4738">
        <f>IF(P4738="","",IFERROR(IF(AND(H4738="W7",OR(F4738="causal",F4738="predictive")),IF(AND(OR(K4738=1,K4738="1"),OR(L4738=1,L4738="1"),OR(M4738=1,M4738="1")),"adequate","partial"),IF(AND(H4738="W4",F4738="predictive",OR(J4738="P2",J4738="P3",J4738="P4")),IF(OR(U4738=1,U4738="1"),"adequate","partial"),INDEX(Fit_Matrix!$B:$B,MATCH(P4738,Fit_Matrix!$A:$A,0)))),"CHECK KEY"))</f>
        <v/>
      </c>
      <c r="U4738" s="10" t="n"/>
      <c r="V4738" s="10" t="n"/>
      <c r="W4738" s="10" t="n"/>
      <c r="X4738" s="10" t="n"/>
      <c r="Y4738" s="10" t="n"/>
      <c r="Z4738" s="10" t="n"/>
      <c r="AA4738" s="11">
        <f>IF(A4738="","",IF(AND(J4738="P4",F4738="causal"),"P4-CAUSAL",""))</f>
        <v/>
      </c>
    </row>
    <row r="4739" ht="15" customHeight="1" s="1">
      <c r="P4739">
        <f>IF(OR(F4739="",H4739="",J4739=""),"",J4739&amp;"|"&amp;F4739&amp;"|"&amp;IF(H4739="W3","W3_"&amp;IF(I4739="","unknown",I4739),H4739))</f>
        <v/>
      </c>
      <c r="Q4739">
        <f>IF(P4739="","",IFERROR(IF(AND(H4739="W7",OR(F4739="causal",F4739="predictive")),IF(AND(OR(K4739=1,K4739="1"),OR(L4739=1,L4739="1"),OR(M4739=1,M4739="1")),"adequate","partial"),IF(AND(H4739="W4",F4739="predictive",OR(J4739="P2",J4739="P3",J4739="P4")),IF(OR(U4739=1,U4739="1"),"adequate","partial"),INDEX(Fit_Matrix!$B:$B,MATCH(P4739,Fit_Matrix!$A:$A,0)))),"CHECK KEY"))</f>
        <v/>
      </c>
      <c r="U4739" s="10" t="n"/>
      <c r="V4739" s="10" t="n"/>
      <c r="W4739" s="10" t="n"/>
      <c r="X4739" s="10" t="n"/>
      <c r="Y4739" s="10" t="n"/>
      <c r="Z4739" s="10" t="n"/>
      <c r="AA4739" s="11">
        <f>IF(A4739="","",IF(AND(J4739="P4",F4739="causal"),"P4-CAUSAL",""))</f>
        <v/>
      </c>
    </row>
    <row r="4740" ht="15" customHeight="1" s="1">
      <c r="P4740">
        <f>IF(OR(F4740="",H4740="",J4740=""),"",J4740&amp;"|"&amp;F4740&amp;"|"&amp;IF(H4740="W3","W3_"&amp;IF(I4740="","unknown",I4740),H4740))</f>
        <v/>
      </c>
      <c r="Q4740">
        <f>IF(P4740="","",IFERROR(IF(AND(H4740="W7",OR(F4740="causal",F4740="predictive")),IF(AND(OR(K4740=1,K4740="1"),OR(L4740=1,L4740="1"),OR(M4740=1,M4740="1")),"adequate","partial"),IF(AND(H4740="W4",F4740="predictive",OR(J4740="P2",J4740="P3",J4740="P4")),IF(OR(U4740=1,U4740="1"),"adequate","partial"),INDEX(Fit_Matrix!$B:$B,MATCH(P4740,Fit_Matrix!$A:$A,0)))),"CHECK KEY"))</f>
        <v/>
      </c>
      <c r="U4740" s="10" t="n"/>
      <c r="V4740" s="10" t="n"/>
      <c r="W4740" s="10" t="n"/>
      <c r="X4740" s="10" t="n"/>
      <c r="Y4740" s="10" t="n"/>
      <c r="Z4740" s="10" t="n"/>
      <c r="AA4740" s="11">
        <f>IF(A4740="","",IF(AND(J4740="P4",F4740="causal"),"P4-CAUSAL",""))</f>
        <v/>
      </c>
    </row>
    <row r="4741" ht="15" customHeight="1" s="1">
      <c r="P4741">
        <f>IF(OR(F4741="",H4741="",J4741=""),"",J4741&amp;"|"&amp;F4741&amp;"|"&amp;IF(H4741="W3","W3_"&amp;IF(I4741="","unknown",I4741),H4741))</f>
        <v/>
      </c>
      <c r="Q4741">
        <f>IF(P4741="","",IFERROR(IF(AND(H4741="W7",OR(F4741="causal",F4741="predictive")),IF(AND(OR(K4741=1,K4741="1"),OR(L4741=1,L4741="1"),OR(M4741=1,M4741="1")),"adequate","partial"),IF(AND(H4741="W4",F4741="predictive",OR(J4741="P2",J4741="P3",J4741="P4")),IF(OR(U4741=1,U4741="1"),"adequate","partial"),INDEX(Fit_Matrix!$B:$B,MATCH(P4741,Fit_Matrix!$A:$A,0)))),"CHECK KEY"))</f>
        <v/>
      </c>
      <c r="U4741" s="10" t="n"/>
      <c r="V4741" s="10" t="n"/>
      <c r="W4741" s="10" t="n"/>
      <c r="X4741" s="10" t="n"/>
      <c r="Y4741" s="10" t="n"/>
      <c r="Z4741" s="10" t="n"/>
      <c r="AA4741" s="11">
        <f>IF(A4741="","",IF(AND(J4741="P4",F4741="causal"),"P4-CAUSAL",""))</f>
        <v/>
      </c>
    </row>
    <row r="4742" ht="15" customHeight="1" s="1">
      <c r="P4742">
        <f>IF(OR(F4742="",H4742="",J4742=""),"",J4742&amp;"|"&amp;F4742&amp;"|"&amp;IF(H4742="W3","W3_"&amp;IF(I4742="","unknown",I4742),H4742))</f>
        <v/>
      </c>
      <c r="Q4742">
        <f>IF(P4742="","",IFERROR(IF(AND(H4742="W7",OR(F4742="causal",F4742="predictive")),IF(AND(OR(K4742=1,K4742="1"),OR(L4742=1,L4742="1"),OR(M4742=1,M4742="1")),"adequate","partial"),IF(AND(H4742="W4",F4742="predictive",OR(J4742="P2",J4742="P3",J4742="P4")),IF(OR(U4742=1,U4742="1"),"adequate","partial"),INDEX(Fit_Matrix!$B:$B,MATCH(P4742,Fit_Matrix!$A:$A,0)))),"CHECK KEY"))</f>
        <v/>
      </c>
      <c r="U4742" s="10" t="n"/>
      <c r="V4742" s="10" t="n"/>
      <c r="W4742" s="10" t="n"/>
      <c r="X4742" s="10" t="n"/>
      <c r="Y4742" s="10" t="n"/>
      <c r="Z4742" s="10" t="n"/>
      <c r="AA4742" s="11">
        <f>IF(A4742="","",IF(AND(J4742="P4",F4742="causal"),"P4-CAUSAL",""))</f>
        <v/>
      </c>
    </row>
    <row r="4743" ht="15" customHeight="1" s="1">
      <c r="P4743">
        <f>IF(OR(F4743="",H4743="",J4743=""),"",J4743&amp;"|"&amp;F4743&amp;"|"&amp;IF(H4743="W3","W3_"&amp;IF(I4743="","unknown",I4743),H4743))</f>
        <v/>
      </c>
      <c r="Q4743">
        <f>IF(P4743="","",IFERROR(IF(AND(H4743="W7",OR(F4743="causal",F4743="predictive")),IF(AND(OR(K4743=1,K4743="1"),OR(L4743=1,L4743="1"),OR(M4743=1,M4743="1")),"adequate","partial"),IF(AND(H4743="W4",F4743="predictive",OR(J4743="P2",J4743="P3",J4743="P4")),IF(OR(U4743=1,U4743="1"),"adequate","partial"),INDEX(Fit_Matrix!$B:$B,MATCH(P4743,Fit_Matrix!$A:$A,0)))),"CHECK KEY"))</f>
        <v/>
      </c>
      <c r="U4743" s="10" t="n"/>
      <c r="V4743" s="10" t="n"/>
      <c r="W4743" s="10" t="n"/>
      <c r="X4743" s="10" t="n"/>
      <c r="Y4743" s="10" t="n"/>
      <c r="Z4743" s="10" t="n"/>
      <c r="AA4743" s="11">
        <f>IF(A4743="","",IF(AND(J4743="P4",F4743="causal"),"P4-CAUSAL",""))</f>
        <v/>
      </c>
    </row>
    <row r="4744" ht="15" customHeight="1" s="1">
      <c r="P4744">
        <f>IF(OR(F4744="",H4744="",J4744=""),"",J4744&amp;"|"&amp;F4744&amp;"|"&amp;IF(H4744="W3","W3_"&amp;IF(I4744="","unknown",I4744),H4744))</f>
        <v/>
      </c>
      <c r="Q4744">
        <f>IF(P4744="","",IFERROR(IF(AND(H4744="W7",OR(F4744="causal",F4744="predictive")),IF(AND(OR(K4744=1,K4744="1"),OR(L4744=1,L4744="1"),OR(M4744=1,M4744="1")),"adequate","partial"),IF(AND(H4744="W4",F4744="predictive",OR(J4744="P2",J4744="P3",J4744="P4")),IF(OR(U4744=1,U4744="1"),"adequate","partial"),INDEX(Fit_Matrix!$B:$B,MATCH(P4744,Fit_Matrix!$A:$A,0)))),"CHECK KEY"))</f>
        <v/>
      </c>
      <c r="U4744" s="10" t="n"/>
      <c r="V4744" s="10" t="n"/>
      <c r="W4744" s="10" t="n"/>
      <c r="X4744" s="10" t="n"/>
      <c r="Y4744" s="10" t="n"/>
      <c r="Z4744" s="10" t="n"/>
      <c r="AA4744" s="11">
        <f>IF(A4744="","",IF(AND(J4744="P4",F4744="causal"),"P4-CAUSAL",""))</f>
        <v/>
      </c>
    </row>
    <row r="4745" ht="15" customHeight="1" s="1">
      <c r="P4745">
        <f>IF(OR(F4745="",H4745="",J4745=""),"",J4745&amp;"|"&amp;F4745&amp;"|"&amp;IF(H4745="W3","W3_"&amp;IF(I4745="","unknown",I4745),H4745))</f>
        <v/>
      </c>
      <c r="Q4745">
        <f>IF(P4745="","",IFERROR(IF(AND(H4745="W7",OR(F4745="causal",F4745="predictive")),IF(AND(OR(K4745=1,K4745="1"),OR(L4745=1,L4745="1"),OR(M4745=1,M4745="1")),"adequate","partial"),IF(AND(H4745="W4",F4745="predictive",OR(J4745="P2",J4745="P3",J4745="P4")),IF(OR(U4745=1,U4745="1"),"adequate","partial"),INDEX(Fit_Matrix!$B:$B,MATCH(P4745,Fit_Matrix!$A:$A,0)))),"CHECK KEY"))</f>
        <v/>
      </c>
      <c r="U4745" s="10" t="n"/>
      <c r="V4745" s="10" t="n"/>
      <c r="W4745" s="10" t="n"/>
      <c r="X4745" s="10" t="n"/>
      <c r="Y4745" s="10" t="n"/>
      <c r="Z4745" s="10" t="n"/>
      <c r="AA4745" s="11">
        <f>IF(A4745="","",IF(AND(J4745="P4",F4745="causal"),"P4-CAUSAL",""))</f>
        <v/>
      </c>
    </row>
    <row r="4746" ht="15" customHeight="1" s="1">
      <c r="P4746">
        <f>IF(OR(F4746="",H4746="",J4746=""),"",J4746&amp;"|"&amp;F4746&amp;"|"&amp;IF(H4746="W3","W3_"&amp;IF(I4746="","unknown",I4746),H4746))</f>
        <v/>
      </c>
      <c r="Q4746">
        <f>IF(P4746="","",IFERROR(IF(AND(H4746="W7",OR(F4746="causal",F4746="predictive")),IF(AND(OR(K4746=1,K4746="1"),OR(L4746=1,L4746="1"),OR(M4746=1,M4746="1")),"adequate","partial"),IF(AND(H4746="W4",F4746="predictive",OR(J4746="P2",J4746="P3",J4746="P4")),IF(OR(U4746=1,U4746="1"),"adequate","partial"),INDEX(Fit_Matrix!$B:$B,MATCH(P4746,Fit_Matrix!$A:$A,0)))),"CHECK KEY"))</f>
        <v/>
      </c>
      <c r="U4746" s="10" t="n"/>
      <c r="V4746" s="10" t="n"/>
      <c r="W4746" s="10" t="n"/>
      <c r="X4746" s="10" t="n"/>
      <c r="Y4746" s="10" t="n"/>
      <c r="Z4746" s="10" t="n"/>
      <c r="AA4746" s="11">
        <f>IF(A4746="","",IF(AND(J4746="P4",F4746="causal"),"P4-CAUSAL",""))</f>
        <v/>
      </c>
    </row>
    <row r="4747" ht="15" customHeight="1" s="1">
      <c r="P4747">
        <f>IF(OR(F4747="",H4747="",J4747=""),"",J4747&amp;"|"&amp;F4747&amp;"|"&amp;IF(H4747="W3","W3_"&amp;IF(I4747="","unknown",I4747),H4747))</f>
        <v/>
      </c>
      <c r="Q4747">
        <f>IF(P4747="","",IFERROR(IF(AND(H4747="W7",OR(F4747="causal",F4747="predictive")),IF(AND(OR(K4747=1,K4747="1"),OR(L4747=1,L4747="1"),OR(M4747=1,M4747="1")),"adequate","partial"),IF(AND(H4747="W4",F4747="predictive",OR(J4747="P2",J4747="P3",J4747="P4")),IF(OR(U4747=1,U4747="1"),"adequate","partial"),INDEX(Fit_Matrix!$B:$B,MATCH(P4747,Fit_Matrix!$A:$A,0)))),"CHECK KEY"))</f>
        <v/>
      </c>
      <c r="U4747" s="10" t="n"/>
      <c r="V4747" s="10" t="n"/>
      <c r="W4747" s="10" t="n"/>
      <c r="X4747" s="10" t="n"/>
      <c r="Y4747" s="10" t="n"/>
      <c r="Z4747" s="10" t="n"/>
      <c r="AA4747" s="11">
        <f>IF(A4747="","",IF(AND(J4747="P4",F4747="causal"),"P4-CAUSAL",""))</f>
        <v/>
      </c>
    </row>
    <row r="4748" ht="15" customHeight="1" s="1">
      <c r="P4748">
        <f>IF(OR(F4748="",H4748="",J4748=""),"",J4748&amp;"|"&amp;F4748&amp;"|"&amp;IF(H4748="W3","W3_"&amp;IF(I4748="","unknown",I4748),H4748))</f>
        <v/>
      </c>
      <c r="Q4748">
        <f>IF(P4748="","",IFERROR(IF(AND(H4748="W7",OR(F4748="causal",F4748="predictive")),IF(AND(OR(K4748=1,K4748="1"),OR(L4748=1,L4748="1"),OR(M4748=1,M4748="1")),"adequate","partial"),IF(AND(H4748="W4",F4748="predictive",OR(J4748="P2",J4748="P3",J4748="P4")),IF(OR(U4748=1,U4748="1"),"adequate","partial"),INDEX(Fit_Matrix!$B:$B,MATCH(P4748,Fit_Matrix!$A:$A,0)))),"CHECK KEY"))</f>
        <v/>
      </c>
      <c r="U4748" s="10" t="n"/>
      <c r="V4748" s="10" t="n"/>
      <c r="W4748" s="10" t="n"/>
      <c r="X4748" s="10" t="n"/>
      <c r="Y4748" s="10" t="n"/>
      <c r="Z4748" s="10" t="n"/>
      <c r="AA4748" s="11">
        <f>IF(A4748="","",IF(AND(J4748="P4",F4748="causal"),"P4-CAUSAL",""))</f>
        <v/>
      </c>
    </row>
    <row r="4749" ht="15" customHeight="1" s="1">
      <c r="P4749">
        <f>IF(OR(F4749="",H4749="",J4749=""),"",J4749&amp;"|"&amp;F4749&amp;"|"&amp;IF(H4749="W3","W3_"&amp;IF(I4749="","unknown",I4749),H4749))</f>
        <v/>
      </c>
      <c r="Q4749">
        <f>IF(P4749="","",IFERROR(IF(AND(H4749="W7",OR(F4749="causal",F4749="predictive")),IF(AND(OR(K4749=1,K4749="1"),OR(L4749=1,L4749="1"),OR(M4749=1,M4749="1")),"adequate","partial"),IF(AND(H4749="W4",F4749="predictive",OR(J4749="P2",J4749="P3",J4749="P4")),IF(OR(U4749=1,U4749="1"),"adequate","partial"),INDEX(Fit_Matrix!$B:$B,MATCH(P4749,Fit_Matrix!$A:$A,0)))),"CHECK KEY"))</f>
        <v/>
      </c>
      <c r="U4749" s="10" t="n"/>
      <c r="V4749" s="10" t="n"/>
      <c r="W4749" s="10" t="n"/>
      <c r="X4749" s="10" t="n"/>
      <c r="Y4749" s="10" t="n"/>
      <c r="Z4749" s="10" t="n"/>
      <c r="AA4749" s="11">
        <f>IF(A4749="","",IF(AND(J4749="P4",F4749="causal"),"P4-CAUSAL",""))</f>
        <v/>
      </c>
    </row>
    <row r="4750" ht="15" customHeight="1" s="1">
      <c r="P4750">
        <f>IF(OR(F4750="",H4750="",J4750=""),"",J4750&amp;"|"&amp;F4750&amp;"|"&amp;IF(H4750="W3","W3_"&amp;IF(I4750="","unknown",I4750),H4750))</f>
        <v/>
      </c>
      <c r="Q4750">
        <f>IF(P4750="","",IFERROR(IF(AND(H4750="W7",OR(F4750="causal",F4750="predictive")),IF(AND(OR(K4750=1,K4750="1"),OR(L4750=1,L4750="1"),OR(M4750=1,M4750="1")),"adequate","partial"),IF(AND(H4750="W4",F4750="predictive",OR(J4750="P2",J4750="P3",J4750="P4")),IF(OR(U4750=1,U4750="1"),"adequate","partial"),INDEX(Fit_Matrix!$B:$B,MATCH(P4750,Fit_Matrix!$A:$A,0)))),"CHECK KEY"))</f>
        <v/>
      </c>
      <c r="U4750" s="10" t="n"/>
      <c r="V4750" s="10" t="n"/>
      <c r="W4750" s="10" t="n"/>
      <c r="X4750" s="10" t="n"/>
      <c r="Y4750" s="10" t="n"/>
      <c r="Z4750" s="10" t="n"/>
      <c r="AA4750" s="11">
        <f>IF(A4750="","",IF(AND(J4750="P4",F4750="causal"),"P4-CAUSAL",""))</f>
        <v/>
      </c>
    </row>
    <row r="4751" ht="15" customHeight="1" s="1">
      <c r="P4751">
        <f>IF(OR(F4751="",H4751="",J4751=""),"",J4751&amp;"|"&amp;F4751&amp;"|"&amp;IF(H4751="W3","W3_"&amp;IF(I4751="","unknown",I4751),H4751))</f>
        <v/>
      </c>
      <c r="Q4751">
        <f>IF(P4751="","",IFERROR(IF(AND(H4751="W7",OR(F4751="causal",F4751="predictive")),IF(AND(OR(K4751=1,K4751="1"),OR(L4751=1,L4751="1"),OR(M4751=1,M4751="1")),"adequate","partial"),IF(AND(H4751="W4",F4751="predictive",OR(J4751="P2",J4751="P3",J4751="P4")),IF(OR(U4751=1,U4751="1"),"adequate","partial"),INDEX(Fit_Matrix!$B:$B,MATCH(P4751,Fit_Matrix!$A:$A,0)))),"CHECK KEY"))</f>
        <v/>
      </c>
      <c r="U4751" s="10" t="n"/>
      <c r="V4751" s="10" t="n"/>
      <c r="W4751" s="10" t="n"/>
      <c r="X4751" s="10" t="n"/>
      <c r="Y4751" s="10" t="n"/>
      <c r="Z4751" s="10" t="n"/>
      <c r="AA4751" s="11">
        <f>IF(A4751="","",IF(AND(J4751="P4",F4751="causal"),"P4-CAUSAL",""))</f>
        <v/>
      </c>
    </row>
    <row r="4752" ht="15" customHeight="1" s="1">
      <c r="P4752">
        <f>IF(OR(F4752="",H4752="",J4752=""),"",J4752&amp;"|"&amp;F4752&amp;"|"&amp;IF(H4752="W3","W3_"&amp;IF(I4752="","unknown",I4752),H4752))</f>
        <v/>
      </c>
      <c r="Q4752">
        <f>IF(P4752="","",IFERROR(IF(AND(H4752="W7",OR(F4752="causal",F4752="predictive")),IF(AND(OR(K4752=1,K4752="1"),OR(L4752=1,L4752="1"),OR(M4752=1,M4752="1")),"adequate","partial"),IF(AND(H4752="W4",F4752="predictive",OR(J4752="P2",J4752="P3",J4752="P4")),IF(OR(U4752=1,U4752="1"),"adequate","partial"),INDEX(Fit_Matrix!$B:$B,MATCH(P4752,Fit_Matrix!$A:$A,0)))),"CHECK KEY"))</f>
        <v/>
      </c>
      <c r="U4752" s="10" t="n"/>
      <c r="V4752" s="10" t="n"/>
      <c r="W4752" s="10" t="n"/>
      <c r="X4752" s="10" t="n"/>
      <c r="Y4752" s="10" t="n"/>
      <c r="Z4752" s="10" t="n"/>
      <c r="AA4752" s="11">
        <f>IF(A4752="","",IF(AND(J4752="P4",F4752="causal"),"P4-CAUSAL",""))</f>
        <v/>
      </c>
    </row>
    <row r="4753" ht="15" customHeight="1" s="1">
      <c r="P4753">
        <f>IF(OR(F4753="",H4753="",J4753=""),"",J4753&amp;"|"&amp;F4753&amp;"|"&amp;IF(H4753="W3","W3_"&amp;IF(I4753="","unknown",I4753),H4753))</f>
        <v/>
      </c>
      <c r="Q4753">
        <f>IF(P4753="","",IFERROR(IF(AND(H4753="W7",OR(F4753="causal",F4753="predictive")),IF(AND(OR(K4753=1,K4753="1"),OR(L4753=1,L4753="1"),OR(M4753=1,M4753="1")),"adequate","partial"),IF(AND(H4753="W4",F4753="predictive",OR(J4753="P2",J4753="P3",J4753="P4")),IF(OR(U4753=1,U4753="1"),"adequate","partial"),INDEX(Fit_Matrix!$B:$B,MATCH(P4753,Fit_Matrix!$A:$A,0)))),"CHECK KEY"))</f>
        <v/>
      </c>
      <c r="U4753" s="10" t="n"/>
      <c r="V4753" s="10" t="n"/>
      <c r="W4753" s="10" t="n"/>
      <c r="X4753" s="10" t="n"/>
      <c r="Y4753" s="10" t="n"/>
      <c r="Z4753" s="10" t="n"/>
      <c r="AA4753" s="11">
        <f>IF(A4753="","",IF(AND(J4753="P4",F4753="causal"),"P4-CAUSAL",""))</f>
        <v/>
      </c>
    </row>
    <row r="4754" ht="15" customHeight="1" s="1">
      <c r="P4754">
        <f>IF(OR(F4754="",H4754="",J4754=""),"",J4754&amp;"|"&amp;F4754&amp;"|"&amp;IF(H4754="W3","W3_"&amp;IF(I4754="","unknown",I4754),H4754))</f>
        <v/>
      </c>
      <c r="Q4754">
        <f>IF(P4754="","",IFERROR(IF(AND(H4754="W7",OR(F4754="causal",F4754="predictive")),IF(AND(OR(K4754=1,K4754="1"),OR(L4754=1,L4754="1"),OR(M4754=1,M4754="1")),"adequate","partial"),IF(AND(H4754="W4",F4754="predictive",OR(J4754="P2",J4754="P3",J4754="P4")),IF(OR(U4754=1,U4754="1"),"adequate","partial"),INDEX(Fit_Matrix!$B:$B,MATCH(P4754,Fit_Matrix!$A:$A,0)))),"CHECK KEY"))</f>
        <v/>
      </c>
      <c r="U4754" s="10" t="n"/>
      <c r="V4754" s="10" t="n"/>
      <c r="W4754" s="10" t="n"/>
      <c r="X4754" s="10" t="n"/>
      <c r="Y4754" s="10" t="n"/>
      <c r="Z4754" s="10" t="n"/>
      <c r="AA4754" s="11">
        <f>IF(A4754="","",IF(AND(J4754="P4",F4754="causal"),"P4-CAUSAL",""))</f>
        <v/>
      </c>
    </row>
    <row r="4755" ht="15" customHeight="1" s="1">
      <c r="P4755">
        <f>IF(OR(F4755="",H4755="",J4755=""),"",J4755&amp;"|"&amp;F4755&amp;"|"&amp;IF(H4755="W3","W3_"&amp;IF(I4755="","unknown",I4755),H4755))</f>
        <v/>
      </c>
      <c r="Q4755">
        <f>IF(P4755="","",IFERROR(IF(AND(H4755="W7",OR(F4755="causal",F4755="predictive")),IF(AND(OR(K4755=1,K4755="1"),OR(L4755=1,L4755="1"),OR(M4755=1,M4755="1")),"adequate","partial"),IF(AND(H4755="W4",F4755="predictive",OR(J4755="P2",J4755="P3",J4755="P4")),IF(OR(U4755=1,U4755="1"),"adequate","partial"),INDEX(Fit_Matrix!$B:$B,MATCH(P4755,Fit_Matrix!$A:$A,0)))),"CHECK KEY"))</f>
        <v/>
      </c>
      <c r="U4755" s="10" t="n"/>
      <c r="V4755" s="10" t="n"/>
      <c r="W4755" s="10" t="n"/>
      <c r="X4755" s="10" t="n"/>
      <c r="Y4755" s="10" t="n"/>
      <c r="Z4755" s="10" t="n"/>
      <c r="AA4755" s="11">
        <f>IF(A4755="","",IF(AND(J4755="P4",F4755="causal"),"P4-CAUSAL",""))</f>
        <v/>
      </c>
    </row>
    <row r="4756" ht="15" customHeight="1" s="1">
      <c r="P4756">
        <f>IF(OR(F4756="",H4756="",J4756=""),"",J4756&amp;"|"&amp;F4756&amp;"|"&amp;IF(H4756="W3","W3_"&amp;IF(I4756="","unknown",I4756),H4756))</f>
        <v/>
      </c>
      <c r="Q4756">
        <f>IF(P4756="","",IFERROR(IF(AND(H4756="W7",OR(F4756="causal",F4756="predictive")),IF(AND(OR(K4756=1,K4756="1"),OR(L4756=1,L4756="1"),OR(M4756=1,M4756="1")),"adequate","partial"),IF(AND(H4756="W4",F4756="predictive",OR(J4756="P2",J4756="P3",J4756="P4")),IF(OR(U4756=1,U4756="1"),"adequate","partial"),INDEX(Fit_Matrix!$B:$B,MATCH(P4756,Fit_Matrix!$A:$A,0)))),"CHECK KEY"))</f>
        <v/>
      </c>
      <c r="U4756" s="10" t="n"/>
      <c r="V4756" s="10" t="n"/>
      <c r="W4756" s="10" t="n"/>
      <c r="X4756" s="10" t="n"/>
      <c r="Y4756" s="10" t="n"/>
      <c r="Z4756" s="10" t="n"/>
      <c r="AA4756" s="11">
        <f>IF(A4756="","",IF(AND(J4756="P4",F4756="causal"),"P4-CAUSAL",""))</f>
        <v/>
      </c>
    </row>
    <row r="4757" ht="15" customHeight="1" s="1">
      <c r="P4757">
        <f>IF(OR(F4757="",H4757="",J4757=""),"",J4757&amp;"|"&amp;F4757&amp;"|"&amp;IF(H4757="W3","W3_"&amp;IF(I4757="","unknown",I4757),H4757))</f>
        <v/>
      </c>
      <c r="Q4757">
        <f>IF(P4757="","",IFERROR(IF(AND(H4757="W7",OR(F4757="causal",F4757="predictive")),IF(AND(OR(K4757=1,K4757="1"),OR(L4757=1,L4757="1"),OR(M4757=1,M4757="1")),"adequate","partial"),IF(AND(H4757="W4",F4757="predictive",OR(J4757="P2",J4757="P3",J4757="P4")),IF(OR(U4757=1,U4757="1"),"adequate","partial"),INDEX(Fit_Matrix!$B:$B,MATCH(P4757,Fit_Matrix!$A:$A,0)))),"CHECK KEY"))</f>
        <v/>
      </c>
      <c r="U4757" s="10" t="n"/>
      <c r="V4757" s="10" t="n"/>
      <c r="W4757" s="10" t="n"/>
      <c r="X4757" s="10" t="n"/>
      <c r="Y4757" s="10" t="n"/>
      <c r="Z4757" s="10" t="n"/>
      <c r="AA4757" s="11">
        <f>IF(A4757="","",IF(AND(J4757="P4",F4757="causal"),"P4-CAUSAL",""))</f>
        <v/>
      </c>
    </row>
    <row r="4758" ht="15" customHeight="1" s="1">
      <c r="P4758">
        <f>IF(OR(F4758="",H4758="",J4758=""),"",J4758&amp;"|"&amp;F4758&amp;"|"&amp;IF(H4758="W3","W3_"&amp;IF(I4758="","unknown",I4758),H4758))</f>
        <v/>
      </c>
      <c r="Q4758">
        <f>IF(P4758="","",IFERROR(IF(AND(H4758="W7",OR(F4758="causal",F4758="predictive")),IF(AND(OR(K4758=1,K4758="1"),OR(L4758=1,L4758="1"),OR(M4758=1,M4758="1")),"adequate","partial"),IF(AND(H4758="W4",F4758="predictive",OR(J4758="P2",J4758="P3",J4758="P4")),IF(OR(U4758=1,U4758="1"),"adequate","partial"),INDEX(Fit_Matrix!$B:$B,MATCH(P4758,Fit_Matrix!$A:$A,0)))),"CHECK KEY"))</f>
        <v/>
      </c>
      <c r="U4758" s="10" t="n"/>
      <c r="V4758" s="10" t="n"/>
      <c r="W4758" s="10" t="n"/>
      <c r="X4758" s="10" t="n"/>
      <c r="Y4758" s="10" t="n"/>
      <c r="Z4758" s="10" t="n"/>
      <c r="AA4758" s="11">
        <f>IF(A4758="","",IF(AND(J4758="P4",F4758="causal"),"P4-CAUSAL",""))</f>
        <v/>
      </c>
    </row>
    <row r="4759" ht="15" customHeight="1" s="1">
      <c r="P4759">
        <f>IF(OR(F4759="",H4759="",J4759=""),"",J4759&amp;"|"&amp;F4759&amp;"|"&amp;IF(H4759="W3","W3_"&amp;IF(I4759="","unknown",I4759),H4759))</f>
        <v/>
      </c>
      <c r="Q4759">
        <f>IF(P4759="","",IFERROR(IF(AND(H4759="W7",OR(F4759="causal",F4759="predictive")),IF(AND(OR(K4759=1,K4759="1"),OR(L4759=1,L4759="1"),OR(M4759=1,M4759="1")),"adequate","partial"),IF(AND(H4759="W4",F4759="predictive",OR(J4759="P2",J4759="P3",J4759="P4")),IF(OR(U4759=1,U4759="1"),"adequate","partial"),INDEX(Fit_Matrix!$B:$B,MATCH(P4759,Fit_Matrix!$A:$A,0)))),"CHECK KEY"))</f>
        <v/>
      </c>
      <c r="U4759" s="10" t="n"/>
      <c r="V4759" s="10" t="n"/>
      <c r="W4759" s="10" t="n"/>
      <c r="X4759" s="10" t="n"/>
      <c r="Y4759" s="10" t="n"/>
      <c r="Z4759" s="10" t="n"/>
      <c r="AA4759" s="11">
        <f>IF(A4759="","",IF(AND(J4759="P4",F4759="causal"),"P4-CAUSAL",""))</f>
        <v/>
      </c>
    </row>
    <row r="4760" ht="15" customHeight="1" s="1">
      <c r="P4760">
        <f>IF(OR(F4760="",H4760="",J4760=""),"",J4760&amp;"|"&amp;F4760&amp;"|"&amp;IF(H4760="W3","W3_"&amp;IF(I4760="","unknown",I4760),H4760))</f>
        <v/>
      </c>
      <c r="Q4760">
        <f>IF(P4760="","",IFERROR(IF(AND(H4760="W7",OR(F4760="causal",F4760="predictive")),IF(AND(OR(K4760=1,K4760="1"),OR(L4760=1,L4760="1"),OR(M4760=1,M4760="1")),"adequate","partial"),IF(AND(H4760="W4",F4760="predictive",OR(J4760="P2",J4760="P3",J4760="P4")),IF(OR(U4760=1,U4760="1"),"adequate","partial"),INDEX(Fit_Matrix!$B:$B,MATCH(P4760,Fit_Matrix!$A:$A,0)))),"CHECK KEY"))</f>
        <v/>
      </c>
      <c r="U4760" s="10" t="n"/>
      <c r="V4760" s="10" t="n"/>
      <c r="W4760" s="10" t="n"/>
      <c r="X4760" s="10" t="n"/>
      <c r="Y4760" s="10" t="n"/>
      <c r="Z4760" s="10" t="n"/>
      <c r="AA4760" s="11">
        <f>IF(A4760="","",IF(AND(J4760="P4",F4760="causal"),"P4-CAUSAL",""))</f>
        <v/>
      </c>
    </row>
    <row r="4761" ht="15" customHeight="1" s="1">
      <c r="P4761">
        <f>IF(OR(F4761="",H4761="",J4761=""),"",J4761&amp;"|"&amp;F4761&amp;"|"&amp;IF(H4761="W3","W3_"&amp;IF(I4761="","unknown",I4761),H4761))</f>
        <v/>
      </c>
      <c r="Q4761">
        <f>IF(P4761="","",IFERROR(IF(AND(H4761="W7",OR(F4761="causal",F4761="predictive")),IF(AND(OR(K4761=1,K4761="1"),OR(L4761=1,L4761="1"),OR(M4761=1,M4761="1")),"adequate","partial"),IF(AND(H4761="W4",F4761="predictive",OR(J4761="P2",J4761="P3",J4761="P4")),IF(OR(U4761=1,U4761="1"),"adequate","partial"),INDEX(Fit_Matrix!$B:$B,MATCH(P4761,Fit_Matrix!$A:$A,0)))),"CHECK KEY"))</f>
        <v/>
      </c>
      <c r="U4761" s="10" t="n"/>
      <c r="V4761" s="10" t="n"/>
      <c r="W4761" s="10" t="n"/>
      <c r="X4761" s="10" t="n"/>
      <c r="Y4761" s="10" t="n"/>
      <c r="Z4761" s="10" t="n"/>
      <c r="AA4761" s="11">
        <f>IF(A4761="","",IF(AND(J4761="P4",F4761="causal"),"P4-CAUSAL",""))</f>
        <v/>
      </c>
    </row>
    <row r="4762" ht="15" customHeight="1" s="1">
      <c r="P4762">
        <f>IF(OR(F4762="",H4762="",J4762=""),"",J4762&amp;"|"&amp;F4762&amp;"|"&amp;IF(H4762="W3","W3_"&amp;IF(I4762="","unknown",I4762),H4762))</f>
        <v/>
      </c>
      <c r="Q4762">
        <f>IF(P4762="","",IFERROR(IF(AND(H4762="W7",OR(F4762="causal",F4762="predictive")),IF(AND(OR(K4762=1,K4762="1"),OR(L4762=1,L4762="1"),OR(M4762=1,M4762="1")),"adequate","partial"),IF(AND(H4762="W4",F4762="predictive",OR(J4762="P2",J4762="P3",J4762="P4")),IF(OR(U4762=1,U4762="1"),"adequate","partial"),INDEX(Fit_Matrix!$B:$B,MATCH(P4762,Fit_Matrix!$A:$A,0)))),"CHECK KEY"))</f>
        <v/>
      </c>
      <c r="U4762" s="10" t="n"/>
      <c r="V4762" s="10" t="n"/>
      <c r="W4762" s="10" t="n"/>
      <c r="X4762" s="10" t="n"/>
      <c r="Y4762" s="10" t="n"/>
      <c r="Z4762" s="10" t="n"/>
      <c r="AA4762" s="11">
        <f>IF(A4762="","",IF(AND(J4762="P4",F4762="causal"),"P4-CAUSAL",""))</f>
        <v/>
      </c>
    </row>
    <row r="4763" ht="15" customHeight="1" s="1">
      <c r="P4763">
        <f>IF(OR(F4763="",H4763="",J4763=""),"",J4763&amp;"|"&amp;F4763&amp;"|"&amp;IF(H4763="W3","W3_"&amp;IF(I4763="","unknown",I4763),H4763))</f>
        <v/>
      </c>
      <c r="Q4763">
        <f>IF(P4763="","",IFERROR(IF(AND(H4763="W7",OR(F4763="causal",F4763="predictive")),IF(AND(OR(K4763=1,K4763="1"),OR(L4763=1,L4763="1"),OR(M4763=1,M4763="1")),"adequate","partial"),IF(AND(H4763="W4",F4763="predictive",OR(J4763="P2",J4763="P3",J4763="P4")),IF(OR(U4763=1,U4763="1"),"adequate","partial"),INDEX(Fit_Matrix!$B:$B,MATCH(P4763,Fit_Matrix!$A:$A,0)))),"CHECK KEY"))</f>
        <v/>
      </c>
      <c r="U4763" s="10" t="n"/>
      <c r="V4763" s="10" t="n"/>
      <c r="W4763" s="10" t="n"/>
      <c r="X4763" s="10" t="n"/>
      <c r="Y4763" s="10" t="n"/>
      <c r="Z4763" s="10" t="n"/>
      <c r="AA4763" s="11">
        <f>IF(A4763="","",IF(AND(J4763="P4",F4763="causal"),"P4-CAUSAL",""))</f>
        <v/>
      </c>
    </row>
    <row r="4764" ht="15" customHeight="1" s="1">
      <c r="P4764">
        <f>IF(OR(F4764="",H4764="",J4764=""),"",J4764&amp;"|"&amp;F4764&amp;"|"&amp;IF(H4764="W3","W3_"&amp;IF(I4764="","unknown",I4764),H4764))</f>
        <v/>
      </c>
      <c r="Q4764">
        <f>IF(P4764="","",IFERROR(IF(AND(H4764="W7",OR(F4764="causal",F4764="predictive")),IF(AND(OR(K4764=1,K4764="1"),OR(L4764=1,L4764="1"),OR(M4764=1,M4764="1")),"adequate","partial"),IF(AND(H4764="W4",F4764="predictive",OR(J4764="P2",J4764="P3",J4764="P4")),IF(OR(U4764=1,U4764="1"),"adequate","partial"),INDEX(Fit_Matrix!$B:$B,MATCH(P4764,Fit_Matrix!$A:$A,0)))),"CHECK KEY"))</f>
        <v/>
      </c>
      <c r="U4764" s="10" t="n"/>
      <c r="V4764" s="10" t="n"/>
      <c r="W4764" s="10" t="n"/>
      <c r="X4764" s="10" t="n"/>
      <c r="Y4764" s="10" t="n"/>
      <c r="Z4764" s="10" t="n"/>
      <c r="AA4764" s="11">
        <f>IF(A4764="","",IF(AND(J4764="P4",F4764="causal"),"P4-CAUSAL",""))</f>
        <v/>
      </c>
    </row>
    <row r="4765" ht="15" customHeight="1" s="1">
      <c r="P4765">
        <f>IF(OR(F4765="",H4765="",J4765=""),"",J4765&amp;"|"&amp;F4765&amp;"|"&amp;IF(H4765="W3","W3_"&amp;IF(I4765="","unknown",I4765),H4765))</f>
        <v/>
      </c>
      <c r="Q4765">
        <f>IF(P4765="","",IFERROR(IF(AND(H4765="W7",OR(F4765="causal",F4765="predictive")),IF(AND(OR(K4765=1,K4765="1"),OR(L4765=1,L4765="1"),OR(M4765=1,M4765="1")),"adequate","partial"),IF(AND(H4765="W4",F4765="predictive",OR(J4765="P2",J4765="P3",J4765="P4")),IF(OR(U4765=1,U4765="1"),"adequate","partial"),INDEX(Fit_Matrix!$B:$B,MATCH(P4765,Fit_Matrix!$A:$A,0)))),"CHECK KEY"))</f>
        <v/>
      </c>
      <c r="U4765" s="10" t="n"/>
      <c r="V4765" s="10" t="n"/>
      <c r="W4765" s="10" t="n"/>
      <c r="X4765" s="10" t="n"/>
      <c r="Y4765" s="10" t="n"/>
      <c r="Z4765" s="10" t="n"/>
      <c r="AA4765" s="11">
        <f>IF(A4765="","",IF(AND(J4765="P4",F4765="causal"),"P4-CAUSAL",""))</f>
        <v/>
      </c>
    </row>
    <row r="4766" ht="15" customHeight="1" s="1">
      <c r="P4766">
        <f>IF(OR(F4766="",H4766="",J4766=""),"",J4766&amp;"|"&amp;F4766&amp;"|"&amp;IF(H4766="W3","W3_"&amp;IF(I4766="","unknown",I4766),H4766))</f>
        <v/>
      </c>
      <c r="Q4766">
        <f>IF(P4766="","",IFERROR(IF(AND(H4766="W7",OR(F4766="causal",F4766="predictive")),IF(AND(OR(K4766=1,K4766="1"),OR(L4766=1,L4766="1"),OR(M4766=1,M4766="1")),"adequate","partial"),IF(AND(H4766="W4",F4766="predictive",OR(J4766="P2",J4766="P3",J4766="P4")),IF(OR(U4766=1,U4766="1"),"adequate","partial"),INDEX(Fit_Matrix!$B:$B,MATCH(P4766,Fit_Matrix!$A:$A,0)))),"CHECK KEY"))</f>
        <v/>
      </c>
      <c r="U4766" s="10" t="n"/>
      <c r="V4766" s="10" t="n"/>
      <c r="W4766" s="10" t="n"/>
      <c r="X4766" s="10" t="n"/>
      <c r="Y4766" s="10" t="n"/>
      <c r="Z4766" s="10" t="n"/>
      <c r="AA4766" s="11">
        <f>IF(A4766="","",IF(AND(J4766="P4",F4766="causal"),"P4-CAUSAL",""))</f>
        <v/>
      </c>
    </row>
    <row r="4767" ht="15" customHeight="1" s="1">
      <c r="P4767">
        <f>IF(OR(F4767="",H4767="",J4767=""),"",J4767&amp;"|"&amp;F4767&amp;"|"&amp;IF(H4767="W3","W3_"&amp;IF(I4767="","unknown",I4767),H4767))</f>
        <v/>
      </c>
      <c r="Q4767">
        <f>IF(P4767="","",IFERROR(IF(AND(H4767="W7",OR(F4767="causal",F4767="predictive")),IF(AND(OR(K4767=1,K4767="1"),OR(L4767=1,L4767="1"),OR(M4767=1,M4767="1")),"adequate","partial"),IF(AND(H4767="W4",F4767="predictive",OR(J4767="P2",J4767="P3",J4767="P4")),IF(OR(U4767=1,U4767="1"),"adequate","partial"),INDEX(Fit_Matrix!$B:$B,MATCH(P4767,Fit_Matrix!$A:$A,0)))),"CHECK KEY"))</f>
        <v/>
      </c>
      <c r="U4767" s="10" t="n"/>
      <c r="V4767" s="10" t="n"/>
      <c r="W4767" s="10" t="n"/>
      <c r="X4767" s="10" t="n"/>
      <c r="Y4767" s="10" t="n"/>
      <c r="Z4767" s="10" t="n"/>
      <c r="AA4767" s="11">
        <f>IF(A4767="","",IF(AND(J4767="P4",F4767="causal"),"P4-CAUSAL",""))</f>
        <v/>
      </c>
    </row>
    <row r="4768" ht="15" customHeight="1" s="1">
      <c r="P4768">
        <f>IF(OR(F4768="",H4768="",J4768=""),"",J4768&amp;"|"&amp;F4768&amp;"|"&amp;IF(H4768="W3","W3_"&amp;IF(I4768="","unknown",I4768),H4768))</f>
        <v/>
      </c>
      <c r="Q4768">
        <f>IF(P4768="","",IFERROR(IF(AND(H4768="W7",OR(F4768="causal",F4768="predictive")),IF(AND(OR(K4768=1,K4768="1"),OR(L4768=1,L4768="1"),OR(M4768=1,M4768="1")),"adequate","partial"),IF(AND(H4768="W4",F4768="predictive",OR(J4768="P2",J4768="P3",J4768="P4")),IF(OR(U4768=1,U4768="1"),"adequate","partial"),INDEX(Fit_Matrix!$B:$B,MATCH(P4768,Fit_Matrix!$A:$A,0)))),"CHECK KEY"))</f>
        <v/>
      </c>
      <c r="U4768" s="10" t="n"/>
      <c r="V4768" s="10" t="n"/>
      <c r="W4768" s="10" t="n"/>
      <c r="X4768" s="10" t="n"/>
      <c r="Y4768" s="10" t="n"/>
      <c r="Z4768" s="10" t="n"/>
      <c r="AA4768" s="11">
        <f>IF(A4768="","",IF(AND(J4768="P4",F4768="causal"),"P4-CAUSAL",""))</f>
        <v/>
      </c>
    </row>
    <row r="4769" ht="15" customHeight="1" s="1">
      <c r="P4769">
        <f>IF(OR(F4769="",H4769="",J4769=""),"",J4769&amp;"|"&amp;F4769&amp;"|"&amp;IF(H4769="W3","W3_"&amp;IF(I4769="","unknown",I4769),H4769))</f>
        <v/>
      </c>
      <c r="Q4769">
        <f>IF(P4769="","",IFERROR(IF(AND(H4769="W7",OR(F4769="causal",F4769="predictive")),IF(AND(OR(K4769=1,K4769="1"),OR(L4769=1,L4769="1"),OR(M4769=1,M4769="1")),"adequate","partial"),IF(AND(H4769="W4",F4769="predictive",OR(J4769="P2",J4769="P3",J4769="P4")),IF(OR(U4769=1,U4769="1"),"adequate","partial"),INDEX(Fit_Matrix!$B:$B,MATCH(P4769,Fit_Matrix!$A:$A,0)))),"CHECK KEY"))</f>
        <v/>
      </c>
      <c r="U4769" s="10" t="n"/>
      <c r="V4769" s="10" t="n"/>
      <c r="W4769" s="10" t="n"/>
      <c r="X4769" s="10" t="n"/>
      <c r="Y4769" s="10" t="n"/>
      <c r="Z4769" s="10" t="n"/>
      <c r="AA4769" s="11">
        <f>IF(A4769="","",IF(AND(J4769="P4",F4769="causal"),"P4-CAUSAL",""))</f>
        <v/>
      </c>
    </row>
    <row r="4770" ht="15" customHeight="1" s="1">
      <c r="P4770">
        <f>IF(OR(F4770="",H4770="",J4770=""),"",J4770&amp;"|"&amp;F4770&amp;"|"&amp;IF(H4770="W3","W3_"&amp;IF(I4770="","unknown",I4770),H4770))</f>
        <v/>
      </c>
      <c r="Q4770">
        <f>IF(P4770="","",IFERROR(IF(AND(H4770="W7",OR(F4770="causal",F4770="predictive")),IF(AND(OR(K4770=1,K4770="1"),OR(L4770=1,L4770="1"),OR(M4770=1,M4770="1")),"adequate","partial"),IF(AND(H4770="W4",F4770="predictive",OR(J4770="P2",J4770="P3",J4770="P4")),IF(OR(U4770=1,U4770="1"),"adequate","partial"),INDEX(Fit_Matrix!$B:$B,MATCH(P4770,Fit_Matrix!$A:$A,0)))),"CHECK KEY"))</f>
        <v/>
      </c>
      <c r="U4770" s="10" t="n"/>
      <c r="V4770" s="10" t="n"/>
      <c r="W4770" s="10" t="n"/>
      <c r="X4770" s="10" t="n"/>
      <c r="Y4770" s="10" t="n"/>
      <c r="Z4770" s="10" t="n"/>
      <c r="AA4770" s="11">
        <f>IF(A4770="","",IF(AND(J4770="P4",F4770="causal"),"P4-CAUSAL",""))</f>
        <v/>
      </c>
    </row>
    <row r="4771" ht="15" customHeight="1" s="1">
      <c r="P4771">
        <f>IF(OR(F4771="",H4771="",J4771=""),"",J4771&amp;"|"&amp;F4771&amp;"|"&amp;IF(H4771="W3","W3_"&amp;IF(I4771="","unknown",I4771),H4771))</f>
        <v/>
      </c>
      <c r="Q4771">
        <f>IF(P4771="","",IFERROR(IF(AND(H4771="W7",OR(F4771="causal",F4771="predictive")),IF(AND(OR(K4771=1,K4771="1"),OR(L4771=1,L4771="1"),OR(M4771=1,M4771="1")),"adequate","partial"),IF(AND(H4771="W4",F4771="predictive",OR(J4771="P2",J4771="P3",J4771="P4")),IF(OR(U4771=1,U4771="1"),"adequate","partial"),INDEX(Fit_Matrix!$B:$B,MATCH(P4771,Fit_Matrix!$A:$A,0)))),"CHECK KEY"))</f>
        <v/>
      </c>
      <c r="U4771" s="10" t="n"/>
      <c r="V4771" s="10" t="n"/>
      <c r="W4771" s="10" t="n"/>
      <c r="X4771" s="10" t="n"/>
      <c r="Y4771" s="10" t="n"/>
      <c r="Z4771" s="10" t="n"/>
      <c r="AA4771" s="11">
        <f>IF(A4771="","",IF(AND(J4771="P4",F4771="causal"),"P4-CAUSAL",""))</f>
        <v/>
      </c>
    </row>
    <row r="4772" ht="15" customHeight="1" s="1">
      <c r="P4772">
        <f>IF(OR(F4772="",H4772="",J4772=""),"",J4772&amp;"|"&amp;F4772&amp;"|"&amp;IF(H4772="W3","W3_"&amp;IF(I4772="","unknown",I4772),H4772))</f>
        <v/>
      </c>
      <c r="Q4772">
        <f>IF(P4772="","",IFERROR(IF(AND(H4772="W7",OR(F4772="causal",F4772="predictive")),IF(AND(OR(K4772=1,K4772="1"),OR(L4772=1,L4772="1"),OR(M4772=1,M4772="1")),"adequate","partial"),IF(AND(H4772="W4",F4772="predictive",OR(J4772="P2",J4772="P3",J4772="P4")),IF(OR(U4772=1,U4772="1"),"adequate","partial"),INDEX(Fit_Matrix!$B:$B,MATCH(P4772,Fit_Matrix!$A:$A,0)))),"CHECK KEY"))</f>
        <v/>
      </c>
      <c r="U4772" s="10" t="n"/>
      <c r="V4772" s="10" t="n"/>
      <c r="W4772" s="10" t="n"/>
      <c r="X4772" s="10" t="n"/>
      <c r="Y4772" s="10" t="n"/>
      <c r="Z4772" s="10" t="n"/>
      <c r="AA4772" s="11">
        <f>IF(A4772="","",IF(AND(J4772="P4",F4772="causal"),"P4-CAUSAL",""))</f>
        <v/>
      </c>
    </row>
    <row r="4773" ht="15" customHeight="1" s="1">
      <c r="P4773">
        <f>IF(OR(F4773="",H4773="",J4773=""),"",J4773&amp;"|"&amp;F4773&amp;"|"&amp;IF(H4773="W3","W3_"&amp;IF(I4773="","unknown",I4773),H4773))</f>
        <v/>
      </c>
      <c r="Q4773">
        <f>IF(P4773="","",IFERROR(IF(AND(H4773="W7",OR(F4773="causal",F4773="predictive")),IF(AND(OR(K4773=1,K4773="1"),OR(L4773=1,L4773="1"),OR(M4773=1,M4773="1")),"adequate","partial"),IF(AND(H4773="W4",F4773="predictive",OR(J4773="P2",J4773="P3",J4773="P4")),IF(OR(U4773=1,U4773="1"),"adequate","partial"),INDEX(Fit_Matrix!$B:$B,MATCH(P4773,Fit_Matrix!$A:$A,0)))),"CHECK KEY"))</f>
        <v/>
      </c>
      <c r="U4773" s="10" t="n"/>
      <c r="V4773" s="10" t="n"/>
      <c r="W4773" s="10" t="n"/>
      <c r="X4773" s="10" t="n"/>
      <c r="Y4773" s="10" t="n"/>
      <c r="Z4773" s="10" t="n"/>
      <c r="AA4773" s="11">
        <f>IF(A4773="","",IF(AND(J4773="P4",F4773="causal"),"P4-CAUSAL",""))</f>
        <v/>
      </c>
    </row>
    <row r="4774" ht="15" customHeight="1" s="1">
      <c r="P4774">
        <f>IF(OR(F4774="",H4774="",J4774=""),"",J4774&amp;"|"&amp;F4774&amp;"|"&amp;IF(H4774="W3","W3_"&amp;IF(I4774="","unknown",I4774),H4774))</f>
        <v/>
      </c>
      <c r="Q4774">
        <f>IF(P4774="","",IFERROR(IF(AND(H4774="W7",OR(F4774="causal",F4774="predictive")),IF(AND(OR(K4774=1,K4774="1"),OR(L4774=1,L4774="1"),OR(M4774=1,M4774="1")),"adequate","partial"),IF(AND(H4774="W4",F4774="predictive",OR(J4774="P2",J4774="P3",J4774="P4")),IF(OR(U4774=1,U4774="1"),"adequate","partial"),INDEX(Fit_Matrix!$B:$B,MATCH(P4774,Fit_Matrix!$A:$A,0)))),"CHECK KEY"))</f>
        <v/>
      </c>
      <c r="U4774" s="10" t="n"/>
      <c r="V4774" s="10" t="n"/>
      <c r="W4774" s="10" t="n"/>
      <c r="X4774" s="10" t="n"/>
      <c r="Y4774" s="10" t="n"/>
      <c r="Z4774" s="10" t="n"/>
      <c r="AA4774" s="11">
        <f>IF(A4774="","",IF(AND(J4774="P4",F4774="causal"),"P4-CAUSAL",""))</f>
        <v/>
      </c>
    </row>
    <row r="4775" ht="15" customHeight="1" s="1">
      <c r="P4775">
        <f>IF(OR(F4775="",H4775="",J4775=""),"",J4775&amp;"|"&amp;F4775&amp;"|"&amp;IF(H4775="W3","W3_"&amp;IF(I4775="","unknown",I4775),H4775))</f>
        <v/>
      </c>
      <c r="Q4775">
        <f>IF(P4775="","",IFERROR(IF(AND(H4775="W7",OR(F4775="causal",F4775="predictive")),IF(AND(OR(K4775=1,K4775="1"),OR(L4775=1,L4775="1"),OR(M4775=1,M4775="1")),"adequate","partial"),IF(AND(H4775="W4",F4775="predictive",OR(J4775="P2",J4775="P3",J4775="P4")),IF(OR(U4775=1,U4775="1"),"adequate","partial"),INDEX(Fit_Matrix!$B:$B,MATCH(P4775,Fit_Matrix!$A:$A,0)))),"CHECK KEY"))</f>
        <v/>
      </c>
      <c r="U4775" s="10" t="n"/>
      <c r="V4775" s="10" t="n"/>
      <c r="W4775" s="10" t="n"/>
      <c r="X4775" s="10" t="n"/>
      <c r="Y4775" s="10" t="n"/>
      <c r="Z4775" s="10" t="n"/>
      <c r="AA4775" s="11">
        <f>IF(A4775="","",IF(AND(J4775="P4",F4775="causal"),"P4-CAUSAL",""))</f>
        <v/>
      </c>
    </row>
    <row r="4776" ht="15" customHeight="1" s="1">
      <c r="P4776">
        <f>IF(OR(F4776="",H4776="",J4776=""),"",J4776&amp;"|"&amp;F4776&amp;"|"&amp;IF(H4776="W3","W3_"&amp;IF(I4776="","unknown",I4776),H4776))</f>
        <v/>
      </c>
      <c r="Q4776">
        <f>IF(P4776="","",IFERROR(IF(AND(H4776="W7",OR(F4776="causal",F4776="predictive")),IF(AND(OR(K4776=1,K4776="1"),OR(L4776=1,L4776="1"),OR(M4776=1,M4776="1")),"adequate","partial"),IF(AND(H4776="W4",F4776="predictive",OR(J4776="P2",J4776="P3",J4776="P4")),IF(OR(U4776=1,U4776="1"),"adequate","partial"),INDEX(Fit_Matrix!$B:$B,MATCH(P4776,Fit_Matrix!$A:$A,0)))),"CHECK KEY"))</f>
        <v/>
      </c>
      <c r="U4776" s="10" t="n"/>
      <c r="V4776" s="10" t="n"/>
      <c r="W4776" s="10" t="n"/>
      <c r="X4776" s="10" t="n"/>
      <c r="Y4776" s="10" t="n"/>
      <c r="Z4776" s="10" t="n"/>
      <c r="AA4776" s="11">
        <f>IF(A4776="","",IF(AND(J4776="P4",F4776="causal"),"P4-CAUSAL",""))</f>
        <v/>
      </c>
    </row>
    <row r="4777" ht="15" customHeight="1" s="1">
      <c r="P4777">
        <f>IF(OR(F4777="",H4777="",J4777=""),"",J4777&amp;"|"&amp;F4777&amp;"|"&amp;IF(H4777="W3","W3_"&amp;IF(I4777="","unknown",I4777),H4777))</f>
        <v/>
      </c>
      <c r="Q4777">
        <f>IF(P4777="","",IFERROR(IF(AND(H4777="W7",OR(F4777="causal",F4777="predictive")),IF(AND(OR(K4777=1,K4777="1"),OR(L4777=1,L4777="1"),OR(M4777=1,M4777="1")),"adequate","partial"),IF(AND(H4777="W4",F4777="predictive",OR(J4777="P2",J4777="P3",J4777="P4")),IF(OR(U4777=1,U4777="1"),"adequate","partial"),INDEX(Fit_Matrix!$B:$B,MATCH(P4777,Fit_Matrix!$A:$A,0)))),"CHECK KEY"))</f>
        <v/>
      </c>
      <c r="U4777" s="10" t="n"/>
      <c r="V4777" s="10" t="n"/>
      <c r="W4777" s="10" t="n"/>
      <c r="X4777" s="10" t="n"/>
      <c r="Y4777" s="10" t="n"/>
      <c r="Z4777" s="10" t="n"/>
      <c r="AA4777" s="11">
        <f>IF(A4777="","",IF(AND(J4777="P4",F4777="causal"),"P4-CAUSAL",""))</f>
        <v/>
      </c>
    </row>
    <row r="4778" ht="15" customHeight="1" s="1">
      <c r="P4778">
        <f>IF(OR(F4778="",H4778="",J4778=""),"",J4778&amp;"|"&amp;F4778&amp;"|"&amp;IF(H4778="W3","W3_"&amp;IF(I4778="","unknown",I4778),H4778))</f>
        <v/>
      </c>
      <c r="Q4778">
        <f>IF(P4778="","",IFERROR(IF(AND(H4778="W7",OR(F4778="causal",F4778="predictive")),IF(AND(OR(K4778=1,K4778="1"),OR(L4778=1,L4778="1"),OR(M4778=1,M4778="1")),"adequate","partial"),IF(AND(H4778="W4",F4778="predictive",OR(J4778="P2",J4778="P3",J4778="P4")),IF(OR(U4778=1,U4778="1"),"adequate","partial"),INDEX(Fit_Matrix!$B:$B,MATCH(P4778,Fit_Matrix!$A:$A,0)))),"CHECK KEY"))</f>
        <v/>
      </c>
      <c r="U4778" s="10" t="n"/>
      <c r="V4778" s="10" t="n"/>
      <c r="W4778" s="10" t="n"/>
      <c r="X4778" s="10" t="n"/>
      <c r="Y4778" s="10" t="n"/>
      <c r="Z4778" s="10" t="n"/>
      <c r="AA4778" s="11">
        <f>IF(A4778="","",IF(AND(J4778="P4",F4778="causal"),"P4-CAUSAL",""))</f>
        <v/>
      </c>
    </row>
    <row r="4779" ht="15" customHeight="1" s="1">
      <c r="P4779">
        <f>IF(OR(F4779="",H4779="",J4779=""),"",J4779&amp;"|"&amp;F4779&amp;"|"&amp;IF(H4779="W3","W3_"&amp;IF(I4779="","unknown",I4779),H4779))</f>
        <v/>
      </c>
      <c r="Q4779">
        <f>IF(P4779="","",IFERROR(IF(AND(H4779="W7",OR(F4779="causal",F4779="predictive")),IF(AND(OR(K4779=1,K4779="1"),OR(L4779=1,L4779="1"),OR(M4779=1,M4779="1")),"adequate","partial"),IF(AND(H4779="W4",F4779="predictive",OR(J4779="P2",J4779="P3",J4779="P4")),IF(OR(U4779=1,U4779="1"),"adequate","partial"),INDEX(Fit_Matrix!$B:$B,MATCH(P4779,Fit_Matrix!$A:$A,0)))),"CHECK KEY"))</f>
        <v/>
      </c>
      <c r="U4779" s="10" t="n"/>
      <c r="V4779" s="10" t="n"/>
      <c r="W4779" s="10" t="n"/>
      <c r="X4779" s="10" t="n"/>
      <c r="Y4779" s="10" t="n"/>
      <c r="Z4779" s="10" t="n"/>
      <c r="AA4779" s="11">
        <f>IF(A4779="","",IF(AND(J4779="P4",F4779="causal"),"P4-CAUSAL",""))</f>
        <v/>
      </c>
    </row>
    <row r="4780" ht="15" customHeight="1" s="1">
      <c r="P4780">
        <f>IF(OR(F4780="",H4780="",J4780=""),"",J4780&amp;"|"&amp;F4780&amp;"|"&amp;IF(H4780="W3","W3_"&amp;IF(I4780="","unknown",I4780),H4780))</f>
        <v/>
      </c>
      <c r="Q4780">
        <f>IF(P4780="","",IFERROR(IF(AND(H4780="W7",OR(F4780="causal",F4780="predictive")),IF(AND(OR(K4780=1,K4780="1"),OR(L4780=1,L4780="1"),OR(M4780=1,M4780="1")),"adequate","partial"),IF(AND(H4780="W4",F4780="predictive",OR(J4780="P2",J4780="P3",J4780="P4")),IF(OR(U4780=1,U4780="1"),"adequate","partial"),INDEX(Fit_Matrix!$B:$B,MATCH(P4780,Fit_Matrix!$A:$A,0)))),"CHECK KEY"))</f>
        <v/>
      </c>
      <c r="U4780" s="10" t="n"/>
      <c r="V4780" s="10" t="n"/>
      <c r="W4780" s="10" t="n"/>
      <c r="X4780" s="10" t="n"/>
      <c r="Y4780" s="10" t="n"/>
      <c r="Z4780" s="10" t="n"/>
      <c r="AA4780" s="11">
        <f>IF(A4780="","",IF(AND(J4780="P4",F4780="causal"),"P4-CAUSAL",""))</f>
        <v/>
      </c>
    </row>
    <row r="4781" ht="15" customHeight="1" s="1">
      <c r="P4781">
        <f>IF(OR(F4781="",H4781="",J4781=""),"",J4781&amp;"|"&amp;F4781&amp;"|"&amp;IF(H4781="W3","W3_"&amp;IF(I4781="","unknown",I4781),H4781))</f>
        <v/>
      </c>
      <c r="Q4781">
        <f>IF(P4781="","",IFERROR(IF(AND(H4781="W7",OR(F4781="causal",F4781="predictive")),IF(AND(OR(K4781=1,K4781="1"),OR(L4781=1,L4781="1"),OR(M4781=1,M4781="1")),"adequate","partial"),IF(AND(H4781="W4",F4781="predictive",OR(J4781="P2",J4781="P3",J4781="P4")),IF(OR(U4781=1,U4781="1"),"adequate","partial"),INDEX(Fit_Matrix!$B:$B,MATCH(P4781,Fit_Matrix!$A:$A,0)))),"CHECK KEY"))</f>
        <v/>
      </c>
      <c r="U4781" s="10" t="n"/>
      <c r="V4781" s="10" t="n"/>
      <c r="W4781" s="10" t="n"/>
      <c r="X4781" s="10" t="n"/>
      <c r="Y4781" s="10" t="n"/>
      <c r="Z4781" s="10" t="n"/>
      <c r="AA4781" s="11">
        <f>IF(A4781="","",IF(AND(J4781="P4",F4781="causal"),"P4-CAUSAL",""))</f>
        <v/>
      </c>
    </row>
    <row r="4782" ht="15" customHeight="1" s="1">
      <c r="P4782">
        <f>IF(OR(F4782="",H4782="",J4782=""),"",J4782&amp;"|"&amp;F4782&amp;"|"&amp;IF(H4782="W3","W3_"&amp;IF(I4782="","unknown",I4782),H4782))</f>
        <v/>
      </c>
      <c r="Q4782">
        <f>IF(P4782="","",IFERROR(IF(AND(H4782="W7",OR(F4782="causal",F4782="predictive")),IF(AND(OR(K4782=1,K4782="1"),OR(L4782=1,L4782="1"),OR(M4782=1,M4782="1")),"adequate","partial"),IF(AND(H4782="W4",F4782="predictive",OR(J4782="P2",J4782="P3",J4782="P4")),IF(OR(U4782=1,U4782="1"),"adequate","partial"),INDEX(Fit_Matrix!$B:$B,MATCH(P4782,Fit_Matrix!$A:$A,0)))),"CHECK KEY"))</f>
        <v/>
      </c>
      <c r="U4782" s="10" t="n"/>
      <c r="V4782" s="10" t="n"/>
      <c r="W4782" s="10" t="n"/>
      <c r="X4782" s="10" t="n"/>
      <c r="Y4782" s="10" t="n"/>
      <c r="Z4782" s="10" t="n"/>
      <c r="AA4782" s="11">
        <f>IF(A4782="","",IF(AND(J4782="P4",F4782="causal"),"P4-CAUSAL",""))</f>
        <v/>
      </c>
    </row>
    <row r="4783" ht="15" customHeight="1" s="1">
      <c r="P4783">
        <f>IF(OR(F4783="",H4783="",J4783=""),"",J4783&amp;"|"&amp;F4783&amp;"|"&amp;IF(H4783="W3","W3_"&amp;IF(I4783="","unknown",I4783),H4783))</f>
        <v/>
      </c>
      <c r="Q4783">
        <f>IF(P4783="","",IFERROR(IF(AND(H4783="W7",OR(F4783="causal",F4783="predictive")),IF(AND(OR(K4783=1,K4783="1"),OR(L4783=1,L4783="1"),OR(M4783=1,M4783="1")),"adequate","partial"),IF(AND(H4783="W4",F4783="predictive",OR(J4783="P2",J4783="P3",J4783="P4")),IF(OR(U4783=1,U4783="1"),"adequate","partial"),INDEX(Fit_Matrix!$B:$B,MATCH(P4783,Fit_Matrix!$A:$A,0)))),"CHECK KEY"))</f>
        <v/>
      </c>
      <c r="U4783" s="10" t="n"/>
      <c r="V4783" s="10" t="n"/>
      <c r="W4783" s="10" t="n"/>
      <c r="X4783" s="10" t="n"/>
      <c r="Y4783" s="10" t="n"/>
      <c r="Z4783" s="10" t="n"/>
      <c r="AA4783" s="11">
        <f>IF(A4783="","",IF(AND(J4783="P4",F4783="causal"),"P4-CAUSAL",""))</f>
        <v/>
      </c>
    </row>
    <row r="4784" ht="15" customHeight="1" s="1">
      <c r="P4784">
        <f>IF(OR(F4784="",H4784="",J4784=""),"",J4784&amp;"|"&amp;F4784&amp;"|"&amp;IF(H4784="W3","W3_"&amp;IF(I4784="","unknown",I4784),H4784))</f>
        <v/>
      </c>
      <c r="Q4784">
        <f>IF(P4784="","",IFERROR(IF(AND(H4784="W7",OR(F4784="causal",F4784="predictive")),IF(AND(OR(K4784=1,K4784="1"),OR(L4784=1,L4784="1"),OR(M4784=1,M4784="1")),"adequate","partial"),IF(AND(H4784="W4",F4784="predictive",OR(J4784="P2",J4784="P3",J4784="P4")),IF(OR(U4784=1,U4784="1"),"adequate","partial"),INDEX(Fit_Matrix!$B:$B,MATCH(P4784,Fit_Matrix!$A:$A,0)))),"CHECK KEY"))</f>
        <v/>
      </c>
      <c r="U4784" s="10" t="n"/>
      <c r="V4784" s="10" t="n"/>
      <c r="W4784" s="10" t="n"/>
      <c r="X4784" s="10" t="n"/>
      <c r="Y4784" s="10" t="n"/>
      <c r="Z4784" s="10" t="n"/>
      <c r="AA4784" s="11">
        <f>IF(A4784="","",IF(AND(J4784="P4",F4784="causal"),"P4-CAUSAL",""))</f>
        <v/>
      </c>
    </row>
    <row r="4785" ht="15" customHeight="1" s="1">
      <c r="P4785">
        <f>IF(OR(F4785="",H4785="",J4785=""),"",J4785&amp;"|"&amp;F4785&amp;"|"&amp;IF(H4785="W3","W3_"&amp;IF(I4785="","unknown",I4785),H4785))</f>
        <v/>
      </c>
      <c r="Q4785">
        <f>IF(P4785="","",IFERROR(IF(AND(H4785="W7",OR(F4785="causal",F4785="predictive")),IF(AND(OR(K4785=1,K4785="1"),OR(L4785=1,L4785="1"),OR(M4785=1,M4785="1")),"adequate","partial"),IF(AND(H4785="W4",F4785="predictive",OR(J4785="P2",J4785="P3",J4785="P4")),IF(OR(U4785=1,U4785="1"),"adequate","partial"),INDEX(Fit_Matrix!$B:$B,MATCH(P4785,Fit_Matrix!$A:$A,0)))),"CHECK KEY"))</f>
        <v/>
      </c>
      <c r="U4785" s="10" t="n"/>
      <c r="V4785" s="10" t="n"/>
      <c r="W4785" s="10" t="n"/>
      <c r="X4785" s="10" t="n"/>
      <c r="Y4785" s="10" t="n"/>
      <c r="Z4785" s="10" t="n"/>
      <c r="AA4785" s="11">
        <f>IF(A4785="","",IF(AND(J4785="P4",F4785="causal"),"P4-CAUSAL",""))</f>
        <v/>
      </c>
    </row>
    <row r="4786" ht="15" customHeight="1" s="1">
      <c r="P4786">
        <f>IF(OR(F4786="",H4786="",J4786=""),"",J4786&amp;"|"&amp;F4786&amp;"|"&amp;IF(H4786="W3","W3_"&amp;IF(I4786="","unknown",I4786),H4786))</f>
        <v/>
      </c>
      <c r="Q4786">
        <f>IF(P4786="","",IFERROR(IF(AND(H4786="W7",OR(F4786="causal",F4786="predictive")),IF(AND(OR(K4786=1,K4786="1"),OR(L4786=1,L4786="1"),OR(M4786=1,M4786="1")),"adequate","partial"),IF(AND(H4786="W4",F4786="predictive",OR(J4786="P2",J4786="P3",J4786="P4")),IF(OR(U4786=1,U4786="1"),"adequate","partial"),INDEX(Fit_Matrix!$B:$B,MATCH(P4786,Fit_Matrix!$A:$A,0)))),"CHECK KEY"))</f>
        <v/>
      </c>
      <c r="U4786" s="10" t="n"/>
      <c r="V4786" s="10" t="n"/>
      <c r="W4786" s="10" t="n"/>
      <c r="X4786" s="10" t="n"/>
      <c r="Y4786" s="10" t="n"/>
      <c r="Z4786" s="10" t="n"/>
      <c r="AA4786" s="11">
        <f>IF(A4786="","",IF(AND(J4786="P4",F4786="causal"),"P4-CAUSAL",""))</f>
        <v/>
      </c>
    </row>
    <row r="4787" ht="15" customHeight="1" s="1">
      <c r="P4787">
        <f>IF(OR(F4787="",H4787="",J4787=""),"",J4787&amp;"|"&amp;F4787&amp;"|"&amp;IF(H4787="W3","W3_"&amp;IF(I4787="","unknown",I4787),H4787))</f>
        <v/>
      </c>
      <c r="Q4787">
        <f>IF(P4787="","",IFERROR(IF(AND(H4787="W7",OR(F4787="causal",F4787="predictive")),IF(AND(OR(K4787=1,K4787="1"),OR(L4787=1,L4787="1"),OR(M4787=1,M4787="1")),"adequate","partial"),IF(AND(H4787="W4",F4787="predictive",OR(J4787="P2",J4787="P3",J4787="P4")),IF(OR(U4787=1,U4787="1"),"adequate","partial"),INDEX(Fit_Matrix!$B:$B,MATCH(P4787,Fit_Matrix!$A:$A,0)))),"CHECK KEY"))</f>
        <v/>
      </c>
      <c r="U4787" s="10" t="n"/>
      <c r="V4787" s="10" t="n"/>
      <c r="W4787" s="10" t="n"/>
      <c r="X4787" s="10" t="n"/>
      <c r="Y4787" s="10" t="n"/>
      <c r="Z4787" s="10" t="n"/>
      <c r="AA4787" s="11">
        <f>IF(A4787="","",IF(AND(J4787="P4",F4787="causal"),"P4-CAUSAL",""))</f>
        <v/>
      </c>
    </row>
    <row r="4788" ht="15" customHeight="1" s="1">
      <c r="P4788">
        <f>IF(OR(F4788="",H4788="",J4788=""),"",J4788&amp;"|"&amp;F4788&amp;"|"&amp;IF(H4788="W3","W3_"&amp;IF(I4788="","unknown",I4788),H4788))</f>
        <v/>
      </c>
      <c r="Q4788">
        <f>IF(P4788="","",IFERROR(IF(AND(H4788="W7",OR(F4788="causal",F4788="predictive")),IF(AND(OR(K4788=1,K4788="1"),OR(L4788=1,L4788="1"),OR(M4788=1,M4788="1")),"adequate","partial"),IF(AND(H4788="W4",F4788="predictive",OR(J4788="P2",J4788="P3",J4788="P4")),IF(OR(U4788=1,U4788="1"),"adequate","partial"),INDEX(Fit_Matrix!$B:$B,MATCH(P4788,Fit_Matrix!$A:$A,0)))),"CHECK KEY"))</f>
        <v/>
      </c>
      <c r="U4788" s="10" t="n"/>
      <c r="V4788" s="10" t="n"/>
      <c r="W4788" s="10" t="n"/>
      <c r="X4788" s="10" t="n"/>
      <c r="Y4788" s="10" t="n"/>
      <c r="Z4788" s="10" t="n"/>
      <c r="AA4788" s="11">
        <f>IF(A4788="","",IF(AND(J4788="P4",F4788="causal"),"P4-CAUSAL",""))</f>
        <v/>
      </c>
    </row>
    <row r="4789" ht="15" customHeight="1" s="1">
      <c r="P4789">
        <f>IF(OR(F4789="",H4789="",J4789=""),"",J4789&amp;"|"&amp;F4789&amp;"|"&amp;IF(H4789="W3","W3_"&amp;IF(I4789="","unknown",I4789),H4789))</f>
        <v/>
      </c>
      <c r="Q4789">
        <f>IF(P4789="","",IFERROR(IF(AND(H4789="W7",OR(F4789="causal",F4789="predictive")),IF(AND(OR(K4789=1,K4789="1"),OR(L4789=1,L4789="1"),OR(M4789=1,M4789="1")),"adequate","partial"),IF(AND(H4789="W4",F4789="predictive",OR(J4789="P2",J4789="P3",J4789="P4")),IF(OR(U4789=1,U4789="1"),"adequate","partial"),INDEX(Fit_Matrix!$B:$B,MATCH(P4789,Fit_Matrix!$A:$A,0)))),"CHECK KEY"))</f>
        <v/>
      </c>
      <c r="U4789" s="10" t="n"/>
      <c r="V4789" s="10" t="n"/>
      <c r="W4789" s="10" t="n"/>
      <c r="X4789" s="10" t="n"/>
      <c r="Y4789" s="10" t="n"/>
      <c r="Z4789" s="10" t="n"/>
      <c r="AA4789" s="11">
        <f>IF(A4789="","",IF(AND(J4789="P4",F4789="causal"),"P4-CAUSAL",""))</f>
        <v/>
      </c>
    </row>
    <row r="4790" ht="15" customHeight="1" s="1">
      <c r="P4790">
        <f>IF(OR(F4790="",H4790="",J4790=""),"",J4790&amp;"|"&amp;F4790&amp;"|"&amp;IF(H4790="W3","W3_"&amp;IF(I4790="","unknown",I4790),H4790))</f>
        <v/>
      </c>
      <c r="Q4790">
        <f>IF(P4790="","",IFERROR(IF(AND(H4790="W7",OR(F4790="causal",F4790="predictive")),IF(AND(OR(K4790=1,K4790="1"),OR(L4790=1,L4790="1"),OR(M4790=1,M4790="1")),"adequate","partial"),IF(AND(H4790="W4",F4790="predictive",OR(J4790="P2",J4790="P3",J4790="P4")),IF(OR(U4790=1,U4790="1"),"adequate","partial"),INDEX(Fit_Matrix!$B:$B,MATCH(P4790,Fit_Matrix!$A:$A,0)))),"CHECK KEY"))</f>
        <v/>
      </c>
      <c r="U4790" s="10" t="n"/>
      <c r="V4790" s="10" t="n"/>
      <c r="W4790" s="10" t="n"/>
      <c r="X4790" s="10" t="n"/>
      <c r="Y4790" s="10" t="n"/>
      <c r="Z4790" s="10" t="n"/>
      <c r="AA4790" s="11">
        <f>IF(A4790="","",IF(AND(J4790="P4",F4790="causal"),"P4-CAUSAL",""))</f>
        <v/>
      </c>
    </row>
    <row r="4791" ht="15" customHeight="1" s="1">
      <c r="P4791">
        <f>IF(OR(F4791="",H4791="",J4791=""),"",J4791&amp;"|"&amp;F4791&amp;"|"&amp;IF(H4791="W3","W3_"&amp;IF(I4791="","unknown",I4791),H4791))</f>
        <v/>
      </c>
      <c r="Q4791">
        <f>IF(P4791="","",IFERROR(IF(AND(H4791="W7",OR(F4791="causal",F4791="predictive")),IF(AND(OR(K4791=1,K4791="1"),OR(L4791=1,L4791="1"),OR(M4791=1,M4791="1")),"adequate","partial"),IF(AND(H4791="W4",F4791="predictive",OR(J4791="P2",J4791="P3",J4791="P4")),IF(OR(U4791=1,U4791="1"),"adequate","partial"),INDEX(Fit_Matrix!$B:$B,MATCH(P4791,Fit_Matrix!$A:$A,0)))),"CHECK KEY"))</f>
        <v/>
      </c>
      <c r="U4791" s="10" t="n"/>
      <c r="V4791" s="10" t="n"/>
      <c r="W4791" s="10" t="n"/>
      <c r="X4791" s="10" t="n"/>
      <c r="Y4791" s="10" t="n"/>
      <c r="Z4791" s="10" t="n"/>
      <c r="AA4791" s="11">
        <f>IF(A4791="","",IF(AND(J4791="P4",F4791="causal"),"P4-CAUSAL",""))</f>
        <v/>
      </c>
    </row>
    <row r="4792" ht="15" customHeight="1" s="1">
      <c r="P4792">
        <f>IF(OR(F4792="",H4792="",J4792=""),"",J4792&amp;"|"&amp;F4792&amp;"|"&amp;IF(H4792="W3","W3_"&amp;IF(I4792="","unknown",I4792),H4792))</f>
        <v/>
      </c>
      <c r="Q4792">
        <f>IF(P4792="","",IFERROR(IF(AND(H4792="W7",OR(F4792="causal",F4792="predictive")),IF(AND(OR(K4792=1,K4792="1"),OR(L4792=1,L4792="1"),OR(M4792=1,M4792="1")),"adequate","partial"),IF(AND(H4792="W4",F4792="predictive",OR(J4792="P2",J4792="P3",J4792="P4")),IF(OR(U4792=1,U4792="1"),"adequate","partial"),INDEX(Fit_Matrix!$B:$B,MATCH(P4792,Fit_Matrix!$A:$A,0)))),"CHECK KEY"))</f>
        <v/>
      </c>
      <c r="U4792" s="10" t="n"/>
      <c r="V4792" s="10" t="n"/>
      <c r="W4792" s="10" t="n"/>
      <c r="X4792" s="10" t="n"/>
      <c r="Y4792" s="10" t="n"/>
      <c r="Z4792" s="10" t="n"/>
      <c r="AA4792" s="11">
        <f>IF(A4792="","",IF(AND(J4792="P4",F4792="causal"),"P4-CAUSAL",""))</f>
        <v/>
      </c>
    </row>
    <row r="4793" ht="15" customHeight="1" s="1">
      <c r="P4793">
        <f>IF(OR(F4793="",H4793="",J4793=""),"",J4793&amp;"|"&amp;F4793&amp;"|"&amp;IF(H4793="W3","W3_"&amp;IF(I4793="","unknown",I4793),H4793))</f>
        <v/>
      </c>
      <c r="Q4793">
        <f>IF(P4793="","",IFERROR(IF(AND(H4793="W7",OR(F4793="causal",F4793="predictive")),IF(AND(OR(K4793=1,K4793="1"),OR(L4793=1,L4793="1"),OR(M4793=1,M4793="1")),"adequate","partial"),IF(AND(H4793="W4",F4793="predictive",OR(J4793="P2",J4793="P3",J4793="P4")),IF(OR(U4793=1,U4793="1"),"adequate","partial"),INDEX(Fit_Matrix!$B:$B,MATCH(P4793,Fit_Matrix!$A:$A,0)))),"CHECK KEY"))</f>
        <v/>
      </c>
      <c r="U4793" s="10" t="n"/>
      <c r="V4793" s="10" t="n"/>
      <c r="W4793" s="10" t="n"/>
      <c r="X4793" s="10" t="n"/>
      <c r="Y4793" s="10" t="n"/>
      <c r="Z4793" s="10" t="n"/>
      <c r="AA4793" s="11">
        <f>IF(A4793="","",IF(AND(J4793="P4",F4793="causal"),"P4-CAUSAL",""))</f>
        <v/>
      </c>
    </row>
    <row r="4794" ht="15" customHeight="1" s="1">
      <c r="P4794">
        <f>IF(OR(F4794="",H4794="",J4794=""),"",J4794&amp;"|"&amp;F4794&amp;"|"&amp;IF(H4794="W3","W3_"&amp;IF(I4794="","unknown",I4794),H4794))</f>
        <v/>
      </c>
      <c r="Q4794">
        <f>IF(P4794="","",IFERROR(IF(AND(H4794="W7",OR(F4794="causal",F4794="predictive")),IF(AND(OR(K4794=1,K4794="1"),OR(L4794=1,L4794="1"),OR(M4794=1,M4794="1")),"adequate","partial"),IF(AND(H4794="W4",F4794="predictive",OR(J4794="P2",J4794="P3",J4794="P4")),IF(OR(U4794=1,U4794="1"),"adequate","partial"),INDEX(Fit_Matrix!$B:$B,MATCH(P4794,Fit_Matrix!$A:$A,0)))),"CHECK KEY"))</f>
        <v/>
      </c>
      <c r="U4794" s="10" t="n"/>
      <c r="V4794" s="10" t="n"/>
      <c r="W4794" s="10" t="n"/>
      <c r="X4794" s="10" t="n"/>
      <c r="Y4794" s="10" t="n"/>
      <c r="Z4794" s="10" t="n"/>
      <c r="AA4794" s="11">
        <f>IF(A4794="","",IF(AND(J4794="P4",F4794="causal"),"P4-CAUSAL",""))</f>
        <v/>
      </c>
    </row>
    <row r="4795" ht="15" customHeight="1" s="1">
      <c r="P4795">
        <f>IF(OR(F4795="",H4795="",J4795=""),"",J4795&amp;"|"&amp;F4795&amp;"|"&amp;IF(H4795="W3","W3_"&amp;IF(I4795="","unknown",I4795),H4795))</f>
        <v/>
      </c>
      <c r="Q4795">
        <f>IF(P4795="","",IFERROR(IF(AND(H4795="W7",OR(F4795="causal",F4795="predictive")),IF(AND(OR(K4795=1,K4795="1"),OR(L4795=1,L4795="1"),OR(M4795=1,M4795="1")),"adequate","partial"),IF(AND(H4795="W4",F4795="predictive",OR(J4795="P2",J4795="P3",J4795="P4")),IF(OR(U4795=1,U4795="1"),"adequate","partial"),INDEX(Fit_Matrix!$B:$B,MATCH(P4795,Fit_Matrix!$A:$A,0)))),"CHECK KEY"))</f>
        <v/>
      </c>
      <c r="U4795" s="10" t="n"/>
      <c r="V4795" s="10" t="n"/>
      <c r="W4795" s="10" t="n"/>
      <c r="X4795" s="10" t="n"/>
      <c r="Y4795" s="10" t="n"/>
      <c r="Z4795" s="10" t="n"/>
      <c r="AA4795" s="11">
        <f>IF(A4795="","",IF(AND(J4795="P4",F4795="causal"),"P4-CAUSAL",""))</f>
        <v/>
      </c>
    </row>
    <row r="4796" ht="15" customHeight="1" s="1">
      <c r="P4796">
        <f>IF(OR(F4796="",H4796="",J4796=""),"",J4796&amp;"|"&amp;F4796&amp;"|"&amp;IF(H4796="W3","W3_"&amp;IF(I4796="","unknown",I4796),H4796))</f>
        <v/>
      </c>
      <c r="Q4796">
        <f>IF(P4796="","",IFERROR(IF(AND(H4796="W7",OR(F4796="causal",F4796="predictive")),IF(AND(OR(K4796=1,K4796="1"),OR(L4796=1,L4796="1"),OR(M4796=1,M4796="1")),"adequate","partial"),IF(AND(H4796="W4",F4796="predictive",OR(J4796="P2",J4796="P3",J4796="P4")),IF(OR(U4796=1,U4796="1"),"adequate","partial"),INDEX(Fit_Matrix!$B:$B,MATCH(P4796,Fit_Matrix!$A:$A,0)))),"CHECK KEY"))</f>
        <v/>
      </c>
      <c r="U4796" s="10" t="n"/>
      <c r="V4796" s="10" t="n"/>
      <c r="W4796" s="10" t="n"/>
      <c r="X4796" s="10" t="n"/>
      <c r="Y4796" s="10" t="n"/>
      <c r="Z4796" s="10" t="n"/>
      <c r="AA4796" s="11">
        <f>IF(A4796="","",IF(AND(J4796="P4",F4796="causal"),"P4-CAUSAL",""))</f>
        <v/>
      </c>
    </row>
    <row r="4797" ht="15" customHeight="1" s="1">
      <c r="P4797">
        <f>IF(OR(F4797="",H4797="",J4797=""),"",J4797&amp;"|"&amp;F4797&amp;"|"&amp;IF(H4797="W3","W3_"&amp;IF(I4797="","unknown",I4797),H4797))</f>
        <v/>
      </c>
      <c r="Q4797">
        <f>IF(P4797="","",IFERROR(IF(AND(H4797="W7",OR(F4797="causal",F4797="predictive")),IF(AND(OR(K4797=1,K4797="1"),OR(L4797=1,L4797="1"),OR(M4797=1,M4797="1")),"adequate","partial"),IF(AND(H4797="W4",F4797="predictive",OR(J4797="P2",J4797="P3",J4797="P4")),IF(OR(U4797=1,U4797="1"),"adequate","partial"),INDEX(Fit_Matrix!$B:$B,MATCH(P4797,Fit_Matrix!$A:$A,0)))),"CHECK KEY"))</f>
        <v/>
      </c>
      <c r="U4797" s="10" t="n"/>
      <c r="V4797" s="10" t="n"/>
      <c r="W4797" s="10" t="n"/>
      <c r="X4797" s="10" t="n"/>
      <c r="Y4797" s="10" t="n"/>
      <c r="Z4797" s="10" t="n"/>
      <c r="AA4797" s="11">
        <f>IF(A4797="","",IF(AND(J4797="P4",F4797="causal"),"P4-CAUSAL",""))</f>
        <v/>
      </c>
    </row>
    <row r="4798" ht="15" customHeight="1" s="1">
      <c r="P4798">
        <f>IF(OR(F4798="",H4798="",J4798=""),"",J4798&amp;"|"&amp;F4798&amp;"|"&amp;IF(H4798="W3","W3_"&amp;IF(I4798="","unknown",I4798),H4798))</f>
        <v/>
      </c>
      <c r="Q4798">
        <f>IF(P4798="","",IFERROR(IF(AND(H4798="W7",OR(F4798="causal",F4798="predictive")),IF(AND(OR(K4798=1,K4798="1"),OR(L4798=1,L4798="1"),OR(M4798=1,M4798="1")),"adequate","partial"),IF(AND(H4798="W4",F4798="predictive",OR(J4798="P2",J4798="P3",J4798="P4")),IF(OR(U4798=1,U4798="1"),"adequate","partial"),INDEX(Fit_Matrix!$B:$B,MATCH(P4798,Fit_Matrix!$A:$A,0)))),"CHECK KEY"))</f>
        <v/>
      </c>
      <c r="U4798" s="10" t="n"/>
      <c r="V4798" s="10" t="n"/>
      <c r="W4798" s="10" t="n"/>
      <c r="X4798" s="10" t="n"/>
      <c r="Y4798" s="10" t="n"/>
      <c r="Z4798" s="10" t="n"/>
      <c r="AA4798" s="11">
        <f>IF(A4798="","",IF(AND(J4798="P4",F4798="causal"),"P4-CAUSAL",""))</f>
        <v/>
      </c>
    </row>
    <row r="4799" ht="15" customHeight="1" s="1">
      <c r="P4799">
        <f>IF(OR(F4799="",H4799="",J4799=""),"",J4799&amp;"|"&amp;F4799&amp;"|"&amp;IF(H4799="W3","W3_"&amp;IF(I4799="","unknown",I4799),H4799))</f>
        <v/>
      </c>
      <c r="Q4799">
        <f>IF(P4799="","",IFERROR(IF(AND(H4799="W7",OR(F4799="causal",F4799="predictive")),IF(AND(OR(K4799=1,K4799="1"),OR(L4799=1,L4799="1"),OR(M4799=1,M4799="1")),"adequate","partial"),IF(AND(H4799="W4",F4799="predictive",OR(J4799="P2",J4799="P3",J4799="P4")),IF(OR(U4799=1,U4799="1"),"adequate","partial"),INDEX(Fit_Matrix!$B:$B,MATCH(P4799,Fit_Matrix!$A:$A,0)))),"CHECK KEY"))</f>
        <v/>
      </c>
      <c r="U4799" s="10" t="n"/>
      <c r="V4799" s="10" t="n"/>
      <c r="W4799" s="10" t="n"/>
      <c r="X4799" s="10" t="n"/>
      <c r="Y4799" s="10" t="n"/>
      <c r="Z4799" s="10" t="n"/>
      <c r="AA4799" s="11">
        <f>IF(A4799="","",IF(AND(J4799="P4",F4799="causal"),"P4-CAUSAL",""))</f>
        <v/>
      </c>
    </row>
    <row r="4800" ht="15" customHeight="1" s="1">
      <c r="P4800">
        <f>IF(OR(F4800="",H4800="",J4800=""),"",J4800&amp;"|"&amp;F4800&amp;"|"&amp;IF(H4800="W3","W3_"&amp;IF(I4800="","unknown",I4800),H4800))</f>
        <v/>
      </c>
      <c r="Q4800">
        <f>IF(P4800="","",IFERROR(IF(AND(H4800="W7",OR(F4800="causal",F4800="predictive")),IF(AND(OR(K4800=1,K4800="1"),OR(L4800=1,L4800="1"),OR(M4800=1,M4800="1")),"adequate","partial"),IF(AND(H4800="W4",F4800="predictive",OR(J4800="P2",J4800="P3",J4800="P4")),IF(OR(U4800=1,U4800="1"),"adequate","partial"),INDEX(Fit_Matrix!$B:$B,MATCH(P4800,Fit_Matrix!$A:$A,0)))),"CHECK KEY"))</f>
        <v/>
      </c>
      <c r="U4800" s="10" t="n"/>
      <c r="V4800" s="10" t="n"/>
      <c r="W4800" s="10" t="n"/>
      <c r="X4800" s="10" t="n"/>
      <c r="Y4800" s="10" t="n"/>
      <c r="Z4800" s="10" t="n"/>
      <c r="AA4800" s="11">
        <f>IF(A4800="","",IF(AND(J4800="P4",F4800="causal"),"P4-CAUSAL",""))</f>
        <v/>
      </c>
    </row>
    <row r="4801" ht="15" customHeight="1" s="1">
      <c r="P4801">
        <f>IF(OR(F4801="",H4801="",J4801=""),"",J4801&amp;"|"&amp;F4801&amp;"|"&amp;IF(H4801="W3","W3_"&amp;IF(I4801="","unknown",I4801),H4801))</f>
        <v/>
      </c>
      <c r="Q4801">
        <f>IF(P4801="","",IFERROR(IF(AND(H4801="W7",OR(F4801="causal",F4801="predictive")),IF(AND(OR(K4801=1,K4801="1"),OR(L4801=1,L4801="1"),OR(M4801=1,M4801="1")),"adequate","partial"),IF(AND(H4801="W4",F4801="predictive",OR(J4801="P2",J4801="P3",J4801="P4")),IF(OR(U4801=1,U4801="1"),"adequate","partial"),INDEX(Fit_Matrix!$B:$B,MATCH(P4801,Fit_Matrix!$A:$A,0)))),"CHECK KEY"))</f>
        <v/>
      </c>
      <c r="U4801" s="10" t="n"/>
      <c r="V4801" s="10" t="n"/>
      <c r="W4801" s="10" t="n"/>
      <c r="X4801" s="10" t="n"/>
      <c r="Y4801" s="10" t="n"/>
      <c r="Z4801" s="10" t="n"/>
      <c r="AA4801" s="11">
        <f>IF(A4801="","",IF(AND(J4801="P4",F4801="causal"),"P4-CAUSAL",""))</f>
        <v/>
      </c>
    </row>
    <row r="4802" ht="15" customHeight="1" s="1">
      <c r="P4802">
        <f>IF(OR(F4802="",H4802="",J4802=""),"",J4802&amp;"|"&amp;F4802&amp;"|"&amp;IF(H4802="W3","W3_"&amp;IF(I4802="","unknown",I4802),H4802))</f>
        <v/>
      </c>
      <c r="Q4802">
        <f>IF(P4802="","",IFERROR(IF(AND(H4802="W7",OR(F4802="causal",F4802="predictive")),IF(AND(OR(K4802=1,K4802="1"),OR(L4802=1,L4802="1"),OR(M4802=1,M4802="1")),"adequate","partial"),IF(AND(H4802="W4",F4802="predictive",OR(J4802="P2",J4802="P3",J4802="P4")),IF(OR(U4802=1,U4802="1"),"adequate","partial"),INDEX(Fit_Matrix!$B:$B,MATCH(P4802,Fit_Matrix!$A:$A,0)))),"CHECK KEY"))</f>
        <v/>
      </c>
      <c r="U4802" s="10" t="n"/>
      <c r="V4802" s="10" t="n"/>
      <c r="W4802" s="10" t="n"/>
      <c r="X4802" s="10" t="n"/>
      <c r="Y4802" s="10" t="n"/>
      <c r="Z4802" s="10" t="n"/>
      <c r="AA4802" s="11">
        <f>IF(A4802="","",IF(AND(J4802="P4",F4802="causal"),"P4-CAUSAL",""))</f>
        <v/>
      </c>
    </row>
    <row r="4803" ht="15" customHeight="1" s="1">
      <c r="P4803">
        <f>IF(OR(F4803="",H4803="",J4803=""),"",J4803&amp;"|"&amp;F4803&amp;"|"&amp;IF(H4803="W3","W3_"&amp;IF(I4803="","unknown",I4803),H4803))</f>
        <v/>
      </c>
      <c r="Q4803">
        <f>IF(P4803="","",IFERROR(IF(AND(H4803="W7",OR(F4803="causal",F4803="predictive")),IF(AND(OR(K4803=1,K4803="1"),OR(L4803=1,L4803="1"),OR(M4803=1,M4803="1")),"adequate","partial"),IF(AND(H4803="W4",F4803="predictive",OR(J4803="P2",J4803="P3",J4803="P4")),IF(OR(U4803=1,U4803="1"),"adequate","partial"),INDEX(Fit_Matrix!$B:$B,MATCH(P4803,Fit_Matrix!$A:$A,0)))),"CHECK KEY"))</f>
        <v/>
      </c>
      <c r="U4803" s="10" t="n"/>
      <c r="V4803" s="10" t="n"/>
      <c r="W4803" s="10" t="n"/>
      <c r="X4803" s="10" t="n"/>
      <c r="Y4803" s="10" t="n"/>
      <c r="Z4803" s="10" t="n"/>
      <c r="AA4803" s="11">
        <f>IF(A4803="","",IF(AND(J4803="P4",F4803="causal"),"P4-CAUSAL",""))</f>
        <v/>
      </c>
    </row>
    <row r="4804" ht="15" customHeight="1" s="1">
      <c r="P4804">
        <f>IF(OR(F4804="",H4804="",J4804=""),"",J4804&amp;"|"&amp;F4804&amp;"|"&amp;IF(H4804="W3","W3_"&amp;IF(I4804="","unknown",I4804),H4804))</f>
        <v/>
      </c>
      <c r="Q4804">
        <f>IF(P4804="","",IFERROR(IF(AND(H4804="W7",OR(F4804="causal",F4804="predictive")),IF(AND(OR(K4804=1,K4804="1"),OR(L4804=1,L4804="1"),OR(M4804=1,M4804="1")),"adequate","partial"),IF(AND(H4804="W4",F4804="predictive",OR(J4804="P2",J4804="P3",J4804="P4")),IF(OR(U4804=1,U4804="1"),"adequate","partial"),INDEX(Fit_Matrix!$B:$B,MATCH(P4804,Fit_Matrix!$A:$A,0)))),"CHECK KEY"))</f>
        <v/>
      </c>
      <c r="U4804" s="10" t="n"/>
      <c r="V4804" s="10" t="n"/>
      <c r="W4804" s="10" t="n"/>
      <c r="X4804" s="10" t="n"/>
      <c r="Y4804" s="10" t="n"/>
      <c r="Z4804" s="10" t="n"/>
      <c r="AA4804" s="11">
        <f>IF(A4804="","",IF(AND(J4804="P4",F4804="causal"),"P4-CAUSAL",""))</f>
        <v/>
      </c>
    </row>
    <row r="4805" ht="15" customHeight="1" s="1">
      <c r="P4805">
        <f>IF(OR(F4805="",H4805="",J4805=""),"",J4805&amp;"|"&amp;F4805&amp;"|"&amp;IF(H4805="W3","W3_"&amp;IF(I4805="","unknown",I4805),H4805))</f>
        <v/>
      </c>
      <c r="Q4805">
        <f>IF(P4805="","",IFERROR(IF(AND(H4805="W7",OR(F4805="causal",F4805="predictive")),IF(AND(OR(K4805=1,K4805="1"),OR(L4805=1,L4805="1"),OR(M4805=1,M4805="1")),"adequate","partial"),IF(AND(H4805="W4",F4805="predictive",OR(J4805="P2",J4805="P3",J4805="P4")),IF(OR(U4805=1,U4805="1"),"adequate","partial"),INDEX(Fit_Matrix!$B:$B,MATCH(P4805,Fit_Matrix!$A:$A,0)))),"CHECK KEY"))</f>
        <v/>
      </c>
      <c r="U4805" s="10" t="n"/>
      <c r="V4805" s="10" t="n"/>
      <c r="W4805" s="10" t="n"/>
      <c r="X4805" s="10" t="n"/>
      <c r="Y4805" s="10" t="n"/>
      <c r="Z4805" s="10" t="n"/>
      <c r="AA4805" s="11">
        <f>IF(A4805="","",IF(AND(J4805="P4",F4805="causal"),"P4-CAUSAL",""))</f>
        <v/>
      </c>
    </row>
    <row r="4806" ht="15" customHeight="1" s="1">
      <c r="P4806">
        <f>IF(OR(F4806="",H4806="",J4806=""),"",J4806&amp;"|"&amp;F4806&amp;"|"&amp;IF(H4806="W3","W3_"&amp;IF(I4806="","unknown",I4806),H4806))</f>
        <v/>
      </c>
      <c r="Q4806">
        <f>IF(P4806="","",IFERROR(IF(AND(H4806="W7",OR(F4806="causal",F4806="predictive")),IF(AND(OR(K4806=1,K4806="1"),OR(L4806=1,L4806="1"),OR(M4806=1,M4806="1")),"adequate","partial"),IF(AND(H4806="W4",F4806="predictive",OR(J4806="P2",J4806="P3",J4806="P4")),IF(OR(U4806=1,U4806="1"),"adequate","partial"),INDEX(Fit_Matrix!$B:$B,MATCH(P4806,Fit_Matrix!$A:$A,0)))),"CHECK KEY"))</f>
        <v/>
      </c>
      <c r="U4806" s="10" t="n"/>
      <c r="V4806" s="10" t="n"/>
      <c r="W4806" s="10" t="n"/>
      <c r="X4806" s="10" t="n"/>
      <c r="Y4806" s="10" t="n"/>
      <c r="Z4806" s="10" t="n"/>
      <c r="AA4806" s="11">
        <f>IF(A4806="","",IF(AND(J4806="P4",F4806="causal"),"P4-CAUSAL",""))</f>
        <v/>
      </c>
    </row>
    <row r="4807" ht="15" customHeight="1" s="1">
      <c r="P4807">
        <f>IF(OR(F4807="",H4807="",J4807=""),"",J4807&amp;"|"&amp;F4807&amp;"|"&amp;IF(H4807="W3","W3_"&amp;IF(I4807="","unknown",I4807),H4807))</f>
        <v/>
      </c>
      <c r="Q4807">
        <f>IF(P4807="","",IFERROR(IF(AND(H4807="W7",OR(F4807="causal",F4807="predictive")),IF(AND(OR(K4807=1,K4807="1"),OR(L4807=1,L4807="1"),OR(M4807=1,M4807="1")),"adequate","partial"),IF(AND(H4807="W4",F4807="predictive",OR(J4807="P2",J4807="P3",J4807="P4")),IF(OR(U4807=1,U4807="1"),"adequate","partial"),INDEX(Fit_Matrix!$B:$B,MATCH(P4807,Fit_Matrix!$A:$A,0)))),"CHECK KEY"))</f>
        <v/>
      </c>
      <c r="U4807" s="10" t="n"/>
      <c r="V4807" s="10" t="n"/>
      <c r="W4807" s="10" t="n"/>
      <c r="X4807" s="10" t="n"/>
      <c r="Y4807" s="10" t="n"/>
      <c r="Z4807" s="10" t="n"/>
      <c r="AA4807" s="11">
        <f>IF(A4807="","",IF(AND(J4807="P4",F4807="causal"),"P4-CAUSAL",""))</f>
        <v/>
      </c>
    </row>
    <row r="4808" ht="15" customHeight="1" s="1">
      <c r="P4808">
        <f>IF(OR(F4808="",H4808="",J4808=""),"",J4808&amp;"|"&amp;F4808&amp;"|"&amp;IF(H4808="W3","W3_"&amp;IF(I4808="","unknown",I4808),H4808))</f>
        <v/>
      </c>
      <c r="Q4808">
        <f>IF(P4808="","",IFERROR(IF(AND(H4808="W7",OR(F4808="causal",F4808="predictive")),IF(AND(OR(K4808=1,K4808="1"),OR(L4808=1,L4808="1"),OR(M4808=1,M4808="1")),"adequate","partial"),IF(AND(H4808="W4",F4808="predictive",OR(J4808="P2",J4808="P3",J4808="P4")),IF(OR(U4808=1,U4808="1"),"adequate","partial"),INDEX(Fit_Matrix!$B:$B,MATCH(P4808,Fit_Matrix!$A:$A,0)))),"CHECK KEY"))</f>
        <v/>
      </c>
      <c r="U4808" s="10" t="n"/>
      <c r="V4808" s="10" t="n"/>
      <c r="W4808" s="10" t="n"/>
      <c r="X4808" s="10" t="n"/>
      <c r="Y4808" s="10" t="n"/>
      <c r="Z4808" s="10" t="n"/>
      <c r="AA4808" s="11">
        <f>IF(A4808="","",IF(AND(J4808="P4",F4808="causal"),"P4-CAUSAL",""))</f>
        <v/>
      </c>
    </row>
    <row r="4809" ht="15" customHeight="1" s="1">
      <c r="P4809">
        <f>IF(OR(F4809="",H4809="",J4809=""),"",J4809&amp;"|"&amp;F4809&amp;"|"&amp;IF(H4809="W3","W3_"&amp;IF(I4809="","unknown",I4809),H4809))</f>
        <v/>
      </c>
      <c r="Q4809">
        <f>IF(P4809="","",IFERROR(IF(AND(H4809="W7",OR(F4809="causal",F4809="predictive")),IF(AND(OR(K4809=1,K4809="1"),OR(L4809=1,L4809="1"),OR(M4809=1,M4809="1")),"adequate","partial"),IF(AND(H4809="W4",F4809="predictive",OR(J4809="P2",J4809="P3",J4809="P4")),IF(OR(U4809=1,U4809="1"),"adequate","partial"),INDEX(Fit_Matrix!$B:$B,MATCH(P4809,Fit_Matrix!$A:$A,0)))),"CHECK KEY"))</f>
        <v/>
      </c>
      <c r="U4809" s="10" t="n"/>
      <c r="V4809" s="10" t="n"/>
      <c r="W4809" s="10" t="n"/>
      <c r="X4809" s="10" t="n"/>
      <c r="Y4809" s="10" t="n"/>
      <c r="Z4809" s="10" t="n"/>
      <c r="AA4809" s="11">
        <f>IF(A4809="","",IF(AND(J4809="P4",F4809="causal"),"P4-CAUSAL",""))</f>
        <v/>
      </c>
    </row>
    <row r="4810" ht="15" customHeight="1" s="1">
      <c r="P4810">
        <f>IF(OR(F4810="",H4810="",J4810=""),"",J4810&amp;"|"&amp;F4810&amp;"|"&amp;IF(H4810="W3","W3_"&amp;IF(I4810="","unknown",I4810),H4810))</f>
        <v/>
      </c>
      <c r="Q4810">
        <f>IF(P4810="","",IFERROR(IF(AND(H4810="W7",OR(F4810="causal",F4810="predictive")),IF(AND(OR(K4810=1,K4810="1"),OR(L4810=1,L4810="1"),OR(M4810=1,M4810="1")),"adequate","partial"),IF(AND(H4810="W4",F4810="predictive",OR(J4810="P2",J4810="P3",J4810="P4")),IF(OR(U4810=1,U4810="1"),"adequate","partial"),INDEX(Fit_Matrix!$B:$B,MATCH(P4810,Fit_Matrix!$A:$A,0)))),"CHECK KEY"))</f>
        <v/>
      </c>
      <c r="U4810" s="10" t="n"/>
      <c r="V4810" s="10" t="n"/>
      <c r="W4810" s="10" t="n"/>
      <c r="X4810" s="10" t="n"/>
      <c r="Y4810" s="10" t="n"/>
      <c r="Z4810" s="10" t="n"/>
      <c r="AA4810" s="11">
        <f>IF(A4810="","",IF(AND(J4810="P4",F4810="causal"),"P4-CAUSAL",""))</f>
        <v/>
      </c>
    </row>
    <row r="4811" ht="15" customHeight="1" s="1">
      <c r="P4811">
        <f>IF(OR(F4811="",H4811="",J4811=""),"",J4811&amp;"|"&amp;F4811&amp;"|"&amp;IF(H4811="W3","W3_"&amp;IF(I4811="","unknown",I4811),H4811))</f>
        <v/>
      </c>
      <c r="Q4811">
        <f>IF(P4811="","",IFERROR(IF(AND(H4811="W7",OR(F4811="causal",F4811="predictive")),IF(AND(OR(K4811=1,K4811="1"),OR(L4811=1,L4811="1"),OR(M4811=1,M4811="1")),"adequate","partial"),IF(AND(H4811="W4",F4811="predictive",OR(J4811="P2",J4811="P3",J4811="P4")),IF(OR(U4811=1,U4811="1"),"adequate","partial"),INDEX(Fit_Matrix!$B:$B,MATCH(P4811,Fit_Matrix!$A:$A,0)))),"CHECK KEY"))</f>
        <v/>
      </c>
      <c r="U4811" s="10" t="n"/>
      <c r="V4811" s="10" t="n"/>
      <c r="W4811" s="10" t="n"/>
      <c r="X4811" s="10" t="n"/>
      <c r="Y4811" s="10" t="n"/>
      <c r="Z4811" s="10" t="n"/>
      <c r="AA4811" s="11">
        <f>IF(A4811="","",IF(AND(J4811="P4",F4811="causal"),"P4-CAUSAL",""))</f>
        <v/>
      </c>
    </row>
    <row r="4812" ht="15" customHeight="1" s="1">
      <c r="P4812">
        <f>IF(OR(F4812="",H4812="",J4812=""),"",J4812&amp;"|"&amp;F4812&amp;"|"&amp;IF(H4812="W3","W3_"&amp;IF(I4812="","unknown",I4812),H4812))</f>
        <v/>
      </c>
      <c r="Q4812">
        <f>IF(P4812="","",IFERROR(IF(AND(H4812="W7",OR(F4812="causal",F4812="predictive")),IF(AND(OR(K4812=1,K4812="1"),OR(L4812=1,L4812="1"),OR(M4812=1,M4812="1")),"adequate","partial"),IF(AND(H4812="W4",F4812="predictive",OR(J4812="P2",J4812="P3",J4812="P4")),IF(OR(U4812=1,U4812="1"),"adequate","partial"),INDEX(Fit_Matrix!$B:$B,MATCH(P4812,Fit_Matrix!$A:$A,0)))),"CHECK KEY"))</f>
        <v/>
      </c>
      <c r="U4812" s="10" t="n"/>
      <c r="V4812" s="10" t="n"/>
      <c r="W4812" s="10" t="n"/>
      <c r="X4812" s="10" t="n"/>
      <c r="Y4812" s="10" t="n"/>
      <c r="Z4812" s="10" t="n"/>
      <c r="AA4812" s="11">
        <f>IF(A4812="","",IF(AND(J4812="P4",F4812="causal"),"P4-CAUSAL",""))</f>
        <v/>
      </c>
    </row>
    <row r="4813" ht="15" customHeight="1" s="1">
      <c r="P4813">
        <f>IF(OR(F4813="",H4813="",J4813=""),"",J4813&amp;"|"&amp;F4813&amp;"|"&amp;IF(H4813="W3","W3_"&amp;IF(I4813="","unknown",I4813),H4813))</f>
        <v/>
      </c>
      <c r="Q4813">
        <f>IF(P4813="","",IFERROR(IF(AND(H4813="W7",OR(F4813="causal",F4813="predictive")),IF(AND(OR(K4813=1,K4813="1"),OR(L4813=1,L4813="1"),OR(M4813=1,M4813="1")),"adequate","partial"),IF(AND(H4813="W4",F4813="predictive",OR(J4813="P2",J4813="P3",J4813="P4")),IF(OR(U4813=1,U4813="1"),"adequate","partial"),INDEX(Fit_Matrix!$B:$B,MATCH(P4813,Fit_Matrix!$A:$A,0)))),"CHECK KEY"))</f>
        <v/>
      </c>
      <c r="U4813" s="10" t="n"/>
      <c r="V4813" s="10" t="n"/>
      <c r="W4813" s="10" t="n"/>
      <c r="X4813" s="10" t="n"/>
      <c r="Y4813" s="10" t="n"/>
      <c r="Z4813" s="10" t="n"/>
      <c r="AA4813" s="11">
        <f>IF(A4813="","",IF(AND(J4813="P4",F4813="causal"),"P4-CAUSAL",""))</f>
        <v/>
      </c>
    </row>
    <row r="4814" ht="15" customHeight="1" s="1">
      <c r="P4814">
        <f>IF(OR(F4814="",H4814="",J4814=""),"",J4814&amp;"|"&amp;F4814&amp;"|"&amp;IF(H4814="W3","W3_"&amp;IF(I4814="","unknown",I4814),H4814))</f>
        <v/>
      </c>
      <c r="Q4814">
        <f>IF(P4814="","",IFERROR(IF(AND(H4814="W7",OR(F4814="causal",F4814="predictive")),IF(AND(OR(K4814=1,K4814="1"),OR(L4814=1,L4814="1"),OR(M4814=1,M4814="1")),"adequate","partial"),IF(AND(H4814="W4",F4814="predictive",OR(J4814="P2",J4814="P3",J4814="P4")),IF(OR(U4814=1,U4814="1"),"adequate","partial"),INDEX(Fit_Matrix!$B:$B,MATCH(P4814,Fit_Matrix!$A:$A,0)))),"CHECK KEY"))</f>
        <v/>
      </c>
      <c r="U4814" s="10" t="n"/>
      <c r="V4814" s="10" t="n"/>
      <c r="W4814" s="10" t="n"/>
      <c r="X4814" s="10" t="n"/>
      <c r="Y4814" s="10" t="n"/>
      <c r="Z4814" s="10" t="n"/>
      <c r="AA4814" s="11">
        <f>IF(A4814="","",IF(AND(J4814="P4",F4814="causal"),"P4-CAUSAL",""))</f>
        <v/>
      </c>
    </row>
    <row r="4815" ht="15" customHeight="1" s="1">
      <c r="P4815">
        <f>IF(OR(F4815="",H4815="",J4815=""),"",J4815&amp;"|"&amp;F4815&amp;"|"&amp;IF(H4815="W3","W3_"&amp;IF(I4815="","unknown",I4815),H4815))</f>
        <v/>
      </c>
      <c r="Q4815">
        <f>IF(P4815="","",IFERROR(IF(AND(H4815="W7",OR(F4815="causal",F4815="predictive")),IF(AND(OR(K4815=1,K4815="1"),OR(L4815=1,L4815="1"),OR(M4815=1,M4815="1")),"adequate","partial"),IF(AND(H4815="W4",F4815="predictive",OR(J4815="P2",J4815="P3",J4815="P4")),IF(OR(U4815=1,U4815="1"),"adequate","partial"),INDEX(Fit_Matrix!$B:$B,MATCH(P4815,Fit_Matrix!$A:$A,0)))),"CHECK KEY"))</f>
        <v/>
      </c>
      <c r="U4815" s="10" t="n"/>
      <c r="V4815" s="10" t="n"/>
      <c r="W4815" s="10" t="n"/>
      <c r="X4815" s="10" t="n"/>
      <c r="Y4815" s="10" t="n"/>
      <c r="Z4815" s="10" t="n"/>
      <c r="AA4815" s="11">
        <f>IF(A4815="","",IF(AND(J4815="P4",F4815="causal"),"P4-CAUSAL",""))</f>
        <v/>
      </c>
    </row>
    <row r="4816" ht="15" customHeight="1" s="1">
      <c r="P4816">
        <f>IF(OR(F4816="",H4816="",J4816=""),"",J4816&amp;"|"&amp;F4816&amp;"|"&amp;IF(H4816="W3","W3_"&amp;IF(I4816="","unknown",I4816),H4816))</f>
        <v/>
      </c>
      <c r="Q4816">
        <f>IF(P4816="","",IFERROR(IF(AND(H4816="W7",OR(F4816="causal",F4816="predictive")),IF(AND(OR(K4816=1,K4816="1"),OR(L4816=1,L4816="1"),OR(M4816=1,M4816="1")),"adequate","partial"),IF(AND(H4816="W4",F4816="predictive",OR(J4816="P2",J4816="P3",J4816="P4")),IF(OR(U4816=1,U4816="1"),"adequate","partial"),INDEX(Fit_Matrix!$B:$B,MATCH(P4816,Fit_Matrix!$A:$A,0)))),"CHECK KEY"))</f>
        <v/>
      </c>
      <c r="U4816" s="10" t="n"/>
      <c r="V4816" s="10" t="n"/>
      <c r="W4816" s="10" t="n"/>
      <c r="X4816" s="10" t="n"/>
      <c r="Y4816" s="10" t="n"/>
      <c r="Z4816" s="10" t="n"/>
      <c r="AA4816" s="11">
        <f>IF(A4816="","",IF(AND(J4816="P4",F4816="causal"),"P4-CAUSAL",""))</f>
        <v/>
      </c>
    </row>
    <row r="4817" ht="15" customHeight="1" s="1">
      <c r="P4817">
        <f>IF(OR(F4817="",H4817="",J4817=""),"",J4817&amp;"|"&amp;F4817&amp;"|"&amp;IF(H4817="W3","W3_"&amp;IF(I4817="","unknown",I4817),H4817))</f>
        <v/>
      </c>
      <c r="Q4817">
        <f>IF(P4817="","",IFERROR(IF(AND(H4817="W7",OR(F4817="causal",F4817="predictive")),IF(AND(OR(K4817=1,K4817="1"),OR(L4817=1,L4817="1"),OR(M4817=1,M4817="1")),"adequate","partial"),IF(AND(H4817="W4",F4817="predictive",OR(J4817="P2",J4817="P3",J4817="P4")),IF(OR(U4817=1,U4817="1"),"adequate","partial"),INDEX(Fit_Matrix!$B:$B,MATCH(P4817,Fit_Matrix!$A:$A,0)))),"CHECK KEY"))</f>
        <v/>
      </c>
      <c r="U4817" s="10" t="n"/>
      <c r="V4817" s="10" t="n"/>
      <c r="W4817" s="10" t="n"/>
      <c r="X4817" s="10" t="n"/>
      <c r="Y4817" s="10" t="n"/>
      <c r="Z4817" s="10" t="n"/>
      <c r="AA4817" s="11">
        <f>IF(A4817="","",IF(AND(J4817="P4",F4817="causal"),"P4-CAUSAL",""))</f>
        <v/>
      </c>
    </row>
    <row r="4818" ht="15" customHeight="1" s="1">
      <c r="P4818">
        <f>IF(OR(F4818="",H4818="",J4818=""),"",J4818&amp;"|"&amp;F4818&amp;"|"&amp;IF(H4818="W3","W3_"&amp;IF(I4818="","unknown",I4818),H4818))</f>
        <v/>
      </c>
      <c r="Q4818">
        <f>IF(P4818="","",IFERROR(IF(AND(H4818="W7",OR(F4818="causal",F4818="predictive")),IF(AND(OR(K4818=1,K4818="1"),OR(L4818=1,L4818="1"),OR(M4818=1,M4818="1")),"adequate","partial"),IF(AND(H4818="W4",F4818="predictive",OR(J4818="P2",J4818="P3",J4818="P4")),IF(OR(U4818=1,U4818="1"),"adequate","partial"),INDEX(Fit_Matrix!$B:$B,MATCH(P4818,Fit_Matrix!$A:$A,0)))),"CHECK KEY"))</f>
        <v/>
      </c>
      <c r="U4818" s="10" t="n"/>
      <c r="V4818" s="10" t="n"/>
      <c r="W4818" s="10" t="n"/>
      <c r="X4818" s="10" t="n"/>
      <c r="Y4818" s="10" t="n"/>
      <c r="Z4818" s="10" t="n"/>
      <c r="AA4818" s="11">
        <f>IF(A4818="","",IF(AND(J4818="P4",F4818="causal"),"P4-CAUSAL",""))</f>
        <v/>
      </c>
    </row>
    <row r="4819" ht="15" customHeight="1" s="1">
      <c r="P4819">
        <f>IF(OR(F4819="",H4819="",J4819=""),"",J4819&amp;"|"&amp;F4819&amp;"|"&amp;IF(H4819="W3","W3_"&amp;IF(I4819="","unknown",I4819),H4819))</f>
        <v/>
      </c>
      <c r="Q4819">
        <f>IF(P4819="","",IFERROR(IF(AND(H4819="W7",OR(F4819="causal",F4819="predictive")),IF(AND(OR(K4819=1,K4819="1"),OR(L4819=1,L4819="1"),OR(M4819=1,M4819="1")),"adequate","partial"),IF(AND(H4819="W4",F4819="predictive",OR(J4819="P2",J4819="P3",J4819="P4")),IF(OR(U4819=1,U4819="1"),"adequate","partial"),INDEX(Fit_Matrix!$B:$B,MATCH(P4819,Fit_Matrix!$A:$A,0)))),"CHECK KEY"))</f>
        <v/>
      </c>
      <c r="U4819" s="10" t="n"/>
      <c r="V4819" s="10" t="n"/>
      <c r="W4819" s="10" t="n"/>
      <c r="X4819" s="10" t="n"/>
      <c r="Y4819" s="10" t="n"/>
      <c r="Z4819" s="10" t="n"/>
      <c r="AA4819" s="11">
        <f>IF(A4819="","",IF(AND(J4819="P4",F4819="causal"),"P4-CAUSAL",""))</f>
        <v/>
      </c>
    </row>
    <row r="4820" ht="15" customHeight="1" s="1">
      <c r="P4820">
        <f>IF(OR(F4820="",H4820="",J4820=""),"",J4820&amp;"|"&amp;F4820&amp;"|"&amp;IF(H4820="W3","W3_"&amp;IF(I4820="","unknown",I4820),H4820))</f>
        <v/>
      </c>
      <c r="Q4820">
        <f>IF(P4820="","",IFERROR(IF(AND(H4820="W7",OR(F4820="causal",F4820="predictive")),IF(AND(OR(K4820=1,K4820="1"),OR(L4820=1,L4820="1"),OR(M4820=1,M4820="1")),"adequate","partial"),IF(AND(H4820="W4",F4820="predictive",OR(J4820="P2",J4820="P3",J4820="P4")),IF(OR(U4820=1,U4820="1"),"adequate","partial"),INDEX(Fit_Matrix!$B:$B,MATCH(P4820,Fit_Matrix!$A:$A,0)))),"CHECK KEY"))</f>
        <v/>
      </c>
      <c r="U4820" s="10" t="n"/>
      <c r="V4820" s="10" t="n"/>
      <c r="W4820" s="10" t="n"/>
      <c r="X4820" s="10" t="n"/>
      <c r="Y4820" s="10" t="n"/>
      <c r="Z4820" s="10" t="n"/>
      <c r="AA4820" s="11">
        <f>IF(A4820="","",IF(AND(J4820="P4",F4820="causal"),"P4-CAUSAL",""))</f>
        <v/>
      </c>
    </row>
    <row r="4821" ht="15" customHeight="1" s="1">
      <c r="P4821">
        <f>IF(OR(F4821="",H4821="",J4821=""),"",J4821&amp;"|"&amp;F4821&amp;"|"&amp;IF(H4821="W3","W3_"&amp;IF(I4821="","unknown",I4821),H4821))</f>
        <v/>
      </c>
      <c r="Q4821">
        <f>IF(P4821="","",IFERROR(IF(AND(H4821="W7",OR(F4821="causal",F4821="predictive")),IF(AND(OR(K4821=1,K4821="1"),OR(L4821=1,L4821="1"),OR(M4821=1,M4821="1")),"adequate","partial"),IF(AND(H4821="W4",F4821="predictive",OR(J4821="P2",J4821="P3",J4821="P4")),IF(OR(U4821=1,U4821="1"),"adequate","partial"),INDEX(Fit_Matrix!$B:$B,MATCH(P4821,Fit_Matrix!$A:$A,0)))),"CHECK KEY"))</f>
        <v/>
      </c>
      <c r="U4821" s="10" t="n"/>
      <c r="V4821" s="10" t="n"/>
      <c r="W4821" s="10" t="n"/>
      <c r="X4821" s="10" t="n"/>
      <c r="Y4821" s="10" t="n"/>
      <c r="Z4821" s="10" t="n"/>
      <c r="AA4821" s="11">
        <f>IF(A4821="","",IF(AND(J4821="P4",F4821="causal"),"P4-CAUSAL",""))</f>
        <v/>
      </c>
    </row>
    <row r="4822" ht="15" customHeight="1" s="1">
      <c r="P4822">
        <f>IF(OR(F4822="",H4822="",J4822=""),"",J4822&amp;"|"&amp;F4822&amp;"|"&amp;IF(H4822="W3","W3_"&amp;IF(I4822="","unknown",I4822),H4822))</f>
        <v/>
      </c>
      <c r="Q4822">
        <f>IF(P4822="","",IFERROR(IF(AND(H4822="W7",OR(F4822="causal",F4822="predictive")),IF(AND(OR(K4822=1,K4822="1"),OR(L4822=1,L4822="1"),OR(M4822=1,M4822="1")),"adequate","partial"),IF(AND(H4822="W4",F4822="predictive",OR(J4822="P2",J4822="P3",J4822="P4")),IF(OR(U4822=1,U4822="1"),"adequate","partial"),INDEX(Fit_Matrix!$B:$B,MATCH(P4822,Fit_Matrix!$A:$A,0)))),"CHECK KEY"))</f>
        <v/>
      </c>
      <c r="U4822" s="10" t="n"/>
      <c r="V4822" s="10" t="n"/>
      <c r="W4822" s="10" t="n"/>
      <c r="X4822" s="10" t="n"/>
      <c r="Y4822" s="10" t="n"/>
      <c r="Z4822" s="10" t="n"/>
      <c r="AA4822" s="11">
        <f>IF(A4822="","",IF(AND(J4822="P4",F4822="causal"),"P4-CAUSAL",""))</f>
        <v/>
      </c>
    </row>
    <row r="4823" ht="15" customHeight="1" s="1">
      <c r="P4823">
        <f>IF(OR(F4823="",H4823="",J4823=""),"",J4823&amp;"|"&amp;F4823&amp;"|"&amp;IF(H4823="W3","W3_"&amp;IF(I4823="","unknown",I4823),H4823))</f>
        <v/>
      </c>
      <c r="Q4823">
        <f>IF(P4823="","",IFERROR(IF(AND(H4823="W7",OR(F4823="causal",F4823="predictive")),IF(AND(OR(K4823=1,K4823="1"),OR(L4823=1,L4823="1"),OR(M4823=1,M4823="1")),"adequate","partial"),IF(AND(H4823="W4",F4823="predictive",OR(J4823="P2",J4823="P3",J4823="P4")),IF(OR(U4823=1,U4823="1"),"adequate","partial"),INDEX(Fit_Matrix!$B:$B,MATCH(P4823,Fit_Matrix!$A:$A,0)))),"CHECK KEY"))</f>
        <v/>
      </c>
      <c r="U4823" s="10" t="n"/>
      <c r="V4823" s="10" t="n"/>
      <c r="W4823" s="10" t="n"/>
      <c r="X4823" s="10" t="n"/>
      <c r="Y4823" s="10" t="n"/>
      <c r="Z4823" s="10" t="n"/>
      <c r="AA4823" s="11">
        <f>IF(A4823="","",IF(AND(J4823="P4",F4823="causal"),"P4-CAUSAL",""))</f>
        <v/>
      </c>
    </row>
    <row r="4824" ht="15" customHeight="1" s="1">
      <c r="P4824">
        <f>IF(OR(F4824="",H4824="",J4824=""),"",J4824&amp;"|"&amp;F4824&amp;"|"&amp;IF(H4824="W3","W3_"&amp;IF(I4824="","unknown",I4824),H4824))</f>
        <v/>
      </c>
      <c r="Q4824">
        <f>IF(P4824="","",IFERROR(IF(AND(H4824="W7",OR(F4824="causal",F4824="predictive")),IF(AND(OR(K4824=1,K4824="1"),OR(L4824=1,L4824="1"),OR(M4824=1,M4824="1")),"adequate","partial"),IF(AND(H4824="W4",F4824="predictive",OR(J4824="P2",J4824="P3",J4824="P4")),IF(OR(U4824=1,U4824="1"),"adequate","partial"),INDEX(Fit_Matrix!$B:$B,MATCH(P4824,Fit_Matrix!$A:$A,0)))),"CHECK KEY"))</f>
        <v/>
      </c>
      <c r="U4824" s="10" t="n"/>
      <c r="V4824" s="10" t="n"/>
      <c r="W4824" s="10" t="n"/>
      <c r="X4824" s="10" t="n"/>
      <c r="Y4824" s="10" t="n"/>
      <c r="Z4824" s="10" t="n"/>
      <c r="AA4824" s="11">
        <f>IF(A4824="","",IF(AND(J4824="P4",F4824="causal"),"P4-CAUSAL",""))</f>
        <v/>
      </c>
    </row>
    <row r="4825" ht="15" customHeight="1" s="1">
      <c r="P4825">
        <f>IF(OR(F4825="",H4825="",J4825=""),"",J4825&amp;"|"&amp;F4825&amp;"|"&amp;IF(H4825="W3","W3_"&amp;IF(I4825="","unknown",I4825),H4825))</f>
        <v/>
      </c>
      <c r="Q4825">
        <f>IF(P4825="","",IFERROR(IF(AND(H4825="W7",OR(F4825="causal",F4825="predictive")),IF(AND(OR(K4825=1,K4825="1"),OR(L4825=1,L4825="1"),OR(M4825=1,M4825="1")),"adequate","partial"),IF(AND(H4825="W4",F4825="predictive",OR(J4825="P2",J4825="P3",J4825="P4")),IF(OR(U4825=1,U4825="1"),"adequate","partial"),INDEX(Fit_Matrix!$B:$B,MATCH(P4825,Fit_Matrix!$A:$A,0)))),"CHECK KEY"))</f>
        <v/>
      </c>
      <c r="U4825" s="10" t="n"/>
      <c r="V4825" s="10" t="n"/>
      <c r="W4825" s="10" t="n"/>
      <c r="X4825" s="10" t="n"/>
      <c r="Y4825" s="10" t="n"/>
      <c r="Z4825" s="10" t="n"/>
      <c r="AA4825" s="11">
        <f>IF(A4825="","",IF(AND(J4825="P4",F4825="causal"),"P4-CAUSAL",""))</f>
        <v/>
      </c>
    </row>
    <row r="4826" ht="15" customHeight="1" s="1">
      <c r="P4826">
        <f>IF(OR(F4826="",H4826="",J4826=""),"",J4826&amp;"|"&amp;F4826&amp;"|"&amp;IF(H4826="W3","W3_"&amp;IF(I4826="","unknown",I4826),H4826))</f>
        <v/>
      </c>
      <c r="Q4826">
        <f>IF(P4826="","",IFERROR(IF(AND(H4826="W7",OR(F4826="causal",F4826="predictive")),IF(AND(OR(K4826=1,K4826="1"),OR(L4826=1,L4826="1"),OR(M4826=1,M4826="1")),"adequate","partial"),IF(AND(H4826="W4",F4826="predictive",OR(J4826="P2",J4826="P3",J4826="P4")),IF(OR(U4826=1,U4826="1"),"adequate","partial"),INDEX(Fit_Matrix!$B:$B,MATCH(P4826,Fit_Matrix!$A:$A,0)))),"CHECK KEY"))</f>
        <v/>
      </c>
      <c r="U4826" s="10" t="n"/>
      <c r="V4826" s="10" t="n"/>
      <c r="W4826" s="10" t="n"/>
      <c r="X4826" s="10" t="n"/>
      <c r="Y4826" s="10" t="n"/>
      <c r="Z4826" s="10" t="n"/>
      <c r="AA4826" s="11">
        <f>IF(A4826="","",IF(AND(J4826="P4",F4826="causal"),"P4-CAUSAL",""))</f>
        <v/>
      </c>
    </row>
    <row r="4827" ht="15" customHeight="1" s="1">
      <c r="P4827">
        <f>IF(OR(F4827="",H4827="",J4827=""),"",J4827&amp;"|"&amp;F4827&amp;"|"&amp;IF(H4827="W3","W3_"&amp;IF(I4827="","unknown",I4827),H4827))</f>
        <v/>
      </c>
      <c r="Q4827">
        <f>IF(P4827="","",IFERROR(IF(AND(H4827="W7",OR(F4827="causal",F4827="predictive")),IF(AND(OR(K4827=1,K4827="1"),OR(L4827=1,L4827="1"),OR(M4827=1,M4827="1")),"adequate","partial"),IF(AND(H4827="W4",F4827="predictive",OR(J4827="P2",J4827="P3",J4827="P4")),IF(OR(U4827=1,U4827="1"),"adequate","partial"),INDEX(Fit_Matrix!$B:$B,MATCH(P4827,Fit_Matrix!$A:$A,0)))),"CHECK KEY"))</f>
        <v/>
      </c>
      <c r="U4827" s="10" t="n"/>
      <c r="V4827" s="10" t="n"/>
      <c r="W4827" s="10" t="n"/>
      <c r="X4827" s="10" t="n"/>
      <c r="Y4827" s="10" t="n"/>
      <c r="Z4827" s="10" t="n"/>
      <c r="AA4827" s="11">
        <f>IF(A4827="","",IF(AND(J4827="P4",F4827="causal"),"P4-CAUSAL",""))</f>
        <v/>
      </c>
    </row>
    <row r="4828" ht="15" customHeight="1" s="1">
      <c r="P4828">
        <f>IF(OR(F4828="",H4828="",J4828=""),"",J4828&amp;"|"&amp;F4828&amp;"|"&amp;IF(H4828="W3","W3_"&amp;IF(I4828="","unknown",I4828),H4828))</f>
        <v/>
      </c>
      <c r="Q4828">
        <f>IF(P4828="","",IFERROR(IF(AND(H4828="W7",OR(F4828="causal",F4828="predictive")),IF(AND(OR(K4828=1,K4828="1"),OR(L4828=1,L4828="1"),OR(M4828=1,M4828="1")),"adequate","partial"),IF(AND(H4828="W4",F4828="predictive",OR(J4828="P2",J4828="P3",J4828="P4")),IF(OR(U4828=1,U4828="1"),"adequate","partial"),INDEX(Fit_Matrix!$B:$B,MATCH(P4828,Fit_Matrix!$A:$A,0)))),"CHECK KEY"))</f>
        <v/>
      </c>
      <c r="U4828" s="10" t="n"/>
      <c r="V4828" s="10" t="n"/>
      <c r="W4828" s="10" t="n"/>
      <c r="X4828" s="10" t="n"/>
      <c r="Y4828" s="10" t="n"/>
      <c r="Z4828" s="10" t="n"/>
      <c r="AA4828" s="11">
        <f>IF(A4828="","",IF(AND(J4828="P4",F4828="causal"),"P4-CAUSAL",""))</f>
        <v/>
      </c>
    </row>
    <row r="4829" ht="15" customHeight="1" s="1">
      <c r="P4829">
        <f>IF(OR(F4829="",H4829="",J4829=""),"",J4829&amp;"|"&amp;F4829&amp;"|"&amp;IF(H4829="W3","W3_"&amp;IF(I4829="","unknown",I4829),H4829))</f>
        <v/>
      </c>
      <c r="Q4829">
        <f>IF(P4829="","",IFERROR(IF(AND(H4829="W7",OR(F4829="causal",F4829="predictive")),IF(AND(OR(K4829=1,K4829="1"),OR(L4829=1,L4829="1"),OR(M4829=1,M4829="1")),"adequate","partial"),IF(AND(H4829="W4",F4829="predictive",OR(J4829="P2",J4829="P3",J4829="P4")),IF(OR(U4829=1,U4829="1"),"adequate","partial"),INDEX(Fit_Matrix!$B:$B,MATCH(P4829,Fit_Matrix!$A:$A,0)))),"CHECK KEY"))</f>
        <v/>
      </c>
      <c r="U4829" s="10" t="n"/>
      <c r="V4829" s="10" t="n"/>
      <c r="W4829" s="10" t="n"/>
      <c r="X4829" s="10" t="n"/>
      <c r="Y4829" s="10" t="n"/>
      <c r="Z4829" s="10" t="n"/>
      <c r="AA4829" s="11">
        <f>IF(A4829="","",IF(AND(J4829="P4",F4829="causal"),"P4-CAUSAL",""))</f>
        <v/>
      </c>
    </row>
    <row r="4830" ht="15" customHeight="1" s="1">
      <c r="P4830">
        <f>IF(OR(F4830="",H4830="",J4830=""),"",J4830&amp;"|"&amp;F4830&amp;"|"&amp;IF(H4830="W3","W3_"&amp;IF(I4830="","unknown",I4830),H4830))</f>
        <v/>
      </c>
      <c r="Q4830">
        <f>IF(P4830="","",IFERROR(IF(AND(H4830="W7",OR(F4830="causal",F4830="predictive")),IF(AND(OR(K4830=1,K4830="1"),OR(L4830=1,L4830="1"),OR(M4830=1,M4830="1")),"adequate","partial"),IF(AND(H4830="W4",F4830="predictive",OR(J4830="P2",J4830="P3",J4830="P4")),IF(OR(U4830=1,U4830="1"),"adequate","partial"),INDEX(Fit_Matrix!$B:$B,MATCH(P4830,Fit_Matrix!$A:$A,0)))),"CHECK KEY"))</f>
        <v/>
      </c>
      <c r="U4830" s="10" t="n"/>
      <c r="V4830" s="10" t="n"/>
      <c r="W4830" s="10" t="n"/>
      <c r="X4830" s="10" t="n"/>
      <c r="Y4830" s="10" t="n"/>
      <c r="Z4830" s="10" t="n"/>
      <c r="AA4830" s="11">
        <f>IF(A4830="","",IF(AND(J4830="P4",F4830="causal"),"P4-CAUSAL",""))</f>
        <v/>
      </c>
    </row>
    <row r="4831" ht="15" customHeight="1" s="1">
      <c r="P4831">
        <f>IF(OR(F4831="",H4831="",J4831=""),"",J4831&amp;"|"&amp;F4831&amp;"|"&amp;IF(H4831="W3","W3_"&amp;IF(I4831="","unknown",I4831),H4831))</f>
        <v/>
      </c>
      <c r="Q4831">
        <f>IF(P4831="","",IFERROR(IF(AND(H4831="W7",OR(F4831="causal",F4831="predictive")),IF(AND(OR(K4831=1,K4831="1"),OR(L4831=1,L4831="1"),OR(M4831=1,M4831="1")),"adequate","partial"),IF(AND(H4831="W4",F4831="predictive",OR(J4831="P2",J4831="P3",J4831="P4")),IF(OR(U4831=1,U4831="1"),"adequate","partial"),INDEX(Fit_Matrix!$B:$B,MATCH(P4831,Fit_Matrix!$A:$A,0)))),"CHECK KEY"))</f>
        <v/>
      </c>
      <c r="U4831" s="10" t="n"/>
      <c r="V4831" s="10" t="n"/>
      <c r="W4831" s="10" t="n"/>
      <c r="X4831" s="10" t="n"/>
      <c r="Y4831" s="10" t="n"/>
      <c r="Z4831" s="10" t="n"/>
      <c r="AA4831" s="11">
        <f>IF(A4831="","",IF(AND(J4831="P4",F4831="causal"),"P4-CAUSAL",""))</f>
        <v/>
      </c>
    </row>
    <row r="4832" ht="15" customHeight="1" s="1">
      <c r="P4832">
        <f>IF(OR(F4832="",H4832="",J4832=""),"",J4832&amp;"|"&amp;F4832&amp;"|"&amp;IF(H4832="W3","W3_"&amp;IF(I4832="","unknown",I4832),H4832))</f>
        <v/>
      </c>
      <c r="Q4832">
        <f>IF(P4832="","",IFERROR(IF(AND(H4832="W7",OR(F4832="causal",F4832="predictive")),IF(AND(OR(K4832=1,K4832="1"),OR(L4832=1,L4832="1"),OR(M4832=1,M4832="1")),"adequate","partial"),IF(AND(H4832="W4",F4832="predictive",OR(J4832="P2",J4832="P3",J4832="P4")),IF(OR(U4832=1,U4832="1"),"adequate","partial"),INDEX(Fit_Matrix!$B:$B,MATCH(P4832,Fit_Matrix!$A:$A,0)))),"CHECK KEY"))</f>
        <v/>
      </c>
      <c r="U4832" s="10" t="n"/>
      <c r="V4832" s="10" t="n"/>
      <c r="W4832" s="10" t="n"/>
      <c r="X4832" s="10" t="n"/>
      <c r="Y4832" s="10" t="n"/>
      <c r="Z4832" s="10" t="n"/>
      <c r="AA4832" s="11">
        <f>IF(A4832="","",IF(AND(J4832="P4",F4832="causal"),"P4-CAUSAL",""))</f>
        <v/>
      </c>
    </row>
    <row r="4833" ht="15" customHeight="1" s="1">
      <c r="P4833">
        <f>IF(OR(F4833="",H4833="",J4833=""),"",J4833&amp;"|"&amp;F4833&amp;"|"&amp;IF(H4833="W3","W3_"&amp;IF(I4833="","unknown",I4833),H4833))</f>
        <v/>
      </c>
      <c r="Q4833">
        <f>IF(P4833="","",IFERROR(IF(AND(H4833="W7",OR(F4833="causal",F4833="predictive")),IF(AND(OR(K4833=1,K4833="1"),OR(L4833=1,L4833="1"),OR(M4833=1,M4833="1")),"adequate","partial"),IF(AND(H4833="W4",F4833="predictive",OR(J4833="P2",J4833="P3",J4833="P4")),IF(OR(U4833=1,U4833="1"),"adequate","partial"),INDEX(Fit_Matrix!$B:$B,MATCH(P4833,Fit_Matrix!$A:$A,0)))),"CHECK KEY"))</f>
        <v/>
      </c>
      <c r="U4833" s="10" t="n"/>
      <c r="V4833" s="10" t="n"/>
      <c r="W4833" s="10" t="n"/>
      <c r="X4833" s="10" t="n"/>
      <c r="Y4833" s="10" t="n"/>
      <c r="Z4833" s="10" t="n"/>
      <c r="AA4833" s="11">
        <f>IF(A4833="","",IF(AND(J4833="P4",F4833="causal"),"P4-CAUSAL",""))</f>
        <v/>
      </c>
    </row>
    <row r="4834" ht="15" customHeight="1" s="1">
      <c r="P4834">
        <f>IF(OR(F4834="",H4834="",J4834=""),"",J4834&amp;"|"&amp;F4834&amp;"|"&amp;IF(H4834="W3","W3_"&amp;IF(I4834="","unknown",I4834),H4834))</f>
        <v/>
      </c>
      <c r="Q4834">
        <f>IF(P4834="","",IFERROR(IF(AND(H4834="W7",OR(F4834="causal",F4834="predictive")),IF(AND(OR(K4834=1,K4834="1"),OR(L4834=1,L4834="1"),OR(M4834=1,M4834="1")),"adequate","partial"),IF(AND(H4834="W4",F4834="predictive",OR(J4834="P2",J4834="P3",J4834="P4")),IF(OR(U4834=1,U4834="1"),"adequate","partial"),INDEX(Fit_Matrix!$B:$B,MATCH(P4834,Fit_Matrix!$A:$A,0)))),"CHECK KEY"))</f>
        <v/>
      </c>
      <c r="U4834" s="10" t="n"/>
      <c r="V4834" s="10" t="n"/>
      <c r="W4834" s="10" t="n"/>
      <c r="X4834" s="10" t="n"/>
      <c r="Y4834" s="10" t="n"/>
      <c r="Z4834" s="10" t="n"/>
      <c r="AA4834" s="11">
        <f>IF(A4834="","",IF(AND(J4834="P4",F4834="causal"),"P4-CAUSAL",""))</f>
        <v/>
      </c>
    </row>
    <row r="4835" ht="15" customHeight="1" s="1">
      <c r="P4835">
        <f>IF(OR(F4835="",H4835="",J4835=""),"",J4835&amp;"|"&amp;F4835&amp;"|"&amp;IF(H4835="W3","W3_"&amp;IF(I4835="","unknown",I4835),H4835))</f>
        <v/>
      </c>
      <c r="Q4835">
        <f>IF(P4835="","",IFERROR(IF(AND(H4835="W7",OR(F4835="causal",F4835="predictive")),IF(AND(OR(K4835=1,K4835="1"),OR(L4835=1,L4835="1"),OR(M4835=1,M4835="1")),"adequate","partial"),IF(AND(H4835="W4",F4835="predictive",OR(J4835="P2",J4835="P3",J4835="P4")),IF(OR(U4835=1,U4835="1"),"adequate","partial"),INDEX(Fit_Matrix!$B:$B,MATCH(P4835,Fit_Matrix!$A:$A,0)))),"CHECK KEY"))</f>
        <v/>
      </c>
      <c r="U4835" s="10" t="n"/>
      <c r="V4835" s="10" t="n"/>
      <c r="W4835" s="10" t="n"/>
      <c r="X4835" s="10" t="n"/>
      <c r="Y4835" s="10" t="n"/>
      <c r="Z4835" s="10" t="n"/>
      <c r="AA4835" s="11">
        <f>IF(A4835="","",IF(AND(J4835="P4",F4835="causal"),"P4-CAUSAL",""))</f>
        <v/>
      </c>
    </row>
    <row r="4836" ht="15" customHeight="1" s="1">
      <c r="P4836">
        <f>IF(OR(F4836="",H4836="",J4836=""),"",J4836&amp;"|"&amp;F4836&amp;"|"&amp;IF(H4836="W3","W3_"&amp;IF(I4836="","unknown",I4836),H4836))</f>
        <v/>
      </c>
      <c r="Q4836">
        <f>IF(P4836="","",IFERROR(IF(AND(H4836="W7",OR(F4836="causal",F4836="predictive")),IF(AND(OR(K4836=1,K4836="1"),OR(L4836=1,L4836="1"),OR(M4836=1,M4836="1")),"adequate","partial"),IF(AND(H4836="W4",F4836="predictive",OR(J4836="P2",J4836="P3",J4836="P4")),IF(OR(U4836=1,U4836="1"),"adequate","partial"),INDEX(Fit_Matrix!$B:$B,MATCH(P4836,Fit_Matrix!$A:$A,0)))),"CHECK KEY"))</f>
        <v/>
      </c>
      <c r="U4836" s="10" t="n"/>
      <c r="V4836" s="10" t="n"/>
      <c r="W4836" s="10" t="n"/>
      <c r="X4836" s="10" t="n"/>
      <c r="Y4836" s="10" t="n"/>
      <c r="Z4836" s="10" t="n"/>
      <c r="AA4836" s="11">
        <f>IF(A4836="","",IF(AND(J4836="P4",F4836="causal"),"P4-CAUSAL",""))</f>
        <v/>
      </c>
    </row>
    <row r="4837" ht="15" customHeight="1" s="1">
      <c r="P4837">
        <f>IF(OR(F4837="",H4837="",J4837=""),"",J4837&amp;"|"&amp;F4837&amp;"|"&amp;IF(H4837="W3","W3_"&amp;IF(I4837="","unknown",I4837),H4837))</f>
        <v/>
      </c>
      <c r="Q4837">
        <f>IF(P4837="","",IFERROR(IF(AND(H4837="W7",OR(F4837="causal",F4837="predictive")),IF(AND(OR(K4837=1,K4837="1"),OR(L4837=1,L4837="1"),OR(M4837=1,M4837="1")),"adequate","partial"),IF(AND(H4837="W4",F4837="predictive",OR(J4837="P2",J4837="P3",J4837="P4")),IF(OR(U4837=1,U4837="1"),"adequate","partial"),INDEX(Fit_Matrix!$B:$B,MATCH(P4837,Fit_Matrix!$A:$A,0)))),"CHECK KEY"))</f>
        <v/>
      </c>
      <c r="U4837" s="10" t="n"/>
      <c r="V4837" s="10" t="n"/>
      <c r="W4837" s="10" t="n"/>
      <c r="X4837" s="10" t="n"/>
      <c r="Y4837" s="10" t="n"/>
      <c r="Z4837" s="10" t="n"/>
      <c r="AA4837" s="11">
        <f>IF(A4837="","",IF(AND(J4837="P4",F4837="causal"),"P4-CAUSAL",""))</f>
        <v/>
      </c>
    </row>
    <row r="4838" ht="15" customHeight="1" s="1">
      <c r="P4838">
        <f>IF(OR(F4838="",H4838="",J4838=""),"",J4838&amp;"|"&amp;F4838&amp;"|"&amp;IF(H4838="W3","W3_"&amp;IF(I4838="","unknown",I4838),H4838))</f>
        <v/>
      </c>
      <c r="Q4838">
        <f>IF(P4838="","",IFERROR(IF(AND(H4838="W7",OR(F4838="causal",F4838="predictive")),IF(AND(OR(K4838=1,K4838="1"),OR(L4838=1,L4838="1"),OR(M4838=1,M4838="1")),"adequate","partial"),IF(AND(H4838="W4",F4838="predictive",OR(J4838="P2",J4838="P3",J4838="P4")),IF(OR(U4838=1,U4838="1"),"adequate","partial"),INDEX(Fit_Matrix!$B:$B,MATCH(P4838,Fit_Matrix!$A:$A,0)))),"CHECK KEY"))</f>
        <v/>
      </c>
      <c r="U4838" s="10" t="n"/>
      <c r="V4838" s="10" t="n"/>
      <c r="W4838" s="10" t="n"/>
      <c r="X4838" s="10" t="n"/>
      <c r="Y4838" s="10" t="n"/>
      <c r="Z4838" s="10" t="n"/>
      <c r="AA4838" s="11">
        <f>IF(A4838="","",IF(AND(J4838="P4",F4838="causal"),"P4-CAUSAL",""))</f>
        <v/>
      </c>
    </row>
    <row r="4839" ht="15" customHeight="1" s="1">
      <c r="P4839">
        <f>IF(OR(F4839="",H4839="",J4839=""),"",J4839&amp;"|"&amp;F4839&amp;"|"&amp;IF(H4839="W3","W3_"&amp;IF(I4839="","unknown",I4839),H4839))</f>
        <v/>
      </c>
      <c r="Q4839">
        <f>IF(P4839="","",IFERROR(IF(AND(H4839="W7",OR(F4839="causal",F4839="predictive")),IF(AND(OR(K4839=1,K4839="1"),OR(L4839=1,L4839="1"),OR(M4839=1,M4839="1")),"adequate","partial"),IF(AND(H4839="W4",F4839="predictive",OR(J4839="P2",J4839="P3",J4839="P4")),IF(OR(U4839=1,U4839="1"),"adequate","partial"),INDEX(Fit_Matrix!$B:$B,MATCH(P4839,Fit_Matrix!$A:$A,0)))),"CHECK KEY"))</f>
        <v/>
      </c>
      <c r="U4839" s="10" t="n"/>
      <c r="V4839" s="10" t="n"/>
      <c r="W4839" s="10" t="n"/>
      <c r="X4839" s="10" t="n"/>
      <c r="Y4839" s="10" t="n"/>
      <c r="Z4839" s="10" t="n"/>
      <c r="AA4839" s="11">
        <f>IF(A4839="","",IF(AND(J4839="P4",F4839="causal"),"P4-CAUSAL",""))</f>
        <v/>
      </c>
    </row>
    <row r="4840" ht="15" customHeight="1" s="1">
      <c r="P4840">
        <f>IF(OR(F4840="",H4840="",J4840=""),"",J4840&amp;"|"&amp;F4840&amp;"|"&amp;IF(H4840="W3","W3_"&amp;IF(I4840="","unknown",I4840),H4840))</f>
        <v/>
      </c>
      <c r="Q4840">
        <f>IF(P4840="","",IFERROR(IF(AND(H4840="W7",OR(F4840="causal",F4840="predictive")),IF(AND(OR(K4840=1,K4840="1"),OR(L4840=1,L4840="1"),OR(M4840=1,M4840="1")),"adequate","partial"),IF(AND(H4840="W4",F4840="predictive",OR(J4840="P2",J4840="P3",J4840="P4")),IF(OR(U4840=1,U4840="1"),"adequate","partial"),INDEX(Fit_Matrix!$B:$B,MATCH(P4840,Fit_Matrix!$A:$A,0)))),"CHECK KEY"))</f>
        <v/>
      </c>
      <c r="U4840" s="10" t="n"/>
      <c r="V4840" s="10" t="n"/>
      <c r="W4840" s="10" t="n"/>
      <c r="X4840" s="10" t="n"/>
      <c r="Y4840" s="10" t="n"/>
      <c r="Z4840" s="10" t="n"/>
      <c r="AA4840" s="11">
        <f>IF(A4840="","",IF(AND(J4840="P4",F4840="causal"),"P4-CAUSAL",""))</f>
        <v/>
      </c>
    </row>
    <row r="4841" ht="15" customHeight="1" s="1">
      <c r="P4841">
        <f>IF(OR(F4841="",H4841="",J4841=""),"",J4841&amp;"|"&amp;F4841&amp;"|"&amp;IF(H4841="W3","W3_"&amp;IF(I4841="","unknown",I4841),H4841))</f>
        <v/>
      </c>
      <c r="Q4841">
        <f>IF(P4841="","",IFERROR(IF(AND(H4841="W7",OR(F4841="causal",F4841="predictive")),IF(AND(OR(K4841=1,K4841="1"),OR(L4841=1,L4841="1"),OR(M4841=1,M4841="1")),"adequate","partial"),IF(AND(H4841="W4",F4841="predictive",OR(J4841="P2",J4841="P3",J4841="P4")),IF(OR(U4841=1,U4841="1"),"adequate","partial"),INDEX(Fit_Matrix!$B:$B,MATCH(P4841,Fit_Matrix!$A:$A,0)))),"CHECK KEY"))</f>
        <v/>
      </c>
      <c r="U4841" s="10" t="n"/>
      <c r="V4841" s="10" t="n"/>
      <c r="W4841" s="10" t="n"/>
      <c r="X4841" s="10" t="n"/>
      <c r="Y4841" s="10" t="n"/>
      <c r="Z4841" s="10" t="n"/>
      <c r="AA4841" s="11">
        <f>IF(A4841="","",IF(AND(J4841="P4",F4841="causal"),"P4-CAUSAL",""))</f>
        <v/>
      </c>
    </row>
    <row r="4842" ht="15" customHeight="1" s="1">
      <c r="P4842">
        <f>IF(OR(F4842="",H4842="",J4842=""),"",J4842&amp;"|"&amp;F4842&amp;"|"&amp;IF(H4842="W3","W3_"&amp;IF(I4842="","unknown",I4842),H4842))</f>
        <v/>
      </c>
      <c r="Q4842">
        <f>IF(P4842="","",IFERROR(IF(AND(H4842="W7",OR(F4842="causal",F4842="predictive")),IF(AND(OR(K4842=1,K4842="1"),OR(L4842=1,L4842="1"),OR(M4842=1,M4842="1")),"adequate","partial"),IF(AND(H4842="W4",F4842="predictive",OR(J4842="P2",J4842="P3",J4842="P4")),IF(OR(U4842=1,U4842="1"),"adequate","partial"),INDEX(Fit_Matrix!$B:$B,MATCH(P4842,Fit_Matrix!$A:$A,0)))),"CHECK KEY"))</f>
        <v/>
      </c>
      <c r="U4842" s="10" t="n"/>
      <c r="V4842" s="10" t="n"/>
      <c r="W4842" s="10" t="n"/>
      <c r="X4842" s="10" t="n"/>
      <c r="Y4842" s="10" t="n"/>
      <c r="Z4842" s="10" t="n"/>
      <c r="AA4842" s="11">
        <f>IF(A4842="","",IF(AND(J4842="P4",F4842="causal"),"P4-CAUSAL",""))</f>
        <v/>
      </c>
    </row>
    <row r="4843" ht="15" customHeight="1" s="1">
      <c r="P4843">
        <f>IF(OR(F4843="",H4843="",J4843=""),"",J4843&amp;"|"&amp;F4843&amp;"|"&amp;IF(H4843="W3","W3_"&amp;IF(I4843="","unknown",I4843),H4843))</f>
        <v/>
      </c>
      <c r="Q4843">
        <f>IF(P4843="","",IFERROR(IF(AND(H4843="W7",OR(F4843="causal",F4843="predictive")),IF(AND(OR(K4843=1,K4843="1"),OR(L4843=1,L4843="1"),OR(M4843=1,M4843="1")),"adequate","partial"),IF(AND(H4843="W4",F4843="predictive",OR(J4843="P2",J4843="P3",J4843="P4")),IF(OR(U4843=1,U4843="1"),"adequate","partial"),INDEX(Fit_Matrix!$B:$B,MATCH(P4843,Fit_Matrix!$A:$A,0)))),"CHECK KEY"))</f>
        <v/>
      </c>
      <c r="U4843" s="10" t="n"/>
      <c r="V4843" s="10" t="n"/>
      <c r="W4843" s="10" t="n"/>
      <c r="X4843" s="10" t="n"/>
      <c r="Y4843" s="10" t="n"/>
      <c r="Z4843" s="10" t="n"/>
      <c r="AA4843" s="11">
        <f>IF(A4843="","",IF(AND(J4843="P4",F4843="causal"),"P4-CAUSAL",""))</f>
        <v/>
      </c>
    </row>
    <row r="4844" ht="15" customHeight="1" s="1">
      <c r="P4844">
        <f>IF(OR(F4844="",H4844="",J4844=""),"",J4844&amp;"|"&amp;F4844&amp;"|"&amp;IF(H4844="W3","W3_"&amp;IF(I4844="","unknown",I4844),H4844))</f>
        <v/>
      </c>
      <c r="Q4844">
        <f>IF(P4844="","",IFERROR(IF(AND(H4844="W7",OR(F4844="causal",F4844="predictive")),IF(AND(OR(K4844=1,K4844="1"),OR(L4844=1,L4844="1"),OR(M4844=1,M4844="1")),"adequate","partial"),IF(AND(H4844="W4",F4844="predictive",OR(J4844="P2",J4844="P3",J4844="P4")),IF(OR(U4844=1,U4844="1"),"adequate","partial"),INDEX(Fit_Matrix!$B:$B,MATCH(P4844,Fit_Matrix!$A:$A,0)))),"CHECK KEY"))</f>
        <v/>
      </c>
      <c r="U4844" s="10" t="n"/>
      <c r="V4844" s="10" t="n"/>
      <c r="W4844" s="10" t="n"/>
      <c r="X4844" s="10" t="n"/>
      <c r="Y4844" s="10" t="n"/>
      <c r="Z4844" s="10" t="n"/>
      <c r="AA4844" s="11">
        <f>IF(A4844="","",IF(AND(J4844="P4",F4844="causal"),"P4-CAUSAL",""))</f>
        <v/>
      </c>
    </row>
    <row r="4845" ht="15" customHeight="1" s="1">
      <c r="P4845">
        <f>IF(OR(F4845="",H4845="",J4845=""),"",J4845&amp;"|"&amp;F4845&amp;"|"&amp;IF(H4845="W3","W3_"&amp;IF(I4845="","unknown",I4845),H4845))</f>
        <v/>
      </c>
      <c r="Q4845">
        <f>IF(P4845="","",IFERROR(IF(AND(H4845="W7",OR(F4845="causal",F4845="predictive")),IF(AND(OR(K4845=1,K4845="1"),OR(L4845=1,L4845="1"),OR(M4845=1,M4845="1")),"adequate","partial"),IF(AND(H4845="W4",F4845="predictive",OR(J4845="P2",J4845="P3",J4845="P4")),IF(OR(U4845=1,U4845="1"),"adequate","partial"),INDEX(Fit_Matrix!$B:$B,MATCH(P4845,Fit_Matrix!$A:$A,0)))),"CHECK KEY"))</f>
        <v/>
      </c>
      <c r="U4845" s="10" t="n"/>
      <c r="V4845" s="10" t="n"/>
      <c r="W4845" s="10" t="n"/>
      <c r="X4845" s="10" t="n"/>
      <c r="Y4845" s="10" t="n"/>
      <c r="Z4845" s="10" t="n"/>
      <c r="AA4845" s="11">
        <f>IF(A4845="","",IF(AND(J4845="P4",F4845="causal"),"P4-CAUSAL",""))</f>
        <v/>
      </c>
    </row>
    <row r="4846" ht="15" customHeight="1" s="1">
      <c r="P4846">
        <f>IF(OR(F4846="",H4846="",J4846=""),"",J4846&amp;"|"&amp;F4846&amp;"|"&amp;IF(H4846="W3","W3_"&amp;IF(I4846="","unknown",I4846),H4846))</f>
        <v/>
      </c>
      <c r="Q4846">
        <f>IF(P4846="","",IFERROR(IF(AND(H4846="W7",OR(F4846="causal",F4846="predictive")),IF(AND(OR(K4846=1,K4846="1"),OR(L4846=1,L4846="1"),OR(M4846=1,M4846="1")),"adequate","partial"),IF(AND(H4846="W4",F4846="predictive",OR(J4846="P2",J4846="P3",J4846="P4")),IF(OR(U4846=1,U4846="1"),"adequate","partial"),INDEX(Fit_Matrix!$B:$B,MATCH(P4846,Fit_Matrix!$A:$A,0)))),"CHECK KEY"))</f>
        <v/>
      </c>
      <c r="U4846" s="10" t="n"/>
      <c r="V4846" s="10" t="n"/>
      <c r="W4846" s="10" t="n"/>
      <c r="X4846" s="10" t="n"/>
      <c r="Y4846" s="10" t="n"/>
      <c r="Z4846" s="10" t="n"/>
      <c r="AA4846" s="11">
        <f>IF(A4846="","",IF(AND(J4846="P4",F4846="causal"),"P4-CAUSAL",""))</f>
        <v/>
      </c>
    </row>
    <row r="4847" ht="15" customHeight="1" s="1">
      <c r="P4847">
        <f>IF(OR(F4847="",H4847="",J4847=""),"",J4847&amp;"|"&amp;F4847&amp;"|"&amp;IF(H4847="W3","W3_"&amp;IF(I4847="","unknown",I4847),H4847))</f>
        <v/>
      </c>
      <c r="Q4847">
        <f>IF(P4847="","",IFERROR(IF(AND(H4847="W7",OR(F4847="causal",F4847="predictive")),IF(AND(OR(K4847=1,K4847="1"),OR(L4847=1,L4847="1"),OR(M4847=1,M4847="1")),"adequate","partial"),IF(AND(H4847="W4",F4847="predictive",OR(J4847="P2",J4847="P3",J4847="P4")),IF(OR(U4847=1,U4847="1"),"adequate","partial"),INDEX(Fit_Matrix!$B:$B,MATCH(P4847,Fit_Matrix!$A:$A,0)))),"CHECK KEY"))</f>
        <v/>
      </c>
      <c r="U4847" s="10" t="n"/>
      <c r="V4847" s="10" t="n"/>
      <c r="W4847" s="10" t="n"/>
      <c r="X4847" s="10" t="n"/>
      <c r="Y4847" s="10" t="n"/>
      <c r="Z4847" s="10" t="n"/>
      <c r="AA4847" s="11">
        <f>IF(A4847="","",IF(AND(J4847="P4",F4847="causal"),"P4-CAUSAL",""))</f>
        <v/>
      </c>
    </row>
    <row r="4848" ht="15" customHeight="1" s="1">
      <c r="P4848">
        <f>IF(OR(F4848="",H4848="",J4848=""),"",J4848&amp;"|"&amp;F4848&amp;"|"&amp;IF(H4848="W3","W3_"&amp;IF(I4848="","unknown",I4848),H4848))</f>
        <v/>
      </c>
      <c r="Q4848">
        <f>IF(P4848="","",IFERROR(IF(AND(H4848="W7",OR(F4848="causal",F4848="predictive")),IF(AND(OR(K4848=1,K4848="1"),OR(L4848=1,L4848="1"),OR(M4848=1,M4848="1")),"adequate","partial"),IF(AND(H4848="W4",F4848="predictive",OR(J4848="P2",J4848="P3",J4848="P4")),IF(OR(U4848=1,U4848="1"),"adequate","partial"),INDEX(Fit_Matrix!$B:$B,MATCH(P4848,Fit_Matrix!$A:$A,0)))),"CHECK KEY"))</f>
        <v/>
      </c>
      <c r="U4848" s="10" t="n"/>
      <c r="V4848" s="10" t="n"/>
      <c r="W4848" s="10" t="n"/>
      <c r="X4848" s="10" t="n"/>
      <c r="Y4848" s="10" t="n"/>
      <c r="Z4848" s="10" t="n"/>
      <c r="AA4848" s="11">
        <f>IF(A4848="","",IF(AND(J4848="P4",F4848="causal"),"P4-CAUSAL",""))</f>
        <v/>
      </c>
    </row>
    <row r="4849" ht="15" customHeight="1" s="1">
      <c r="P4849">
        <f>IF(OR(F4849="",H4849="",J4849=""),"",J4849&amp;"|"&amp;F4849&amp;"|"&amp;IF(H4849="W3","W3_"&amp;IF(I4849="","unknown",I4849),H4849))</f>
        <v/>
      </c>
      <c r="Q4849">
        <f>IF(P4849="","",IFERROR(IF(AND(H4849="W7",OR(F4849="causal",F4849="predictive")),IF(AND(OR(K4849=1,K4849="1"),OR(L4849=1,L4849="1"),OR(M4849=1,M4849="1")),"adequate","partial"),IF(AND(H4849="W4",F4849="predictive",OR(J4849="P2",J4849="P3",J4849="P4")),IF(OR(U4849=1,U4849="1"),"adequate","partial"),INDEX(Fit_Matrix!$B:$B,MATCH(P4849,Fit_Matrix!$A:$A,0)))),"CHECK KEY"))</f>
        <v/>
      </c>
      <c r="U4849" s="10" t="n"/>
      <c r="V4849" s="10" t="n"/>
      <c r="W4849" s="10" t="n"/>
      <c r="X4849" s="10" t="n"/>
      <c r="Y4849" s="10" t="n"/>
      <c r="Z4849" s="10" t="n"/>
      <c r="AA4849" s="11">
        <f>IF(A4849="","",IF(AND(J4849="P4",F4849="causal"),"P4-CAUSAL",""))</f>
        <v/>
      </c>
    </row>
    <row r="4850" ht="15" customHeight="1" s="1">
      <c r="P4850">
        <f>IF(OR(F4850="",H4850="",J4850=""),"",J4850&amp;"|"&amp;F4850&amp;"|"&amp;IF(H4850="W3","W3_"&amp;IF(I4850="","unknown",I4850),H4850))</f>
        <v/>
      </c>
      <c r="Q4850">
        <f>IF(P4850="","",IFERROR(IF(AND(H4850="W7",OR(F4850="causal",F4850="predictive")),IF(AND(OR(K4850=1,K4850="1"),OR(L4850=1,L4850="1"),OR(M4850=1,M4850="1")),"adequate","partial"),IF(AND(H4850="W4",F4850="predictive",OR(J4850="P2",J4850="P3",J4850="P4")),IF(OR(U4850=1,U4850="1"),"adequate","partial"),INDEX(Fit_Matrix!$B:$B,MATCH(P4850,Fit_Matrix!$A:$A,0)))),"CHECK KEY"))</f>
        <v/>
      </c>
      <c r="U4850" s="10" t="n"/>
      <c r="V4850" s="10" t="n"/>
      <c r="W4850" s="10" t="n"/>
      <c r="X4850" s="10" t="n"/>
      <c r="Y4850" s="10" t="n"/>
      <c r="Z4850" s="10" t="n"/>
      <c r="AA4850" s="11">
        <f>IF(A4850="","",IF(AND(J4850="P4",F4850="causal"),"P4-CAUSAL",""))</f>
        <v/>
      </c>
    </row>
    <row r="4851" ht="15" customHeight="1" s="1">
      <c r="P4851">
        <f>IF(OR(F4851="",H4851="",J4851=""),"",J4851&amp;"|"&amp;F4851&amp;"|"&amp;IF(H4851="W3","W3_"&amp;IF(I4851="","unknown",I4851),H4851))</f>
        <v/>
      </c>
      <c r="Q4851">
        <f>IF(P4851="","",IFERROR(IF(AND(H4851="W7",OR(F4851="causal",F4851="predictive")),IF(AND(OR(K4851=1,K4851="1"),OR(L4851=1,L4851="1"),OR(M4851=1,M4851="1")),"adequate","partial"),IF(AND(H4851="W4",F4851="predictive",OR(J4851="P2",J4851="P3",J4851="P4")),IF(OR(U4851=1,U4851="1"),"adequate","partial"),INDEX(Fit_Matrix!$B:$B,MATCH(P4851,Fit_Matrix!$A:$A,0)))),"CHECK KEY"))</f>
        <v/>
      </c>
      <c r="U4851" s="10" t="n"/>
      <c r="V4851" s="10" t="n"/>
      <c r="W4851" s="10" t="n"/>
      <c r="X4851" s="10" t="n"/>
      <c r="Y4851" s="10" t="n"/>
      <c r="Z4851" s="10" t="n"/>
      <c r="AA4851" s="11">
        <f>IF(A4851="","",IF(AND(J4851="P4",F4851="causal"),"P4-CAUSAL",""))</f>
        <v/>
      </c>
    </row>
    <row r="4852" ht="15" customHeight="1" s="1">
      <c r="P4852">
        <f>IF(OR(F4852="",H4852="",J4852=""),"",J4852&amp;"|"&amp;F4852&amp;"|"&amp;IF(H4852="W3","W3_"&amp;IF(I4852="","unknown",I4852),H4852))</f>
        <v/>
      </c>
      <c r="Q4852">
        <f>IF(P4852="","",IFERROR(IF(AND(H4852="W7",OR(F4852="causal",F4852="predictive")),IF(AND(OR(K4852=1,K4852="1"),OR(L4852=1,L4852="1"),OR(M4852=1,M4852="1")),"adequate","partial"),IF(AND(H4852="W4",F4852="predictive",OR(J4852="P2",J4852="P3",J4852="P4")),IF(OR(U4852=1,U4852="1"),"adequate","partial"),INDEX(Fit_Matrix!$B:$B,MATCH(P4852,Fit_Matrix!$A:$A,0)))),"CHECK KEY"))</f>
        <v/>
      </c>
      <c r="U4852" s="10" t="n"/>
      <c r="V4852" s="10" t="n"/>
      <c r="W4852" s="10" t="n"/>
      <c r="X4852" s="10" t="n"/>
      <c r="Y4852" s="10" t="n"/>
      <c r="Z4852" s="10" t="n"/>
      <c r="AA4852" s="11">
        <f>IF(A4852="","",IF(AND(J4852="P4",F4852="causal"),"P4-CAUSAL",""))</f>
        <v/>
      </c>
    </row>
    <row r="4853" ht="15" customHeight="1" s="1">
      <c r="P4853">
        <f>IF(OR(F4853="",H4853="",J4853=""),"",J4853&amp;"|"&amp;F4853&amp;"|"&amp;IF(H4853="W3","W3_"&amp;IF(I4853="","unknown",I4853),H4853))</f>
        <v/>
      </c>
      <c r="Q4853">
        <f>IF(P4853="","",IFERROR(IF(AND(H4853="W7",OR(F4853="causal",F4853="predictive")),IF(AND(OR(K4853=1,K4853="1"),OR(L4853=1,L4853="1"),OR(M4853=1,M4853="1")),"adequate","partial"),IF(AND(H4853="W4",F4853="predictive",OR(J4853="P2",J4853="P3",J4853="P4")),IF(OR(U4853=1,U4853="1"),"adequate","partial"),INDEX(Fit_Matrix!$B:$B,MATCH(P4853,Fit_Matrix!$A:$A,0)))),"CHECK KEY"))</f>
        <v/>
      </c>
      <c r="U4853" s="10" t="n"/>
      <c r="V4853" s="10" t="n"/>
      <c r="W4853" s="10" t="n"/>
      <c r="X4853" s="10" t="n"/>
      <c r="Y4853" s="10" t="n"/>
      <c r="Z4853" s="10" t="n"/>
      <c r="AA4853" s="11">
        <f>IF(A4853="","",IF(AND(J4853="P4",F4853="causal"),"P4-CAUSAL",""))</f>
        <v/>
      </c>
    </row>
    <row r="4854" ht="15" customHeight="1" s="1">
      <c r="P4854">
        <f>IF(OR(F4854="",H4854="",J4854=""),"",J4854&amp;"|"&amp;F4854&amp;"|"&amp;IF(H4854="W3","W3_"&amp;IF(I4854="","unknown",I4854),H4854))</f>
        <v/>
      </c>
      <c r="Q4854">
        <f>IF(P4854="","",IFERROR(IF(AND(H4854="W7",OR(F4854="causal",F4854="predictive")),IF(AND(OR(K4854=1,K4854="1"),OR(L4854=1,L4854="1"),OR(M4854=1,M4854="1")),"adequate","partial"),IF(AND(H4854="W4",F4854="predictive",OR(J4854="P2",J4854="P3",J4854="P4")),IF(OR(U4854=1,U4854="1"),"adequate","partial"),INDEX(Fit_Matrix!$B:$B,MATCH(P4854,Fit_Matrix!$A:$A,0)))),"CHECK KEY"))</f>
        <v/>
      </c>
      <c r="U4854" s="10" t="n"/>
      <c r="V4854" s="10" t="n"/>
      <c r="W4854" s="10" t="n"/>
      <c r="X4854" s="10" t="n"/>
      <c r="Y4854" s="10" t="n"/>
      <c r="Z4854" s="10" t="n"/>
      <c r="AA4854" s="11">
        <f>IF(A4854="","",IF(AND(J4854="P4",F4854="causal"),"P4-CAUSAL",""))</f>
        <v/>
      </c>
    </row>
    <row r="4855" ht="15" customHeight="1" s="1">
      <c r="P4855">
        <f>IF(OR(F4855="",H4855="",J4855=""),"",J4855&amp;"|"&amp;F4855&amp;"|"&amp;IF(H4855="W3","W3_"&amp;IF(I4855="","unknown",I4855),H4855))</f>
        <v/>
      </c>
      <c r="Q4855">
        <f>IF(P4855="","",IFERROR(IF(AND(H4855="W7",OR(F4855="causal",F4855="predictive")),IF(AND(OR(K4855=1,K4855="1"),OR(L4855=1,L4855="1"),OR(M4855=1,M4855="1")),"adequate","partial"),IF(AND(H4855="W4",F4855="predictive",OR(J4855="P2",J4855="P3",J4855="P4")),IF(OR(U4855=1,U4855="1"),"adequate","partial"),INDEX(Fit_Matrix!$B:$B,MATCH(P4855,Fit_Matrix!$A:$A,0)))),"CHECK KEY"))</f>
        <v/>
      </c>
      <c r="U4855" s="10" t="n"/>
      <c r="V4855" s="10" t="n"/>
      <c r="W4855" s="10" t="n"/>
      <c r="X4855" s="10" t="n"/>
      <c r="Y4855" s="10" t="n"/>
      <c r="Z4855" s="10" t="n"/>
      <c r="AA4855" s="11">
        <f>IF(A4855="","",IF(AND(J4855="P4",F4855="causal"),"P4-CAUSAL",""))</f>
        <v/>
      </c>
    </row>
    <row r="4856" ht="15" customHeight="1" s="1">
      <c r="P4856">
        <f>IF(OR(F4856="",H4856="",J4856=""),"",J4856&amp;"|"&amp;F4856&amp;"|"&amp;IF(H4856="W3","W3_"&amp;IF(I4856="","unknown",I4856),H4856))</f>
        <v/>
      </c>
      <c r="Q4856">
        <f>IF(P4856="","",IFERROR(IF(AND(H4856="W7",OR(F4856="causal",F4856="predictive")),IF(AND(OR(K4856=1,K4856="1"),OR(L4856=1,L4856="1"),OR(M4856=1,M4856="1")),"adequate","partial"),IF(AND(H4856="W4",F4856="predictive",OR(J4856="P2",J4856="P3",J4856="P4")),IF(OR(U4856=1,U4856="1"),"adequate","partial"),INDEX(Fit_Matrix!$B:$B,MATCH(P4856,Fit_Matrix!$A:$A,0)))),"CHECK KEY"))</f>
        <v/>
      </c>
      <c r="U4856" s="10" t="n"/>
      <c r="V4856" s="10" t="n"/>
      <c r="W4856" s="10" t="n"/>
      <c r="X4856" s="10" t="n"/>
      <c r="Y4856" s="10" t="n"/>
      <c r="Z4856" s="10" t="n"/>
      <c r="AA4856" s="11">
        <f>IF(A4856="","",IF(AND(J4856="P4",F4856="causal"),"P4-CAUSAL",""))</f>
        <v/>
      </c>
    </row>
    <row r="4857" ht="15" customHeight="1" s="1">
      <c r="P4857">
        <f>IF(OR(F4857="",H4857="",J4857=""),"",J4857&amp;"|"&amp;F4857&amp;"|"&amp;IF(H4857="W3","W3_"&amp;IF(I4857="","unknown",I4857),H4857))</f>
        <v/>
      </c>
      <c r="Q4857">
        <f>IF(P4857="","",IFERROR(IF(AND(H4857="W7",OR(F4857="causal",F4857="predictive")),IF(AND(OR(K4857=1,K4857="1"),OR(L4857=1,L4857="1"),OR(M4857=1,M4857="1")),"adequate","partial"),IF(AND(H4857="W4",F4857="predictive",OR(J4857="P2",J4857="P3",J4857="P4")),IF(OR(U4857=1,U4857="1"),"adequate","partial"),INDEX(Fit_Matrix!$B:$B,MATCH(P4857,Fit_Matrix!$A:$A,0)))),"CHECK KEY"))</f>
        <v/>
      </c>
      <c r="U4857" s="10" t="n"/>
      <c r="V4857" s="10" t="n"/>
      <c r="W4857" s="10" t="n"/>
      <c r="X4857" s="10" t="n"/>
      <c r="Y4857" s="10" t="n"/>
      <c r="Z4857" s="10" t="n"/>
      <c r="AA4857" s="11">
        <f>IF(A4857="","",IF(AND(J4857="P4",F4857="causal"),"P4-CAUSAL",""))</f>
        <v/>
      </c>
    </row>
    <row r="4858" ht="15" customHeight="1" s="1">
      <c r="P4858">
        <f>IF(OR(F4858="",H4858="",J4858=""),"",J4858&amp;"|"&amp;F4858&amp;"|"&amp;IF(H4858="W3","W3_"&amp;IF(I4858="","unknown",I4858),H4858))</f>
        <v/>
      </c>
      <c r="Q4858">
        <f>IF(P4858="","",IFERROR(IF(AND(H4858="W7",OR(F4858="causal",F4858="predictive")),IF(AND(OR(K4858=1,K4858="1"),OR(L4858=1,L4858="1"),OR(M4858=1,M4858="1")),"adequate","partial"),IF(AND(H4858="W4",F4858="predictive",OR(J4858="P2",J4858="P3",J4858="P4")),IF(OR(U4858=1,U4858="1"),"adequate","partial"),INDEX(Fit_Matrix!$B:$B,MATCH(P4858,Fit_Matrix!$A:$A,0)))),"CHECK KEY"))</f>
        <v/>
      </c>
      <c r="U4858" s="10" t="n"/>
      <c r="V4858" s="10" t="n"/>
      <c r="W4858" s="10" t="n"/>
      <c r="X4858" s="10" t="n"/>
      <c r="Y4858" s="10" t="n"/>
      <c r="Z4858" s="10" t="n"/>
      <c r="AA4858" s="11">
        <f>IF(A4858="","",IF(AND(J4858="P4",F4858="causal"),"P4-CAUSAL",""))</f>
        <v/>
      </c>
    </row>
    <row r="4859" ht="15" customHeight="1" s="1">
      <c r="P4859">
        <f>IF(OR(F4859="",H4859="",J4859=""),"",J4859&amp;"|"&amp;F4859&amp;"|"&amp;IF(H4859="W3","W3_"&amp;IF(I4859="","unknown",I4859),H4859))</f>
        <v/>
      </c>
      <c r="Q4859">
        <f>IF(P4859="","",IFERROR(IF(AND(H4859="W7",OR(F4859="causal",F4859="predictive")),IF(AND(OR(K4859=1,K4859="1"),OR(L4859=1,L4859="1"),OR(M4859=1,M4859="1")),"adequate","partial"),IF(AND(H4859="W4",F4859="predictive",OR(J4859="P2",J4859="P3",J4859="P4")),IF(OR(U4859=1,U4859="1"),"adequate","partial"),INDEX(Fit_Matrix!$B:$B,MATCH(P4859,Fit_Matrix!$A:$A,0)))),"CHECK KEY"))</f>
        <v/>
      </c>
      <c r="U4859" s="10" t="n"/>
      <c r="V4859" s="10" t="n"/>
      <c r="W4859" s="10" t="n"/>
      <c r="X4859" s="10" t="n"/>
      <c r="Y4859" s="10" t="n"/>
      <c r="Z4859" s="10" t="n"/>
      <c r="AA4859" s="11">
        <f>IF(A4859="","",IF(AND(J4859="P4",F4859="causal"),"P4-CAUSAL",""))</f>
        <v/>
      </c>
    </row>
    <row r="4860" ht="15" customHeight="1" s="1">
      <c r="P4860">
        <f>IF(OR(F4860="",H4860="",J4860=""),"",J4860&amp;"|"&amp;F4860&amp;"|"&amp;IF(H4860="W3","W3_"&amp;IF(I4860="","unknown",I4860),H4860))</f>
        <v/>
      </c>
      <c r="Q4860">
        <f>IF(P4860="","",IFERROR(IF(AND(H4860="W7",OR(F4860="causal",F4860="predictive")),IF(AND(OR(K4860=1,K4860="1"),OR(L4860=1,L4860="1"),OR(M4860=1,M4860="1")),"adequate","partial"),IF(AND(H4860="W4",F4860="predictive",OR(J4860="P2",J4860="P3",J4860="P4")),IF(OR(U4860=1,U4860="1"),"adequate","partial"),INDEX(Fit_Matrix!$B:$B,MATCH(P4860,Fit_Matrix!$A:$A,0)))),"CHECK KEY"))</f>
        <v/>
      </c>
      <c r="U4860" s="10" t="n"/>
      <c r="V4860" s="10" t="n"/>
      <c r="W4860" s="10" t="n"/>
      <c r="X4860" s="10" t="n"/>
      <c r="Y4860" s="10" t="n"/>
      <c r="Z4860" s="10" t="n"/>
      <c r="AA4860" s="11">
        <f>IF(A4860="","",IF(AND(J4860="P4",F4860="causal"),"P4-CAUSAL",""))</f>
        <v/>
      </c>
    </row>
    <row r="4861" ht="15" customHeight="1" s="1">
      <c r="P4861">
        <f>IF(OR(F4861="",H4861="",J4861=""),"",J4861&amp;"|"&amp;F4861&amp;"|"&amp;IF(H4861="W3","W3_"&amp;IF(I4861="","unknown",I4861),H4861))</f>
        <v/>
      </c>
      <c r="Q4861">
        <f>IF(P4861="","",IFERROR(IF(AND(H4861="W7",OR(F4861="causal",F4861="predictive")),IF(AND(OR(K4861=1,K4861="1"),OR(L4861=1,L4861="1"),OR(M4861=1,M4861="1")),"adequate","partial"),IF(AND(H4861="W4",F4861="predictive",OR(J4861="P2",J4861="P3",J4861="P4")),IF(OR(U4861=1,U4861="1"),"adequate","partial"),INDEX(Fit_Matrix!$B:$B,MATCH(P4861,Fit_Matrix!$A:$A,0)))),"CHECK KEY"))</f>
        <v/>
      </c>
      <c r="U4861" s="10" t="n"/>
      <c r="V4861" s="10" t="n"/>
      <c r="W4861" s="10" t="n"/>
      <c r="X4861" s="10" t="n"/>
      <c r="Y4861" s="10" t="n"/>
      <c r="Z4861" s="10" t="n"/>
      <c r="AA4861" s="11">
        <f>IF(A4861="","",IF(AND(J4861="P4",F4861="causal"),"P4-CAUSAL",""))</f>
        <v/>
      </c>
    </row>
    <row r="4862" ht="15" customHeight="1" s="1">
      <c r="P4862">
        <f>IF(OR(F4862="",H4862="",J4862=""),"",J4862&amp;"|"&amp;F4862&amp;"|"&amp;IF(H4862="W3","W3_"&amp;IF(I4862="","unknown",I4862),H4862))</f>
        <v/>
      </c>
      <c r="Q4862">
        <f>IF(P4862="","",IFERROR(IF(AND(H4862="W7",OR(F4862="causal",F4862="predictive")),IF(AND(OR(K4862=1,K4862="1"),OR(L4862=1,L4862="1"),OR(M4862=1,M4862="1")),"adequate","partial"),IF(AND(H4862="W4",F4862="predictive",OR(J4862="P2",J4862="P3",J4862="P4")),IF(OR(U4862=1,U4862="1"),"adequate","partial"),INDEX(Fit_Matrix!$B:$B,MATCH(P4862,Fit_Matrix!$A:$A,0)))),"CHECK KEY"))</f>
        <v/>
      </c>
      <c r="U4862" s="10" t="n"/>
      <c r="V4862" s="10" t="n"/>
      <c r="W4862" s="10" t="n"/>
      <c r="X4862" s="10" t="n"/>
      <c r="Y4862" s="10" t="n"/>
      <c r="Z4862" s="10" t="n"/>
      <c r="AA4862" s="11">
        <f>IF(A4862="","",IF(AND(J4862="P4",F4862="causal"),"P4-CAUSAL",""))</f>
        <v/>
      </c>
    </row>
    <row r="4863" ht="15" customHeight="1" s="1">
      <c r="P4863">
        <f>IF(OR(F4863="",H4863="",J4863=""),"",J4863&amp;"|"&amp;F4863&amp;"|"&amp;IF(H4863="W3","W3_"&amp;IF(I4863="","unknown",I4863),H4863))</f>
        <v/>
      </c>
      <c r="Q4863">
        <f>IF(P4863="","",IFERROR(IF(AND(H4863="W7",OR(F4863="causal",F4863="predictive")),IF(AND(OR(K4863=1,K4863="1"),OR(L4863=1,L4863="1"),OR(M4863=1,M4863="1")),"adequate","partial"),IF(AND(H4863="W4",F4863="predictive",OR(J4863="P2",J4863="P3",J4863="P4")),IF(OR(U4863=1,U4863="1"),"adequate","partial"),INDEX(Fit_Matrix!$B:$B,MATCH(P4863,Fit_Matrix!$A:$A,0)))),"CHECK KEY"))</f>
        <v/>
      </c>
      <c r="U4863" s="10" t="n"/>
      <c r="V4863" s="10" t="n"/>
      <c r="W4863" s="10" t="n"/>
      <c r="X4863" s="10" t="n"/>
      <c r="Y4863" s="10" t="n"/>
      <c r="Z4863" s="10" t="n"/>
      <c r="AA4863" s="11">
        <f>IF(A4863="","",IF(AND(J4863="P4",F4863="causal"),"P4-CAUSAL",""))</f>
        <v/>
      </c>
    </row>
    <row r="4864" ht="15" customHeight="1" s="1">
      <c r="P4864">
        <f>IF(OR(F4864="",H4864="",J4864=""),"",J4864&amp;"|"&amp;F4864&amp;"|"&amp;IF(H4864="W3","W3_"&amp;IF(I4864="","unknown",I4864),H4864))</f>
        <v/>
      </c>
      <c r="Q4864">
        <f>IF(P4864="","",IFERROR(IF(AND(H4864="W7",OR(F4864="causal",F4864="predictive")),IF(AND(OR(K4864=1,K4864="1"),OR(L4864=1,L4864="1"),OR(M4864=1,M4864="1")),"adequate","partial"),IF(AND(H4864="W4",F4864="predictive",OR(J4864="P2",J4864="P3",J4864="P4")),IF(OR(U4864=1,U4864="1"),"adequate","partial"),INDEX(Fit_Matrix!$B:$B,MATCH(P4864,Fit_Matrix!$A:$A,0)))),"CHECK KEY"))</f>
        <v/>
      </c>
      <c r="U4864" s="10" t="n"/>
      <c r="V4864" s="10" t="n"/>
      <c r="W4864" s="10" t="n"/>
      <c r="X4864" s="10" t="n"/>
      <c r="Y4864" s="10" t="n"/>
      <c r="Z4864" s="10" t="n"/>
      <c r="AA4864" s="11">
        <f>IF(A4864="","",IF(AND(J4864="P4",F4864="causal"),"P4-CAUSAL",""))</f>
        <v/>
      </c>
    </row>
    <row r="4865" ht="15" customHeight="1" s="1">
      <c r="P4865">
        <f>IF(OR(F4865="",H4865="",J4865=""),"",J4865&amp;"|"&amp;F4865&amp;"|"&amp;IF(H4865="W3","W3_"&amp;IF(I4865="","unknown",I4865),H4865))</f>
        <v/>
      </c>
      <c r="Q4865">
        <f>IF(P4865="","",IFERROR(IF(AND(H4865="W7",OR(F4865="causal",F4865="predictive")),IF(AND(OR(K4865=1,K4865="1"),OR(L4865=1,L4865="1"),OR(M4865=1,M4865="1")),"adequate","partial"),IF(AND(H4865="W4",F4865="predictive",OR(J4865="P2",J4865="P3",J4865="P4")),IF(OR(U4865=1,U4865="1"),"adequate","partial"),INDEX(Fit_Matrix!$B:$B,MATCH(P4865,Fit_Matrix!$A:$A,0)))),"CHECK KEY"))</f>
        <v/>
      </c>
      <c r="U4865" s="10" t="n"/>
      <c r="V4865" s="10" t="n"/>
      <c r="W4865" s="10" t="n"/>
      <c r="X4865" s="10" t="n"/>
      <c r="Y4865" s="10" t="n"/>
      <c r="Z4865" s="10" t="n"/>
      <c r="AA4865" s="11">
        <f>IF(A4865="","",IF(AND(J4865="P4",F4865="causal"),"P4-CAUSAL",""))</f>
        <v/>
      </c>
    </row>
    <row r="4866" ht="15" customHeight="1" s="1">
      <c r="P4866">
        <f>IF(OR(F4866="",H4866="",J4866=""),"",J4866&amp;"|"&amp;F4866&amp;"|"&amp;IF(H4866="W3","W3_"&amp;IF(I4866="","unknown",I4866),H4866))</f>
        <v/>
      </c>
      <c r="Q4866">
        <f>IF(P4866="","",IFERROR(IF(AND(H4866="W7",OR(F4866="causal",F4866="predictive")),IF(AND(OR(K4866=1,K4866="1"),OR(L4866=1,L4866="1"),OR(M4866=1,M4866="1")),"adequate","partial"),IF(AND(H4866="W4",F4866="predictive",OR(J4866="P2",J4866="P3",J4866="P4")),IF(OR(U4866=1,U4866="1"),"adequate","partial"),INDEX(Fit_Matrix!$B:$B,MATCH(P4866,Fit_Matrix!$A:$A,0)))),"CHECK KEY"))</f>
        <v/>
      </c>
      <c r="U4866" s="10" t="n"/>
      <c r="V4866" s="10" t="n"/>
      <c r="W4866" s="10" t="n"/>
      <c r="X4866" s="10" t="n"/>
      <c r="Y4866" s="10" t="n"/>
      <c r="Z4866" s="10" t="n"/>
      <c r="AA4866" s="11">
        <f>IF(A4866="","",IF(AND(J4866="P4",F4866="causal"),"P4-CAUSAL",""))</f>
        <v/>
      </c>
    </row>
    <row r="4867" ht="15" customHeight="1" s="1">
      <c r="P4867">
        <f>IF(OR(F4867="",H4867="",J4867=""),"",J4867&amp;"|"&amp;F4867&amp;"|"&amp;IF(H4867="W3","W3_"&amp;IF(I4867="","unknown",I4867),H4867))</f>
        <v/>
      </c>
      <c r="Q4867">
        <f>IF(P4867="","",IFERROR(IF(AND(H4867="W7",OR(F4867="causal",F4867="predictive")),IF(AND(OR(K4867=1,K4867="1"),OR(L4867=1,L4867="1"),OR(M4867=1,M4867="1")),"adequate","partial"),IF(AND(H4867="W4",F4867="predictive",OR(J4867="P2",J4867="P3",J4867="P4")),IF(OR(U4867=1,U4867="1"),"adequate","partial"),INDEX(Fit_Matrix!$B:$B,MATCH(P4867,Fit_Matrix!$A:$A,0)))),"CHECK KEY"))</f>
        <v/>
      </c>
      <c r="U4867" s="10" t="n"/>
      <c r="V4867" s="10" t="n"/>
      <c r="W4867" s="10" t="n"/>
      <c r="X4867" s="10" t="n"/>
      <c r="Y4867" s="10" t="n"/>
      <c r="Z4867" s="10" t="n"/>
      <c r="AA4867" s="11">
        <f>IF(A4867="","",IF(AND(J4867="P4",F4867="causal"),"P4-CAUSAL",""))</f>
        <v/>
      </c>
    </row>
    <row r="4868" ht="15" customHeight="1" s="1">
      <c r="P4868">
        <f>IF(OR(F4868="",H4868="",J4868=""),"",J4868&amp;"|"&amp;F4868&amp;"|"&amp;IF(H4868="W3","W3_"&amp;IF(I4868="","unknown",I4868),H4868))</f>
        <v/>
      </c>
      <c r="Q4868">
        <f>IF(P4868="","",IFERROR(IF(AND(H4868="W7",OR(F4868="causal",F4868="predictive")),IF(AND(OR(K4868=1,K4868="1"),OR(L4868=1,L4868="1"),OR(M4868=1,M4868="1")),"adequate","partial"),IF(AND(H4868="W4",F4868="predictive",OR(J4868="P2",J4868="P3",J4868="P4")),IF(OR(U4868=1,U4868="1"),"adequate","partial"),INDEX(Fit_Matrix!$B:$B,MATCH(P4868,Fit_Matrix!$A:$A,0)))),"CHECK KEY"))</f>
        <v/>
      </c>
      <c r="U4868" s="10" t="n"/>
      <c r="V4868" s="10" t="n"/>
      <c r="W4868" s="10" t="n"/>
      <c r="X4868" s="10" t="n"/>
      <c r="Y4868" s="10" t="n"/>
      <c r="Z4868" s="10" t="n"/>
      <c r="AA4868" s="11">
        <f>IF(A4868="","",IF(AND(J4868="P4",F4868="causal"),"P4-CAUSAL",""))</f>
        <v/>
      </c>
    </row>
    <row r="4869" ht="15" customHeight="1" s="1">
      <c r="P4869">
        <f>IF(OR(F4869="",H4869="",J4869=""),"",J4869&amp;"|"&amp;F4869&amp;"|"&amp;IF(H4869="W3","W3_"&amp;IF(I4869="","unknown",I4869),H4869))</f>
        <v/>
      </c>
      <c r="Q4869">
        <f>IF(P4869="","",IFERROR(IF(AND(H4869="W7",OR(F4869="causal",F4869="predictive")),IF(AND(OR(K4869=1,K4869="1"),OR(L4869=1,L4869="1"),OR(M4869=1,M4869="1")),"adequate","partial"),IF(AND(H4869="W4",F4869="predictive",OR(J4869="P2",J4869="P3",J4869="P4")),IF(OR(U4869=1,U4869="1"),"adequate","partial"),INDEX(Fit_Matrix!$B:$B,MATCH(P4869,Fit_Matrix!$A:$A,0)))),"CHECK KEY"))</f>
        <v/>
      </c>
      <c r="U4869" s="10" t="n"/>
      <c r="V4869" s="10" t="n"/>
      <c r="W4869" s="10" t="n"/>
      <c r="X4869" s="10" t="n"/>
      <c r="Y4869" s="10" t="n"/>
      <c r="Z4869" s="10" t="n"/>
      <c r="AA4869" s="11">
        <f>IF(A4869="","",IF(AND(J4869="P4",F4869="causal"),"P4-CAUSAL",""))</f>
        <v/>
      </c>
    </row>
    <row r="4870" ht="15" customHeight="1" s="1">
      <c r="P4870">
        <f>IF(OR(F4870="",H4870="",J4870=""),"",J4870&amp;"|"&amp;F4870&amp;"|"&amp;IF(H4870="W3","W3_"&amp;IF(I4870="","unknown",I4870),H4870))</f>
        <v/>
      </c>
      <c r="Q4870">
        <f>IF(P4870="","",IFERROR(IF(AND(H4870="W7",OR(F4870="causal",F4870="predictive")),IF(AND(OR(K4870=1,K4870="1"),OR(L4870=1,L4870="1"),OR(M4870=1,M4870="1")),"adequate","partial"),IF(AND(H4870="W4",F4870="predictive",OR(J4870="P2",J4870="P3",J4870="P4")),IF(OR(U4870=1,U4870="1"),"adequate","partial"),INDEX(Fit_Matrix!$B:$B,MATCH(P4870,Fit_Matrix!$A:$A,0)))),"CHECK KEY"))</f>
        <v/>
      </c>
      <c r="U4870" s="10" t="n"/>
      <c r="V4870" s="10" t="n"/>
      <c r="W4870" s="10" t="n"/>
      <c r="X4870" s="10" t="n"/>
      <c r="Y4870" s="10" t="n"/>
      <c r="Z4870" s="10" t="n"/>
      <c r="AA4870" s="11">
        <f>IF(A4870="","",IF(AND(J4870="P4",F4870="causal"),"P4-CAUSAL",""))</f>
        <v/>
      </c>
    </row>
    <row r="4871" ht="15" customHeight="1" s="1">
      <c r="P4871">
        <f>IF(OR(F4871="",H4871="",J4871=""),"",J4871&amp;"|"&amp;F4871&amp;"|"&amp;IF(H4871="W3","W3_"&amp;IF(I4871="","unknown",I4871),H4871))</f>
        <v/>
      </c>
      <c r="Q4871">
        <f>IF(P4871="","",IFERROR(IF(AND(H4871="W7",OR(F4871="causal",F4871="predictive")),IF(AND(OR(K4871=1,K4871="1"),OR(L4871=1,L4871="1"),OR(M4871=1,M4871="1")),"adequate","partial"),IF(AND(H4871="W4",F4871="predictive",OR(J4871="P2",J4871="P3",J4871="P4")),IF(OR(U4871=1,U4871="1"),"adequate","partial"),INDEX(Fit_Matrix!$B:$B,MATCH(P4871,Fit_Matrix!$A:$A,0)))),"CHECK KEY"))</f>
        <v/>
      </c>
      <c r="U4871" s="10" t="n"/>
      <c r="V4871" s="10" t="n"/>
      <c r="W4871" s="10" t="n"/>
      <c r="X4871" s="10" t="n"/>
      <c r="Y4871" s="10" t="n"/>
      <c r="Z4871" s="10" t="n"/>
      <c r="AA4871" s="11">
        <f>IF(A4871="","",IF(AND(J4871="P4",F4871="causal"),"P4-CAUSAL",""))</f>
        <v/>
      </c>
    </row>
    <row r="4872" ht="15" customHeight="1" s="1">
      <c r="P4872">
        <f>IF(OR(F4872="",H4872="",J4872=""),"",J4872&amp;"|"&amp;F4872&amp;"|"&amp;IF(H4872="W3","W3_"&amp;IF(I4872="","unknown",I4872),H4872))</f>
        <v/>
      </c>
      <c r="Q4872">
        <f>IF(P4872="","",IFERROR(IF(AND(H4872="W7",OR(F4872="causal",F4872="predictive")),IF(AND(OR(K4872=1,K4872="1"),OR(L4872=1,L4872="1"),OR(M4872=1,M4872="1")),"adequate","partial"),IF(AND(H4872="W4",F4872="predictive",OR(J4872="P2",J4872="P3",J4872="P4")),IF(OR(U4872=1,U4872="1"),"adequate","partial"),INDEX(Fit_Matrix!$B:$B,MATCH(P4872,Fit_Matrix!$A:$A,0)))),"CHECK KEY"))</f>
        <v/>
      </c>
      <c r="U4872" s="10" t="n"/>
      <c r="V4872" s="10" t="n"/>
      <c r="W4872" s="10" t="n"/>
      <c r="X4872" s="10" t="n"/>
      <c r="Y4872" s="10" t="n"/>
      <c r="Z4872" s="10" t="n"/>
      <c r="AA4872" s="11">
        <f>IF(A4872="","",IF(AND(J4872="P4",F4872="causal"),"P4-CAUSAL",""))</f>
        <v/>
      </c>
    </row>
    <row r="4873" ht="15" customHeight="1" s="1">
      <c r="P4873">
        <f>IF(OR(F4873="",H4873="",J4873=""),"",J4873&amp;"|"&amp;F4873&amp;"|"&amp;IF(H4873="W3","W3_"&amp;IF(I4873="","unknown",I4873),H4873))</f>
        <v/>
      </c>
      <c r="Q4873">
        <f>IF(P4873="","",IFERROR(IF(AND(H4873="W7",OR(F4873="causal",F4873="predictive")),IF(AND(OR(K4873=1,K4873="1"),OR(L4873=1,L4873="1"),OR(M4873=1,M4873="1")),"adequate","partial"),IF(AND(H4873="W4",F4873="predictive",OR(J4873="P2",J4873="P3",J4873="P4")),IF(OR(U4873=1,U4873="1"),"adequate","partial"),INDEX(Fit_Matrix!$B:$B,MATCH(P4873,Fit_Matrix!$A:$A,0)))),"CHECK KEY"))</f>
        <v/>
      </c>
      <c r="U4873" s="10" t="n"/>
      <c r="V4873" s="10" t="n"/>
      <c r="W4873" s="10" t="n"/>
      <c r="X4873" s="10" t="n"/>
      <c r="Y4873" s="10" t="n"/>
      <c r="Z4873" s="10" t="n"/>
      <c r="AA4873" s="11">
        <f>IF(A4873="","",IF(AND(J4873="P4",F4873="causal"),"P4-CAUSAL",""))</f>
        <v/>
      </c>
    </row>
    <row r="4874" ht="15" customHeight="1" s="1">
      <c r="P4874">
        <f>IF(OR(F4874="",H4874="",J4874=""),"",J4874&amp;"|"&amp;F4874&amp;"|"&amp;IF(H4874="W3","W3_"&amp;IF(I4874="","unknown",I4874),H4874))</f>
        <v/>
      </c>
      <c r="Q4874">
        <f>IF(P4874="","",IFERROR(IF(AND(H4874="W7",OR(F4874="causal",F4874="predictive")),IF(AND(OR(K4874=1,K4874="1"),OR(L4874=1,L4874="1"),OR(M4874=1,M4874="1")),"adequate","partial"),IF(AND(H4874="W4",F4874="predictive",OR(J4874="P2",J4874="P3",J4874="P4")),IF(OR(U4874=1,U4874="1"),"adequate","partial"),INDEX(Fit_Matrix!$B:$B,MATCH(P4874,Fit_Matrix!$A:$A,0)))),"CHECK KEY"))</f>
        <v/>
      </c>
      <c r="U4874" s="10" t="n"/>
      <c r="V4874" s="10" t="n"/>
      <c r="W4874" s="10" t="n"/>
      <c r="X4874" s="10" t="n"/>
      <c r="Y4874" s="10" t="n"/>
      <c r="Z4874" s="10" t="n"/>
      <c r="AA4874" s="11">
        <f>IF(A4874="","",IF(AND(J4874="P4",F4874="causal"),"P4-CAUSAL",""))</f>
        <v/>
      </c>
    </row>
    <row r="4875" ht="15" customHeight="1" s="1">
      <c r="P4875">
        <f>IF(OR(F4875="",H4875="",J4875=""),"",J4875&amp;"|"&amp;F4875&amp;"|"&amp;IF(H4875="W3","W3_"&amp;IF(I4875="","unknown",I4875),H4875))</f>
        <v/>
      </c>
      <c r="Q4875">
        <f>IF(P4875="","",IFERROR(IF(AND(H4875="W7",OR(F4875="causal",F4875="predictive")),IF(AND(OR(K4875=1,K4875="1"),OR(L4875=1,L4875="1"),OR(M4875=1,M4875="1")),"adequate","partial"),IF(AND(H4875="W4",F4875="predictive",OR(J4875="P2",J4875="P3",J4875="P4")),IF(OR(U4875=1,U4875="1"),"adequate","partial"),INDEX(Fit_Matrix!$B:$B,MATCH(P4875,Fit_Matrix!$A:$A,0)))),"CHECK KEY"))</f>
        <v/>
      </c>
      <c r="U4875" s="10" t="n"/>
      <c r="V4875" s="10" t="n"/>
      <c r="W4875" s="10" t="n"/>
      <c r="X4875" s="10" t="n"/>
      <c r="Y4875" s="10" t="n"/>
      <c r="Z4875" s="10" t="n"/>
      <c r="AA4875" s="11">
        <f>IF(A4875="","",IF(AND(J4875="P4",F4875="causal"),"P4-CAUSAL",""))</f>
        <v/>
      </c>
    </row>
    <row r="4876" ht="15" customHeight="1" s="1">
      <c r="P4876">
        <f>IF(OR(F4876="",H4876="",J4876=""),"",J4876&amp;"|"&amp;F4876&amp;"|"&amp;IF(H4876="W3","W3_"&amp;IF(I4876="","unknown",I4876),H4876))</f>
        <v/>
      </c>
      <c r="Q4876">
        <f>IF(P4876="","",IFERROR(IF(AND(H4876="W7",OR(F4876="causal",F4876="predictive")),IF(AND(OR(K4876=1,K4876="1"),OR(L4876=1,L4876="1"),OR(M4876=1,M4876="1")),"adequate","partial"),IF(AND(H4876="W4",F4876="predictive",OR(J4876="P2",J4876="P3",J4876="P4")),IF(OR(U4876=1,U4876="1"),"adequate","partial"),INDEX(Fit_Matrix!$B:$B,MATCH(P4876,Fit_Matrix!$A:$A,0)))),"CHECK KEY"))</f>
        <v/>
      </c>
      <c r="U4876" s="10" t="n"/>
      <c r="V4876" s="10" t="n"/>
      <c r="W4876" s="10" t="n"/>
      <c r="X4876" s="10" t="n"/>
      <c r="Y4876" s="10" t="n"/>
      <c r="Z4876" s="10" t="n"/>
      <c r="AA4876" s="11">
        <f>IF(A4876="","",IF(AND(J4876="P4",F4876="causal"),"P4-CAUSAL",""))</f>
        <v/>
      </c>
    </row>
    <row r="4877" ht="15" customHeight="1" s="1">
      <c r="P4877">
        <f>IF(OR(F4877="",H4877="",J4877=""),"",J4877&amp;"|"&amp;F4877&amp;"|"&amp;IF(H4877="W3","W3_"&amp;IF(I4877="","unknown",I4877),H4877))</f>
        <v/>
      </c>
      <c r="Q4877">
        <f>IF(P4877="","",IFERROR(IF(AND(H4877="W7",OR(F4877="causal",F4877="predictive")),IF(AND(OR(K4877=1,K4877="1"),OR(L4877=1,L4877="1"),OR(M4877=1,M4877="1")),"adequate","partial"),IF(AND(H4877="W4",F4877="predictive",OR(J4877="P2",J4877="P3",J4877="P4")),IF(OR(U4877=1,U4877="1"),"adequate","partial"),INDEX(Fit_Matrix!$B:$B,MATCH(P4877,Fit_Matrix!$A:$A,0)))),"CHECK KEY"))</f>
        <v/>
      </c>
      <c r="U4877" s="10" t="n"/>
      <c r="V4877" s="10" t="n"/>
      <c r="W4877" s="10" t="n"/>
      <c r="X4877" s="10" t="n"/>
      <c r="Y4877" s="10" t="n"/>
      <c r="Z4877" s="10" t="n"/>
      <c r="AA4877" s="11">
        <f>IF(A4877="","",IF(AND(J4877="P4",F4877="causal"),"P4-CAUSAL",""))</f>
        <v/>
      </c>
    </row>
    <row r="4878" ht="15" customHeight="1" s="1">
      <c r="P4878">
        <f>IF(OR(F4878="",H4878="",J4878=""),"",J4878&amp;"|"&amp;F4878&amp;"|"&amp;IF(H4878="W3","W3_"&amp;IF(I4878="","unknown",I4878),H4878))</f>
        <v/>
      </c>
      <c r="Q4878">
        <f>IF(P4878="","",IFERROR(IF(AND(H4878="W7",OR(F4878="causal",F4878="predictive")),IF(AND(OR(K4878=1,K4878="1"),OR(L4878=1,L4878="1"),OR(M4878=1,M4878="1")),"adequate","partial"),IF(AND(H4878="W4",F4878="predictive",OR(J4878="P2",J4878="P3",J4878="P4")),IF(OR(U4878=1,U4878="1"),"adequate","partial"),INDEX(Fit_Matrix!$B:$B,MATCH(P4878,Fit_Matrix!$A:$A,0)))),"CHECK KEY"))</f>
        <v/>
      </c>
      <c r="U4878" s="10" t="n"/>
      <c r="V4878" s="10" t="n"/>
      <c r="W4878" s="10" t="n"/>
      <c r="X4878" s="10" t="n"/>
      <c r="Y4878" s="10" t="n"/>
      <c r="Z4878" s="10" t="n"/>
      <c r="AA4878" s="11">
        <f>IF(A4878="","",IF(AND(J4878="P4",F4878="causal"),"P4-CAUSAL",""))</f>
        <v/>
      </c>
    </row>
    <row r="4879" ht="15" customHeight="1" s="1">
      <c r="P4879">
        <f>IF(OR(F4879="",H4879="",J4879=""),"",J4879&amp;"|"&amp;F4879&amp;"|"&amp;IF(H4879="W3","W3_"&amp;IF(I4879="","unknown",I4879),H4879))</f>
        <v/>
      </c>
      <c r="Q4879">
        <f>IF(P4879="","",IFERROR(IF(AND(H4879="W7",OR(F4879="causal",F4879="predictive")),IF(AND(OR(K4879=1,K4879="1"),OR(L4879=1,L4879="1"),OR(M4879=1,M4879="1")),"adequate","partial"),IF(AND(H4879="W4",F4879="predictive",OR(J4879="P2",J4879="P3",J4879="P4")),IF(OR(U4879=1,U4879="1"),"adequate","partial"),INDEX(Fit_Matrix!$B:$B,MATCH(P4879,Fit_Matrix!$A:$A,0)))),"CHECK KEY"))</f>
        <v/>
      </c>
      <c r="U4879" s="10" t="n"/>
      <c r="V4879" s="10" t="n"/>
      <c r="W4879" s="10" t="n"/>
      <c r="X4879" s="10" t="n"/>
      <c r="Y4879" s="10" t="n"/>
      <c r="Z4879" s="10" t="n"/>
      <c r="AA4879" s="11">
        <f>IF(A4879="","",IF(AND(J4879="P4",F4879="causal"),"P4-CAUSAL",""))</f>
        <v/>
      </c>
    </row>
    <row r="4880" ht="15" customHeight="1" s="1">
      <c r="P4880">
        <f>IF(OR(F4880="",H4880="",J4880=""),"",J4880&amp;"|"&amp;F4880&amp;"|"&amp;IF(H4880="W3","W3_"&amp;IF(I4880="","unknown",I4880),H4880))</f>
        <v/>
      </c>
      <c r="Q4880">
        <f>IF(P4880="","",IFERROR(IF(AND(H4880="W7",OR(F4880="causal",F4880="predictive")),IF(AND(OR(K4880=1,K4880="1"),OR(L4880=1,L4880="1"),OR(M4880=1,M4880="1")),"adequate","partial"),IF(AND(H4880="W4",F4880="predictive",OR(J4880="P2",J4880="P3",J4880="P4")),IF(OR(U4880=1,U4880="1"),"adequate","partial"),INDEX(Fit_Matrix!$B:$B,MATCH(P4880,Fit_Matrix!$A:$A,0)))),"CHECK KEY"))</f>
        <v/>
      </c>
      <c r="U4880" s="10" t="n"/>
      <c r="V4880" s="10" t="n"/>
      <c r="W4880" s="10" t="n"/>
      <c r="X4880" s="10" t="n"/>
      <c r="Y4880" s="10" t="n"/>
      <c r="Z4880" s="10" t="n"/>
      <c r="AA4880" s="11">
        <f>IF(A4880="","",IF(AND(J4880="P4",F4880="causal"),"P4-CAUSAL",""))</f>
        <v/>
      </c>
    </row>
    <row r="4881" ht="15" customHeight="1" s="1">
      <c r="P4881">
        <f>IF(OR(F4881="",H4881="",J4881=""),"",J4881&amp;"|"&amp;F4881&amp;"|"&amp;IF(H4881="W3","W3_"&amp;IF(I4881="","unknown",I4881),H4881))</f>
        <v/>
      </c>
      <c r="Q4881">
        <f>IF(P4881="","",IFERROR(IF(AND(H4881="W7",OR(F4881="causal",F4881="predictive")),IF(AND(OR(K4881=1,K4881="1"),OR(L4881=1,L4881="1"),OR(M4881=1,M4881="1")),"adequate","partial"),IF(AND(H4881="W4",F4881="predictive",OR(J4881="P2",J4881="P3",J4881="P4")),IF(OR(U4881=1,U4881="1"),"adequate","partial"),INDEX(Fit_Matrix!$B:$B,MATCH(P4881,Fit_Matrix!$A:$A,0)))),"CHECK KEY"))</f>
        <v/>
      </c>
      <c r="U4881" s="10" t="n"/>
      <c r="V4881" s="10" t="n"/>
      <c r="W4881" s="10" t="n"/>
      <c r="X4881" s="10" t="n"/>
      <c r="Y4881" s="10" t="n"/>
      <c r="Z4881" s="10" t="n"/>
      <c r="AA4881" s="11">
        <f>IF(A4881="","",IF(AND(J4881="P4",F4881="causal"),"P4-CAUSAL",""))</f>
        <v/>
      </c>
    </row>
    <row r="4882" ht="15" customHeight="1" s="1">
      <c r="P4882">
        <f>IF(OR(F4882="",H4882="",J4882=""),"",J4882&amp;"|"&amp;F4882&amp;"|"&amp;IF(H4882="W3","W3_"&amp;IF(I4882="","unknown",I4882),H4882))</f>
        <v/>
      </c>
      <c r="Q4882">
        <f>IF(P4882="","",IFERROR(IF(AND(H4882="W7",OR(F4882="causal",F4882="predictive")),IF(AND(OR(K4882=1,K4882="1"),OR(L4882=1,L4882="1"),OR(M4882=1,M4882="1")),"adequate","partial"),IF(AND(H4882="W4",F4882="predictive",OR(J4882="P2",J4882="P3",J4882="P4")),IF(OR(U4882=1,U4882="1"),"adequate","partial"),INDEX(Fit_Matrix!$B:$B,MATCH(P4882,Fit_Matrix!$A:$A,0)))),"CHECK KEY"))</f>
        <v/>
      </c>
      <c r="U4882" s="10" t="n"/>
      <c r="V4882" s="10" t="n"/>
      <c r="W4882" s="10" t="n"/>
      <c r="X4882" s="10" t="n"/>
      <c r="Y4882" s="10" t="n"/>
      <c r="Z4882" s="10" t="n"/>
      <c r="AA4882" s="11">
        <f>IF(A4882="","",IF(AND(J4882="P4",F4882="causal"),"P4-CAUSAL",""))</f>
        <v/>
      </c>
    </row>
    <row r="4883" ht="15" customHeight="1" s="1">
      <c r="P4883">
        <f>IF(OR(F4883="",H4883="",J4883=""),"",J4883&amp;"|"&amp;F4883&amp;"|"&amp;IF(H4883="W3","W3_"&amp;IF(I4883="","unknown",I4883),H4883))</f>
        <v/>
      </c>
      <c r="Q4883">
        <f>IF(P4883="","",IFERROR(IF(AND(H4883="W7",OR(F4883="causal",F4883="predictive")),IF(AND(OR(K4883=1,K4883="1"),OR(L4883=1,L4883="1"),OR(M4883=1,M4883="1")),"adequate","partial"),IF(AND(H4883="W4",F4883="predictive",OR(J4883="P2",J4883="P3",J4883="P4")),IF(OR(U4883=1,U4883="1"),"adequate","partial"),INDEX(Fit_Matrix!$B:$B,MATCH(P4883,Fit_Matrix!$A:$A,0)))),"CHECK KEY"))</f>
        <v/>
      </c>
      <c r="U4883" s="10" t="n"/>
      <c r="V4883" s="10" t="n"/>
      <c r="W4883" s="10" t="n"/>
      <c r="X4883" s="10" t="n"/>
      <c r="Y4883" s="10" t="n"/>
      <c r="Z4883" s="10" t="n"/>
      <c r="AA4883" s="11">
        <f>IF(A4883="","",IF(AND(J4883="P4",F4883="causal"),"P4-CAUSAL",""))</f>
        <v/>
      </c>
    </row>
    <row r="4884" ht="15" customHeight="1" s="1">
      <c r="P4884">
        <f>IF(OR(F4884="",H4884="",J4884=""),"",J4884&amp;"|"&amp;F4884&amp;"|"&amp;IF(H4884="W3","W3_"&amp;IF(I4884="","unknown",I4884),H4884))</f>
        <v/>
      </c>
      <c r="Q4884">
        <f>IF(P4884="","",IFERROR(IF(AND(H4884="W7",OR(F4884="causal",F4884="predictive")),IF(AND(OR(K4884=1,K4884="1"),OR(L4884=1,L4884="1"),OR(M4884=1,M4884="1")),"adequate","partial"),IF(AND(H4884="W4",F4884="predictive",OR(J4884="P2",J4884="P3",J4884="P4")),IF(OR(U4884=1,U4884="1"),"adequate","partial"),INDEX(Fit_Matrix!$B:$B,MATCH(P4884,Fit_Matrix!$A:$A,0)))),"CHECK KEY"))</f>
        <v/>
      </c>
      <c r="U4884" s="10" t="n"/>
      <c r="V4884" s="10" t="n"/>
      <c r="W4884" s="10" t="n"/>
      <c r="X4884" s="10" t="n"/>
      <c r="Y4884" s="10" t="n"/>
      <c r="Z4884" s="10" t="n"/>
      <c r="AA4884" s="11">
        <f>IF(A4884="","",IF(AND(J4884="P4",F4884="causal"),"P4-CAUSAL",""))</f>
        <v/>
      </c>
    </row>
    <row r="4885" ht="15" customHeight="1" s="1">
      <c r="P4885">
        <f>IF(OR(F4885="",H4885="",J4885=""),"",J4885&amp;"|"&amp;F4885&amp;"|"&amp;IF(H4885="W3","W3_"&amp;IF(I4885="","unknown",I4885),H4885))</f>
        <v/>
      </c>
      <c r="Q4885">
        <f>IF(P4885="","",IFERROR(IF(AND(H4885="W7",OR(F4885="causal",F4885="predictive")),IF(AND(OR(K4885=1,K4885="1"),OR(L4885=1,L4885="1"),OR(M4885=1,M4885="1")),"adequate","partial"),IF(AND(H4885="W4",F4885="predictive",OR(J4885="P2",J4885="P3",J4885="P4")),IF(OR(U4885=1,U4885="1"),"adequate","partial"),INDEX(Fit_Matrix!$B:$B,MATCH(P4885,Fit_Matrix!$A:$A,0)))),"CHECK KEY"))</f>
        <v/>
      </c>
      <c r="U4885" s="10" t="n"/>
      <c r="V4885" s="10" t="n"/>
      <c r="W4885" s="10" t="n"/>
      <c r="X4885" s="10" t="n"/>
      <c r="Y4885" s="10" t="n"/>
      <c r="Z4885" s="10" t="n"/>
      <c r="AA4885" s="11">
        <f>IF(A4885="","",IF(AND(J4885="P4",F4885="causal"),"P4-CAUSAL",""))</f>
        <v/>
      </c>
    </row>
    <row r="4886" ht="15" customHeight="1" s="1">
      <c r="P4886">
        <f>IF(OR(F4886="",H4886="",J4886=""),"",J4886&amp;"|"&amp;F4886&amp;"|"&amp;IF(H4886="W3","W3_"&amp;IF(I4886="","unknown",I4886),H4886))</f>
        <v/>
      </c>
      <c r="Q4886">
        <f>IF(P4886="","",IFERROR(IF(AND(H4886="W7",OR(F4886="causal",F4886="predictive")),IF(AND(OR(K4886=1,K4886="1"),OR(L4886=1,L4886="1"),OR(M4886=1,M4886="1")),"adequate","partial"),IF(AND(H4886="W4",F4886="predictive",OR(J4886="P2",J4886="P3",J4886="P4")),IF(OR(U4886=1,U4886="1"),"adequate","partial"),INDEX(Fit_Matrix!$B:$B,MATCH(P4886,Fit_Matrix!$A:$A,0)))),"CHECK KEY"))</f>
        <v/>
      </c>
      <c r="U4886" s="10" t="n"/>
      <c r="V4886" s="10" t="n"/>
      <c r="W4886" s="10" t="n"/>
      <c r="X4886" s="10" t="n"/>
      <c r="Y4886" s="10" t="n"/>
      <c r="Z4886" s="10" t="n"/>
      <c r="AA4886" s="11">
        <f>IF(A4886="","",IF(AND(J4886="P4",F4886="causal"),"P4-CAUSAL",""))</f>
        <v/>
      </c>
    </row>
    <row r="4887" ht="15" customHeight="1" s="1">
      <c r="P4887">
        <f>IF(OR(F4887="",H4887="",J4887=""),"",J4887&amp;"|"&amp;F4887&amp;"|"&amp;IF(H4887="W3","W3_"&amp;IF(I4887="","unknown",I4887),H4887))</f>
        <v/>
      </c>
      <c r="Q4887">
        <f>IF(P4887="","",IFERROR(IF(AND(H4887="W7",OR(F4887="causal",F4887="predictive")),IF(AND(OR(K4887=1,K4887="1"),OR(L4887=1,L4887="1"),OR(M4887=1,M4887="1")),"adequate","partial"),IF(AND(H4887="W4",F4887="predictive",OR(J4887="P2",J4887="P3",J4887="P4")),IF(OR(U4887=1,U4887="1"),"adequate","partial"),INDEX(Fit_Matrix!$B:$B,MATCH(P4887,Fit_Matrix!$A:$A,0)))),"CHECK KEY"))</f>
        <v/>
      </c>
      <c r="U4887" s="10" t="n"/>
      <c r="V4887" s="10" t="n"/>
      <c r="W4887" s="10" t="n"/>
      <c r="X4887" s="10" t="n"/>
      <c r="Y4887" s="10" t="n"/>
      <c r="Z4887" s="10" t="n"/>
      <c r="AA4887" s="11">
        <f>IF(A4887="","",IF(AND(J4887="P4",F4887="causal"),"P4-CAUSAL",""))</f>
        <v/>
      </c>
    </row>
    <row r="4888" ht="15" customHeight="1" s="1">
      <c r="P4888">
        <f>IF(OR(F4888="",H4888="",J4888=""),"",J4888&amp;"|"&amp;F4888&amp;"|"&amp;IF(H4888="W3","W3_"&amp;IF(I4888="","unknown",I4888),H4888))</f>
        <v/>
      </c>
      <c r="Q4888">
        <f>IF(P4888="","",IFERROR(IF(AND(H4888="W7",OR(F4888="causal",F4888="predictive")),IF(AND(OR(K4888=1,K4888="1"),OR(L4888=1,L4888="1"),OR(M4888=1,M4888="1")),"adequate","partial"),IF(AND(H4888="W4",F4888="predictive",OR(J4888="P2",J4888="P3",J4888="P4")),IF(OR(U4888=1,U4888="1"),"adequate","partial"),INDEX(Fit_Matrix!$B:$B,MATCH(P4888,Fit_Matrix!$A:$A,0)))),"CHECK KEY"))</f>
        <v/>
      </c>
      <c r="U4888" s="10" t="n"/>
      <c r="V4888" s="10" t="n"/>
      <c r="W4888" s="10" t="n"/>
      <c r="X4888" s="10" t="n"/>
      <c r="Y4888" s="10" t="n"/>
      <c r="Z4888" s="10" t="n"/>
      <c r="AA4888" s="11">
        <f>IF(A4888="","",IF(AND(J4888="P4",F4888="causal"),"P4-CAUSAL",""))</f>
        <v/>
      </c>
    </row>
    <row r="4889" ht="15" customHeight="1" s="1">
      <c r="P4889">
        <f>IF(OR(F4889="",H4889="",J4889=""),"",J4889&amp;"|"&amp;F4889&amp;"|"&amp;IF(H4889="W3","W3_"&amp;IF(I4889="","unknown",I4889),H4889))</f>
        <v/>
      </c>
      <c r="Q4889">
        <f>IF(P4889="","",IFERROR(IF(AND(H4889="W7",OR(F4889="causal",F4889="predictive")),IF(AND(OR(K4889=1,K4889="1"),OR(L4889=1,L4889="1"),OR(M4889=1,M4889="1")),"adequate","partial"),IF(AND(H4889="W4",F4889="predictive",OR(J4889="P2",J4889="P3",J4889="P4")),IF(OR(U4889=1,U4889="1"),"adequate","partial"),INDEX(Fit_Matrix!$B:$B,MATCH(P4889,Fit_Matrix!$A:$A,0)))),"CHECK KEY"))</f>
        <v/>
      </c>
      <c r="U4889" s="10" t="n"/>
      <c r="V4889" s="10" t="n"/>
      <c r="W4889" s="10" t="n"/>
      <c r="X4889" s="10" t="n"/>
      <c r="Y4889" s="10" t="n"/>
      <c r="Z4889" s="10" t="n"/>
      <c r="AA4889" s="11">
        <f>IF(A4889="","",IF(AND(J4889="P4",F4889="causal"),"P4-CAUSAL",""))</f>
        <v/>
      </c>
    </row>
    <row r="4890" ht="15" customHeight="1" s="1">
      <c r="P4890">
        <f>IF(OR(F4890="",H4890="",J4890=""),"",J4890&amp;"|"&amp;F4890&amp;"|"&amp;IF(H4890="W3","W3_"&amp;IF(I4890="","unknown",I4890),H4890))</f>
        <v/>
      </c>
      <c r="Q4890">
        <f>IF(P4890="","",IFERROR(IF(AND(H4890="W7",OR(F4890="causal",F4890="predictive")),IF(AND(OR(K4890=1,K4890="1"),OR(L4890=1,L4890="1"),OR(M4890=1,M4890="1")),"adequate","partial"),IF(AND(H4890="W4",F4890="predictive",OR(J4890="P2",J4890="P3",J4890="P4")),IF(OR(U4890=1,U4890="1"),"adequate","partial"),INDEX(Fit_Matrix!$B:$B,MATCH(P4890,Fit_Matrix!$A:$A,0)))),"CHECK KEY"))</f>
        <v/>
      </c>
      <c r="U4890" s="10" t="n"/>
      <c r="V4890" s="10" t="n"/>
      <c r="W4890" s="10" t="n"/>
      <c r="X4890" s="10" t="n"/>
      <c r="Y4890" s="10" t="n"/>
      <c r="Z4890" s="10" t="n"/>
      <c r="AA4890" s="11">
        <f>IF(A4890="","",IF(AND(J4890="P4",F4890="causal"),"P4-CAUSAL",""))</f>
        <v/>
      </c>
    </row>
    <row r="4891" ht="15" customHeight="1" s="1">
      <c r="P4891">
        <f>IF(OR(F4891="",H4891="",J4891=""),"",J4891&amp;"|"&amp;F4891&amp;"|"&amp;IF(H4891="W3","W3_"&amp;IF(I4891="","unknown",I4891),H4891))</f>
        <v/>
      </c>
      <c r="Q4891">
        <f>IF(P4891="","",IFERROR(IF(AND(H4891="W7",OR(F4891="causal",F4891="predictive")),IF(AND(OR(K4891=1,K4891="1"),OR(L4891=1,L4891="1"),OR(M4891=1,M4891="1")),"adequate","partial"),IF(AND(H4891="W4",F4891="predictive",OR(J4891="P2",J4891="P3",J4891="P4")),IF(OR(U4891=1,U4891="1"),"adequate","partial"),INDEX(Fit_Matrix!$B:$B,MATCH(P4891,Fit_Matrix!$A:$A,0)))),"CHECK KEY"))</f>
        <v/>
      </c>
      <c r="U4891" s="10" t="n"/>
      <c r="V4891" s="10" t="n"/>
      <c r="W4891" s="10" t="n"/>
      <c r="X4891" s="10" t="n"/>
      <c r="Y4891" s="10" t="n"/>
      <c r="Z4891" s="10" t="n"/>
      <c r="AA4891" s="11">
        <f>IF(A4891="","",IF(AND(J4891="P4",F4891="causal"),"P4-CAUSAL",""))</f>
        <v/>
      </c>
    </row>
    <row r="4892" ht="15" customHeight="1" s="1">
      <c r="P4892">
        <f>IF(OR(F4892="",H4892="",J4892=""),"",J4892&amp;"|"&amp;F4892&amp;"|"&amp;IF(H4892="W3","W3_"&amp;IF(I4892="","unknown",I4892),H4892))</f>
        <v/>
      </c>
      <c r="Q4892">
        <f>IF(P4892="","",IFERROR(IF(AND(H4892="W7",OR(F4892="causal",F4892="predictive")),IF(AND(OR(K4892=1,K4892="1"),OR(L4892=1,L4892="1"),OR(M4892=1,M4892="1")),"adequate","partial"),IF(AND(H4892="W4",F4892="predictive",OR(J4892="P2",J4892="P3",J4892="P4")),IF(OR(U4892=1,U4892="1"),"adequate","partial"),INDEX(Fit_Matrix!$B:$B,MATCH(P4892,Fit_Matrix!$A:$A,0)))),"CHECK KEY"))</f>
        <v/>
      </c>
      <c r="U4892" s="10" t="n"/>
      <c r="V4892" s="10" t="n"/>
      <c r="W4892" s="10" t="n"/>
      <c r="X4892" s="10" t="n"/>
      <c r="Y4892" s="10" t="n"/>
      <c r="Z4892" s="10" t="n"/>
      <c r="AA4892" s="11">
        <f>IF(A4892="","",IF(AND(J4892="P4",F4892="causal"),"P4-CAUSAL",""))</f>
        <v/>
      </c>
    </row>
    <row r="4893" ht="15" customHeight="1" s="1">
      <c r="P4893">
        <f>IF(OR(F4893="",H4893="",J4893=""),"",J4893&amp;"|"&amp;F4893&amp;"|"&amp;IF(H4893="W3","W3_"&amp;IF(I4893="","unknown",I4893),H4893))</f>
        <v/>
      </c>
      <c r="Q4893">
        <f>IF(P4893="","",IFERROR(IF(AND(H4893="W7",OR(F4893="causal",F4893="predictive")),IF(AND(OR(K4893=1,K4893="1"),OR(L4893=1,L4893="1"),OR(M4893=1,M4893="1")),"adequate","partial"),IF(AND(H4893="W4",F4893="predictive",OR(J4893="P2",J4893="P3",J4893="P4")),IF(OR(U4893=1,U4893="1"),"adequate","partial"),INDEX(Fit_Matrix!$B:$B,MATCH(P4893,Fit_Matrix!$A:$A,0)))),"CHECK KEY"))</f>
        <v/>
      </c>
      <c r="U4893" s="10" t="n"/>
      <c r="V4893" s="10" t="n"/>
      <c r="W4893" s="10" t="n"/>
      <c r="X4893" s="10" t="n"/>
      <c r="Y4893" s="10" t="n"/>
      <c r="Z4893" s="10" t="n"/>
      <c r="AA4893" s="11">
        <f>IF(A4893="","",IF(AND(J4893="P4",F4893="causal"),"P4-CAUSAL",""))</f>
        <v/>
      </c>
    </row>
    <row r="4894" ht="15" customHeight="1" s="1">
      <c r="P4894">
        <f>IF(OR(F4894="",H4894="",J4894=""),"",J4894&amp;"|"&amp;F4894&amp;"|"&amp;IF(H4894="W3","W3_"&amp;IF(I4894="","unknown",I4894),H4894))</f>
        <v/>
      </c>
      <c r="Q4894">
        <f>IF(P4894="","",IFERROR(IF(AND(H4894="W7",OR(F4894="causal",F4894="predictive")),IF(AND(OR(K4894=1,K4894="1"),OR(L4894=1,L4894="1"),OR(M4894=1,M4894="1")),"adequate","partial"),IF(AND(H4894="W4",F4894="predictive",OR(J4894="P2",J4894="P3",J4894="P4")),IF(OR(U4894=1,U4894="1"),"adequate","partial"),INDEX(Fit_Matrix!$B:$B,MATCH(P4894,Fit_Matrix!$A:$A,0)))),"CHECK KEY"))</f>
        <v/>
      </c>
      <c r="U4894" s="10" t="n"/>
      <c r="V4894" s="10" t="n"/>
      <c r="W4894" s="10" t="n"/>
      <c r="X4894" s="10" t="n"/>
      <c r="Y4894" s="10" t="n"/>
      <c r="Z4894" s="10" t="n"/>
      <c r="AA4894" s="11">
        <f>IF(A4894="","",IF(AND(J4894="P4",F4894="causal"),"P4-CAUSAL",""))</f>
        <v/>
      </c>
    </row>
    <row r="4895" ht="15" customHeight="1" s="1">
      <c r="P4895">
        <f>IF(OR(F4895="",H4895="",J4895=""),"",J4895&amp;"|"&amp;F4895&amp;"|"&amp;IF(H4895="W3","W3_"&amp;IF(I4895="","unknown",I4895),H4895))</f>
        <v/>
      </c>
      <c r="Q4895">
        <f>IF(P4895="","",IFERROR(IF(AND(H4895="W7",OR(F4895="causal",F4895="predictive")),IF(AND(OR(K4895=1,K4895="1"),OR(L4895=1,L4895="1"),OR(M4895=1,M4895="1")),"adequate","partial"),IF(AND(H4895="W4",F4895="predictive",OR(J4895="P2",J4895="P3",J4895="P4")),IF(OR(U4895=1,U4895="1"),"adequate","partial"),INDEX(Fit_Matrix!$B:$B,MATCH(P4895,Fit_Matrix!$A:$A,0)))),"CHECK KEY"))</f>
        <v/>
      </c>
      <c r="U4895" s="10" t="n"/>
      <c r="V4895" s="10" t="n"/>
      <c r="W4895" s="10" t="n"/>
      <c r="X4895" s="10" t="n"/>
      <c r="Y4895" s="10" t="n"/>
      <c r="Z4895" s="10" t="n"/>
      <c r="AA4895" s="11">
        <f>IF(A4895="","",IF(AND(J4895="P4",F4895="causal"),"P4-CAUSAL",""))</f>
        <v/>
      </c>
    </row>
    <row r="4896" ht="15" customHeight="1" s="1">
      <c r="P4896">
        <f>IF(OR(F4896="",H4896="",J4896=""),"",J4896&amp;"|"&amp;F4896&amp;"|"&amp;IF(H4896="W3","W3_"&amp;IF(I4896="","unknown",I4896),H4896))</f>
        <v/>
      </c>
      <c r="Q4896">
        <f>IF(P4896="","",IFERROR(IF(AND(H4896="W7",OR(F4896="causal",F4896="predictive")),IF(AND(OR(K4896=1,K4896="1"),OR(L4896=1,L4896="1"),OR(M4896=1,M4896="1")),"adequate","partial"),IF(AND(H4896="W4",F4896="predictive",OR(J4896="P2",J4896="P3",J4896="P4")),IF(OR(U4896=1,U4896="1"),"adequate","partial"),INDEX(Fit_Matrix!$B:$B,MATCH(P4896,Fit_Matrix!$A:$A,0)))),"CHECK KEY"))</f>
        <v/>
      </c>
      <c r="U4896" s="10" t="n"/>
      <c r="V4896" s="10" t="n"/>
      <c r="W4896" s="10" t="n"/>
      <c r="X4896" s="10" t="n"/>
      <c r="Y4896" s="10" t="n"/>
      <c r="Z4896" s="10" t="n"/>
      <c r="AA4896" s="11">
        <f>IF(A4896="","",IF(AND(J4896="P4",F4896="causal"),"P4-CAUSAL",""))</f>
        <v/>
      </c>
    </row>
    <row r="4897" ht="15" customHeight="1" s="1">
      <c r="P4897">
        <f>IF(OR(F4897="",H4897="",J4897=""),"",J4897&amp;"|"&amp;F4897&amp;"|"&amp;IF(H4897="W3","W3_"&amp;IF(I4897="","unknown",I4897),H4897))</f>
        <v/>
      </c>
      <c r="Q4897">
        <f>IF(P4897="","",IFERROR(IF(AND(H4897="W7",OR(F4897="causal",F4897="predictive")),IF(AND(OR(K4897=1,K4897="1"),OR(L4897=1,L4897="1"),OR(M4897=1,M4897="1")),"adequate","partial"),IF(AND(H4897="W4",F4897="predictive",OR(J4897="P2",J4897="P3",J4897="P4")),IF(OR(U4897=1,U4897="1"),"adequate","partial"),INDEX(Fit_Matrix!$B:$B,MATCH(P4897,Fit_Matrix!$A:$A,0)))),"CHECK KEY"))</f>
        <v/>
      </c>
      <c r="U4897" s="10" t="n"/>
      <c r="V4897" s="10" t="n"/>
      <c r="W4897" s="10" t="n"/>
      <c r="X4897" s="10" t="n"/>
      <c r="Y4897" s="10" t="n"/>
      <c r="Z4897" s="10" t="n"/>
      <c r="AA4897" s="11">
        <f>IF(A4897="","",IF(AND(J4897="P4",F4897="causal"),"P4-CAUSAL",""))</f>
        <v/>
      </c>
    </row>
    <row r="4898" ht="15" customHeight="1" s="1">
      <c r="P4898">
        <f>IF(OR(F4898="",H4898="",J4898=""),"",J4898&amp;"|"&amp;F4898&amp;"|"&amp;IF(H4898="W3","W3_"&amp;IF(I4898="","unknown",I4898),H4898))</f>
        <v/>
      </c>
      <c r="Q4898">
        <f>IF(P4898="","",IFERROR(IF(AND(H4898="W7",OR(F4898="causal",F4898="predictive")),IF(AND(OR(K4898=1,K4898="1"),OR(L4898=1,L4898="1"),OR(M4898=1,M4898="1")),"adequate","partial"),IF(AND(H4898="W4",F4898="predictive",OR(J4898="P2",J4898="P3",J4898="P4")),IF(OR(U4898=1,U4898="1"),"adequate","partial"),INDEX(Fit_Matrix!$B:$B,MATCH(P4898,Fit_Matrix!$A:$A,0)))),"CHECK KEY"))</f>
        <v/>
      </c>
      <c r="U4898" s="10" t="n"/>
      <c r="V4898" s="10" t="n"/>
      <c r="W4898" s="10" t="n"/>
      <c r="X4898" s="10" t="n"/>
      <c r="Y4898" s="10" t="n"/>
      <c r="Z4898" s="10" t="n"/>
      <c r="AA4898" s="11">
        <f>IF(A4898="","",IF(AND(J4898="P4",F4898="causal"),"P4-CAUSAL",""))</f>
        <v/>
      </c>
    </row>
    <row r="4899" ht="15" customHeight="1" s="1">
      <c r="P4899">
        <f>IF(OR(F4899="",H4899="",J4899=""),"",J4899&amp;"|"&amp;F4899&amp;"|"&amp;IF(H4899="W3","W3_"&amp;IF(I4899="","unknown",I4899),H4899))</f>
        <v/>
      </c>
      <c r="Q4899">
        <f>IF(P4899="","",IFERROR(IF(AND(H4899="W7",OR(F4899="causal",F4899="predictive")),IF(AND(OR(K4899=1,K4899="1"),OR(L4899=1,L4899="1"),OR(M4899=1,M4899="1")),"adequate","partial"),IF(AND(H4899="W4",F4899="predictive",OR(J4899="P2",J4899="P3",J4899="P4")),IF(OR(U4899=1,U4899="1"),"adequate","partial"),INDEX(Fit_Matrix!$B:$B,MATCH(P4899,Fit_Matrix!$A:$A,0)))),"CHECK KEY"))</f>
        <v/>
      </c>
      <c r="U4899" s="10" t="n"/>
      <c r="V4899" s="10" t="n"/>
      <c r="W4899" s="10" t="n"/>
      <c r="X4899" s="10" t="n"/>
      <c r="Y4899" s="10" t="n"/>
      <c r="Z4899" s="10" t="n"/>
      <c r="AA4899" s="11">
        <f>IF(A4899="","",IF(AND(J4899="P4",F4899="causal"),"P4-CAUSAL",""))</f>
        <v/>
      </c>
    </row>
    <row r="4900" ht="15" customHeight="1" s="1">
      <c r="P4900">
        <f>IF(OR(F4900="",H4900="",J4900=""),"",J4900&amp;"|"&amp;F4900&amp;"|"&amp;IF(H4900="W3","W3_"&amp;IF(I4900="","unknown",I4900),H4900))</f>
        <v/>
      </c>
      <c r="Q4900">
        <f>IF(P4900="","",IFERROR(IF(AND(H4900="W7",OR(F4900="causal",F4900="predictive")),IF(AND(OR(K4900=1,K4900="1"),OR(L4900=1,L4900="1"),OR(M4900=1,M4900="1")),"adequate","partial"),IF(AND(H4900="W4",F4900="predictive",OR(J4900="P2",J4900="P3",J4900="P4")),IF(OR(U4900=1,U4900="1"),"adequate","partial"),INDEX(Fit_Matrix!$B:$B,MATCH(P4900,Fit_Matrix!$A:$A,0)))),"CHECK KEY"))</f>
        <v/>
      </c>
      <c r="U4900" s="10" t="n"/>
      <c r="V4900" s="10" t="n"/>
      <c r="W4900" s="10" t="n"/>
      <c r="X4900" s="10" t="n"/>
      <c r="Y4900" s="10" t="n"/>
      <c r="Z4900" s="10" t="n"/>
      <c r="AA4900" s="11">
        <f>IF(A4900="","",IF(AND(J4900="P4",F4900="causal"),"P4-CAUSAL",""))</f>
        <v/>
      </c>
    </row>
    <row r="4901" ht="15" customHeight="1" s="1">
      <c r="P4901">
        <f>IF(OR(F4901="",H4901="",J4901=""),"",J4901&amp;"|"&amp;F4901&amp;"|"&amp;IF(H4901="W3","W3_"&amp;IF(I4901="","unknown",I4901),H4901))</f>
        <v/>
      </c>
      <c r="Q4901">
        <f>IF(P4901="","",IFERROR(IF(AND(H4901="W7",OR(F4901="causal",F4901="predictive")),IF(AND(OR(K4901=1,K4901="1"),OR(L4901=1,L4901="1"),OR(M4901=1,M4901="1")),"adequate","partial"),IF(AND(H4901="W4",F4901="predictive",OR(J4901="P2",J4901="P3",J4901="P4")),IF(OR(U4901=1,U4901="1"),"adequate","partial"),INDEX(Fit_Matrix!$B:$B,MATCH(P4901,Fit_Matrix!$A:$A,0)))),"CHECK KEY"))</f>
        <v/>
      </c>
      <c r="U4901" s="10" t="n"/>
      <c r="V4901" s="10" t="n"/>
      <c r="W4901" s="10" t="n"/>
      <c r="X4901" s="10" t="n"/>
      <c r="Y4901" s="10" t="n"/>
      <c r="Z4901" s="10" t="n"/>
      <c r="AA4901" s="11">
        <f>IF(A4901="","",IF(AND(J4901="P4",F4901="causal"),"P4-CAUSAL",""))</f>
        <v/>
      </c>
    </row>
    <row r="4902" ht="15" customHeight="1" s="1">
      <c r="P4902">
        <f>IF(OR(F4902="",H4902="",J4902=""),"",J4902&amp;"|"&amp;F4902&amp;"|"&amp;IF(H4902="W3","W3_"&amp;IF(I4902="","unknown",I4902),H4902))</f>
        <v/>
      </c>
      <c r="Q4902">
        <f>IF(P4902="","",IFERROR(IF(AND(H4902="W7",OR(F4902="causal",F4902="predictive")),IF(AND(OR(K4902=1,K4902="1"),OR(L4902=1,L4902="1"),OR(M4902=1,M4902="1")),"adequate","partial"),IF(AND(H4902="W4",F4902="predictive",OR(J4902="P2",J4902="P3",J4902="P4")),IF(OR(U4902=1,U4902="1"),"adequate","partial"),INDEX(Fit_Matrix!$B:$B,MATCH(P4902,Fit_Matrix!$A:$A,0)))),"CHECK KEY"))</f>
        <v/>
      </c>
      <c r="U4902" s="10" t="n"/>
      <c r="V4902" s="10" t="n"/>
      <c r="W4902" s="10" t="n"/>
      <c r="X4902" s="10" t="n"/>
      <c r="Y4902" s="10" t="n"/>
      <c r="Z4902" s="10" t="n"/>
      <c r="AA4902" s="11">
        <f>IF(A4902="","",IF(AND(J4902="P4",F4902="causal"),"P4-CAUSAL",""))</f>
        <v/>
      </c>
    </row>
    <row r="4903" ht="15" customHeight="1" s="1">
      <c r="P4903">
        <f>IF(OR(F4903="",H4903="",J4903=""),"",J4903&amp;"|"&amp;F4903&amp;"|"&amp;IF(H4903="W3","W3_"&amp;IF(I4903="","unknown",I4903),H4903))</f>
        <v/>
      </c>
      <c r="Q4903">
        <f>IF(P4903="","",IFERROR(IF(AND(H4903="W7",OR(F4903="causal",F4903="predictive")),IF(AND(OR(K4903=1,K4903="1"),OR(L4903=1,L4903="1"),OR(M4903=1,M4903="1")),"adequate","partial"),IF(AND(H4903="W4",F4903="predictive",OR(J4903="P2",J4903="P3",J4903="P4")),IF(OR(U4903=1,U4903="1"),"adequate","partial"),INDEX(Fit_Matrix!$B:$B,MATCH(P4903,Fit_Matrix!$A:$A,0)))),"CHECK KEY"))</f>
        <v/>
      </c>
      <c r="U4903" s="10" t="n"/>
      <c r="V4903" s="10" t="n"/>
      <c r="W4903" s="10" t="n"/>
      <c r="X4903" s="10" t="n"/>
      <c r="Y4903" s="10" t="n"/>
      <c r="Z4903" s="10" t="n"/>
      <c r="AA4903" s="11">
        <f>IF(A4903="","",IF(AND(J4903="P4",F4903="causal"),"P4-CAUSAL",""))</f>
        <v/>
      </c>
    </row>
    <row r="4904" ht="15" customHeight="1" s="1">
      <c r="P4904">
        <f>IF(OR(F4904="",H4904="",J4904=""),"",J4904&amp;"|"&amp;F4904&amp;"|"&amp;IF(H4904="W3","W3_"&amp;IF(I4904="","unknown",I4904),H4904))</f>
        <v/>
      </c>
      <c r="Q4904">
        <f>IF(P4904="","",IFERROR(IF(AND(H4904="W7",OR(F4904="causal",F4904="predictive")),IF(AND(OR(K4904=1,K4904="1"),OR(L4904=1,L4904="1"),OR(M4904=1,M4904="1")),"adequate","partial"),IF(AND(H4904="W4",F4904="predictive",OR(J4904="P2",J4904="P3",J4904="P4")),IF(OR(U4904=1,U4904="1"),"adequate","partial"),INDEX(Fit_Matrix!$B:$B,MATCH(P4904,Fit_Matrix!$A:$A,0)))),"CHECK KEY"))</f>
        <v/>
      </c>
      <c r="U4904" s="10" t="n"/>
      <c r="V4904" s="10" t="n"/>
      <c r="W4904" s="10" t="n"/>
      <c r="X4904" s="10" t="n"/>
      <c r="Y4904" s="10" t="n"/>
      <c r="Z4904" s="10" t="n"/>
      <c r="AA4904" s="11">
        <f>IF(A4904="","",IF(AND(J4904="P4",F4904="causal"),"P4-CAUSAL",""))</f>
        <v/>
      </c>
    </row>
    <row r="4905" ht="15" customHeight="1" s="1">
      <c r="P4905">
        <f>IF(OR(F4905="",H4905="",J4905=""),"",J4905&amp;"|"&amp;F4905&amp;"|"&amp;IF(H4905="W3","W3_"&amp;IF(I4905="","unknown",I4905),H4905))</f>
        <v/>
      </c>
      <c r="Q4905">
        <f>IF(P4905="","",IFERROR(IF(AND(H4905="W7",OR(F4905="causal",F4905="predictive")),IF(AND(OR(K4905=1,K4905="1"),OR(L4905=1,L4905="1"),OR(M4905=1,M4905="1")),"adequate","partial"),IF(AND(H4905="W4",F4905="predictive",OR(J4905="P2",J4905="P3",J4905="P4")),IF(OR(U4905=1,U4905="1"),"adequate","partial"),INDEX(Fit_Matrix!$B:$B,MATCH(P4905,Fit_Matrix!$A:$A,0)))),"CHECK KEY"))</f>
        <v/>
      </c>
      <c r="U4905" s="10" t="n"/>
      <c r="V4905" s="10" t="n"/>
      <c r="W4905" s="10" t="n"/>
      <c r="X4905" s="10" t="n"/>
      <c r="Y4905" s="10" t="n"/>
      <c r="Z4905" s="10" t="n"/>
      <c r="AA4905" s="11">
        <f>IF(A4905="","",IF(AND(J4905="P4",F4905="causal"),"P4-CAUSAL",""))</f>
        <v/>
      </c>
    </row>
    <row r="4906" ht="15" customHeight="1" s="1">
      <c r="P4906">
        <f>IF(OR(F4906="",H4906="",J4906=""),"",J4906&amp;"|"&amp;F4906&amp;"|"&amp;IF(H4906="W3","W3_"&amp;IF(I4906="","unknown",I4906),H4906))</f>
        <v/>
      </c>
      <c r="Q4906">
        <f>IF(P4906="","",IFERROR(IF(AND(H4906="W7",OR(F4906="causal",F4906="predictive")),IF(AND(OR(K4906=1,K4906="1"),OR(L4906=1,L4906="1"),OR(M4906=1,M4906="1")),"adequate","partial"),IF(AND(H4906="W4",F4906="predictive",OR(J4906="P2",J4906="P3",J4906="P4")),IF(OR(U4906=1,U4906="1"),"adequate","partial"),INDEX(Fit_Matrix!$B:$B,MATCH(P4906,Fit_Matrix!$A:$A,0)))),"CHECK KEY"))</f>
        <v/>
      </c>
      <c r="U4906" s="10" t="n"/>
      <c r="V4906" s="10" t="n"/>
      <c r="W4906" s="10" t="n"/>
      <c r="X4906" s="10" t="n"/>
      <c r="Y4906" s="10" t="n"/>
      <c r="Z4906" s="10" t="n"/>
      <c r="AA4906" s="11">
        <f>IF(A4906="","",IF(AND(J4906="P4",F4906="causal"),"P4-CAUSAL",""))</f>
        <v/>
      </c>
    </row>
    <row r="4907" ht="15" customHeight="1" s="1">
      <c r="P4907">
        <f>IF(OR(F4907="",H4907="",J4907=""),"",J4907&amp;"|"&amp;F4907&amp;"|"&amp;IF(H4907="W3","W3_"&amp;IF(I4907="","unknown",I4907),H4907))</f>
        <v/>
      </c>
      <c r="Q4907">
        <f>IF(P4907="","",IFERROR(IF(AND(H4907="W7",OR(F4907="causal",F4907="predictive")),IF(AND(OR(K4907=1,K4907="1"),OR(L4907=1,L4907="1"),OR(M4907=1,M4907="1")),"adequate","partial"),IF(AND(H4907="W4",F4907="predictive",OR(J4907="P2",J4907="P3",J4907="P4")),IF(OR(U4907=1,U4907="1"),"adequate","partial"),INDEX(Fit_Matrix!$B:$B,MATCH(P4907,Fit_Matrix!$A:$A,0)))),"CHECK KEY"))</f>
        <v/>
      </c>
      <c r="U4907" s="10" t="n"/>
      <c r="V4907" s="10" t="n"/>
      <c r="W4907" s="10" t="n"/>
      <c r="X4907" s="10" t="n"/>
      <c r="Y4907" s="10" t="n"/>
      <c r="Z4907" s="10" t="n"/>
      <c r="AA4907" s="11">
        <f>IF(A4907="","",IF(AND(J4907="P4",F4907="causal"),"P4-CAUSAL",""))</f>
        <v/>
      </c>
    </row>
    <row r="4908" ht="15" customHeight="1" s="1">
      <c r="P4908">
        <f>IF(OR(F4908="",H4908="",J4908=""),"",J4908&amp;"|"&amp;F4908&amp;"|"&amp;IF(H4908="W3","W3_"&amp;IF(I4908="","unknown",I4908),H4908))</f>
        <v/>
      </c>
      <c r="Q4908">
        <f>IF(P4908="","",IFERROR(IF(AND(H4908="W7",OR(F4908="causal",F4908="predictive")),IF(AND(OR(K4908=1,K4908="1"),OR(L4908=1,L4908="1"),OR(M4908=1,M4908="1")),"adequate","partial"),IF(AND(H4908="W4",F4908="predictive",OR(J4908="P2",J4908="P3",J4908="P4")),IF(OR(U4908=1,U4908="1"),"adequate","partial"),INDEX(Fit_Matrix!$B:$B,MATCH(P4908,Fit_Matrix!$A:$A,0)))),"CHECK KEY"))</f>
        <v/>
      </c>
      <c r="U4908" s="10" t="n"/>
      <c r="V4908" s="10" t="n"/>
      <c r="W4908" s="10" t="n"/>
      <c r="X4908" s="10" t="n"/>
      <c r="Y4908" s="10" t="n"/>
      <c r="Z4908" s="10" t="n"/>
      <c r="AA4908" s="11">
        <f>IF(A4908="","",IF(AND(J4908="P4",F4908="causal"),"P4-CAUSAL",""))</f>
        <v/>
      </c>
    </row>
    <row r="4909" ht="15" customHeight="1" s="1">
      <c r="P4909">
        <f>IF(OR(F4909="",H4909="",J4909=""),"",J4909&amp;"|"&amp;F4909&amp;"|"&amp;IF(H4909="W3","W3_"&amp;IF(I4909="","unknown",I4909),H4909))</f>
        <v/>
      </c>
      <c r="Q4909">
        <f>IF(P4909="","",IFERROR(IF(AND(H4909="W7",OR(F4909="causal",F4909="predictive")),IF(AND(OR(K4909=1,K4909="1"),OR(L4909=1,L4909="1"),OR(M4909=1,M4909="1")),"adequate","partial"),IF(AND(H4909="W4",F4909="predictive",OR(J4909="P2",J4909="P3",J4909="P4")),IF(OR(U4909=1,U4909="1"),"adequate","partial"),INDEX(Fit_Matrix!$B:$B,MATCH(P4909,Fit_Matrix!$A:$A,0)))),"CHECK KEY"))</f>
        <v/>
      </c>
      <c r="U4909" s="10" t="n"/>
      <c r="V4909" s="10" t="n"/>
      <c r="W4909" s="10" t="n"/>
      <c r="X4909" s="10" t="n"/>
      <c r="Y4909" s="10" t="n"/>
      <c r="Z4909" s="10" t="n"/>
      <c r="AA4909" s="11">
        <f>IF(A4909="","",IF(AND(J4909="P4",F4909="causal"),"P4-CAUSAL",""))</f>
        <v/>
      </c>
    </row>
    <row r="4910" ht="15" customHeight="1" s="1">
      <c r="P4910">
        <f>IF(OR(F4910="",H4910="",J4910=""),"",J4910&amp;"|"&amp;F4910&amp;"|"&amp;IF(H4910="W3","W3_"&amp;IF(I4910="","unknown",I4910),H4910))</f>
        <v/>
      </c>
      <c r="Q4910">
        <f>IF(P4910="","",IFERROR(IF(AND(H4910="W7",OR(F4910="causal",F4910="predictive")),IF(AND(OR(K4910=1,K4910="1"),OR(L4910=1,L4910="1"),OR(M4910=1,M4910="1")),"adequate","partial"),IF(AND(H4910="W4",F4910="predictive",OR(J4910="P2",J4910="P3",J4910="P4")),IF(OR(U4910=1,U4910="1"),"adequate","partial"),INDEX(Fit_Matrix!$B:$B,MATCH(P4910,Fit_Matrix!$A:$A,0)))),"CHECK KEY"))</f>
        <v/>
      </c>
      <c r="U4910" s="10" t="n"/>
      <c r="V4910" s="10" t="n"/>
      <c r="W4910" s="10" t="n"/>
      <c r="X4910" s="10" t="n"/>
      <c r="Y4910" s="10" t="n"/>
      <c r="Z4910" s="10" t="n"/>
      <c r="AA4910" s="11">
        <f>IF(A4910="","",IF(AND(J4910="P4",F4910="causal"),"P4-CAUSAL",""))</f>
        <v/>
      </c>
    </row>
    <row r="4911" ht="15" customHeight="1" s="1">
      <c r="P4911">
        <f>IF(OR(F4911="",H4911="",J4911=""),"",J4911&amp;"|"&amp;F4911&amp;"|"&amp;IF(H4911="W3","W3_"&amp;IF(I4911="","unknown",I4911),H4911))</f>
        <v/>
      </c>
      <c r="Q4911">
        <f>IF(P4911="","",IFERROR(IF(AND(H4911="W7",OR(F4911="causal",F4911="predictive")),IF(AND(OR(K4911=1,K4911="1"),OR(L4911=1,L4911="1"),OR(M4911=1,M4911="1")),"adequate","partial"),IF(AND(H4911="W4",F4911="predictive",OR(J4911="P2",J4911="P3",J4911="P4")),IF(OR(U4911=1,U4911="1"),"adequate","partial"),INDEX(Fit_Matrix!$B:$B,MATCH(P4911,Fit_Matrix!$A:$A,0)))),"CHECK KEY"))</f>
        <v/>
      </c>
      <c r="U4911" s="10" t="n"/>
      <c r="V4911" s="10" t="n"/>
      <c r="W4911" s="10" t="n"/>
      <c r="X4911" s="10" t="n"/>
      <c r="Y4911" s="10" t="n"/>
      <c r="Z4911" s="10" t="n"/>
      <c r="AA4911" s="11">
        <f>IF(A4911="","",IF(AND(J4911="P4",F4911="causal"),"P4-CAUSAL",""))</f>
        <v/>
      </c>
    </row>
    <row r="4912" ht="15" customHeight="1" s="1">
      <c r="P4912">
        <f>IF(OR(F4912="",H4912="",J4912=""),"",J4912&amp;"|"&amp;F4912&amp;"|"&amp;IF(H4912="W3","W3_"&amp;IF(I4912="","unknown",I4912),H4912))</f>
        <v/>
      </c>
      <c r="Q4912">
        <f>IF(P4912="","",IFERROR(IF(AND(H4912="W7",OR(F4912="causal",F4912="predictive")),IF(AND(OR(K4912=1,K4912="1"),OR(L4912=1,L4912="1"),OR(M4912=1,M4912="1")),"adequate","partial"),IF(AND(H4912="W4",F4912="predictive",OR(J4912="P2",J4912="P3",J4912="P4")),IF(OR(U4912=1,U4912="1"),"adequate","partial"),INDEX(Fit_Matrix!$B:$B,MATCH(P4912,Fit_Matrix!$A:$A,0)))),"CHECK KEY"))</f>
        <v/>
      </c>
      <c r="U4912" s="10" t="n"/>
      <c r="V4912" s="10" t="n"/>
      <c r="W4912" s="10" t="n"/>
      <c r="X4912" s="10" t="n"/>
      <c r="Y4912" s="10" t="n"/>
      <c r="Z4912" s="10" t="n"/>
      <c r="AA4912" s="11">
        <f>IF(A4912="","",IF(AND(J4912="P4",F4912="causal"),"P4-CAUSAL",""))</f>
        <v/>
      </c>
    </row>
    <row r="4913" ht="15" customHeight="1" s="1">
      <c r="P4913">
        <f>IF(OR(F4913="",H4913="",J4913=""),"",J4913&amp;"|"&amp;F4913&amp;"|"&amp;IF(H4913="W3","W3_"&amp;IF(I4913="","unknown",I4913),H4913))</f>
        <v/>
      </c>
      <c r="Q4913">
        <f>IF(P4913="","",IFERROR(IF(AND(H4913="W7",OR(F4913="causal",F4913="predictive")),IF(AND(OR(K4913=1,K4913="1"),OR(L4913=1,L4913="1"),OR(M4913=1,M4913="1")),"adequate","partial"),IF(AND(H4913="W4",F4913="predictive",OR(J4913="P2",J4913="P3",J4913="P4")),IF(OR(U4913=1,U4913="1"),"adequate","partial"),INDEX(Fit_Matrix!$B:$B,MATCH(P4913,Fit_Matrix!$A:$A,0)))),"CHECK KEY"))</f>
        <v/>
      </c>
      <c r="U4913" s="10" t="n"/>
      <c r="V4913" s="10" t="n"/>
      <c r="W4913" s="10" t="n"/>
      <c r="X4913" s="10" t="n"/>
      <c r="Y4913" s="10" t="n"/>
      <c r="Z4913" s="10" t="n"/>
      <c r="AA4913" s="11">
        <f>IF(A4913="","",IF(AND(J4913="P4",F4913="causal"),"P4-CAUSAL",""))</f>
        <v/>
      </c>
    </row>
    <row r="4914" ht="15" customHeight="1" s="1">
      <c r="P4914">
        <f>IF(OR(F4914="",H4914="",J4914=""),"",J4914&amp;"|"&amp;F4914&amp;"|"&amp;IF(H4914="W3","W3_"&amp;IF(I4914="","unknown",I4914),H4914))</f>
        <v/>
      </c>
      <c r="Q4914">
        <f>IF(P4914="","",IFERROR(IF(AND(H4914="W7",OR(F4914="causal",F4914="predictive")),IF(AND(OR(K4914=1,K4914="1"),OR(L4914=1,L4914="1"),OR(M4914=1,M4914="1")),"adequate","partial"),IF(AND(H4914="W4",F4914="predictive",OR(J4914="P2",J4914="P3",J4914="P4")),IF(OR(U4914=1,U4914="1"),"adequate","partial"),INDEX(Fit_Matrix!$B:$B,MATCH(P4914,Fit_Matrix!$A:$A,0)))),"CHECK KEY"))</f>
        <v/>
      </c>
      <c r="U4914" s="10" t="n"/>
      <c r="V4914" s="10" t="n"/>
      <c r="W4914" s="10" t="n"/>
      <c r="X4914" s="10" t="n"/>
      <c r="Y4914" s="10" t="n"/>
      <c r="Z4914" s="10" t="n"/>
      <c r="AA4914" s="11">
        <f>IF(A4914="","",IF(AND(J4914="P4",F4914="causal"),"P4-CAUSAL",""))</f>
        <v/>
      </c>
    </row>
    <row r="4915" ht="15" customHeight="1" s="1">
      <c r="P4915">
        <f>IF(OR(F4915="",H4915="",J4915=""),"",J4915&amp;"|"&amp;F4915&amp;"|"&amp;IF(H4915="W3","W3_"&amp;IF(I4915="","unknown",I4915),H4915))</f>
        <v/>
      </c>
      <c r="Q4915">
        <f>IF(P4915="","",IFERROR(IF(AND(H4915="W7",OR(F4915="causal",F4915="predictive")),IF(AND(OR(K4915=1,K4915="1"),OR(L4915=1,L4915="1"),OR(M4915=1,M4915="1")),"adequate","partial"),IF(AND(H4915="W4",F4915="predictive",OR(J4915="P2",J4915="P3",J4915="P4")),IF(OR(U4915=1,U4915="1"),"adequate","partial"),INDEX(Fit_Matrix!$B:$B,MATCH(P4915,Fit_Matrix!$A:$A,0)))),"CHECK KEY"))</f>
        <v/>
      </c>
      <c r="U4915" s="10" t="n"/>
      <c r="V4915" s="10" t="n"/>
      <c r="W4915" s="10" t="n"/>
      <c r="X4915" s="10" t="n"/>
      <c r="Y4915" s="10" t="n"/>
      <c r="Z4915" s="10" t="n"/>
      <c r="AA4915" s="11">
        <f>IF(A4915="","",IF(AND(J4915="P4",F4915="causal"),"P4-CAUSAL",""))</f>
        <v/>
      </c>
    </row>
    <row r="4916" ht="15" customHeight="1" s="1">
      <c r="P4916">
        <f>IF(OR(F4916="",H4916="",J4916=""),"",J4916&amp;"|"&amp;F4916&amp;"|"&amp;IF(H4916="W3","W3_"&amp;IF(I4916="","unknown",I4916),H4916))</f>
        <v/>
      </c>
      <c r="Q4916">
        <f>IF(P4916="","",IFERROR(IF(AND(H4916="W7",OR(F4916="causal",F4916="predictive")),IF(AND(OR(K4916=1,K4916="1"),OR(L4916=1,L4916="1"),OR(M4916=1,M4916="1")),"adequate","partial"),IF(AND(H4916="W4",F4916="predictive",OR(J4916="P2",J4916="P3",J4916="P4")),IF(OR(U4916=1,U4916="1"),"adequate","partial"),INDEX(Fit_Matrix!$B:$B,MATCH(P4916,Fit_Matrix!$A:$A,0)))),"CHECK KEY"))</f>
        <v/>
      </c>
      <c r="U4916" s="10" t="n"/>
      <c r="V4916" s="10" t="n"/>
      <c r="W4916" s="10" t="n"/>
      <c r="X4916" s="10" t="n"/>
      <c r="Y4916" s="10" t="n"/>
      <c r="Z4916" s="10" t="n"/>
      <c r="AA4916" s="11">
        <f>IF(A4916="","",IF(AND(J4916="P4",F4916="causal"),"P4-CAUSAL",""))</f>
        <v/>
      </c>
    </row>
    <row r="4917" ht="15" customHeight="1" s="1">
      <c r="P4917">
        <f>IF(OR(F4917="",H4917="",J4917=""),"",J4917&amp;"|"&amp;F4917&amp;"|"&amp;IF(H4917="W3","W3_"&amp;IF(I4917="","unknown",I4917),H4917))</f>
        <v/>
      </c>
      <c r="Q4917">
        <f>IF(P4917="","",IFERROR(IF(AND(H4917="W7",OR(F4917="causal",F4917="predictive")),IF(AND(OR(K4917=1,K4917="1"),OR(L4917=1,L4917="1"),OR(M4917=1,M4917="1")),"adequate","partial"),IF(AND(H4917="W4",F4917="predictive",OR(J4917="P2",J4917="P3",J4917="P4")),IF(OR(U4917=1,U4917="1"),"adequate","partial"),INDEX(Fit_Matrix!$B:$B,MATCH(P4917,Fit_Matrix!$A:$A,0)))),"CHECK KEY"))</f>
        <v/>
      </c>
      <c r="U4917" s="10" t="n"/>
      <c r="V4917" s="10" t="n"/>
      <c r="W4917" s="10" t="n"/>
      <c r="X4917" s="10" t="n"/>
      <c r="Y4917" s="10" t="n"/>
      <c r="Z4917" s="10" t="n"/>
      <c r="AA4917" s="11">
        <f>IF(A4917="","",IF(AND(J4917="P4",F4917="causal"),"P4-CAUSAL",""))</f>
        <v/>
      </c>
    </row>
    <row r="4918" ht="15" customHeight="1" s="1">
      <c r="P4918">
        <f>IF(OR(F4918="",H4918="",J4918=""),"",J4918&amp;"|"&amp;F4918&amp;"|"&amp;IF(H4918="W3","W3_"&amp;IF(I4918="","unknown",I4918),H4918))</f>
        <v/>
      </c>
      <c r="Q4918">
        <f>IF(P4918="","",IFERROR(IF(AND(H4918="W7",OR(F4918="causal",F4918="predictive")),IF(AND(OR(K4918=1,K4918="1"),OR(L4918=1,L4918="1"),OR(M4918=1,M4918="1")),"adequate","partial"),IF(AND(H4918="W4",F4918="predictive",OR(J4918="P2",J4918="P3",J4918="P4")),IF(OR(U4918=1,U4918="1"),"adequate","partial"),INDEX(Fit_Matrix!$B:$B,MATCH(P4918,Fit_Matrix!$A:$A,0)))),"CHECK KEY"))</f>
        <v/>
      </c>
      <c r="U4918" s="10" t="n"/>
      <c r="V4918" s="10" t="n"/>
      <c r="W4918" s="10" t="n"/>
      <c r="X4918" s="10" t="n"/>
      <c r="Y4918" s="10" t="n"/>
      <c r="Z4918" s="10" t="n"/>
      <c r="AA4918" s="11">
        <f>IF(A4918="","",IF(AND(J4918="P4",F4918="causal"),"P4-CAUSAL",""))</f>
        <v/>
      </c>
    </row>
    <row r="4919" ht="15" customHeight="1" s="1">
      <c r="P4919">
        <f>IF(OR(F4919="",H4919="",J4919=""),"",J4919&amp;"|"&amp;F4919&amp;"|"&amp;IF(H4919="W3","W3_"&amp;IF(I4919="","unknown",I4919),H4919))</f>
        <v/>
      </c>
      <c r="Q4919">
        <f>IF(P4919="","",IFERROR(IF(AND(H4919="W7",OR(F4919="causal",F4919="predictive")),IF(AND(OR(K4919=1,K4919="1"),OR(L4919=1,L4919="1"),OR(M4919=1,M4919="1")),"adequate","partial"),IF(AND(H4919="W4",F4919="predictive",OR(J4919="P2",J4919="P3",J4919="P4")),IF(OR(U4919=1,U4919="1"),"adequate","partial"),INDEX(Fit_Matrix!$B:$B,MATCH(P4919,Fit_Matrix!$A:$A,0)))),"CHECK KEY"))</f>
        <v/>
      </c>
      <c r="U4919" s="10" t="n"/>
      <c r="V4919" s="10" t="n"/>
      <c r="W4919" s="10" t="n"/>
      <c r="X4919" s="10" t="n"/>
      <c r="Y4919" s="10" t="n"/>
      <c r="Z4919" s="10" t="n"/>
      <c r="AA4919" s="11">
        <f>IF(A4919="","",IF(AND(J4919="P4",F4919="causal"),"P4-CAUSAL",""))</f>
        <v/>
      </c>
    </row>
    <row r="4920" ht="15" customHeight="1" s="1">
      <c r="P4920">
        <f>IF(OR(F4920="",H4920="",J4920=""),"",J4920&amp;"|"&amp;F4920&amp;"|"&amp;IF(H4920="W3","W3_"&amp;IF(I4920="","unknown",I4920),H4920))</f>
        <v/>
      </c>
      <c r="Q4920">
        <f>IF(P4920="","",IFERROR(IF(AND(H4920="W7",OR(F4920="causal",F4920="predictive")),IF(AND(OR(K4920=1,K4920="1"),OR(L4920=1,L4920="1"),OR(M4920=1,M4920="1")),"adequate","partial"),IF(AND(H4920="W4",F4920="predictive",OR(J4920="P2",J4920="P3",J4920="P4")),IF(OR(U4920=1,U4920="1"),"adequate","partial"),INDEX(Fit_Matrix!$B:$B,MATCH(P4920,Fit_Matrix!$A:$A,0)))),"CHECK KEY"))</f>
        <v/>
      </c>
      <c r="U4920" s="10" t="n"/>
      <c r="V4920" s="10" t="n"/>
      <c r="W4920" s="10" t="n"/>
      <c r="X4920" s="10" t="n"/>
      <c r="Y4920" s="10" t="n"/>
      <c r="Z4920" s="10" t="n"/>
      <c r="AA4920" s="11">
        <f>IF(A4920="","",IF(AND(J4920="P4",F4920="causal"),"P4-CAUSAL",""))</f>
        <v/>
      </c>
    </row>
    <row r="4921" ht="15" customHeight="1" s="1">
      <c r="P4921">
        <f>IF(OR(F4921="",H4921="",J4921=""),"",J4921&amp;"|"&amp;F4921&amp;"|"&amp;IF(H4921="W3","W3_"&amp;IF(I4921="","unknown",I4921),H4921))</f>
        <v/>
      </c>
      <c r="Q4921">
        <f>IF(P4921="","",IFERROR(IF(AND(H4921="W7",OR(F4921="causal",F4921="predictive")),IF(AND(OR(K4921=1,K4921="1"),OR(L4921=1,L4921="1"),OR(M4921=1,M4921="1")),"adequate","partial"),IF(AND(H4921="W4",F4921="predictive",OR(J4921="P2",J4921="P3",J4921="P4")),IF(OR(U4921=1,U4921="1"),"adequate","partial"),INDEX(Fit_Matrix!$B:$B,MATCH(P4921,Fit_Matrix!$A:$A,0)))),"CHECK KEY"))</f>
        <v/>
      </c>
      <c r="U4921" s="10" t="n"/>
      <c r="V4921" s="10" t="n"/>
      <c r="W4921" s="10" t="n"/>
      <c r="X4921" s="10" t="n"/>
      <c r="Y4921" s="10" t="n"/>
      <c r="Z4921" s="10" t="n"/>
      <c r="AA4921" s="11">
        <f>IF(A4921="","",IF(AND(J4921="P4",F4921="causal"),"P4-CAUSAL",""))</f>
        <v/>
      </c>
    </row>
    <row r="4922" ht="15" customHeight="1" s="1">
      <c r="P4922">
        <f>IF(OR(F4922="",H4922="",J4922=""),"",J4922&amp;"|"&amp;F4922&amp;"|"&amp;IF(H4922="W3","W3_"&amp;IF(I4922="","unknown",I4922),H4922))</f>
        <v/>
      </c>
      <c r="Q4922">
        <f>IF(P4922="","",IFERROR(IF(AND(H4922="W7",OR(F4922="causal",F4922="predictive")),IF(AND(OR(K4922=1,K4922="1"),OR(L4922=1,L4922="1"),OR(M4922=1,M4922="1")),"adequate","partial"),IF(AND(H4922="W4",F4922="predictive",OR(J4922="P2",J4922="P3",J4922="P4")),IF(OR(U4922=1,U4922="1"),"adequate","partial"),INDEX(Fit_Matrix!$B:$B,MATCH(P4922,Fit_Matrix!$A:$A,0)))),"CHECK KEY"))</f>
        <v/>
      </c>
      <c r="U4922" s="10" t="n"/>
      <c r="V4922" s="10" t="n"/>
      <c r="W4922" s="10" t="n"/>
      <c r="X4922" s="10" t="n"/>
      <c r="Y4922" s="10" t="n"/>
      <c r="Z4922" s="10" t="n"/>
      <c r="AA4922" s="11">
        <f>IF(A4922="","",IF(AND(J4922="P4",F4922="causal"),"P4-CAUSAL",""))</f>
        <v/>
      </c>
    </row>
    <row r="4923" ht="15" customHeight="1" s="1">
      <c r="P4923">
        <f>IF(OR(F4923="",H4923="",J4923=""),"",J4923&amp;"|"&amp;F4923&amp;"|"&amp;IF(H4923="W3","W3_"&amp;IF(I4923="","unknown",I4923),H4923))</f>
        <v/>
      </c>
      <c r="Q4923">
        <f>IF(P4923="","",IFERROR(IF(AND(H4923="W7",OR(F4923="causal",F4923="predictive")),IF(AND(OR(K4923=1,K4923="1"),OR(L4923=1,L4923="1"),OR(M4923=1,M4923="1")),"adequate","partial"),IF(AND(H4923="W4",F4923="predictive",OR(J4923="P2",J4923="P3",J4923="P4")),IF(OR(U4923=1,U4923="1"),"adequate","partial"),INDEX(Fit_Matrix!$B:$B,MATCH(P4923,Fit_Matrix!$A:$A,0)))),"CHECK KEY"))</f>
        <v/>
      </c>
      <c r="U4923" s="10" t="n"/>
      <c r="V4923" s="10" t="n"/>
      <c r="W4923" s="10" t="n"/>
      <c r="X4923" s="10" t="n"/>
      <c r="Y4923" s="10" t="n"/>
      <c r="Z4923" s="10" t="n"/>
      <c r="AA4923" s="11">
        <f>IF(A4923="","",IF(AND(J4923="P4",F4923="causal"),"P4-CAUSAL",""))</f>
        <v/>
      </c>
    </row>
    <row r="4924" ht="15" customHeight="1" s="1">
      <c r="P4924">
        <f>IF(OR(F4924="",H4924="",J4924=""),"",J4924&amp;"|"&amp;F4924&amp;"|"&amp;IF(H4924="W3","W3_"&amp;IF(I4924="","unknown",I4924),H4924))</f>
        <v/>
      </c>
      <c r="Q4924">
        <f>IF(P4924="","",IFERROR(IF(AND(H4924="W7",OR(F4924="causal",F4924="predictive")),IF(AND(OR(K4924=1,K4924="1"),OR(L4924=1,L4924="1"),OR(M4924=1,M4924="1")),"adequate","partial"),IF(AND(H4924="W4",F4924="predictive",OR(J4924="P2",J4924="P3",J4924="P4")),IF(OR(U4924=1,U4924="1"),"adequate","partial"),INDEX(Fit_Matrix!$B:$B,MATCH(P4924,Fit_Matrix!$A:$A,0)))),"CHECK KEY"))</f>
        <v/>
      </c>
      <c r="U4924" s="10" t="n"/>
      <c r="V4924" s="10" t="n"/>
      <c r="W4924" s="10" t="n"/>
      <c r="X4924" s="10" t="n"/>
      <c r="Y4924" s="10" t="n"/>
      <c r="Z4924" s="10" t="n"/>
      <c r="AA4924" s="11">
        <f>IF(A4924="","",IF(AND(J4924="P4",F4924="causal"),"P4-CAUSAL",""))</f>
        <v/>
      </c>
    </row>
    <row r="4925" ht="15" customHeight="1" s="1">
      <c r="P4925">
        <f>IF(OR(F4925="",H4925="",J4925=""),"",J4925&amp;"|"&amp;F4925&amp;"|"&amp;IF(H4925="W3","W3_"&amp;IF(I4925="","unknown",I4925),H4925))</f>
        <v/>
      </c>
      <c r="Q4925">
        <f>IF(P4925="","",IFERROR(IF(AND(H4925="W7",OR(F4925="causal",F4925="predictive")),IF(AND(OR(K4925=1,K4925="1"),OR(L4925=1,L4925="1"),OR(M4925=1,M4925="1")),"adequate","partial"),IF(AND(H4925="W4",F4925="predictive",OR(J4925="P2",J4925="P3",J4925="P4")),IF(OR(U4925=1,U4925="1"),"adequate","partial"),INDEX(Fit_Matrix!$B:$B,MATCH(P4925,Fit_Matrix!$A:$A,0)))),"CHECK KEY"))</f>
        <v/>
      </c>
      <c r="U4925" s="10" t="n"/>
      <c r="V4925" s="10" t="n"/>
      <c r="W4925" s="10" t="n"/>
      <c r="X4925" s="10" t="n"/>
      <c r="Y4925" s="10" t="n"/>
      <c r="Z4925" s="10" t="n"/>
      <c r="AA4925" s="11">
        <f>IF(A4925="","",IF(AND(J4925="P4",F4925="causal"),"P4-CAUSAL",""))</f>
        <v/>
      </c>
    </row>
    <row r="4926" ht="15" customHeight="1" s="1">
      <c r="P4926">
        <f>IF(OR(F4926="",H4926="",J4926=""),"",J4926&amp;"|"&amp;F4926&amp;"|"&amp;IF(H4926="W3","W3_"&amp;IF(I4926="","unknown",I4926),H4926))</f>
        <v/>
      </c>
      <c r="Q4926">
        <f>IF(P4926="","",IFERROR(IF(AND(H4926="W7",OR(F4926="causal",F4926="predictive")),IF(AND(OR(K4926=1,K4926="1"),OR(L4926=1,L4926="1"),OR(M4926=1,M4926="1")),"adequate","partial"),IF(AND(H4926="W4",F4926="predictive",OR(J4926="P2",J4926="P3",J4926="P4")),IF(OR(U4926=1,U4926="1"),"adequate","partial"),INDEX(Fit_Matrix!$B:$B,MATCH(P4926,Fit_Matrix!$A:$A,0)))),"CHECK KEY"))</f>
        <v/>
      </c>
      <c r="U4926" s="10" t="n"/>
      <c r="V4926" s="10" t="n"/>
      <c r="W4926" s="10" t="n"/>
      <c r="X4926" s="10" t="n"/>
      <c r="Y4926" s="10" t="n"/>
      <c r="Z4926" s="10" t="n"/>
      <c r="AA4926" s="11">
        <f>IF(A4926="","",IF(AND(J4926="P4",F4926="causal"),"P4-CAUSAL",""))</f>
        <v/>
      </c>
    </row>
    <row r="4927" ht="15" customHeight="1" s="1">
      <c r="P4927">
        <f>IF(OR(F4927="",H4927="",J4927=""),"",J4927&amp;"|"&amp;F4927&amp;"|"&amp;IF(H4927="W3","W3_"&amp;IF(I4927="","unknown",I4927),H4927))</f>
        <v/>
      </c>
      <c r="Q4927">
        <f>IF(P4927="","",IFERROR(IF(AND(H4927="W7",OR(F4927="causal",F4927="predictive")),IF(AND(OR(K4927=1,K4927="1"),OR(L4927=1,L4927="1"),OR(M4927=1,M4927="1")),"adequate","partial"),IF(AND(H4927="W4",F4927="predictive",OR(J4927="P2",J4927="P3",J4927="P4")),IF(OR(U4927=1,U4927="1"),"adequate","partial"),INDEX(Fit_Matrix!$B:$B,MATCH(P4927,Fit_Matrix!$A:$A,0)))),"CHECK KEY"))</f>
        <v/>
      </c>
      <c r="U4927" s="10" t="n"/>
      <c r="V4927" s="10" t="n"/>
      <c r="W4927" s="10" t="n"/>
      <c r="X4927" s="10" t="n"/>
      <c r="Y4927" s="10" t="n"/>
      <c r="Z4927" s="10" t="n"/>
      <c r="AA4927" s="11">
        <f>IF(A4927="","",IF(AND(J4927="P4",F4927="causal"),"P4-CAUSAL",""))</f>
        <v/>
      </c>
    </row>
    <row r="4928" ht="15" customHeight="1" s="1">
      <c r="P4928">
        <f>IF(OR(F4928="",H4928="",J4928=""),"",J4928&amp;"|"&amp;F4928&amp;"|"&amp;IF(H4928="W3","W3_"&amp;IF(I4928="","unknown",I4928),H4928))</f>
        <v/>
      </c>
      <c r="Q4928">
        <f>IF(P4928="","",IFERROR(IF(AND(H4928="W7",OR(F4928="causal",F4928="predictive")),IF(AND(OR(K4928=1,K4928="1"),OR(L4928=1,L4928="1"),OR(M4928=1,M4928="1")),"adequate","partial"),IF(AND(H4928="W4",F4928="predictive",OR(J4928="P2",J4928="P3",J4928="P4")),IF(OR(U4928=1,U4928="1"),"adequate","partial"),INDEX(Fit_Matrix!$B:$B,MATCH(P4928,Fit_Matrix!$A:$A,0)))),"CHECK KEY"))</f>
        <v/>
      </c>
      <c r="U4928" s="10" t="n"/>
      <c r="V4928" s="10" t="n"/>
      <c r="W4928" s="10" t="n"/>
      <c r="X4928" s="10" t="n"/>
      <c r="Y4928" s="10" t="n"/>
      <c r="Z4928" s="10" t="n"/>
      <c r="AA4928" s="11">
        <f>IF(A4928="","",IF(AND(J4928="P4",F4928="causal"),"P4-CAUSAL",""))</f>
        <v/>
      </c>
    </row>
    <row r="4929" ht="15" customHeight="1" s="1">
      <c r="P4929">
        <f>IF(OR(F4929="",H4929="",J4929=""),"",J4929&amp;"|"&amp;F4929&amp;"|"&amp;IF(H4929="W3","W3_"&amp;IF(I4929="","unknown",I4929),H4929))</f>
        <v/>
      </c>
      <c r="Q4929">
        <f>IF(P4929="","",IFERROR(IF(AND(H4929="W7",OR(F4929="causal",F4929="predictive")),IF(AND(OR(K4929=1,K4929="1"),OR(L4929=1,L4929="1"),OR(M4929=1,M4929="1")),"adequate","partial"),IF(AND(H4929="W4",F4929="predictive",OR(J4929="P2",J4929="P3",J4929="P4")),IF(OR(U4929=1,U4929="1"),"adequate","partial"),INDEX(Fit_Matrix!$B:$B,MATCH(P4929,Fit_Matrix!$A:$A,0)))),"CHECK KEY"))</f>
        <v/>
      </c>
      <c r="U4929" s="10" t="n"/>
      <c r="V4929" s="10" t="n"/>
      <c r="W4929" s="10" t="n"/>
      <c r="X4929" s="10" t="n"/>
      <c r="Y4929" s="10" t="n"/>
      <c r="Z4929" s="10" t="n"/>
      <c r="AA4929" s="11">
        <f>IF(A4929="","",IF(AND(J4929="P4",F4929="causal"),"P4-CAUSAL",""))</f>
        <v/>
      </c>
    </row>
    <row r="4930" ht="15" customHeight="1" s="1">
      <c r="P4930">
        <f>IF(OR(F4930="",H4930="",J4930=""),"",J4930&amp;"|"&amp;F4930&amp;"|"&amp;IF(H4930="W3","W3_"&amp;IF(I4930="","unknown",I4930),H4930))</f>
        <v/>
      </c>
      <c r="Q4930">
        <f>IF(P4930="","",IFERROR(IF(AND(H4930="W7",OR(F4930="causal",F4930="predictive")),IF(AND(OR(K4930=1,K4930="1"),OR(L4930=1,L4930="1"),OR(M4930=1,M4930="1")),"adequate","partial"),IF(AND(H4930="W4",F4930="predictive",OR(J4930="P2",J4930="P3",J4930="P4")),IF(OR(U4930=1,U4930="1"),"adequate","partial"),INDEX(Fit_Matrix!$B:$B,MATCH(P4930,Fit_Matrix!$A:$A,0)))),"CHECK KEY"))</f>
        <v/>
      </c>
      <c r="U4930" s="10" t="n"/>
      <c r="V4930" s="10" t="n"/>
      <c r="W4930" s="10" t="n"/>
      <c r="X4930" s="10" t="n"/>
      <c r="Y4930" s="10" t="n"/>
      <c r="Z4930" s="10" t="n"/>
      <c r="AA4930" s="11">
        <f>IF(A4930="","",IF(AND(J4930="P4",F4930="causal"),"P4-CAUSAL",""))</f>
        <v/>
      </c>
    </row>
    <row r="4931" ht="15" customHeight="1" s="1">
      <c r="P4931">
        <f>IF(OR(F4931="",H4931="",J4931=""),"",J4931&amp;"|"&amp;F4931&amp;"|"&amp;IF(H4931="W3","W3_"&amp;IF(I4931="","unknown",I4931),H4931))</f>
        <v/>
      </c>
      <c r="Q4931">
        <f>IF(P4931="","",IFERROR(IF(AND(H4931="W7",OR(F4931="causal",F4931="predictive")),IF(AND(OR(K4931=1,K4931="1"),OR(L4931=1,L4931="1"),OR(M4931=1,M4931="1")),"adequate","partial"),IF(AND(H4931="W4",F4931="predictive",OR(J4931="P2",J4931="P3",J4931="P4")),IF(OR(U4931=1,U4931="1"),"adequate","partial"),INDEX(Fit_Matrix!$B:$B,MATCH(P4931,Fit_Matrix!$A:$A,0)))),"CHECK KEY"))</f>
        <v/>
      </c>
      <c r="U4931" s="10" t="n"/>
      <c r="V4931" s="10" t="n"/>
      <c r="W4931" s="10" t="n"/>
      <c r="X4931" s="10" t="n"/>
      <c r="Y4931" s="10" t="n"/>
      <c r="Z4931" s="10" t="n"/>
      <c r="AA4931" s="11">
        <f>IF(A4931="","",IF(AND(J4931="P4",F4931="causal"),"P4-CAUSAL",""))</f>
        <v/>
      </c>
    </row>
    <row r="4932" ht="15" customHeight="1" s="1">
      <c r="P4932">
        <f>IF(OR(F4932="",H4932="",J4932=""),"",J4932&amp;"|"&amp;F4932&amp;"|"&amp;IF(H4932="W3","W3_"&amp;IF(I4932="","unknown",I4932),H4932))</f>
        <v/>
      </c>
      <c r="Q4932">
        <f>IF(P4932="","",IFERROR(IF(AND(H4932="W7",OR(F4932="causal",F4932="predictive")),IF(AND(OR(K4932=1,K4932="1"),OR(L4932=1,L4932="1"),OR(M4932=1,M4932="1")),"adequate","partial"),IF(AND(H4932="W4",F4932="predictive",OR(J4932="P2",J4932="P3",J4932="P4")),IF(OR(U4932=1,U4932="1"),"adequate","partial"),INDEX(Fit_Matrix!$B:$B,MATCH(P4932,Fit_Matrix!$A:$A,0)))),"CHECK KEY"))</f>
        <v/>
      </c>
      <c r="U4932" s="10" t="n"/>
      <c r="V4932" s="10" t="n"/>
      <c r="W4932" s="10" t="n"/>
      <c r="X4932" s="10" t="n"/>
      <c r="Y4932" s="10" t="n"/>
      <c r="Z4932" s="10" t="n"/>
      <c r="AA4932" s="11">
        <f>IF(A4932="","",IF(AND(J4932="P4",F4932="causal"),"P4-CAUSAL",""))</f>
        <v/>
      </c>
    </row>
    <row r="4933" ht="15" customHeight="1" s="1">
      <c r="P4933">
        <f>IF(OR(F4933="",H4933="",J4933=""),"",J4933&amp;"|"&amp;F4933&amp;"|"&amp;IF(H4933="W3","W3_"&amp;IF(I4933="","unknown",I4933),H4933))</f>
        <v/>
      </c>
      <c r="Q4933">
        <f>IF(P4933="","",IFERROR(IF(AND(H4933="W7",OR(F4933="causal",F4933="predictive")),IF(AND(OR(K4933=1,K4933="1"),OR(L4933=1,L4933="1"),OR(M4933=1,M4933="1")),"adequate","partial"),IF(AND(H4933="W4",F4933="predictive",OR(J4933="P2",J4933="P3",J4933="P4")),IF(OR(U4933=1,U4933="1"),"adequate","partial"),INDEX(Fit_Matrix!$B:$B,MATCH(P4933,Fit_Matrix!$A:$A,0)))),"CHECK KEY"))</f>
        <v/>
      </c>
      <c r="U4933" s="10" t="n"/>
      <c r="V4933" s="10" t="n"/>
      <c r="W4933" s="10" t="n"/>
      <c r="X4933" s="10" t="n"/>
      <c r="Y4933" s="10" t="n"/>
      <c r="Z4933" s="10" t="n"/>
      <c r="AA4933" s="11">
        <f>IF(A4933="","",IF(AND(J4933="P4",F4933="causal"),"P4-CAUSAL",""))</f>
        <v/>
      </c>
    </row>
    <row r="4934" ht="15" customHeight="1" s="1">
      <c r="P4934">
        <f>IF(OR(F4934="",H4934="",J4934=""),"",J4934&amp;"|"&amp;F4934&amp;"|"&amp;IF(H4934="W3","W3_"&amp;IF(I4934="","unknown",I4934),H4934))</f>
        <v/>
      </c>
      <c r="Q4934">
        <f>IF(P4934="","",IFERROR(IF(AND(H4934="W7",OR(F4934="causal",F4934="predictive")),IF(AND(OR(K4934=1,K4934="1"),OR(L4934=1,L4934="1"),OR(M4934=1,M4934="1")),"adequate","partial"),IF(AND(H4934="W4",F4934="predictive",OR(J4934="P2",J4934="P3",J4934="P4")),IF(OR(U4934=1,U4934="1"),"adequate","partial"),INDEX(Fit_Matrix!$B:$B,MATCH(P4934,Fit_Matrix!$A:$A,0)))),"CHECK KEY"))</f>
        <v/>
      </c>
      <c r="U4934" s="10" t="n"/>
      <c r="V4934" s="10" t="n"/>
      <c r="W4934" s="10" t="n"/>
      <c r="X4934" s="10" t="n"/>
      <c r="Y4934" s="10" t="n"/>
      <c r="Z4934" s="10" t="n"/>
      <c r="AA4934" s="11">
        <f>IF(A4934="","",IF(AND(J4934="P4",F4934="causal"),"P4-CAUSAL",""))</f>
        <v/>
      </c>
    </row>
    <row r="4935" ht="15" customHeight="1" s="1">
      <c r="P4935">
        <f>IF(OR(F4935="",H4935="",J4935=""),"",J4935&amp;"|"&amp;F4935&amp;"|"&amp;IF(H4935="W3","W3_"&amp;IF(I4935="","unknown",I4935),H4935))</f>
        <v/>
      </c>
      <c r="Q4935">
        <f>IF(P4935="","",IFERROR(IF(AND(H4935="W7",OR(F4935="causal",F4935="predictive")),IF(AND(OR(K4935=1,K4935="1"),OR(L4935=1,L4935="1"),OR(M4935=1,M4935="1")),"adequate","partial"),IF(AND(H4935="W4",F4935="predictive",OR(J4935="P2",J4935="P3",J4935="P4")),IF(OR(U4935=1,U4935="1"),"adequate","partial"),INDEX(Fit_Matrix!$B:$B,MATCH(P4935,Fit_Matrix!$A:$A,0)))),"CHECK KEY"))</f>
        <v/>
      </c>
      <c r="U4935" s="10" t="n"/>
      <c r="V4935" s="10" t="n"/>
      <c r="W4935" s="10" t="n"/>
      <c r="X4935" s="10" t="n"/>
      <c r="Y4935" s="10" t="n"/>
      <c r="Z4935" s="10" t="n"/>
      <c r="AA4935" s="11">
        <f>IF(A4935="","",IF(AND(J4935="P4",F4935="causal"),"P4-CAUSAL",""))</f>
        <v/>
      </c>
    </row>
    <row r="4936" ht="15" customHeight="1" s="1">
      <c r="P4936">
        <f>IF(OR(F4936="",H4936="",J4936=""),"",J4936&amp;"|"&amp;F4936&amp;"|"&amp;IF(H4936="W3","W3_"&amp;IF(I4936="","unknown",I4936),H4936))</f>
        <v/>
      </c>
      <c r="Q4936">
        <f>IF(P4936="","",IFERROR(IF(AND(H4936="W7",OR(F4936="causal",F4936="predictive")),IF(AND(OR(K4936=1,K4936="1"),OR(L4936=1,L4936="1"),OR(M4936=1,M4936="1")),"adequate","partial"),IF(AND(H4936="W4",F4936="predictive",OR(J4936="P2",J4936="P3",J4936="P4")),IF(OR(U4936=1,U4936="1"),"adequate","partial"),INDEX(Fit_Matrix!$B:$B,MATCH(P4936,Fit_Matrix!$A:$A,0)))),"CHECK KEY"))</f>
        <v/>
      </c>
      <c r="U4936" s="10" t="n"/>
      <c r="V4936" s="10" t="n"/>
      <c r="W4936" s="10" t="n"/>
      <c r="X4936" s="10" t="n"/>
      <c r="Y4936" s="10" t="n"/>
      <c r="Z4936" s="10" t="n"/>
      <c r="AA4936" s="11">
        <f>IF(A4936="","",IF(AND(J4936="P4",F4936="causal"),"P4-CAUSAL",""))</f>
        <v/>
      </c>
    </row>
    <row r="4937" ht="15" customHeight="1" s="1">
      <c r="P4937">
        <f>IF(OR(F4937="",H4937="",J4937=""),"",J4937&amp;"|"&amp;F4937&amp;"|"&amp;IF(H4937="W3","W3_"&amp;IF(I4937="","unknown",I4937),H4937))</f>
        <v/>
      </c>
      <c r="Q4937">
        <f>IF(P4937="","",IFERROR(IF(AND(H4937="W7",OR(F4937="causal",F4937="predictive")),IF(AND(OR(K4937=1,K4937="1"),OR(L4937=1,L4937="1"),OR(M4937=1,M4937="1")),"adequate","partial"),IF(AND(H4937="W4",F4937="predictive",OR(J4937="P2",J4937="P3",J4937="P4")),IF(OR(U4937=1,U4937="1"),"adequate","partial"),INDEX(Fit_Matrix!$B:$B,MATCH(P4937,Fit_Matrix!$A:$A,0)))),"CHECK KEY"))</f>
        <v/>
      </c>
      <c r="U4937" s="10" t="n"/>
      <c r="V4937" s="10" t="n"/>
      <c r="W4937" s="10" t="n"/>
      <c r="X4937" s="10" t="n"/>
      <c r="Y4937" s="10" t="n"/>
      <c r="Z4937" s="10" t="n"/>
      <c r="AA4937" s="11">
        <f>IF(A4937="","",IF(AND(J4937="P4",F4937="causal"),"P4-CAUSAL",""))</f>
        <v/>
      </c>
    </row>
    <row r="4938" ht="15" customHeight="1" s="1">
      <c r="P4938">
        <f>IF(OR(F4938="",H4938="",J4938=""),"",J4938&amp;"|"&amp;F4938&amp;"|"&amp;IF(H4938="W3","W3_"&amp;IF(I4938="","unknown",I4938),H4938))</f>
        <v/>
      </c>
      <c r="Q4938">
        <f>IF(P4938="","",IFERROR(IF(AND(H4938="W7",OR(F4938="causal",F4938="predictive")),IF(AND(OR(K4938=1,K4938="1"),OR(L4938=1,L4938="1"),OR(M4938=1,M4938="1")),"adequate","partial"),IF(AND(H4938="W4",F4938="predictive",OR(J4938="P2",J4938="P3",J4938="P4")),IF(OR(U4938=1,U4938="1"),"adequate","partial"),INDEX(Fit_Matrix!$B:$B,MATCH(P4938,Fit_Matrix!$A:$A,0)))),"CHECK KEY"))</f>
        <v/>
      </c>
      <c r="U4938" s="10" t="n"/>
      <c r="V4938" s="10" t="n"/>
      <c r="W4938" s="10" t="n"/>
      <c r="X4938" s="10" t="n"/>
      <c r="Y4938" s="10" t="n"/>
      <c r="Z4938" s="10" t="n"/>
      <c r="AA4938" s="11">
        <f>IF(A4938="","",IF(AND(J4938="P4",F4938="causal"),"P4-CAUSAL",""))</f>
        <v/>
      </c>
    </row>
    <row r="4939" ht="15" customHeight="1" s="1">
      <c r="P4939">
        <f>IF(OR(F4939="",H4939="",J4939=""),"",J4939&amp;"|"&amp;F4939&amp;"|"&amp;IF(H4939="W3","W3_"&amp;IF(I4939="","unknown",I4939),H4939))</f>
        <v/>
      </c>
      <c r="Q4939">
        <f>IF(P4939="","",IFERROR(IF(AND(H4939="W7",OR(F4939="causal",F4939="predictive")),IF(AND(OR(K4939=1,K4939="1"),OR(L4939=1,L4939="1"),OR(M4939=1,M4939="1")),"adequate","partial"),IF(AND(H4939="W4",F4939="predictive",OR(J4939="P2",J4939="P3",J4939="P4")),IF(OR(U4939=1,U4939="1"),"adequate","partial"),INDEX(Fit_Matrix!$B:$B,MATCH(P4939,Fit_Matrix!$A:$A,0)))),"CHECK KEY"))</f>
        <v/>
      </c>
      <c r="U4939" s="10" t="n"/>
      <c r="V4939" s="10" t="n"/>
      <c r="W4939" s="10" t="n"/>
      <c r="X4939" s="10" t="n"/>
      <c r="Y4939" s="10" t="n"/>
      <c r="Z4939" s="10" t="n"/>
      <c r="AA4939" s="11">
        <f>IF(A4939="","",IF(AND(J4939="P4",F4939="causal"),"P4-CAUSAL",""))</f>
        <v/>
      </c>
    </row>
    <row r="4940" ht="15" customHeight="1" s="1">
      <c r="P4940">
        <f>IF(OR(F4940="",H4940="",J4940=""),"",J4940&amp;"|"&amp;F4940&amp;"|"&amp;IF(H4940="W3","W3_"&amp;IF(I4940="","unknown",I4940),H4940))</f>
        <v/>
      </c>
      <c r="Q4940">
        <f>IF(P4940="","",IFERROR(IF(AND(H4940="W7",OR(F4940="causal",F4940="predictive")),IF(AND(OR(K4940=1,K4940="1"),OR(L4940=1,L4940="1"),OR(M4940=1,M4940="1")),"adequate","partial"),IF(AND(H4940="W4",F4940="predictive",OR(J4940="P2",J4940="P3",J4940="P4")),IF(OR(U4940=1,U4940="1"),"adequate","partial"),INDEX(Fit_Matrix!$B:$B,MATCH(P4940,Fit_Matrix!$A:$A,0)))),"CHECK KEY"))</f>
        <v/>
      </c>
      <c r="U4940" s="10" t="n"/>
      <c r="V4940" s="10" t="n"/>
      <c r="W4940" s="10" t="n"/>
      <c r="X4940" s="10" t="n"/>
      <c r="Y4940" s="10" t="n"/>
      <c r="Z4940" s="10" t="n"/>
      <c r="AA4940" s="11">
        <f>IF(A4940="","",IF(AND(J4940="P4",F4940="causal"),"P4-CAUSAL",""))</f>
        <v/>
      </c>
    </row>
    <row r="4941" ht="15" customHeight="1" s="1">
      <c r="P4941">
        <f>IF(OR(F4941="",H4941="",J4941=""),"",J4941&amp;"|"&amp;F4941&amp;"|"&amp;IF(H4941="W3","W3_"&amp;IF(I4941="","unknown",I4941),H4941))</f>
        <v/>
      </c>
      <c r="Q4941">
        <f>IF(P4941="","",IFERROR(IF(AND(H4941="W7",OR(F4941="causal",F4941="predictive")),IF(AND(OR(K4941=1,K4941="1"),OR(L4941=1,L4941="1"),OR(M4941=1,M4941="1")),"adequate","partial"),IF(AND(H4941="W4",F4941="predictive",OR(J4941="P2",J4941="P3",J4941="P4")),IF(OR(U4941=1,U4941="1"),"adequate","partial"),INDEX(Fit_Matrix!$B:$B,MATCH(P4941,Fit_Matrix!$A:$A,0)))),"CHECK KEY"))</f>
        <v/>
      </c>
      <c r="U4941" s="10" t="n"/>
      <c r="V4941" s="10" t="n"/>
      <c r="W4941" s="10" t="n"/>
      <c r="X4941" s="10" t="n"/>
      <c r="Y4941" s="10" t="n"/>
      <c r="Z4941" s="10" t="n"/>
      <c r="AA4941" s="11">
        <f>IF(A4941="","",IF(AND(J4941="P4",F4941="causal"),"P4-CAUSAL",""))</f>
        <v/>
      </c>
    </row>
    <row r="4942" ht="15" customHeight="1" s="1">
      <c r="P4942">
        <f>IF(OR(F4942="",H4942="",J4942=""),"",J4942&amp;"|"&amp;F4942&amp;"|"&amp;IF(H4942="W3","W3_"&amp;IF(I4942="","unknown",I4942),H4942))</f>
        <v/>
      </c>
      <c r="Q4942">
        <f>IF(P4942="","",IFERROR(IF(AND(H4942="W7",OR(F4942="causal",F4942="predictive")),IF(AND(OR(K4942=1,K4942="1"),OR(L4942=1,L4942="1"),OR(M4942=1,M4942="1")),"adequate","partial"),IF(AND(H4942="W4",F4942="predictive",OR(J4942="P2",J4942="P3",J4942="P4")),IF(OR(U4942=1,U4942="1"),"adequate","partial"),INDEX(Fit_Matrix!$B:$B,MATCH(P4942,Fit_Matrix!$A:$A,0)))),"CHECK KEY"))</f>
        <v/>
      </c>
      <c r="U4942" s="10" t="n"/>
      <c r="V4942" s="10" t="n"/>
      <c r="W4942" s="10" t="n"/>
      <c r="X4942" s="10" t="n"/>
      <c r="Y4942" s="10" t="n"/>
      <c r="Z4942" s="10" t="n"/>
      <c r="AA4942" s="11">
        <f>IF(A4942="","",IF(AND(J4942="P4",F4942="causal"),"P4-CAUSAL",""))</f>
        <v/>
      </c>
    </row>
    <row r="4943" ht="15" customHeight="1" s="1">
      <c r="P4943">
        <f>IF(OR(F4943="",H4943="",J4943=""),"",J4943&amp;"|"&amp;F4943&amp;"|"&amp;IF(H4943="W3","W3_"&amp;IF(I4943="","unknown",I4943),H4943))</f>
        <v/>
      </c>
      <c r="Q4943">
        <f>IF(P4943="","",IFERROR(IF(AND(H4943="W7",OR(F4943="causal",F4943="predictive")),IF(AND(OR(K4943=1,K4943="1"),OR(L4943=1,L4943="1"),OR(M4943=1,M4943="1")),"adequate","partial"),IF(AND(H4943="W4",F4943="predictive",OR(J4943="P2",J4943="P3",J4943="P4")),IF(OR(U4943=1,U4943="1"),"adequate","partial"),INDEX(Fit_Matrix!$B:$B,MATCH(P4943,Fit_Matrix!$A:$A,0)))),"CHECK KEY"))</f>
        <v/>
      </c>
      <c r="U4943" s="10" t="n"/>
      <c r="V4943" s="10" t="n"/>
      <c r="W4943" s="10" t="n"/>
      <c r="X4943" s="10" t="n"/>
      <c r="Y4943" s="10" t="n"/>
      <c r="Z4943" s="10" t="n"/>
      <c r="AA4943" s="11">
        <f>IF(A4943="","",IF(AND(J4943="P4",F4943="causal"),"P4-CAUSAL",""))</f>
        <v/>
      </c>
    </row>
    <row r="4944" ht="15" customHeight="1" s="1">
      <c r="P4944">
        <f>IF(OR(F4944="",H4944="",J4944=""),"",J4944&amp;"|"&amp;F4944&amp;"|"&amp;IF(H4944="W3","W3_"&amp;IF(I4944="","unknown",I4944),H4944))</f>
        <v/>
      </c>
      <c r="Q4944">
        <f>IF(P4944="","",IFERROR(IF(AND(H4944="W7",OR(F4944="causal",F4944="predictive")),IF(AND(OR(K4944=1,K4944="1"),OR(L4944=1,L4944="1"),OR(M4944=1,M4944="1")),"adequate","partial"),IF(AND(H4944="W4",F4944="predictive",OR(J4944="P2",J4944="P3",J4944="P4")),IF(OR(U4944=1,U4944="1"),"adequate","partial"),INDEX(Fit_Matrix!$B:$B,MATCH(P4944,Fit_Matrix!$A:$A,0)))),"CHECK KEY"))</f>
        <v/>
      </c>
      <c r="U4944" s="10" t="n"/>
      <c r="V4944" s="10" t="n"/>
      <c r="W4944" s="10" t="n"/>
      <c r="X4944" s="10" t="n"/>
      <c r="Y4944" s="10" t="n"/>
      <c r="Z4944" s="10" t="n"/>
      <c r="AA4944" s="11">
        <f>IF(A4944="","",IF(AND(J4944="P4",F4944="causal"),"P4-CAUSAL",""))</f>
        <v/>
      </c>
    </row>
    <row r="4945" ht="15" customHeight="1" s="1">
      <c r="P4945">
        <f>IF(OR(F4945="",H4945="",J4945=""),"",J4945&amp;"|"&amp;F4945&amp;"|"&amp;IF(H4945="W3","W3_"&amp;IF(I4945="","unknown",I4945),H4945))</f>
        <v/>
      </c>
      <c r="Q4945">
        <f>IF(P4945="","",IFERROR(IF(AND(H4945="W7",OR(F4945="causal",F4945="predictive")),IF(AND(OR(K4945=1,K4945="1"),OR(L4945=1,L4945="1"),OR(M4945=1,M4945="1")),"adequate","partial"),IF(AND(H4945="W4",F4945="predictive",OR(J4945="P2",J4945="P3",J4945="P4")),IF(OR(U4945=1,U4945="1"),"adequate","partial"),INDEX(Fit_Matrix!$B:$B,MATCH(P4945,Fit_Matrix!$A:$A,0)))),"CHECK KEY"))</f>
        <v/>
      </c>
      <c r="U4945" s="10" t="n"/>
      <c r="V4945" s="10" t="n"/>
      <c r="W4945" s="10" t="n"/>
      <c r="X4945" s="10" t="n"/>
      <c r="Y4945" s="10" t="n"/>
      <c r="Z4945" s="10" t="n"/>
      <c r="AA4945" s="11">
        <f>IF(A4945="","",IF(AND(J4945="P4",F4945="causal"),"P4-CAUSAL",""))</f>
        <v/>
      </c>
    </row>
    <row r="4946" ht="15" customHeight="1" s="1">
      <c r="P4946">
        <f>IF(OR(F4946="",H4946="",J4946=""),"",J4946&amp;"|"&amp;F4946&amp;"|"&amp;IF(H4946="W3","W3_"&amp;IF(I4946="","unknown",I4946),H4946))</f>
        <v/>
      </c>
      <c r="Q4946">
        <f>IF(P4946="","",IFERROR(IF(AND(H4946="W7",OR(F4946="causal",F4946="predictive")),IF(AND(OR(K4946=1,K4946="1"),OR(L4946=1,L4946="1"),OR(M4946=1,M4946="1")),"adequate","partial"),IF(AND(H4946="W4",F4946="predictive",OR(J4946="P2",J4946="P3",J4946="P4")),IF(OR(U4946=1,U4946="1"),"adequate","partial"),INDEX(Fit_Matrix!$B:$B,MATCH(P4946,Fit_Matrix!$A:$A,0)))),"CHECK KEY"))</f>
        <v/>
      </c>
      <c r="U4946" s="10" t="n"/>
      <c r="V4946" s="10" t="n"/>
      <c r="W4946" s="10" t="n"/>
      <c r="X4946" s="10" t="n"/>
      <c r="Y4946" s="10" t="n"/>
      <c r="Z4946" s="10" t="n"/>
      <c r="AA4946" s="11">
        <f>IF(A4946="","",IF(AND(J4946="P4",F4946="causal"),"P4-CAUSAL",""))</f>
        <v/>
      </c>
    </row>
    <row r="4947" ht="15" customHeight="1" s="1">
      <c r="P4947">
        <f>IF(OR(F4947="",H4947="",J4947=""),"",J4947&amp;"|"&amp;F4947&amp;"|"&amp;IF(H4947="W3","W3_"&amp;IF(I4947="","unknown",I4947),H4947))</f>
        <v/>
      </c>
      <c r="Q4947">
        <f>IF(P4947="","",IFERROR(IF(AND(H4947="W7",OR(F4947="causal",F4947="predictive")),IF(AND(OR(K4947=1,K4947="1"),OR(L4947=1,L4947="1"),OR(M4947=1,M4947="1")),"adequate","partial"),IF(AND(H4947="W4",F4947="predictive",OR(J4947="P2",J4947="P3",J4947="P4")),IF(OR(U4947=1,U4947="1"),"adequate","partial"),INDEX(Fit_Matrix!$B:$B,MATCH(P4947,Fit_Matrix!$A:$A,0)))),"CHECK KEY"))</f>
        <v/>
      </c>
      <c r="U4947" s="10" t="n"/>
      <c r="V4947" s="10" t="n"/>
      <c r="W4947" s="10" t="n"/>
      <c r="X4947" s="10" t="n"/>
      <c r="Y4947" s="10" t="n"/>
      <c r="Z4947" s="10" t="n"/>
      <c r="AA4947" s="11">
        <f>IF(A4947="","",IF(AND(J4947="P4",F4947="causal"),"P4-CAUSAL",""))</f>
        <v/>
      </c>
    </row>
    <row r="4948" ht="15" customHeight="1" s="1">
      <c r="P4948">
        <f>IF(OR(F4948="",H4948="",J4948=""),"",J4948&amp;"|"&amp;F4948&amp;"|"&amp;IF(H4948="W3","W3_"&amp;IF(I4948="","unknown",I4948),H4948))</f>
        <v/>
      </c>
      <c r="Q4948">
        <f>IF(P4948="","",IFERROR(IF(AND(H4948="W7",OR(F4948="causal",F4948="predictive")),IF(AND(OR(K4948=1,K4948="1"),OR(L4948=1,L4948="1"),OR(M4948=1,M4948="1")),"adequate","partial"),IF(AND(H4948="W4",F4948="predictive",OR(J4948="P2",J4948="P3",J4948="P4")),IF(OR(U4948=1,U4948="1"),"adequate","partial"),INDEX(Fit_Matrix!$B:$B,MATCH(P4948,Fit_Matrix!$A:$A,0)))),"CHECK KEY"))</f>
        <v/>
      </c>
      <c r="U4948" s="10" t="n"/>
      <c r="V4948" s="10" t="n"/>
      <c r="W4948" s="10" t="n"/>
      <c r="X4948" s="10" t="n"/>
      <c r="Y4948" s="10" t="n"/>
      <c r="Z4948" s="10" t="n"/>
      <c r="AA4948" s="11">
        <f>IF(A4948="","",IF(AND(J4948="P4",F4948="causal"),"P4-CAUSAL",""))</f>
        <v/>
      </c>
    </row>
    <row r="4949" ht="15" customHeight="1" s="1">
      <c r="P4949">
        <f>IF(OR(F4949="",H4949="",J4949=""),"",J4949&amp;"|"&amp;F4949&amp;"|"&amp;IF(H4949="W3","W3_"&amp;IF(I4949="","unknown",I4949),H4949))</f>
        <v/>
      </c>
      <c r="Q4949">
        <f>IF(P4949="","",IFERROR(IF(AND(H4949="W7",OR(F4949="causal",F4949="predictive")),IF(AND(OR(K4949=1,K4949="1"),OR(L4949=1,L4949="1"),OR(M4949=1,M4949="1")),"adequate","partial"),IF(AND(H4949="W4",F4949="predictive",OR(J4949="P2",J4949="P3",J4949="P4")),IF(OR(U4949=1,U4949="1"),"adequate","partial"),INDEX(Fit_Matrix!$B:$B,MATCH(P4949,Fit_Matrix!$A:$A,0)))),"CHECK KEY"))</f>
        <v/>
      </c>
      <c r="U4949" s="10" t="n"/>
      <c r="V4949" s="10" t="n"/>
      <c r="W4949" s="10" t="n"/>
      <c r="X4949" s="10" t="n"/>
      <c r="Y4949" s="10" t="n"/>
      <c r="Z4949" s="10" t="n"/>
      <c r="AA4949" s="11">
        <f>IF(A4949="","",IF(AND(J4949="P4",F4949="causal"),"P4-CAUSAL",""))</f>
        <v/>
      </c>
    </row>
    <row r="4950" ht="15" customHeight="1" s="1">
      <c r="P4950">
        <f>IF(OR(F4950="",H4950="",J4950=""),"",J4950&amp;"|"&amp;F4950&amp;"|"&amp;IF(H4950="W3","W3_"&amp;IF(I4950="","unknown",I4950),H4950))</f>
        <v/>
      </c>
      <c r="Q4950">
        <f>IF(P4950="","",IFERROR(IF(AND(H4950="W7",OR(F4950="causal",F4950="predictive")),IF(AND(OR(K4950=1,K4950="1"),OR(L4950=1,L4950="1"),OR(M4950=1,M4950="1")),"adequate","partial"),IF(AND(H4950="W4",F4950="predictive",OR(J4950="P2",J4950="P3",J4950="P4")),IF(OR(U4950=1,U4950="1"),"adequate","partial"),INDEX(Fit_Matrix!$B:$B,MATCH(P4950,Fit_Matrix!$A:$A,0)))),"CHECK KEY"))</f>
        <v/>
      </c>
      <c r="U4950" s="10" t="n"/>
      <c r="V4950" s="10" t="n"/>
      <c r="W4950" s="10" t="n"/>
      <c r="X4950" s="10" t="n"/>
      <c r="Y4950" s="10" t="n"/>
      <c r="Z4950" s="10" t="n"/>
      <c r="AA4950" s="11">
        <f>IF(A4950="","",IF(AND(J4950="P4",F4950="causal"),"P4-CAUSAL",""))</f>
        <v/>
      </c>
    </row>
    <row r="4951" ht="15" customHeight="1" s="1">
      <c r="P4951">
        <f>IF(OR(F4951="",H4951="",J4951=""),"",J4951&amp;"|"&amp;F4951&amp;"|"&amp;IF(H4951="W3","W3_"&amp;IF(I4951="","unknown",I4951),H4951))</f>
        <v/>
      </c>
      <c r="Q4951">
        <f>IF(P4951="","",IFERROR(IF(AND(H4951="W7",OR(F4951="causal",F4951="predictive")),IF(AND(OR(K4951=1,K4951="1"),OR(L4951=1,L4951="1"),OR(M4951=1,M4951="1")),"adequate","partial"),IF(AND(H4951="W4",F4951="predictive",OR(J4951="P2",J4951="P3",J4951="P4")),IF(OR(U4951=1,U4951="1"),"adequate","partial"),INDEX(Fit_Matrix!$B:$B,MATCH(P4951,Fit_Matrix!$A:$A,0)))),"CHECK KEY"))</f>
        <v/>
      </c>
      <c r="U4951" s="10" t="n"/>
      <c r="V4951" s="10" t="n"/>
      <c r="W4951" s="10" t="n"/>
      <c r="X4951" s="10" t="n"/>
      <c r="Y4951" s="10" t="n"/>
      <c r="Z4951" s="10" t="n"/>
      <c r="AA4951" s="11">
        <f>IF(A4951="","",IF(AND(J4951="P4",F4951="causal"),"P4-CAUSAL",""))</f>
        <v/>
      </c>
    </row>
    <row r="4952" ht="15" customHeight="1" s="1">
      <c r="P4952">
        <f>IF(OR(F4952="",H4952="",J4952=""),"",J4952&amp;"|"&amp;F4952&amp;"|"&amp;IF(H4952="W3","W3_"&amp;IF(I4952="","unknown",I4952),H4952))</f>
        <v/>
      </c>
      <c r="Q4952">
        <f>IF(P4952="","",IFERROR(IF(AND(H4952="W7",OR(F4952="causal",F4952="predictive")),IF(AND(OR(K4952=1,K4952="1"),OR(L4952=1,L4952="1"),OR(M4952=1,M4952="1")),"adequate","partial"),IF(AND(H4952="W4",F4952="predictive",OR(J4952="P2",J4952="P3",J4952="P4")),IF(OR(U4952=1,U4952="1"),"adequate","partial"),INDEX(Fit_Matrix!$B:$B,MATCH(P4952,Fit_Matrix!$A:$A,0)))),"CHECK KEY"))</f>
        <v/>
      </c>
      <c r="U4952" s="10" t="n"/>
      <c r="V4952" s="10" t="n"/>
      <c r="W4952" s="10" t="n"/>
      <c r="X4952" s="10" t="n"/>
      <c r="Y4952" s="10" t="n"/>
      <c r="Z4952" s="10" t="n"/>
      <c r="AA4952" s="11">
        <f>IF(A4952="","",IF(AND(J4952="P4",F4952="causal"),"P4-CAUSAL",""))</f>
        <v/>
      </c>
    </row>
    <row r="4953" ht="15" customHeight="1" s="1">
      <c r="P4953">
        <f>IF(OR(F4953="",H4953="",J4953=""),"",J4953&amp;"|"&amp;F4953&amp;"|"&amp;IF(H4953="W3","W3_"&amp;IF(I4953="","unknown",I4953),H4953))</f>
        <v/>
      </c>
      <c r="Q4953">
        <f>IF(P4953="","",IFERROR(IF(AND(H4953="W7",OR(F4953="causal",F4953="predictive")),IF(AND(OR(K4953=1,K4953="1"),OR(L4953=1,L4953="1"),OR(M4953=1,M4953="1")),"adequate","partial"),IF(AND(H4953="W4",F4953="predictive",OR(J4953="P2",J4953="P3",J4953="P4")),IF(OR(U4953=1,U4953="1"),"adequate","partial"),INDEX(Fit_Matrix!$B:$B,MATCH(P4953,Fit_Matrix!$A:$A,0)))),"CHECK KEY"))</f>
        <v/>
      </c>
      <c r="U4953" s="10" t="n"/>
      <c r="V4953" s="10" t="n"/>
      <c r="W4953" s="10" t="n"/>
      <c r="X4953" s="10" t="n"/>
      <c r="Y4953" s="10" t="n"/>
      <c r="Z4953" s="10" t="n"/>
      <c r="AA4953" s="11">
        <f>IF(A4953="","",IF(AND(J4953="P4",F4953="causal"),"P4-CAUSAL",""))</f>
        <v/>
      </c>
    </row>
    <row r="4954" ht="15" customHeight="1" s="1">
      <c r="P4954">
        <f>IF(OR(F4954="",H4954="",J4954=""),"",J4954&amp;"|"&amp;F4954&amp;"|"&amp;IF(H4954="W3","W3_"&amp;IF(I4954="","unknown",I4954),H4954))</f>
        <v/>
      </c>
      <c r="Q4954">
        <f>IF(P4954="","",IFERROR(IF(AND(H4954="W7",OR(F4954="causal",F4954="predictive")),IF(AND(OR(K4954=1,K4954="1"),OR(L4954=1,L4954="1"),OR(M4954=1,M4954="1")),"adequate","partial"),IF(AND(H4954="W4",F4954="predictive",OR(J4954="P2",J4954="P3",J4954="P4")),IF(OR(U4954=1,U4954="1"),"adequate","partial"),INDEX(Fit_Matrix!$B:$B,MATCH(P4954,Fit_Matrix!$A:$A,0)))),"CHECK KEY"))</f>
        <v/>
      </c>
      <c r="U4954" s="10" t="n"/>
      <c r="V4954" s="10" t="n"/>
      <c r="W4954" s="10" t="n"/>
      <c r="X4954" s="10" t="n"/>
      <c r="Y4954" s="10" t="n"/>
      <c r="Z4954" s="10" t="n"/>
      <c r="AA4954" s="11">
        <f>IF(A4954="","",IF(AND(J4954="P4",F4954="causal"),"P4-CAUSAL",""))</f>
        <v/>
      </c>
    </row>
    <row r="4955" ht="15" customHeight="1" s="1">
      <c r="P4955">
        <f>IF(OR(F4955="",H4955="",J4955=""),"",J4955&amp;"|"&amp;F4955&amp;"|"&amp;IF(H4955="W3","W3_"&amp;IF(I4955="","unknown",I4955),H4955))</f>
        <v/>
      </c>
      <c r="Q4955">
        <f>IF(P4955="","",IFERROR(IF(AND(H4955="W7",OR(F4955="causal",F4955="predictive")),IF(AND(OR(K4955=1,K4955="1"),OR(L4955=1,L4955="1"),OR(M4955=1,M4955="1")),"adequate","partial"),IF(AND(H4955="W4",F4955="predictive",OR(J4955="P2",J4955="P3",J4955="P4")),IF(OR(U4955=1,U4955="1"),"adequate","partial"),INDEX(Fit_Matrix!$B:$B,MATCH(P4955,Fit_Matrix!$A:$A,0)))),"CHECK KEY"))</f>
        <v/>
      </c>
      <c r="U4955" s="10" t="n"/>
      <c r="V4955" s="10" t="n"/>
      <c r="W4955" s="10" t="n"/>
      <c r="X4955" s="10" t="n"/>
      <c r="Y4955" s="10" t="n"/>
      <c r="Z4955" s="10" t="n"/>
      <c r="AA4955" s="11">
        <f>IF(A4955="","",IF(AND(J4955="P4",F4955="causal"),"P4-CAUSAL",""))</f>
        <v/>
      </c>
    </row>
    <row r="4956" ht="15" customHeight="1" s="1">
      <c r="P4956">
        <f>IF(OR(F4956="",H4956="",J4956=""),"",J4956&amp;"|"&amp;F4956&amp;"|"&amp;IF(H4956="W3","W3_"&amp;IF(I4956="","unknown",I4956),H4956))</f>
        <v/>
      </c>
      <c r="Q4956">
        <f>IF(P4956="","",IFERROR(IF(AND(H4956="W7",OR(F4956="causal",F4956="predictive")),IF(AND(OR(K4956=1,K4956="1"),OR(L4956=1,L4956="1"),OR(M4956=1,M4956="1")),"adequate","partial"),IF(AND(H4956="W4",F4956="predictive",OR(J4956="P2",J4956="P3",J4956="P4")),IF(OR(U4956=1,U4956="1"),"adequate","partial"),INDEX(Fit_Matrix!$B:$B,MATCH(P4956,Fit_Matrix!$A:$A,0)))),"CHECK KEY"))</f>
        <v/>
      </c>
      <c r="U4956" s="10" t="n"/>
      <c r="V4956" s="10" t="n"/>
      <c r="W4956" s="10" t="n"/>
      <c r="X4956" s="10" t="n"/>
      <c r="Y4956" s="10" t="n"/>
      <c r="Z4956" s="10" t="n"/>
      <c r="AA4956" s="11">
        <f>IF(A4956="","",IF(AND(J4956="P4",F4956="causal"),"P4-CAUSAL",""))</f>
        <v/>
      </c>
    </row>
    <row r="4957" ht="15" customHeight="1" s="1">
      <c r="P4957">
        <f>IF(OR(F4957="",H4957="",J4957=""),"",J4957&amp;"|"&amp;F4957&amp;"|"&amp;IF(H4957="W3","W3_"&amp;IF(I4957="","unknown",I4957),H4957))</f>
        <v/>
      </c>
      <c r="Q4957">
        <f>IF(P4957="","",IFERROR(IF(AND(H4957="W7",OR(F4957="causal",F4957="predictive")),IF(AND(OR(K4957=1,K4957="1"),OR(L4957=1,L4957="1"),OR(M4957=1,M4957="1")),"adequate","partial"),IF(AND(H4957="W4",F4957="predictive",OR(J4957="P2",J4957="P3",J4957="P4")),IF(OR(U4957=1,U4957="1"),"adequate","partial"),INDEX(Fit_Matrix!$B:$B,MATCH(P4957,Fit_Matrix!$A:$A,0)))),"CHECK KEY"))</f>
        <v/>
      </c>
      <c r="U4957" s="10" t="n"/>
      <c r="V4957" s="10" t="n"/>
      <c r="W4957" s="10" t="n"/>
      <c r="X4957" s="10" t="n"/>
      <c r="Y4957" s="10" t="n"/>
      <c r="Z4957" s="10" t="n"/>
      <c r="AA4957" s="11">
        <f>IF(A4957="","",IF(AND(J4957="P4",F4957="causal"),"P4-CAUSAL",""))</f>
        <v/>
      </c>
    </row>
    <row r="4958" ht="15" customHeight="1" s="1">
      <c r="P4958">
        <f>IF(OR(F4958="",H4958="",J4958=""),"",J4958&amp;"|"&amp;F4958&amp;"|"&amp;IF(H4958="W3","W3_"&amp;IF(I4958="","unknown",I4958),H4958))</f>
        <v/>
      </c>
      <c r="Q4958">
        <f>IF(P4958="","",IFERROR(IF(AND(H4958="W7",OR(F4958="causal",F4958="predictive")),IF(AND(OR(K4958=1,K4958="1"),OR(L4958=1,L4958="1"),OR(M4958=1,M4958="1")),"adequate","partial"),IF(AND(H4958="W4",F4958="predictive",OR(J4958="P2",J4958="P3",J4958="P4")),IF(OR(U4958=1,U4958="1"),"adequate","partial"),INDEX(Fit_Matrix!$B:$B,MATCH(P4958,Fit_Matrix!$A:$A,0)))),"CHECK KEY"))</f>
        <v/>
      </c>
      <c r="U4958" s="10" t="n"/>
      <c r="V4958" s="10" t="n"/>
      <c r="W4958" s="10" t="n"/>
      <c r="X4958" s="10" t="n"/>
      <c r="Y4958" s="10" t="n"/>
      <c r="Z4958" s="10" t="n"/>
      <c r="AA4958" s="11">
        <f>IF(A4958="","",IF(AND(J4958="P4",F4958="causal"),"P4-CAUSAL",""))</f>
        <v/>
      </c>
    </row>
    <row r="4959" ht="15" customHeight="1" s="1">
      <c r="P4959">
        <f>IF(OR(F4959="",H4959="",J4959=""),"",J4959&amp;"|"&amp;F4959&amp;"|"&amp;IF(H4959="W3","W3_"&amp;IF(I4959="","unknown",I4959),H4959))</f>
        <v/>
      </c>
      <c r="Q4959">
        <f>IF(P4959="","",IFERROR(IF(AND(H4959="W7",OR(F4959="causal",F4959="predictive")),IF(AND(OR(K4959=1,K4959="1"),OR(L4959=1,L4959="1"),OR(M4959=1,M4959="1")),"adequate","partial"),IF(AND(H4959="W4",F4959="predictive",OR(J4959="P2",J4959="P3",J4959="P4")),IF(OR(U4959=1,U4959="1"),"adequate","partial"),INDEX(Fit_Matrix!$B:$B,MATCH(P4959,Fit_Matrix!$A:$A,0)))),"CHECK KEY"))</f>
        <v/>
      </c>
      <c r="U4959" s="10" t="n"/>
      <c r="V4959" s="10" t="n"/>
      <c r="W4959" s="10" t="n"/>
      <c r="X4959" s="10" t="n"/>
      <c r="Y4959" s="10" t="n"/>
      <c r="Z4959" s="10" t="n"/>
      <c r="AA4959" s="11">
        <f>IF(A4959="","",IF(AND(J4959="P4",F4959="causal"),"P4-CAUSAL",""))</f>
        <v/>
      </c>
    </row>
    <row r="4960" ht="15" customHeight="1" s="1">
      <c r="P4960">
        <f>IF(OR(F4960="",H4960="",J4960=""),"",J4960&amp;"|"&amp;F4960&amp;"|"&amp;IF(H4960="W3","W3_"&amp;IF(I4960="","unknown",I4960),H4960))</f>
        <v/>
      </c>
      <c r="Q4960">
        <f>IF(P4960="","",IFERROR(IF(AND(H4960="W7",OR(F4960="causal",F4960="predictive")),IF(AND(OR(K4960=1,K4960="1"),OR(L4960=1,L4960="1"),OR(M4960=1,M4960="1")),"adequate","partial"),IF(AND(H4960="W4",F4960="predictive",OR(J4960="P2",J4960="P3",J4960="P4")),IF(OR(U4960=1,U4960="1"),"adequate","partial"),INDEX(Fit_Matrix!$B:$B,MATCH(P4960,Fit_Matrix!$A:$A,0)))),"CHECK KEY"))</f>
        <v/>
      </c>
      <c r="U4960" s="10" t="n"/>
      <c r="V4960" s="10" t="n"/>
      <c r="W4960" s="10" t="n"/>
      <c r="X4960" s="10" t="n"/>
      <c r="Y4960" s="10" t="n"/>
      <c r="Z4960" s="10" t="n"/>
      <c r="AA4960" s="11">
        <f>IF(A4960="","",IF(AND(J4960="P4",F4960="causal"),"P4-CAUSAL",""))</f>
        <v/>
      </c>
    </row>
    <row r="4961" ht="15" customHeight="1" s="1">
      <c r="P4961">
        <f>IF(OR(F4961="",H4961="",J4961=""),"",J4961&amp;"|"&amp;F4961&amp;"|"&amp;IF(H4961="W3","W3_"&amp;IF(I4961="","unknown",I4961),H4961))</f>
        <v/>
      </c>
      <c r="Q4961">
        <f>IF(P4961="","",IFERROR(IF(AND(H4961="W7",OR(F4961="causal",F4961="predictive")),IF(AND(OR(K4961=1,K4961="1"),OR(L4961=1,L4961="1"),OR(M4961=1,M4961="1")),"adequate","partial"),IF(AND(H4961="W4",F4961="predictive",OR(J4961="P2",J4961="P3",J4961="P4")),IF(OR(U4961=1,U4961="1"),"adequate","partial"),INDEX(Fit_Matrix!$B:$B,MATCH(P4961,Fit_Matrix!$A:$A,0)))),"CHECK KEY"))</f>
        <v/>
      </c>
      <c r="U4961" s="10" t="n"/>
      <c r="V4961" s="10" t="n"/>
      <c r="W4961" s="10" t="n"/>
      <c r="X4961" s="10" t="n"/>
      <c r="Y4961" s="10" t="n"/>
      <c r="Z4961" s="10" t="n"/>
      <c r="AA4961" s="11">
        <f>IF(A4961="","",IF(AND(J4961="P4",F4961="causal"),"P4-CAUSAL",""))</f>
        <v/>
      </c>
    </row>
    <row r="4962" ht="15" customHeight="1" s="1">
      <c r="P4962">
        <f>IF(OR(F4962="",H4962="",J4962=""),"",J4962&amp;"|"&amp;F4962&amp;"|"&amp;IF(H4962="W3","W3_"&amp;IF(I4962="","unknown",I4962),H4962))</f>
        <v/>
      </c>
      <c r="Q4962">
        <f>IF(P4962="","",IFERROR(IF(AND(H4962="W7",OR(F4962="causal",F4962="predictive")),IF(AND(OR(K4962=1,K4962="1"),OR(L4962=1,L4962="1"),OR(M4962=1,M4962="1")),"adequate","partial"),IF(AND(H4962="W4",F4962="predictive",OR(J4962="P2",J4962="P3",J4962="P4")),IF(OR(U4962=1,U4962="1"),"adequate","partial"),INDEX(Fit_Matrix!$B:$B,MATCH(P4962,Fit_Matrix!$A:$A,0)))),"CHECK KEY"))</f>
        <v/>
      </c>
      <c r="U4962" s="10" t="n"/>
      <c r="V4962" s="10" t="n"/>
      <c r="W4962" s="10" t="n"/>
      <c r="X4962" s="10" t="n"/>
      <c r="Y4962" s="10" t="n"/>
      <c r="Z4962" s="10" t="n"/>
      <c r="AA4962" s="11">
        <f>IF(A4962="","",IF(AND(J4962="P4",F4962="causal"),"P4-CAUSAL",""))</f>
        <v/>
      </c>
    </row>
    <row r="4963" ht="15" customHeight="1" s="1">
      <c r="P4963">
        <f>IF(OR(F4963="",H4963="",J4963=""),"",J4963&amp;"|"&amp;F4963&amp;"|"&amp;IF(H4963="W3","W3_"&amp;IF(I4963="","unknown",I4963),H4963))</f>
        <v/>
      </c>
      <c r="Q4963">
        <f>IF(P4963="","",IFERROR(IF(AND(H4963="W7",OR(F4963="causal",F4963="predictive")),IF(AND(OR(K4963=1,K4963="1"),OR(L4963=1,L4963="1"),OR(M4963=1,M4963="1")),"adequate","partial"),IF(AND(H4963="W4",F4963="predictive",OR(J4963="P2",J4963="P3",J4963="P4")),IF(OR(U4963=1,U4963="1"),"adequate","partial"),INDEX(Fit_Matrix!$B:$B,MATCH(P4963,Fit_Matrix!$A:$A,0)))),"CHECK KEY"))</f>
        <v/>
      </c>
      <c r="U4963" s="10" t="n"/>
      <c r="V4963" s="10" t="n"/>
      <c r="W4963" s="10" t="n"/>
      <c r="X4963" s="10" t="n"/>
      <c r="Y4963" s="10" t="n"/>
      <c r="Z4963" s="10" t="n"/>
      <c r="AA4963" s="11">
        <f>IF(A4963="","",IF(AND(J4963="P4",F4963="causal"),"P4-CAUSAL",""))</f>
        <v/>
      </c>
    </row>
    <row r="4964" ht="15" customHeight="1" s="1">
      <c r="P4964">
        <f>IF(OR(F4964="",H4964="",J4964=""),"",J4964&amp;"|"&amp;F4964&amp;"|"&amp;IF(H4964="W3","W3_"&amp;IF(I4964="","unknown",I4964),H4964))</f>
        <v/>
      </c>
      <c r="Q4964">
        <f>IF(P4964="","",IFERROR(IF(AND(H4964="W7",OR(F4964="causal",F4964="predictive")),IF(AND(OR(K4964=1,K4964="1"),OR(L4964=1,L4964="1"),OR(M4964=1,M4964="1")),"adequate","partial"),IF(AND(H4964="W4",F4964="predictive",OR(J4964="P2",J4964="P3",J4964="P4")),IF(OR(U4964=1,U4964="1"),"adequate","partial"),INDEX(Fit_Matrix!$B:$B,MATCH(P4964,Fit_Matrix!$A:$A,0)))),"CHECK KEY"))</f>
        <v/>
      </c>
      <c r="U4964" s="10" t="n"/>
      <c r="V4964" s="10" t="n"/>
      <c r="W4964" s="10" t="n"/>
      <c r="X4964" s="10" t="n"/>
      <c r="Y4964" s="10" t="n"/>
      <c r="Z4964" s="10" t="n"/>
      <c r="AA4964" s="11">
        <f>IF(A4964="","",IF(AND(J4964="P4",F4964="causal"),"P4-CAUSAL",""))</f>
        <v/>
      </c>
    </row>
    <row r="4965" ht="15" customHeight="1" s="1">
      <c r="P4965">
        <f>IF(OR(F4965="",H4965="",J4965=""),"",J4965&amp;"|"&amp;F4965&amp;"|"&amp;IF(H4965="W3","W3_"&amp;IF(I4965="","unknown",I4965),H4965))</f>
        <v/>
      </c>
      <c r="Q4965">
        <f>IF(P4965="","",IFERROR(IF(AND(H4965="W7",OR(F4965="causal",F4965="predictive")),IF(AND(OR(K4965=1,K4965="1"),OR(L4965=1,L4965="1"),OR(M4965=1,M4965="1")),"adequate","partial"),IF(AND(H4965="W4",F4965="predictive",OR(J4965="P2",J4965="P3",J4965="P4")),IF(OR(U4965=1,U4965="1"),"adequate","partial"),INDEX(Fit_Matrix!$B:$B,MATCH(P4965,Fit_Matrix!$A:$A,0)))),"CHECK KEY"))</f>
        <v/>
      </c>
      <c r="U4965" s="10" t="n"/>
      <c r="V4965" s="10" t="n"/>
      <c r="W4965" s="10" t="n"/>
      <c r="X4965" s="10" t="n"/>
      <c r="Y4965" s="10" t="n"/>
      <c r="Z4965" s="10" t="n"/>
      <c r="AA4965" s="11">
        <f>IF(A4965="","",IF(AND(J4965="P4",F4965="causal"),"P4-CAUSAL",""))</f>
        <v/>
      </c>
    </row>
    <row r="4966" ht="15" customHeight="1" s="1">
      <c r="P4966">
        <f>IF(OR(F4966="",H4966="",J4966=""),"",J4966&amp;"|"&amp;F4966&amp;"|"&amp;IF(H4966="W3","W3_"&amp;IF(I4966="","unknown",I4966),H4966))</f>
        <v/>
      </c>
      <c r="Q4966">
        <f>IF(P4966="","",IFERROR(IF(AND(H4966="W7",OR(F4966="causal",F4966="predictive")),IF(AND(OR(K4966=1,K4966="1"),OR(L4966=1,L4966="1"),OR(M4966=1,M4966="1")),"adequate","partial"),IF(AND(H4966="W4",F4966="predictive",OR(J4966="P2",J4966="P3",J4966="P4")),IF(OR(U4966=1,U4966="1"),"adequate","partial"),INDEX(Fit_Matrix!$B:$B,MATCH(P4966,Fit_Matrix!$A:$A,0)))),"CHECK KEY"))</f>
        <v/>
      </c>
      <c r="U4966" s="10" t="n"/>
      <c r="V4966" s="10" t="n"/>
      <c r="W4966" s="10" t="n"/>
      <c r="X4966" s="10" t="n"/>
      <c r="Y4966" s="10" t="n"/>
      <c r="Z4966" s="10" t="n"/>
      <c r="AA4966" s="11">
        <f>IF(A4966="","",IF(AND(J4966="P4",F4966="causal"),"P4-CAUSAL",""))</f>
        <v/>
      </c>
    </row>
    <row r="4967" ht="15" customHeight="1" s="1">
      <c r="P4967">
        <f>IF(OR(F4967="",H4967="",J4967=""),"",J4967&amp;"|"&amp;F4967&amp;"|"&amp;IF(H4967="W3","W3_"&amp;IF(I4967="","unknown",I4967),H4967))</f>
        <v/>
      </c>
      <c r="Q4967">
        <f>IF(P4967="","",IFERROR(IF(AND(H4967="W7",OR(F4967="causal",F4967="predictive")),IF(AND(OR(K4967=1,K4967="1"),OR(L4967=1,L4967="1"),OR(M4967=1,M4967="1")),"adequate","partial"),IF(AND(H4967="W4",F4967="predictive",OR(J4967="P2",J4967="P3",J4967="P4")),IF(OR(U4967=1,U4967="1"),"adequate","partial"),INDEX(Fit_Matrix!$B:$B,MATCH(P4967,Fit_Matrix!$A:$A,0)))),"CHECK KEY"))</f>
        <v/>
      </c>
      <c r="U4967" s="10" t="n"/>
      <c r="V4967" s="10" t="n"/>
      <c r="W4967" s="10" t="n"/>
      <c r="X4967" s="10" t="n"/>
      <c r="Y4967" s="10" t="n"/>
      <c r="Z4967" s="10" t="n"/>
      <c r="AA4967" s="11">
        <f>IF(A4967="","",IF(AND(J4967="P4",F4967="causal"),"P4-CAUSAL",""))</f>
        <v/>
      </c>
    </row>
    <row r="4968" ht="15" customHeight="1" s="1">
      <c r="P4968">
        <f>IF(OR(F4968="",H4968="",J4968=""),"",J4968&amp;"|"&amp;F4968&amp;"|"&amp;IF(H4968="W3","W3_"&amp;IF(I4968="","unknown",I4968),H4968))</f>
        <v/>
      </c>
      <c r="Q4968">
        <f>IF(P4968="","",IFERROR(IF(AND(H4968="W7",OR(F4968="causal",F4968="predictive")),IF(AND(OR(K4968=1,K4968="1"),OR(L4968=1,L4968="1"),OR(M4968=1,M4968="1")),"adequate","partial"),IF(AND(H4968="W4",F4968="predictive",OR(J4968="P2",J4968="P3",J4968="P4")),IF(OR(U4968=1,U4968="1"),"adequate","partial"),INDEX(Fit_Matrix!$B:$B,MATCH(P4968,Fit_Matrix!$A:$A,0)))),"CHECK KEY"))</f>
        <v/>
      </c>
      <c r="U4968" s="10" t="n"/>
      <c r="V4968" s="10" t="n"/>
      <c r="W4968" s="10" t="n"/>
      <c r="X4968" s="10" t="n"/>
      <c r="Y4968" s="10" t="n"/>
      <c r="Z4968" s="10" t="n"/>
      <c r="AA4968" s="11">
        <f>IF(A4968="","",IF(AND(J4968="P4",F4968="causal"),"P4-CAUSAL",""))</f>
        <v/>
      </c>
    </row>
    <row r="4969" ht="15" customHeight="1" s="1">
      <c r="P4969">
        <f>IF(OR(F4969="",H4969="",J4969=""),"",J4969&amp;"|"&amp;F4969&amp;"|"&amp;IF(H4969="W3","W3_"&amp;IF(I4969="","unknown",I4969),H4969))</f>
        <v/>
      </c>
      <c r="Q4969">
        <f>IF(P4969="","",IFERROR(IF(AND(H4969="W7",OR(F4969="causal",F4969="predictive")),IF(AND(OR(K4969=1,K4969="1"),OR(L4969=1,L4969="1"),OR(M4969=1,M4969="1")),"adequate","partial"),IF(AND(H4969="W4",F4969="predictive",OR(J4969="P2",J4969="P3",J4969="P4")),IF(OR(U4969=1,U4969="1"),"adequate","partial"),INDEX(Fit_Matrix!$B:$B,MATCH(P4969,Fit_Matrix!$A:$A,0)))),"CHECK KEY"))</f>
        <v/>
      </c>
      <c r="U4969" s="10" t="n"/>
      <c r="V4969" s="10" t="n"/>
      <c r="W4969" s="10" t="n"/>
      <c r="X4969" s="10" t="n"/>
      <c r="Y4969" s="10" t="n"/>
      <c r="Z4969" s="10" t="n"/>
      <c r="AA4969" s="11">
        <f>IF(A4969="","",IF(AND(J4969="P4",F4969="causal"),"P4-CAUSAL",""))</f>
        <v/>
      </c>
    </row>
    <row r="4970" ht="15" customHeight="1" s="1">
      <c r="P4970">
        <f>IF(OR(F4970="",H4970="",J4970=""),"",J4970&amp;"|"&amp;F4970&amp;"|"&amp;IF(H4970="W3","W3_"&amp;IF(I4970="","unknown",I4970),H4970))</f>
        <v/>
      </c>
      <c r="Q4970">
        <f>IF(P4970="","",IFERROR(IF(AND(H4970="W7",OR(F4970="causal",F4970="predictive")),IF(AND(OR(K4970=1,K4970="1"),OR(L4970=1,L4970="1"),OR(M4970=1,M4970="1")),"adequate","partial"),IF(AND(H4970="W4",F4970="predictive",OR(J4970="P2",J4970="P3",J4970="P4")),IF(OR(U4970=1,U4970="1"),"adequate","partial"),INDEX(Fit_Matrix!$B:$B,MATCH(P4970,Fit_Matrix!$A:$A,0)))),"CHECK KEY"))</f>
        <v/>
      </c>
      <c r="U4970" s="10" t="n"/>
      <c r="V4970" s="10" t="n"/>
      <c r="W4970" s="10" t="n"/>
      <c r="X4970" s="10" t="n"/>
      <c r="Y4970" s="10" t="n"/>
      <c r="Z4970" s="10" t="n"/>
      <c r="AA4970" s="11">
        <f>IF(A4970="","",IF(AND(J4970="P4",F4970="causal"),"P4-CAUSAL",""))</f>
        <v/>
      </c>
    </row>
    <row r="4971" ht="15" customHeight="1" s="1">
      <c r="P4971">
        <f>IF(OR(F4971="",H4971="",J4971=""),"",J4971&amp;"|"&amp;F4971&amp;"|"&amp;IF(H4971="W3","W3_"&amp;IF(I4971="","unknown",I4971),H4971))</f>
        <v/>
      </c>
      <c r="Q4971">
        <f>IF(P4971="","",IFERROR(IF(AND(H4971="W7",OR(F4971="causal",F4971="predictive")),IF(AND(OR(K4971=1,K4971="1"),OR(L4971=1,L4971="1"),OR(M4971=1,M4971="1")),"adequate","partial"),IF(AND(H4971="W4",F4971="predictive",OR(J4971="P2",J4971="P3",J4971="P4")),IF(OR(U4971=1,U4971="1"),"adequate","partial"),INDEX(Fit_Matrix!$B:$B,MATCH(P4971,Fit_Matrix!$A:$A,0)))),"CHECK KEY"))</f>
        <v/>
      </c>
      <c r="U4971" s="10" t="n"/>
      <c r="V4971" s="10" t="n"/>
      <c r="W4971" s="10" t="n"/>
      <c r="X4971" s="10" t="n"/>
      <c r="Y4971" s="10" t="n"/>
      <c r="Z4971" s="10" t="n"/>
      <c r="AA4971" s="11">
        <f>IF(A4971="","",IF(AND(J4971="P4",F4971="causal"),"P4-CAUSAL",""))</f>
        <v/>
      </c>
    </row>
    <row r="4972" ht="15" customHeight="1" s="1">
      <c r="P4972">
        <f>IF(OR(F4972="",H4972="",J4972=""),"",J4972&amp;"|"&amp;F4972&amp;"|"&amp;IF(H4972="W3","W3_"&amp;IF(I4972="","unknown",I4972),H4972))</f>
        <v/>
      </c>
      <c r="Q4972">
        <f>IF(P4972="","",IFERROR(IF(AND(H4972="W7",OR(F4972="causal",F4972="predictive")),IF(AND(OR(K4972=1,K4972="1"),OR(L4972=1,L4972="1"),OR(M4972=1,M4972="1")),"adequate","partial"),IF(AND(H4972="W4",F4972="predictive",OR(J4972="P2",J4972="P3",J4972="P4")),IF(OR(U4972=1,U4972="1"),"adequate","partial"),INDEX(Fit_Matrix!$B:$B,MATCH(P4972,Fit_Matrix!$A:$A,0)))),"CHECK KEY"))</f>
        <v/>
      </c>
      <c r="U4972" s="10" t="n"/>
      <c r="V4972" s="10" t="n"/>
      <c r="W4972" s="10" t="n"/>
      <c r="X4972" s="10" t="n"/>
      <c r="Y4972" s="10" t="n"/>
      <c r="Z4972" s="10" t="n"/>
      <c r="AA4972" s="11">
        <f>IF(A4972="","",IF(AND(J4972="P4",F4972="causal"),"P4-CAUSAL",""))</f>
        <v/>
      </c>
    </row>
    <row r="4973" ht="15" customHeight="1" s="1">
      <c r="P4973">
        <f>IF(OR(F4973="",H4973="",J4973=""),"",J4973&amp;"|"&amp;F4973&amp;"|"&amp;IF(H4973="W3","W3_"&amp;IF(I4973="","unknown",I4973),H4973))</f>
        <v/>
      </c>
      <c r="Q4973">
        <f>IF(P4973="","",IFERROR(IF(AND(H4973="W7",OR(F4973="causal",F4973="predictive")),IF(AND(OR(K4973=1,K4973="1"),OR(L4973=1,L4973="1"),OR(M4973=1,M4973="1")),"adequate","partial"),IF(AND(H4973="W4",F4973="predictive",OR(J4973="P2",J4973="P3",J4973="P4")),IF(OR(U4973=1,U4973="1"),"adequate","partial"),INDEX(Fit_Matrix!$B:$B,MATCH(P4973,Fit_Matrix!$A:$A,0)))),"CHECK KEY"))</f>
        <v/>
      </c>
      <c r="U4973" s="10" t="n"/>
      <c r="V4973" s="10" t="n"/>
      <c r="W4973" s="10" t="n"/>
      <c r="X4973" s="10" t="n"/>
      <c r="Y4973" s="10" t="n"/>
      <c r="Z4973" s="10" t="n"/>
      <c r="AA4973" s="11">
        <f>IF(A4973="","",IF(AND(J4973="P4",F4973="causal"),"P4-CAUSAL",""))</f>
        <v/>
      </c>
    </row>
    <row r="4974" ht="15" customHeight="1" s="1">
      <c r="P4974">
        <f>IF(OR(F4974="",H4974="",J4974=""),"",J4974&amp;"|"&amp;F4974&amp;"|"&amp;IF(H4974="W3","W3_"&amp;IF(I4974="","unknown",I4974),H4974))</f>
        <v/>
      </c>
      <c r="Q4974">
        <f>IF(P4974="","",IFERROR(IF(AND(H4974="W7",OR(F4974="causal",F4974="predictive")),IF(AND(OR(K4974=1,K4974="1"),OR(L4974=1,L4974="1"),OR(M4974=1,M4974="1")),"adequate","partial"),IF(AND(H4974="W4",F4974="predictive",OR(J4974="P2",J4974="P3",J4974="P4")),IF(OR(U4974=1,U4974="1"),"adequate","partial"),INDEX(Fit_Matrix!$B:$B,MATCH(P4974,Fit_Matrix!$A:$A,0)))),"CHECK KEY"))</f>
        <v/>
      </c>
      <c r="U4974" s="10" t="n"/>
      <c r="V4974" s="10" t="n"/>
      <c r="W4974" s="10" t="n"/>
      <c r="X4974" s="10" t="n"/>
      <c r="Y4974" s="10" t="n"/>
      <c r="Z4974" s="10" t="n"/>
      <c r="AA4974" s="11">
        <f>IF(A4974="","",IF(AND(J4974="P4",F4974="causal"),"P4-CAUSAL",""))</f>
        <v/>
      </c>
    </row>
    <row r="4975" ht="15" customHeight="1" s="1">
      <c r="P4975">
        <f>IF(OR(F4975="",H4975="",J4975=""),"",J4975&amp;"|"&amp;F4975&amp;"|"&amp;IF(H4975="W3","W3_"&amp;IF(I4975="","unknown",I4975),H4975))</f>
        <v/>
      </c>
      <c r="Q4975">
        <f>IF(P4975="","",IFERROR(IF(AND(H4975="W7",OR(F4975="causal",F4975="predictive")),IF(AND(OR(K4975=1,K4975="1"),OR(L4975=1,L4975="1"),OR(M4975=1,M4975="1")),"adequate","partial"),IF(AND(H4975="W4",F4975="predictive",OR(J4975="P2",J4975="P3",J4975="P4")),IF(OR(U4975=1,U4975="1"),"adequate","partial"),INDEX(Fit_Matrix!$B:$B,MATCH(P4975,Fit_Matrix!$A:$A,0)))),"CHECK KEY"))</f>
        <v/>
      </c>
      <c r="U4975" s="10" t="n"/>
      <c r="V4975" s="10" t="n"/>
      <c r="W4975" s="10" t="n"/>
      <c r="X4975" s="10" t="n"/>
      <c r="Y4975" s="10" t="n"/>
      <c r="Z4975" s="10" t="n"/>
      <c r="AA4975" s="11">
        <f>IF(A4975="","",IF(AND(J4975="P4",F4975="causal"),"P4-CAUSAL",""))</f>
        <v/>
      </c>
    </row>
    <row r="4976" ht="15" customHeight="1" s="1">
      <c r="P4976">
        <f>IF(OR(F4976="",H4976="",J4976=""),"",J4976&amp;"|"&amp;F4976&amp;"|"&amp;IF(H4976="W3","W3_"&amp;IF(I4976="","unknown",I4976),H4976))</f>
        <v/>
      </c>
      <c r="Q4976">
        <f>IF(P4976="","",IFERROR(IF(AND(H4976="W7",OR(F4976="causal",F4976="predictive")),IF(AND(OR(K4976=1,K4976="1"),OR(L4976=1,L4976="1"),OR(M4976=1,M4976="1")),"adequate","partial"),IF(AND(H4976="W4",F4976="predictive",OR(J4976="P2",J4976="P3",J4976="P4")),IF(OR(U4976=1,U4976="1"),"adequate","partial"),INDEX(Fit_Matrix!$B:$B,MATCH(P4976,Fit_Matrix!$A:$A,0)))),"CHECK KEY"))</f>
        <v/>
      </c>
      <c r="U4976" s="10" t="n"/>
      <c r="V4976" s="10" t="n"/>
      <c r="W4976" s="10" t="n"/>
      <c r="X4976" s="10" t="n"/>
      <c r="Y4976" s="10" t="n"/>
      <c r="Z4976" s="10" t="n"/>
      <c r="AA4976" s="11">
        <f>IF(A4976="","",IF(AND(J4976="P4",F4976="causal"),"P4-CAUSAL",""))</f>
        <v/>
      </c>
    </row>
    <row r="4977" ht="15" customHeight="1" s="1">
      <c r="P4977">
        <f>IF(OR(F4977="",H4977="",J4977=""),"",J4977&amp;"|"&amp;F4977&amp;"|"&amp;IF(H4977="W3","W3_"&amp;IF(I4977="","unknown",I4977),H4977))</f>
        <v/>
      </c>
      <c r="Q4977">
        <f>IF(P4977="","",IFERROR(IF(AND(H4977="W7",OR(F4977="causal",F4977="predictive")),IF(AND(OR(K4977=1,K4977="1"),OR(L4977=1,L4977="1"),OR(M4977=1,M4977="1")),"adequate","partial"),IF(AND(H4977="W4",F4977="predictive",OR(J4977="P2",J4977="P3",J4977="P4")),IF(OR(U4977=1,U4977="1"),"adequate","partial"),INDEX(Fit_Matrix!$B:$B,MATCH(P4977,Fit_Matrix!$A:$A,0)))),"CHECK KEY"))</f>
        <v/>
      </c>
      <c r="U4977" s="10" t="n"/>
      <c r="V4977" s="10" t="n"/>
      <c r="W4977" s="10" t="n"/>
      <c r="X4977" s="10" t="n"/>
      <c r="Y4977" s="10" t="n"/>
      <c r="Z4977" s="10" t="n"/>
      <c r="AA4977" s="11">
        <f>IF(A4977="","",IF(AND(J4977="P4",F4977="causal"),"P4-CAUSAL",""))</f>
        <v/>
      </c>
    </row>
    <row r="4978" ht="15" customHeight="1" s="1">
      <c r="P4978">
        <f>IF(OR(F4978="",H4978="",J4978=""),"",J4978&amp;"|"&amp;F4978&amp;"|"&amp;IF(H4978="W3","W3_"&amp;IF(I4978="","unknown",I4978),H4978))</f>
        <v/>
      </c>
      <c r="Q4978">
        <f>IF(P4978="","",IFERROR(IF(AND(H4978="W7",OR(F4978="causal",F4978="predictive")),IF(AND(OR(K4978=1,K4978="1"),OR(L4978=1,L4978="1"),OR(M4978=1,M4978="1")),"adequate","partial"),IF(AND(H4978="W4",F4978="predictive",OR(J4978="P2",J4978="P3",J4978="P4")),IF(OR(U4978=1,U4978="1"),"adequate","partial"),INDEX(Fit_Matrix!$B:$B,MATCH(P4978,Fit_Matrix!$A:$A,0)))),"CHECK KEY"))</f>
        <v/>
      </c>
      <c r="U4978" s="10" t="n"/>
      <c r="V4978" s="10" t="n"/>
      <c r="W4978" s="10" t="n"/>
      <c r="X4978" s="10" t="n"/>
      <c r="Y4978" s="10" t="n"/>
      <c r="Z4978" s="10" t="n"/>
      <c r="AA4978" s="11">
        <f>IF(A4978="","",IF(AND(J4978="P4",F4978="causal"),"P4-CAUSAL",""))</f>
        <v/>
      </c>
    </row>
    <row r="4979" ht="15" customHeight="1" s="1">
      <c r="P4979">
        <f>IF(OR(F4979="",H4979="",J4979=""),"",J4979&amp;"|"&amp;F4979&amp;"|"&amp;IF(H4979="W3","W3_"&amp;IF(I4979="","unknown",I4979),H4979))</f>
        <v/>
      </c>
      <c r="Q4979">
        <f>IF(P4979="","",IFERROR(IF(AND(H4979="W7",OR(F4979="causal",F4979="predictive")),IF(AND(OR(K4979=1,K4979="1"),OR(L4979=1,L4979="1"),OR(M4979=1,M4979="1")),"adequate","partial"),IF(AND(H4979="W4",F4979="predictive",OR(J4979="P2",J4979="P3",J4979="P4")),IF(OR(U4979=1,U4979="1"),"adequate","partial"),INDEX(Fit_Matrix!$B:$B,MATCH(P4979,Fit_Matrix!$A:$A,0)))),"CHECK KEY"))</f>
        <v/>
      </c>
      <c r="U4979" s="10" t="n"/>
      <c r="V4979" s="10" t="n"/>
      <c r="W4979" s="10" t="n"/>
      <c r="X4979" s="10" t="n"/>
      <c r="Y4979" s="10" t="n"/>
      <c r="Z4979" s="10" t="n"/>
      <c r="AA4979" s="11">
        <f>IF(A4979="","",IF(AND(J4979="P4",F4979="causal"),"P4-CAUSAL",""))</f>
        <v/>
      </c>
    </row>
    <row r="4980" ht="15" customHeight="1" s="1">
      <c r="P4980">
        <f>IF(OR(F4980="",H4980="",J4980=""),"",J4980&amp;"|"&amp;F4980&amp;"|"&amp;IF(H4980="W3","W3_"&amp;IF(I4980="","unknown",I4980),H4980))</f>
        <v/>
      </c>
      <c r="Q4980">
        <f>IF(P4980="","",IFERROR(IF(AND(H4980="W7",OR(F4980="causal",F4980="predictive")),IF(AND(OR(K4980=1,K4980="1"),OR(L4980=1,L4980="1"),OR(M4980=1,M4980="1")),"adequate","partial"),IF(AND(H4980="W4",F4980="predictive",OR(J4980="P2",J4980="P3",J4980="P4")),IF(OR(U4980=1,U4980="1"),"adequate","partial"),INDEX(Fit_Matrix!$B:$B,MATCH(P4980,Fit_Matrix!$A:$A,0)))),"CHECK KEY"))</f>
        <v/>
      </c>
      <c r="U4980" s="10" t="n"/>
      <c r="V4980" s="10" t="n"/>
      <c r="W4980" s="10" t="n"/>
      <c r="X4980" s="10" t="n"/>
      <c r="Y4980" s="10" t="n"/>
      <c r="Z4980" s="10" t="n"/>
      <c r="AA4980" s="11">
        <f>IF(A4980="","",IF(AND(J4980="P4",F4980="causal"),"P4-CAUSAL",""))</f>
        <v/>
      </c>
    </row>
    <row r="4981" ht="15" customHeight="1" s="1">
      <c r="P4981">
        <f>IF(OR(F4981="",H4981="",J4981=""),"",J4981&amp;"|"&amp;F4981&amp;"|"&amp;IF(H4981="W3","W3_"&amp;IF(I4981="","unknown",I4981),H4981))</f>
        <v/>
      </c>
      <c r="Q4981">
        <f>IF(P4981="","",IFERROR(IF(AND(H4981="W7",OR(F4981="causal",F4981="predictive")),IF(AND(OR(K4981=1,K4981="1"),OR(L4981=1,L4981="1"),OR(M4981=1,M4981="1")),"adequate","partial"),IF(AND(H4981="W4",F4981="predictive",OR(J4981="P2",J4981="P3",J4981="P4")),IF(OR(U4981=1,U4981="1"),"adequate","partial"),INDEX(Fit_Matrix!$B:$B,MATCH(P4981,Fit_Matrix!$A:$A,0)))),"CHECK KEY"))</f>
        <v/>
      </c>
      <c r="U4981" s="10" t="n"/>
      <c r="V4981" s="10" t="n"/>
      <c r="W4981" s="10" t="n"/>
      <c r="X4981" s="10" t="n"/>
      <c r="Y4981" s="10" t="n"/>
      <c r="Z4981" s="10" t="n"/>
      <c r="AA4981" s="11">
        <f>IF(A4981="","",IF(AND(J4981="P4",F4981="causal"),"P4-CAUSAL",""))</f>
        <v/>
      </c>
    </row>
    <row r="4982" ht="15" customHeight="1" s="1">
      <c r="P4982">
        <f>IF(OR(F4982="",H4982="",J4982=""),"",J4982&amp;"|"&amp;F4982&amp;"|"&amp;IF(H4982="W3","W3_"&amp;IF(I4982="","unknown",I4982),H4982))</f>
        <v/>
      </c>
      <c r="Q4982">
        <f>IF(P4982="","",IFERROR(IF(AND(H4982="W7",OR(F4982="causal",F4982="predictive")),IF(AND(OR(K4982=1,K4982="1"),OR(L4982=1,L4982="1"),OR(M4982=1,M4982="1")),"adequate","partial"),IF(AND(H4982="W4",F4982="predictive",OR(J4982="P2",J4982="P3",J4982="P4")),IF(OR(U4982=1,U4982="1"),"adequate","partial"),INDEX(Fit_Matrix!$B:$B,MATCH(P4982,Fit_Matrix!$A:$A,0)))),"CHECK KEY"))</f>
        <v/>
      </c>
      <c r="U4982" s="10" t="n"/>
      <c r="V4982" s="10" t="n"/>
      <c r="W4982" s="10" t="n"/>
      <c r="X4982" s="10" t="n"/>
      <c r="Y4982" s="10" t="n"/>
      <c r="Z4982" s="10" t="n"/>
      <c r="AA4982" s="11">
        <f>IF(A4982="","",IF(AND(J4982="P4",F4982="causal"),"P4-CAUSAL",""))</f>
        <v/>
      </c>
    </row>
    <row r="4983" ht="15" customHeight="1" s="1">
      <c r="P4983">
        <f>IF(OR(F4983="",H4983="",J4983=""),"",J4983&amp;"|"&amp;F4983&amp;"|"&amp;IF(H4983="W3","W3_"&amp;IF(I4983="","unknown",I4983),H4983))</f>
        <v/>
      </c>
      <c r="Q4983">
        <f>IF(P4983="","",IFERROR(IF(AND(H4983="W7",OR(F4983="causal",F4983="predictive")),IF(AND(OR(K4983=1,K4983="1"),OR(L4983=1,L4983="1"),OR(M4983=1,M4983="1")),"adequate","partial"),IF(AND(H4983="W4",F4983="predictive",OR(J4983="P2",J4983="P3",J4983="P4")),IF(OR(U4983=1,U4983="1"),"adequate","partial"),INDEX(Fit_Matrix!$B:$B,MATCH(P4983,Fit_Matrix!$A:$A,0)))),"CHECK KEY"))</f>
        <v/>
      </c>
      <c r="U4983" s="10" t="n"/>
      <c r="V4983" s="10" t="n"/>
      <c r="W4983" s="10" t="n"/>
      <c r="X4983" s="10" t="n"/>
      <c r="Y4983" s="10" t="n"/>
      <c r="Z4983" s="10" t="n"/>
      <c r="AA4983" s="11">
        <f>IF(A4983="","",IF(AND(J4983="P4",F4983="causal"),"P4-CAUSAL",""))</f>
        <v/>
      </c>
    </row>
    <row r="4984" ht="15" customHeight="1" s="1">
      <c r="P4984">
        <f>IF(OR(F4984="",H4984="",J4984=""),"",J4984&amp;"|"&amp;F4984&amp;"|"&amp;IF(H4984="W3","W3_"&amp;IF(I4984="","unknown",I4984),H4984))</f>
        <v/>
      </c>
      <c r="Q4984">
        <f>IF(P4984="","",IFERROR(IF(AND(H4984="W7",OR(F4984="causal",F4984="predictive")),IF(AND(OR(K4984=1,K4984="1"),OR(L4984=1,L4984="1"),OR(M4984=1,M4984="1")),"adequate","partial"),IF(AND(H4984="W4",F4984="predictive",OR(J4984="P2",J4984="P3",J4984="P4")),IF(OR(U4984=1,U4984="1"),"adequate","partial"),INDEX(Fit_Matrix!$B:$B,MATCH(P4984,Fit_Matrix!$A:$A,0)))),"CHECK KEY"))</f>
        <v/>
      </c>
      <c r="U4984" s="10" t="n"/>
      <c r="V4984" s="10" t="n"/>
      <c r="W4984" s="10" t="n"/>
      <c r="X4984" s="10" t="n"/>
      <c r="Y4984" s="10" t="n"/>
      <c r="Z4984" s="10" t="n"/>
      <c r="AA4984" s="11">
        <f>IF(A4984="","",IF(AND(J4984="P4",F4984="causal"),"P4-CAUSAL",""))</f>
        <v/>
      </c>
    </row>
    <row r="4985" ht="15" customHeight="1" s="1">
      <c r="P4985">
        <f>IF(OR(F4985="",H4985="",J4985=""),"",J4985&amp;"|"&amp;F4985&amp;"|"&amp;IF(H4985="W3","W3_"&amp;IF(I4985="","unknown",I4985),H4985))</f>
        <v/>
      </c>
      <c r="Q4985">
        <f>IF(P4985="","",IFERROR(IF(AND(H4985="W7",OR(F4985="causal",F4985="predictive")),IF(AND(OR(K4985=1,K4985="1"),OR(L4985=1,L4985="1"),OR(M4985=1,M4985="1")),"adequate","partial"),IF(AND(H4985="W4",F4985="predictive",OR(J4985="P2",J4985="P3",J4985="P4")),IF(OR(U4985=1,U4985="1"),"adequate","partial"),INDEX(Fit_Matrix!$B:$B,MATCH(P4985,Fit_Matrix!$A:$A,0)))),"CHECK KEY"))</f>
        <v/>
      </c>
      <c r="U4985" s="10" t="n"/>
      <c r="V4985" s="10" t="n"/>
      <c r="W4985" s="10" t="n"/>
      <c r="X4985" s="10" t="n"/>
      <c r="Y4985" s="10" t="n"/>
      <c r="Z4985" s="10" t="n"/>
      <c r="AA4985" s="11">
        <f>IF(A4985="","",IF(AND(J4985="P4",F4985="causal"),"P4-CAUSAL",""))</f>
        <v/>
      </c>
    </row>
    <row r="4986" ht="15" customHeight="1" s="1">
      <c r="P4986">
        <f>IF(OR(F4986="",H4986="",J4986=""),"",J4986&amp;"|"&amp;F4986&amp;"|"&amp;IF(H4986="W3","W3_"&amp;IF(I4986="","unknown",I4986),H4986))</f>
        <v/>
      </c>
      <c r="Q4986">
        <f>IF(P4986="","",IFERROR(IF(AND(H4986="W7",OR(F4986="causal",F4986="predictive")),IF(AND(OR(K4986=1,K4986="1"),OR(L4986=1,L4986="1"),OR(M4986=1,M4986="1")),"adequate","partial"),IF(AND(H4986="W4",F4986="predictive",OR(J4986="P2",J4986="P3",J4986="P4")),IF(OR(U4986=1,U4986="1"),"adequate","partial"),INDEX(Fit_Matrix!$B:$B,MATCH(P4986,Fit_Matrix!$A:$A,0)))),"CHECK KEY"))</f>
        <v/>
      </c>
      <c r="U4986" s="10" t="n"/>
      <c r="V4986" s="10" t="n"/>
      <c r="W4986" s="10" t="n"/>
      <c r="X4986" s="10" t="n"/>
      <c r="Y4986" s="10" t="n"/>
      <c r="Z4986" s="10" t="n"/>
      <c r="AA4986" s="11">
        <f>IF(A4986="","",IF(AND(J4986="P4",F4986="causal"),"P4-CAUSAL",""))</f>
        <v/>
      </c>
    </row>
    <row r="4987" ht="15" customHeight="1" s="1">
      <c r="P4987">
        <f>IF(OR(F4987="",H4987="",J4987=""),"",J4987&amp;"|"&amp;F4987&amp;"|"&amp;IF(H4987="W3","W3_"&amp;IF(I4987="","unknown",I4987),H4987))</f>
        <v/>
      </c>
      <c r="Q4987">
        <f>IF(P4987="","",IFERROR(IF(AND(H4987="W7",OR(F4987="causal",F4987="predictive")),IF(AND(OR(K4987=1,K4987="1"),OR(L4987=1,L4987="1"),OR(M4987=1,M4987="1")),"adequate","partial"),IF(AND(H4987="W4",F4987="predictive",OR(J4987="P2",J4987="P3",J4987="P4")),IF(OR(U4987=1,U4987="1"),"adequate","partial"),INDEX(Fit_Matrix!$B:$B,MATCH(P4987,Fit_Matrix!$A:$A,0)))),"CHECK KEY"))</f>
        <v/>
      </c>
      <c r="U4987" s="10" t="n"/>
      <c r="V4987" s="10" t="n"/>
      <c r="W4987" s="10" t="n"/>
      <c r="X4987" s="10" t="n"/>
      <c r="Y4987" s="10" t="n"/>
      <c r="Z4987" s="10" t="n"/>
      <c r="AA4987" s="11">
        <f>IF(A4987="","",IF(AND(J4987="P4",F4987="causal"),"P4-CAUSAL",""))</f>
        <v/>
      </c>
    </row>
    <row r="4988" ht="15" customHeight="1" s="1">
      <c r="P4988">
        <f>IF(OR(F4988="",H4988="",J4988=""),"",J4988&amp;"|"&amp;F4988&amp;"|"&amp;IF(H4988="W3","W3_"&amp;IF(I4988="","unknown",I4988),H4988))</f>
        <v/>
      </c>
      <c r="Q4988">
        <f>IF(P4988="","",IFERROR(IF(AND(H4988="W7",OR(F4988="causal",F4988="predictive")),IF(AND(OR(K4988=1,K4988="1"),OR(L4988=1,L4988="1"),OR(M4988=1,M4988="1")),"adequate","partial"),IF(AND(H4988="W4",F4988="predictive",OR(J4988="P2",J4988="P3",J4988="P4")),IF(OR(U4988=1,U4988="1"),"adequate","partial"),INDEX(Fit_Matrix!$B:$B,MATCH(P4988,Fit_Matrix!$A:$A,0)))),"CHECK KEY"))</f>
        <v/>
      </c>
      <c r="U4988" s="10" t="n"/>
      <c r="V4988" s="10" t="n"/>
      <c r="W4988" s="10" t="n"/>
      <c r="X4988" s="10" t="n"/>
      <c r="Y4988" s="10" t="n"/>
      <c r="Z4988" s="10" t="n"/>
      <c r="AA4988" s="11">
        <f>IF(A4988="","",IF(AND(J4988="P4",F4988="causal"),"P4-CAUSAL",""))</f>
        <v/>
      </c>
    </row>
    <row r="4989" ht="15" customHeight="1" s="1">
      <c r="P4989">
        <f>IF(OR(F4989="",H4989="",J4989=""),"",J4989&amp;"|"&amp;F4989&amp;"|"&amp;IF(H4989="W3","W3_"&amp;IF(I4989="","unknown",I4989),H4989))</f>
        <v/>
      </c>
      <c r="Q4989">
        <f>IF(P4989="","",IFERROR(IF(AND(H4989="W7",OR(F4989="causal",F4989="predictive")),IF(AND(OR(K4989=1,K4989="1"),OR(L4989=1,L4989="1"),OR(M4989=1,M4989="1")),"adequate","partial"),IF(AND(H4989="W4",F4989="predictive",OR(J4989="P2",J4989="P3",J4989="P4")),IF(OR(U4989=1,U4989="1"),"adequate","partial"),INDEX(Fit_Matrix!$B:$B,MATCH(P4989,Fit_Matrix!$A:$A,0)))),"CHECK KEY"))</f>
        <v/>
      </c>
      <c r="U4989" s="10" t="n"/>
      <c r="V4989" s="10" t="n"/>
      <c r="W4989" s="10" t="n"/>
      <c r="X4989" s="10" t="n"/>
      <c r="Y4989" s="10" t="n"/>
      <c r="Z4989" s="10" t="n"/>
      <c r="AA4989" s="11">
        <f>IF(A4989="","",IF(AND(J4989="P4",F4989="causal"),"P4-CAUSAL",""))</f>
        <v/>
      </c>
    </row>
    <row r="4990" ht="15" customHeight="1" s="1">
      <c r="P4990">
        <f>IF(OR(F4990="",H4990="",J4990=""),"",J4990&amp;"|"&amp;F4990&amp;"|"&amp;IF(H4990="W3","W3_"&amp;IF(I4990="","unknown",I4990),H4990))</f>
        <v/>
      </c>
      <c r="Q4990">
        <f>IF(P4990="","",IFERROR(IF(AND(H4990="W7",OR(F4990="causal",F4990="predictive")),IF(AND(OR(K4990=1,K4990="1"),OR(L4990=1,L4990="1"),OR(M4990=1,M4990="1")),"adequate","partial"),IF(AND(H4990="W4",F4990="predictive",OR(J4990="P2",J4990="P3",J4990="P4")),IF(OR(U4990=1,U4990="1"),"adequate","partial"),INDEX(Fit_Matrix!$B:$B,MATCH(P4990,Fit_Matrix!$A:$A,0)))),"CHECK KEY"))</f>
        <v/>
      </c>
      <c r="U4990" s="10" t="n"/>
      <c r="V4990" s="10" t="n"/>
      <c r="W4990" s="10" t="n"/>
      <c r="X4990" s="10" t="n"/>
      <c r="Y4990" s="10" t="n"/>
      <c r="Z4990" s="10" t="n"/>
      <c r="AA4990" s="11">
        <f>IF(A4990="","",IF(AND(J4990="P4",F4990="causal"),"P4-CAUSAL",""))</f>
        <v/>
      </c>
    </row>
    <row r="4991" ht="15" customHeight="1" s="1">
      <c r="P4991">
        <f>IF(OR(F4991="",H4991="",J4991=""),"",J4991&amp;"|"&amp;F4991&amp;"|"&amp;IF(H4991="W3","W3_"&amp;IF(I4991="","unknown",I4991),H4991))</f>
        <v/>
      </c>
      <c r="Q4991">
        <f>IF(P4991="","",IFERROR(IF(AND(H4991="W7",OR(F4991="causal",F4991="predictive")),IF(AND(OR(K4991=1,K4991="1"),OR(L4991=1,L4991="1"),OR(M4991=1,M4991="1")),"adequate","partial"),IF(AND(H4991="W4",F4991="predictive",OR(J4991="P2",J4991="P3",J4991="P4")),IF(OR(U4991=1,U4991="1"),"adequate","partial"),INDEX(Fit_Matrix!$B:$B,MATCH(P4991,Fit_Matrix!$A:$A,0)))),"CHECK KEY"))</f>
        <v/>
      </c>
      <c r="U4991" s="10" t="n"/>
      <c r="V4991" s="10" t="n"/>
      <c r="W4991" s="10" t="n"/>
      <c r="X4991" s="10" t="n"/>
      <c r="Y4991" s="10" t="n"/>
      <c r="Z4991" s="10" t="n"/>
      <c r="AA4991" s="11">
        <f>IF(A4991="","",IF(AND(J4991="P4",F4991="causal"),"P4-CAUSAL",""))</f>
        <v/>
      </c>
    </row>
    <row r="4992" ht="15" customHeight="1" s="1">
      <c r="P4992">
        <f>IF(OR(F4992="",H4992="",J4992=""),"",J4992&amp;"|"&amp;F4992&amp;"|"&amp;IF(H4992="W3","W3_"&amp;IF(I4992="","unknown",I4992),H4992))</f>
        <v/>
      </c>
      <c r="Q4992">
        <f>IF(P4992="","",IFERROR(IF(AND(H4992="W7",OR(F4992="causal",F4992="predictive")),IF(AND(OR(K4992=1,K4992="1"),OR(L4992=1,L4992="1"),OR(M4992=1,M4992="1")),"adequate","partial"),IF(AND(H4992="W4",F4992="predictive",OR(J4992="P2",J4992="P3",J4992="P4")),IF(OR(U4992=1,U4992="1"),"adequate","partial"),INDEX(Fit_Matrix!$B:$B,MATCH(P4992,Fit_Matrix!$A:$A,0)))),"CHECK KEY"))</f>
        <v/>
      </c>
      <c r="U4992" s="10" t="n"/>
      <c r="V4992" s="10" t="n"/>
      <c r="W4992" s="10" t="n"/>
      <c r="X4992" s="10" t="n"/>
      <c r="Y4992" s="10" t="n"/>
      <c r="Z4992" s="10" t="n"/>
      <c r="AA4992" s="11">
        <f>IF(A4992="","",IF(AND(J4992="P4",F4992="causal"),"P4-CAUSAL",""))</f>
        <v/>
      </c>
    </row>
    <row r="4993" ht="15" customHeight="1" s="1">
      <c r="P4993">
        <f>IF(OR(F4993="",H4993="",J4993=""),"",J4993&amp;"|"&amp;F4993&amp;"|"&amp;IF(H4993="W3","W3_"&amp;IF(I4993="","unknown",I4993),H4993))</f>
        <v/>
      </c>
      <c r="Q4993">
        <f>IF(P4993="","",IFERROR(IF(AND(H4993="W7",OR(F4993="causal",F4993="predictive")),IF(AND(OR(K4993=1,K4993="1"),OR(L4993=1,L4993="1"),OR(M4993=1,M4993="1")),"adequate","partial"),IF(AND(H4993="W4",F4993="predictive",OR(J4993="P2",J4993="P3",J4993="P4")),IF(OR(U4993=1,U4993="1"),"adequate","partial"),INDEX(Fit_Matrix!$B:$B,MATCH(P4993,Fit_Matrix!$A:$A,0)))),"CHECK KEY"))</f>
        <v/>
      </c>
      <c r="U4993" s="10" t="n"/>
      <c r="V4993" s="10" t="n"/>
      <c r="W4993" s="10" t="n"/>
      <c r="X4993" s="10" t="n"/>
      <c r="Y4993" s="10" t="n"/>
      <c r="Z4993" s="10" t="n"/>
      <c r="AA4993" s="11">
        <f>IF(A4993="","",IF(AND(J4993="P4",F4993="causal"),"P4-CAUSAL",""))</f>
        <v/>
      </c>
    </row>
    <row r="4994" ht="15" customHeight="1" s="1">
      <c r="P4994">
        <f>IF(OR(F4994="",H4994="",J4994=""),"",J4994&amp;"|"&amp;F4994&amp;"|"&amp;IF(H4994="W3","W3_"&amp;IF(I4994="","unknown",I4994),H4994))</f>
        <v/>
      </c>
      <c r="Q4994">
        <f>IF(P4994="","",IFERROR(IF(AND(H4994="W7",OR(F4994="causal",F4994="predictive")),IF(AND(OR(K4994=1,K4994="1"),OR(L4994=1,L4994="1"),OR(M4994=1,M4994="1")),"adequate","partial"),IF(AND(H4994="W4",F4994="predictive",OR(J4994="P2",J4994="P3",J4994="P4")),IF(OR(U4994=1,U4994="1"),"adequate","partial"),INDEX(Fit_Matrix!$B:$B,MATCH(P4994,Fit_Matrix!$A:$A,0)))),"CHECK KEY"))</f>
        <v/>
      </c>
      <c r="U4994" s="10" t="n"/>
      <c r="V4994" s="10" t="n"/>
      <c r="W4994" s="10" t="n"/>
      <c r="X4994" s="10" t="n"/>
      <c r="Y4994" s="10" t="n"/>
      <c r="Z4994" s="10" t="n"/>
      <c r="AA4994" s="11">
        <f>IF(A4994="","",IF(AND(J4994="P4",F4994="causal"),"P4-CAUSAL",""))</f>
        <v/>
      </c>
    </row>
    <row r="4995" ht="15" customHeight="1" s="1">
      <c r="P4995">
        <f>IF(OR(F4995="",H4995="",J4995=""),"",J4995&amp;"|"&amp;F4995&amp;"|"&amp;IF(H4995="W3","W3_"&amp;IF(I4995="","unknown",I4995),H4995))</f>
        <v/>
      </c>
      <c r="Q4995">
        <f>IF(P4995="","",IFERROR(IF(AND(H4995="W7",OR(F4995="causal",F4995="predictive")),IF(AND(OR(K4995=1,K4995="1"),OR(L4995=1,L4995="1"),OR(M4995=1,M4995="1")),"adequate","partial"),IF(AND(H4995="W4",F4995="predictive",OR(J4995="P2",J4995="P3",J4995="P4")),IF(OR(U4995=1,U4995="1"),"adequate","partial"),INDEX(Fit_Matrix!$B:$B,MATCH(P4995,Fit_Matrix!$A:$A,0)))),"CHECK KEY"))</f>
        <v/>
      </c>
      <c r="U4995" s="10" t="n"/>
      <c r="V4995" s="10" t="n"/>
      <c r="W4995" s="10" t="n"/>
      <c r="X4995" s="10" t="n"/>
      <c r="Y4995" s="10" t="n"/>
      <c r="Z4995" s="10" t="n"/>
      <c r="AA4995" s="11">
        <f>IF(A4995="","",IF(AND(J4995="P4",F4995="causal"),"P4-CAUSAL",""))</f>
        <v/>
      </c>
    </row>
    <row r="4996" ht="15" customHeight="1" s="1">
      <c r="P4996">
        <f>IF(OR(F4996="",H4996="",J4996=""),"",J4996&amp;"|"&amp;F4996&amp;"|"&amp;IF(H4996="W3","W3_"&amp;IF(I4996="","unknown",I4996),H4996))</f>
        <v/>
      </c>
      <c r="Q4996">
        <f>IF(P4996="","",IFERROR(IF(AND(H4996="W7",OR(F4996="causal",F4996="predictive")),IF(AND(OR(K4996=1,K4996="1"),OR(L4996=1,L4996="1"),OR(M4996=1,M4996="1")),"adequate","partial"),IF(AND(H4996="W4",F4996="predictive",OR(J4996="P2",J4996="P3",J4996="P4")),IF(OR(U4996=1,U4996="1"),"adequate","partial"),INDEX(Fit_Matrix!$B:$B,MATCH(P4996,Fit_Matrix!$A:$A,0)))),"CHECK KEY"))</f>
        <v/>
      </c>
      <c r="U4996" s="10" t="n"/>
      <c r="V4996" s="10" t="n"/>
      <c r="W4996" s="10" t="n"/>
      <c r="X4996" s="10" t="n"/>
      <c r="Y4996" s="10" t="n"/>
      <c r="Z4996" s="10" t="n"/>
      <c r="AA4996" s="11">
        <f>IF(A4996="","",IF(AND(J4996="P4",F4996="causal"),"P4-CAUSAL",""))</f>
        <v/>
      </c>
    </row>
    <row r="4997" ht="15" customHeight="1" s="1">
      <c r="P4997">
        <f>IF(OR(F4997="",H4997="",J4997=""),"",J4997&amp;"|"&amp;F4997&amp;"|"&amp;IF(H4997="W3","W3_"&amp;IF(I4997="","unknown",I4997),H4997))</f>
        <v/>
      </c>
      <c r="Q4997">
        <f>IF(P4997="","",IFERROR(IF(AND(H4997="W7",OR(F4997="causal",F4997="predictive")),IF(AND(OR(K4997=1,K4997="1"),OR(L4997=1,L4997="1"),OR(M4997=1,M4997="1")),"adequate","partial"),IF(AND(H4997="W4",F4997="predictive",OR(J4997="P2",J4997="P3",J4997="P4")),IF(OR(U4997=1,U4997="1"),"adequate","partial"),INDEX(Fit_Matrix!$B:$B,MATCH(P4997,Fit_Matrix!$A:$A,0)))),"CHECK KEY"))</f>
        <v/>
      </c>
      <c r="U4997" s="10" t="n"/>
      <c r="V4997" s="10" t="n"/>
      <c r="W4997" s="10" t="n"/>
      <c r="X4997" s="10" t="n"/>
      <c r="Y4997" s="10" t="n"/>
      <c r="Z4997" s="10" t="n"/>
      <c r="AA4997" s="11">
        <f>IF(A4997="","",IF(AND(J4997="P4",F4997="causal"),"P4-CAUSAL",""))</f>
        <v/>
      </c>
    </row>
    <row r="4998" ht="15" customHeight="1" s="1">
      <c r="P4998">
        <f>IF(OR(F4998="",H4998="",J4998=""),"",J4998&amp;"|"&amp;F4998&amp;"|"&amp;IF(H4998="W3","W3_"&amp;IF(I4998="","unknown",I4998),H4998))</f>
        <v/>
      </c>
      <c r="Q4998">
        <f>IF(P4998="","",IFERROR(IF(AND(H4998="W7",OR(F4998="causal",F4998="predictive")),IF(AND(OR(K4998=1,K4998="1"),OR(L4998=1,L4998="1"),OR(M4998=1,M4998="1")),"adequate","partial"),IF(AND(H4998="W4",F4998="predictive",OR(J4998="P2",J4998="P3",J4998="P4")),IF(OR(U4998=1,U4998="1"),"adequate","partial"),INDEX(Fit_Matrix!$B:$B,MATCH(P4998,Fit_Matrix!$A:$A,0)))),"CHECK KEY"))</f>
        <v/>
      </c>
      <c r="U4998" s="10" t="n"/>
      <c r="V4998" s="10" t="n"/>
      <c r="W4998" s="10" t="n"/>
      <c r="X4998" s="10" t="n"/>
      <c r="Y4998" s="10" t="n"/>
      <c r="Z4998" s="10" t="n"/>
      <c r="AA4998" s="11">
        <f>IF(A4998="","",IF(AND(J4998="P4",F4998="causal"),"P4-CAUSAL",""))</f>
        <v/>
      </c>
    </row>
    <row r="4999" ht="15" customHeight="1" s="1">
      <c r="U4999" s="10" t="n"/>
      <c r="V4999" s="10" t="n"/>
      <c r="W4999" s="10" t="n"/>
      <c r="X4999" s="10" t="n"/>
      <c r="Y4999" s="10" t="n"/>
      <c r="Z4999" s="10" t="n"/>
      <c r="AA4999" s="11" t="n"/>
    </row>
    <row r="5000" ht="15" customHeight="1" s="1">
      <c r="P5000">
        <f>IF(OR(F5000="",H5000="",J5000=""),"",J5000&amp;"|"&amp;F5000&amp;"|"&amp;IF(H5000="W3","W3_"&amp;IF(I5000="","unknown",I5000),H5000))</f>
        <v/>
      </c>
      <c r="Q5000">
        <f>IF(P5000="","",IFERROR(IF(AND(H5000="W7",OR(F5000="causal",F5000="predictive")),IF(AND(OR(K5000=1,K5000="1"),OR(L5000=1,L5000="1"),OR(M5000=1,M5000="1")),"adequate","partial"),IF(AND(H5000="W4",F5000="predictive",OR(J5000="P2",J5000="P3",J5000="P4")),IF(OR(U5000=1,U5000="1"),"adequate","partial"),INDEX(Fit_Matrix!$B:$B,MATCH(P5000,Fit_Matrix!$A:$A,0)))),"CHECK KEY"))</f>
        <v/>
      </c>
      <c r="U5000" s="10" t="n"/>
      <c r="V5000" s="10" t="n"/>
      <c r="W5000" s="10" t="n"/>
      <c r="X5000" s="10" t="n"/>
      <c r="Y5000" s="10" t="n"/>
      <c r="Z5000" s="10" t="n"/>
      <c r="AA5000" s="11">
        <f>IF(A5000="","",IF(AND(J5000="P4",F5000="causal"),"P4-CAUSAL",""))</f>
        <v/>
      </c>
    </row>
  </sheetData>
  <dataValidations count="10">
    <dataValidation sqref="F2:F5000" showDropDown="0" showInputMessage="0" showErrorMessage="0" allowBlank="1" type="list">
      <formula1>"descriptive,conceptual,causal,predictive,normative,other"</formula1>
      <formula2>0</formula2>
    </dataValidation>
    <dataValidation sqref="H2:H5000" showDropDown="0" showInputMessage="0" showErrorMessage="0" allowBlank="1" type="list">
      <formula1>"W1,W2,W3,W4,W5,W6,W7,W8"</formula1>
      <formula2>0</formula2>
    </dataValidation>
    <dataValidation sqref="I2:I5000" showDropDown="0" showInputMessage="0" showErrorMessage="0" allowBlank="1" type="list">
      <formula1>"to_W1W2,to_W3,to_W4W8,unknown"</formula1>
      <formula2>0</formula2>
    </dataValidation>
    <dataValidation sqref="J2:J5000" showDropDown="0" showInputMessage="0" showErrorMessage="0" allowBlank="1" type="list">
      <formula1>"P1,P2,P3,P4"</formula1>
      <formula2>0</formula2>
    </dataValidation>
    <dataValidation sqref="K2:M5000" showDropDown="0" showInputMessage="0" showErrorMessage="0" allowBlank="1" type="list">
      <formula1>"0,1,NA"</formula1>
      <formula2>0</formula2>
    </dataValidation>
    <dataValidation sqref="O2:O5000" showDropDown="0" showInputMessage="0" showErrorMessage="0" allowBlank="1" type="list">
      <formula1>"supporting,neutral,critical"</formula1>
      <formula2>0</formula2>
    </dataValidation>
    <dataValidation sqref="R2:R5000" showDropDown="0" showInputMessage="0" showErrorMessage="0" allowBlank="1" type="list">
      <formula1>"adequate,partial,inadequate"</formula1>
      <formula2>0</formula2>
    </dataValidation>
    <dataValidation sqref="U2:U5000 Y2:Y5000" showDropDown="0" showInputMessage="0" showErrorMessage="0" allowBlank="1" type="list">
      <formula1>"0,1,NA"</formula1>
    </dataValidation>
    <dataValidation sqref="V2:X5000" showDropDown="0" showInputMessage="0" showErrorMessage="0" allowBlank="1" type="list">
      <formula1>"0,1,NA,unknown"</formula1>
    </dataValidation>
    <dataValidation sqref="Z2:Z5000" showDropDown="0" showInputMessage="0" showErrorMessage="0" allowBlank="1" type="list">
      <formula1>"descriptive,conceptual,causal,predictive,normative,NA"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2" customWidth="1" style="1" min="1" max="1"/>
    <col width="60" customWidth="1" style="1" min="2" max="2"/>
    <col width="50" customWidth="1" style="1" min="3" max="3"/>
    <col width="16" customWidth="1" style="1" min="4" max="4"/>
    <col width="14" customWidth="1" style="1" min="5" max="5"/>
  </cols>
  <sheetData>
    <row r="1" ht="15" customHeight="1" s="1">
      <c r="A1" s="7" t="inlineStr">
        <is>
          <t>date</t>
        </is>
      </c>
      <c r="B1" s="7" t="inlineStr">
        <is>
          <t>change</t>
        </is>
      </c>
      <c r="C1" s="7" t="inlineStr">
        <is>
          <t>reason</t>
        </is>
      </c>
      <c r="D1" s="7" t="inlineStr">
        <is>
          <t>stage</t>
        </is>
      </c>
      <c r="E1" s="7" t="inlineStr">
        <is>
          <t>approved_by</t>
        </is>
      </c>
    </row>
    <row r="2" ht="15" customHeight="1" s="1">
      <c r="A2" t="inlineStr">
        <is>
          <t>2026-09-07</t>
        </is>
      </c>
      <c r="B2" t="inlineStr">
        <is>
          <t>Pilot rows K0001-K0021 entered by coder CL (Claude) on two open-access TNSR articles</t>
        </is>
      </c>
      <c r="C2" t="inlineStr">
        <is>
          <t>Pilot only; not protocol data; TNSR indexing status unverified</t>
        </is>
      </c>
      <c r="D2" t="inlineStr">
        <is>
          <t>pre-freeze pilot</t>
        </is>
      </c>
      <c r="E2" t="inlineStr">
        <is>
          <t>user</t>
        </is>
      </c>
    </row>
    <row r="3">
      <c r="A3" t="inlineStr">
        <is>
          <t>2026-09-10</t>
        </is>
      </c>
      <c r="B3" t="inlineStr">
        <is>
          <t>Deposit target changed from OSF Registries to a public Git repository with a Zenodo-archived release; protocol section 15 added</t>
        </is>
      </c>
      <c r="C3" t="inlineStr">
        <is>
          <t>Investigator preference; equivalent public time-stamping and DOI</t>
        </is>
      </c>
      <c r="D3" t="inlineStr">
        <is>
          <t>pre-freeze</t>
        </is>
      </c>
      <c r="E3" t="inlineStr">
        <is>
          <t>MK</t>
        </is>
      </c>
    </row>
    <row r="4">
      <c r="A4" t="inlineStr">
        <is>
          <t>2026-09-10</t>
        </is>
      </c>
      <c r="B4" t="inlineStr">
        <is>
          <t>fit_computed rewritten: indicator test now accepts numeric or text 0/1</t>
        </is>
      </c>
      <c r="C4" t="inlineStr">
        <is>
          <t>Indicators were stored as text, so AND(K=1,L=1,M=1) was always FALSE in Excel and no claim could ever score adequate under the W7 rule. Latent: the pilot had no 3/3 claim, so it never surfaced</t>
        </is>
      </c>
      <c r="D4" t="inlineStr">
        <is>
          <t>pre-freeze</t>
        </is>
      </c>
      <c r="E4" t="inlineStr">
        <is>
          <t>MK</t>
        </is>
      </c>
    </row>
    <row r="5">
      <c r="A5" t="inlineStr">
        <is>
          <t>2026-09-10</t>
        </is>
      </c>
      <c r="B5" t="inlineStr">
        <is>
          <t>scope_conditions, conjectural_status and falsifier converted from text to numbers</t>
        </is>
      </c>
      <c r="C5" t="inlineStr">
        <is>
          <t>Same defect, fixed at the data layer as well as the formula layer</t>
        </is>
      </c>
      <c r="D5" t="inlineStr">
        <is>
          <t>pre-freeze</t>
        </is>
      </c>
      <c r="E5" t="inlineStr">
        <is>
          <t>MK</t>
        </is>
      </c>
    </row>
    <row r="6">
      <c r="A6" t="inlineStr">
        <is>
          <t>2026-09-10</t>
        </is>
      </c>
      <c r="B6" t="inlineStr">
        <is>
          <t>Column w4_developed added; Fit_Matrix P2/P3/P4|predictive|W4 reset to partial</t>
        </is>
      </c>
      <c r="C6" t="inlineStr">
        <is>
          <t>Appendix A.5 requires the analogy to be developed over a full section, but the matrix granted adequate unconditionally and the condition had no input column</t>
        </is>
      </c>
      <c r="D6" t="inlineStr">
        <is>
          <t>pre-freeze</t>
        </is>
      </c>
      <c r="E6" t="inlineStr">
        <is>
          <t>MK</t>
        </is>
      </c>
    </row>
    <row r="7">
      <c r="A7" t="inlineStr">
        <is>
          <t>2026-09-10</t>
        </is>
      </c>
      <c r="B7" t="inlineStr">
        <is>
          <t>Columns orig_scope_conditions, orig_conjectural_status, orig_falsifier added</t>
        </is>
      </c>
      <c r="C7" t="inlineStr">
        <is>
          <t>Table 4, RQ3 and H2 compare originating and citing text; only citing-text indicators existed, so the comparison could not be computed</t>
        </is>
      </c>
      <c r="D7" t="inlineStr">
        <is>
          <t>pre-freeze</t>
        </is>
      </c>
      <c r="E7" t="inlineStr">
        <is>
          <t>MK</t>
        </is>
      </c>
    </row>
    <row r="8">
      <c r="A8" t="inlineStr">
        <is>
          <t>2026-09-10</t>
        </is>
      </c>
      <c r="B8" t="inlineStr">
        <is>
          <t>Column w3_source_peer_reviewed added</t>
        </is>
      </c>
      <c r="C8" t="inlineStr">
        <is>
          <t>Pilot note item 2: sub-code turns on whether the source carries data; peer-review status recorded separately</t>
        </is>
      </c>
      <c r="D8" t="inlineStr">
        <is>
          <t>pre-freeze</t>
        </is>
      </c>
      <c r="E8" t="inlineStr">
        <is>
          <t>MK</t>
        </is>
      </c>
    </row>
    <row r="9">
      <c r="A9" t="inlineStr">
        <is>
          <t>2026-09-10</t>
        </is>
      </c>
      <c r="B9" t="inlineStr">
        <is>
          <t>Column secondary_claim_type added</t>
        </is>
      </c>
      <c r="C9" t="inlineStr">
        <is>
          <t>Appendix A.3 requires causal and predictive to be coded together, which a single claim_type column could not represent</t>
        </is>
      </c>
      <c r="D9" t="inlineStr">
        <is>
          <t>pre-freeze</t>
        </is>
      </c>
      <c r="E9" t="inlineStr">
        <is>
          <t>MK</t>
        </is>
      </c>
    </row>
    <row r="10">
      <c r="A10" t="inlineStr">
        <is>
          <t>2026-09-10</t>
        </is>
      </c>
      <c r="B10" t="inlineStr">
        <is>
          <t>Column p4_causal_flag added (derived)</t>
        </is>
      </c>
      <c r="C10" t="inlineStr">
        <is>
          <t>Pilot note item 5: the P4 causal flag was free text in notes and could not be tabulated</t>
        </is>
      </c>
      <c r="D10" t="inlineStr">
        <is>
          <t>pre-freeze</t>
        </is>
      </c>
      <c r="E10" t="inlineStr">
        <is>
          <t>MK</t>
        </is>
      </c>
    </row>
    <row r="11">
      <c r="A11" t="inlineStr">
        <is>
          <t>2026-09-10</t>
        </is>
      </c>
      <c r="B11" t="inlineStr">
        <is>
          <t>Licence set: CC BY 4.0 for text, protocol, codebook and data; MIT for the analysis script</t>
        </is>
      </c>
      <c r="C11" t="inlineStr">
        <is>
          <t>Required before deposit; matches the licence recorded on the Zenodo record</t>
        </is>
      </c>
      <c r="D11" t="inlineStr">
        <is>
          <t>pre-freeze</t>
        </is>
      </c>
      <c r="E11" t="inlineStr">
        <is>
          <t>MK</t>
        </is>
      </c>
    </row>
    <row r="12">
      <c r="A12" t="inlineStr">
        <is>
          <t>2026-09-10</t>
        </is>
      </c>
      <c r="B12" t="inlineStr">
        <is>
          <t>Deposit v1 made: tag protocol-freeze, commit f50707436317a533fe9fa9a9a5f9e68213671e0b, DOI 10.5281/zenodo.22696658</t>
        </is>
      </c>
      <c r="C12" t="inlineStr">
        <is>
          <t>Recorded as a pre-freeze snapshot, NOT as the pre-registration. At that commit the sampling seed (protocol s.6) was unfilled and the codebook decisions in protocol s.16 were open. Superseded by deposit v2, not deleted</t>
        </is>
      </c>
      <c r="D12" t="inlineStr">
        <is>
          <t>pre-freeze</t>
        </is>
      </c>
      <c r="E12" t="inlineStr">
        <is>
          <t>MK</t>
        </is>
      </c>
    </row>
    <row r="13">
      <c r="A13" t="inlineStr">
        <is>
          <t>2026-09-10</t>
        </is>
      </c>
      <c r="B13" t="inlineStr">
        <is>
          <t>Protocol section 16 added: conditions for the freeze</t>
        </is>
      </c>
      <c r="C13" t="inlineStr">
        <is>
          <t>Puts the freeze gate inside the pre-registered document instead of an external checklist</t>
        </is>
      </c>
      <c r="D13" t="inlineStr">
        <is>
          <t>pre-freeze</t>
        </is>
      </c>
      <c r="E13" t="inlineStr">
        <is>
          <t>MK</t>
        </is>
      </c>
    </row>
    <row r="14">
      <c r="A14" t="inlineStr">
        <is>
          <t>2026-09-10</t>
        </is>
      </c>
      <c r="B14" t="inlineStr">
        <is>
          <t>Snapshot 2 deposited: tag protocol-freeze-v1, commit 2e709266a96dba93122dd7ee0c557b64324d79c8, DOI 10.5281/zenodo.22697017</t>
        </is>
      </c>
      <c r="C14" t="inlineStr">
        <is>
          <t>Second dated snapshot, taken after working notes were moved out of the deposit and the search contingency was folded into protocol s.3. Not the pre-registration: protocol s.16 gate still open. The freeze will be tagged preregistration-v1</t>
        </is>
      </c>
      <c r="D14" t="inlineStr">
        <is>
          <t>pre-freeze</t>
        </is>
      </c>
      <c r="E14" t="inlineStr">
        <is>
          <t>MK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6"/>
  <sheetViews>
    <sheetView zoomScaleNormal="100" workbookViewId="0">
      <selection activeCell="A1" sqref="A1"/>
    </sheetView>
  </sheetViews>
  <sheetFormatPr baseColWidth="8" defaultColWidth="8.7109375" defaultRowHeight="15"/>
  <cols>
    <col width="34" customWidth="1" style="1" min="1" max="1"/>
    <col width="12" customWidth="1" style="1" min="2" max="3"/>
  </cols>
  <sheetData>
    <row r="1" ht="15" customHeight="1" s="1">
      <c r="A1" s="4" t="inlineStr">
        <is>
          <t>Live summary (formulas only)</t>
        </is>
      </c>
      <c r="B1" s="3" t="n"/>
      <c r="C1" s="3" t="n"/>
    </row>
    <row r="2" ht="15" customHeight="1" s="1">
      <c r="A2" s="3" t="n"/>
      <c r="B2" s="3" t="n"/>
      <c r="C2" s="3" t="n"/>
    </row>
    <row r="3" ht="15" customHeight="1" s="1">
      <c r="A3" s="3" t="inlineStr">
        <is>
          <t>Total claims</t>
        </is>
      </c>
      <c r="B3" s="3">
        <f>COUNTA(Claims!A2:A5000)</f>
        <v/>
      </c>
      <c r="C3" s="3" t="n"/>
    </row>
    <row r="4" ht="15" customHeight="1" s="1">
      <c r="A4" s="3" t="inlineStr">
        <is>
          <t>Total articles</t>
        </is>
      </c>
      <c r="B4" s="3">
        <f>COUNTA(Articles!A2:A2000)</f>
        <v/>
      </c>
      <c r="C4" s="3" t="n"/>
    </row>
    <row r="5" ht="15" customHeight="1" s="1">
      <c r="A5" s="3" t="n"/>
      <c r="B5" s="3" t="n"/>
      <c r="C5" s="3" t="n"/>
    </row>
    <row r="6" ht="15" customHeight="1" s="1">
      <c r="A6" s="4" t="inlineStr">
        <is>
          <t>By claim type</t>
        </is>
      </c>
      <c r="B6" s="4" t="inlineStr">
        <is>
          <t>n</t>
        </is>
      </c>
      <c r="C6" s="4" t="inlineStr">
        <is>
          <t>share</t>
        </is>
      </c>
    </row>
    <row r="7" ht="15" customHeight="1" s="1">
      <c r="A7" s="3" t="inlineStr">
        <is>
          <t>descriptive</t>
        </is>
      </c>
      <c r="B7" s="3">
        <f>COUNTIF(Claims!F2:F5000,"descriptive")</f>
        <v/>
      </c>
      <c r="C7" s="12">
        <f>IF($B$3=0,0,B7/$B$3)</f>
        <v/>
      </c>
    </row>
    <row r="8" ht="15" customHeight="1" s="1">
      <c r="A8" s="3" t="inlineStr">
        <is>
          <t>conceptual</t>
        </is>
      </c>
      <c r="B8" s="3">
        <f>COUNTIF(Claims!F2:F5000,"conceptual")</f>
        <v/>
      </c>
      <c r="C8" s="12">
        <f>IF($B$3=0,0,B8/$B$3)</f>
        <v/>
      </c>
    </row>
    <row r="9" ht="15" customHeight="1" s="1">
      <c r="A9" s="3" t="inlineStr">
        <is>
          <t>causal</t>
        </is>
      </c>
      <c r="B9" s="3">
        <f>COUNTIF(Claims!F2:F5000,"causal")</f>
        <v/>
      </c>
      <c r="C9" s="12">
        <f>IF($B$3=0,0,B9/$B$3)</f>
        <v/>
      </c>
    </row>
    <row r="10" ht="15" customHeight="1" s="1">
      <c r="A10" s="3" t="inlineStr">
        <is>
          <t>predictive</t>
        </is>
      </c>
      <c r="B10" s="3">
        <f>COUNTIF(Claims!F2:F5000,"predictive")</f>
        <v/>
      </c>
      <c r="C10" s="12">
        <f>IF($B$3=0,0,B10/$B$3)</f>
        <v/>
      </c>
    </row>
    <row r="11" ht="15" customHeight="1" s="1">
      <c r="A11" s="3" t="inlineStr">
        <is>
          <t>normative</t>
        </is>
      </c>
      <c r="B11" s="3">
        <f>COUNTIF(Claims!F2:F5000,"normative")</f>
        <v/>
      </c>
      <c r="C11" s="12">
        <f>IF($B$3=0,0,B11/$B$3)</f>
        <v/>
      </c>
    </row>
    <row r="12" ht="15" customHeight="1" s="1">
      <c r="A12" s="3" t="inlineStr">
        <is>
          <t>other</t>
        </is>
      </c>
      <c r="B12" s="3">
        <f>COUNTIF(Claims!F2:F5000,"other")</f>
        <v/>
      </c>
      <c r="C12" s="12">
        <f>IF($B$3=0,0,B12/$B$3)</f>
        <v/>
      </c>
    </row>
    <row r="13" ht="15" customHeight="1" s="1">
      <c r="A13" s="3" t="n"/>
      <c r="B13" s="3" t="n"/>
      <c r="C13" s="3" t="n"/>
    </row>
    <row r="14" ht="15" customHeight="1" s="1">
      <c r="A14" s="4" t="inlineStr">
        <is>
          <t>By primary warrant</t>
        </is>
      </c>
      <c r="B14" s="3" t="n"/>
      <c r="C14" s="3" t="n"/>
    </row>
    <row r="15" ht="15" customHeight="1" s="1">
      <c r="A15" s="3" t="inlineStr">
        <is>
          <t>W1</t>
        </is>
      </c>
      <c r="B15" s="3">
        <f>COUNTIF(Claims!H2:H5000,"W1")</f>
        <v/>
      </c>
      <c r="C15" s="12">
        <f>IF($B$3=0,0,B15/$B$3)</f>
        <v/>
      </c>
    </row>
    <row r="16" ht="15" customHeight="1" s="1">
      <c r="A16" s="3" t="inlineStr">
        <is>
          <t>W2</t>
        </is>
      </c>
      <c r="B16" s="3">
        <f>COUNTIF(Claims!H2:H5000,"W2")</f>
        <v/>
      </c>
      <c r="C16" s="12">
        <f>IF($B$3=0,0,B16/$B$3)</f>
        <v/>
      </c>
    </row>
    <row r="17" ht="15" customHeight="1" s="1">
      <c r="A17" s="3" t="inlineStr">
        <is>
          <t>W3</t>
        </is>
      </c>
      <c r="B17" s="3">
        <f>COUNTIF(Claims!H2:H5000,"W3")</f>
        <v/>
      </c>
      <c r="C17" s="12">
        <f>IF($B$3=0,0,B17/$B$3)</f>
        <v/>
      </c>
    </row>
    <row r="18" ht="15" customHeight="1" s="1">
      <c r="A18" s="3" t="inlineStr">
        <is>
          <t>W4</t>
        </is>
      </c>
      <c r="B18" s="3">
        <f>COUNTIF(Claims!H2:H5000,"W4")</f>
        <v/>
      </c>
      <c r="C18" s="12">
        <f>IF($B$3=0,0,B18/$B$3)</f>
        <v/>
      </c>
    </row>
    <row r="19" ht="15" customHeight="1" s="1">
      <c r="A19" s="3" t="inlineStr">
        <is>
          <t>W5</t>
        </is>
      </c>
      <c r="B19" s="3">
        <f>COUNTIF(Claims!H2:H5000,"W5")</f>
        <v/>
      </c>
      <c r="C19" s="12">
        <f>IF($B$3=0,0,B19/$B$3)</f>
        <v/>
      </c>
    </row>
    <row r="20" ht="15" customHeight="1" s="1">
      <c r="A20" s="3" t="inlineStr">
        <is>
          <t>W6</t>
        </is>
      </c>
      <c r="B20" s="3">
        <f>COUNTIF(Claims!H2:H5000,"W6")</f>
        <v/>
      </c>
      <c r="C20" s="12">
        <f>IF($B$3=0,0,B20/$B$3)</f>
        <v/>
      </c>
    </row>
    <row r="21" ht="15" customHeight="1" s="1">
      <c r="A21" s="3" t="inlineStr">
        <is>
          <t>W7</t>
        </is>
      </c>
      <c r="B21" s="3">
        <f>COUNTIF(Claims!H2:H5000,"W7")</f>
        <v/>
      </c>
      <c r="C21" s="12">
        <f>IF($B$3=0,0,B21/$B$3)</f>
        <v/>
      </c>
    </row>
    <row r="22" ht="15" customHeight="1" s="1">
      <c r="A22" s="3" t="inlineStr">
        <is>
          <t>W8</t>
        </is>
      </c>
      <c r="B22" s="3">
        <f>COUNTIF(Claims!H2:H5000,"W8")</f>
        <v/>
      </c>
      <c r="C22" s="12">
        <f>IF($B$3=0,0,B22/$B$3)</f>
        <v/>
      </c>
    </row>
    <row r="23" ht="15" customHeight="1" s="1">
      <c r="A23" s="3" t="n"/>
      <c r="B23" s="3" t="n"/>
      <c r="C23" s="3" t="n"/>
    </row>
    <row r="24" ht="15" customHeight="1" s="1">
      <c r="A24" s="4" t="inlineStr">
        <is>
          <t>By fit (final)</t>
        </is>
      </c>
      <c r="B24" s="3" t="n"/>
      <c r="C24" s="3" t="n"/>
    </row>
    <row r="25" ht="15" customHeight="1" s="1">
      <c r="A25" s="3" t="inlineStr">
        <is>
          <t>adequate</t>
        </is>
      </c>
      <c r="B25" s="3">
        <f>COUNTIF(Claims!R2:R5000,"adequate")</f>
        <v/>
      </c>
      <c r="C25" s="12">
        <f>IF($B$3=0,0,B25/$B$3)</f>
        <v/>
      </c>
    </row>
    <row r="26" ht="15" customHeight="1" s="1">
      <c r="A26" s="3" t="inlineStr">
        <is>
          <t>partial</t>
        </is>
      </c>
      <c r="B26" s="3">
        <f>COUNTIF(Claims!R2:R5000,"partial")</f>
        <v/>
      </c>
      <c r="C26" s="12">
        <f>IF($B$3=0,0,B26/$B$3)</f>
        <v/>
      </c>
    </row>
    <row r="27" ht="15" customHeight="1" s="1">
      <c r="A27" s="3" t="inlineStr">
        <is>
          <t>inadequate</t>
        </is>
      </c>
      <c r="B27" s="3">
        <f>COUNTIF(Claims!R2:R5000,"inadequate")</f>
        <v/>
      </c>
      <c r="C27" s="12">
        <f>IF($B$3=0,0,B27/$B$3)</f>
        <v/>
      </c>
    </row>
    <row r="28" ht="15" customHeight="1" s="1">
      <c r="A28" s="3" t="n"/>
      <c r="B28" s="3" t="n"/>
      <c r="C28" s="3" t="n"/>
    </row>
    <row r="29" ht="15" customHeight="1" s="1">
      <c r="A29" s="4" t="inlineStr">
        <is>
          <t>Declared-forecast indicators (predictive+causal-future)</t>
        </is>
      </c>
      <c r="B29" s="3" t="n"/>
      <c r="C29" s="3" t="n"/>
    </row>
    <row r="30" ht="15" customHeight="1" s="1">
      <c r="A30" s="3" t="inlineStr">
        <is>
          <t>claims eligible (not NA)</t>
        </is>
      </c>
      <c r="B30" s="3">
        <f>COUNTIF(Claims!K2:K5000,"0")+COUNTIF(Claims!K2:K5000,"1")</f>
        <v/>
      </c>
      <c r="C30" s="3" t="n"/>
    </row>
    <row r="31" ht="15" customHeight="1" s="1">
      <c r="A31" s="3" t="inlineStr">
        <is>
          <t>scope conditions =1</t>
        </is>
      </c>
      <c r="B31" s="3">
        <f>COUNTIF(Claims!K2:K5000,"1")</f>
        <v/>
      </c>
      <c r="C31" s="12">
        <f>IF($B$30=0,0,B31/$B$30)</f>
        <v/>
      </c>
    </row>
    <row r="32" ht="15" customHeight="1" s="1">
      <c r="A32" s="3" t="inlineStr">
        <is>
          <t>conjectural status =1</t>
        </is>
      </c>
      <c r="B32" s="3">
        <f>COUNTIF(Claims!L2:L5000,"1")</f>
        <v/>
      </c>
      <c r="C32" s="12">
        <f>IF($B$30=0,0,B32/$B$30)</f>
        <v/>
      </c>
    </row>
    <row r="33" ht="15" customHeight="1" s="1">
      <c r="A33" s="3" t="inlineStr">
        <is>
          <t>falsifier =1</t>
        </is>
      </c>
      <c r="B33" s="3">
        <f>COUNTIF(Claims!M2:M5000,"1")</f>
        <v/>
      </c>
      <c r="C33" s="12">
        <f>IF($B$30=0,0,B33/$B$30)</f>
        <v/>
      </c>
    </row>
    <row r="34" ht="15" customHeight="1" s="1">
      <c r="A34" s="3" t="inlineStr">
        <is>
          <t>all three =1 (declared forecasts)</t>
        </is>
      </c>
      <c r="B34" s="3">
        <f>COUNTIFS(Claims!K2:K5000,"1",Claims!L2:L5000,"1",Claims!M2:M5000,"1")</f>
        <v/>
      </c>
      <c r="C34" s="12">
        <f>IF($B$30=0,0,B34/$B$30)</f>
        <v/>
      </c>
    </row>
    <row r="35" ht="15" customHeight="1" s="1">
      <c r="A35" s="3" t="inlineStr">
        <is>
          <t>none =1 (circulated findings)</t>
        </is>
      </c>
      <c r="B35" s="3">
        <f>COUNTIFS(Claims!K2:K5000,"0",Claims!L2:L5000,"0",Claims!M2:M5000,"0")</f>
        <v/>
      </c>
      <c r="C35" s="12">
        <f>IF($B$30=0,0,B35/$B$30)</f>
        <v/>
      </c>
    </row>
    <row r="36" ht="15" customHeight="1" s="1">
      <c r="A36" s="3" t="n"/>
      <c r="B36" s="3" t="n"/>
      <c r="C36" s="3" t="n"/>
    </row>
    <row r="37" ht="15" customHeight="1" s="1">
      <c r="A37" s="3" t="inlineStr">
        <is>
          <t>Fit key errors (CHECK KEY)</t>
        </is>
      </c>
      <c r="B37" s="3">
        <f>COUNTIF(Claims!Q2:Q5000,"CHECK KEY")</f>
        <v/>
      </c>
      <c r="C37" s="3" t="n"/>
    </row>
    <row r="39">
      <c r="A39" s="5" t="inlineStr">
        <is>
          <t>Transmission (Table 4): originating vs citing text, W3 claims</t>
        </is>
      </c>
    </row>
    <row r="40">
      <c r="A40" t="inlineStr">
        <is>
          <t>scope conditions: originating =1 / citing =1 / pairs known</t>
        </is>
      </c>
      <c r="B40">
        <f>COUNTIFS(Claims!V2:V5000,"1",Claims!H2:H5000,"W3")</f>
        <v/>
      </c>
      <c r="C40">
        <f>COUNTIFS(Claims!K2:K5000,"1",Claims!H2:H5000,"W3")</f>
        <v/>
      </c>
    </row>
    <row r="41">
      <c r="A41" t="inlineStr">
        <is>
          <t>conjectural status: originating =1 / citing =1 / pairs known</t>
        </is>
      </c>
      <c r="B41">
        <f>COUNTIFS(Claims!W2:W5000,"1",Claims!H2:H5000,"W3")</f>
        <v/>
      </c>
      <c r="C41">
        <f>COUNTIFS(Claims!L2:L5000,"1",Claims!H2:H5000,"W3")</f>
        <v/>
      </c>
    </row>
    <row r="42">
      <c r="A42" t="inlineStr">
        <is>
          <t>falsifier: originating =1 / citing =1 / pairs known</t>
        </is>
      </c>
      <c r="B42">
        <f>COUNTIFS(Claims!X2:X5000,"1",Claims!H2:H5000,"W3")</f>
        <v/>
      </c>
      <c r="C42">
        <f>COUNTIFS(Claims!M2:M5000,"1",Claims!H2:H5000,"W3")</f>
        <v/>
      </c>
    </row>
    <row r="43">
      <c r="A43" t="inlineStr">
        <is>
          <t>W3 claims with originating text retrieved (not unknown)</t>
        </is>
      </c>
      <c r="B43">
        <f>COUNTIFS(Claims!H2:H5000,"W3",Claims!V2:V5000,"&lt;&gt;unknown")-COUNTIFS(Claims!H2:H5000,"W3",Claims!V2:V5000,"NA")</f>
        <v/>
      </c>
    </row>
    <row r="45">
      <c r="A45" t="inlineStr">
        <is>
          <t>P4 causal claims (flagged)</t>
        </is>
      </c>
      <c r="B45">
        <f>COUNTIF(Claims!AA2:AA5000,"P4-CAUSAL")</f>
        <v/>
      </c>
    </row>
    <row r="46">
      <c r="A46" t="inlineStr">
        <is>
          <t>predictive+W4 under P2/P3/P4 with analogy developed</t>
        </is>
      </c>
      <c r="B46">
        <f>COUNTIFS(Claims!F2:F5000,"predictive",Claims!H2:H5000,"W4",Claims!U2:U5000,"1")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2026-09-06T21:13:11Z</dcterms:created>
  <dcterms:modified xmlns:dcterms="http://purl.org/dc/terms/" xmlns:xsi="http://www.w3.org/2001/XMLSchema-instance" xsi:type="dcterms:W3CDTF">2026-09-10T19:54:13Z</dcterms:modified>
  <cp:lastModifiedBy>Admin</cp:lastModifiedBy>
  <cp:revision>0</cp:revision>
</cp:coreProperties>
</file>